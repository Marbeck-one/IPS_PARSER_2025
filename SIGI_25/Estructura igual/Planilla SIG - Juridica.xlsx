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arla_adasme_ips_gob_cl/Documents/AVANCE-OCT-NOV-DIC-CDC-2025/División Jurídica/"/>
    </mc:Choice>
  </mc:AlternateContent>
  <xr:revisionPtr revIDLastSave="101" documentId="8_{8616BCB0-E0B9-433F-A7CA-DA24ED404348}" xr6:coauthVersionLast="47" xr6:coauthVersionMax="47" xr10:uidLastSave="{C17AB65B-2F3B-4DD9-900C-0ACC7F1DD996}"/>
  <bookViews>
    <workbookView xWindow="-110" yWindow="-110" windowWidth="19420" windowHeight="11500" tabRatio="589" xr2:uid="{00000000-000D-0000-FFFF-FFFF00000000}"/>
  </bookViews>
  <sheets>
    <sheet name="CDC 2025" sheetId="1" r:id="rId1"/>
  </sheets>
  <definedNames>
    <definedName name="_xlnm.Print_Area" localSheetId="0">'CDC 2025'!$B$1:$L$24</definedName>
    <definedName name="_xlnm.Print_Titles" localSheetId="0">'CDC 2025'!$1:$12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8" i="1" l="1"/>
  <c r="I58" i="1" s="1"/>
  <c r="K58" i="1" s="1"/>
  <c r="K56" i="1" s="1"/>
  <c r="L58" i="1" s="1"/>
  <c r="J56" i="1"/>
  <c r="H56" i="1"/>
  <c r="F56" i="1"/>
  <c r="E56" i="1"/>
  <c r="G54" i="1"/>
  <c r="I54" i="1" s="1"/>
  <c r="K54" i="1" s="1"/>
  <c r="J50" i="1"/>
  <c r="H50" i="1"/>
  <c r="F50" i="1"/>
  <c r="E50" i="1"/>
  <c r="G48" i="1"/>
  <c r="I48" i="1" s="1"/>
  <c r="K48" i="1" s="1"/>
  <c r="J44" i="1"/>
  <c r="H44" i="1"/>
  <c r="F44" i="1"/>
  <c r="E44" i="1"/>
  <c r="G18" i="1"/>
  <c r="I18" i="1" s="1"/>
  <c r="K18" i="1" s="1"/>
  <c r="J14" i="1"/>
  <c r="H14" i="1"/>
  <c r="F14" i="1"/>
  <c r="E14" i="1"/>
  <c r="G52" i="1" l="1"/>
  <c r="I52" i="1" s="1"/>
  <c r="K52" i="1" s="1"/>
  <c r="G46" i="1" l="1"/>
  <c r="G16" i="1"/>
  <c r="G50" i="1" l="1"/>
  <c r="G44" i="1"/>
  <c r="I46" i="1"/>
  <c r="G14" i="1"/>
  <c r="I16" i="1"/>
  <c r="K50" i="1" l="1"/>
  <c r="L52" i="1" s="1"/>
  <c r="I50" i="1"/>
  <c r="I44" i="1"/>
  <c r="K46" i="1"/>
  <c r="K44" i="1" s="1"/>
  <c r="L46" i="1" s="1"/>
  <c r="I14" i="1"/>
  <c r="K16" i="1"/>
  <c r="K14" i="1" s="1"/>
  <c r="L16" i="1" s="1"/>
  <c r="G42" i="1" l="1"/>
  <c r="I42" i="1" s="1"/>
  <c r="K42" i="1" s="1"/>
  <c r="G30" i="1"/>
  <c r="I30" i="1" s="1"/>
  <c r="K30" i="1" s="1"/>
  <c r="G24" i="1"/>
  <c r="I24" i="1" s="1"/>
  <c r="K24" i="1" s="1"/>
  <c r="J38" i="1"/>
  <c r="J32" i="1"/>
  <c r="J26" i="1"/>
  <c r="J20" i="1"/>
  <c r="H38" i="1"/>
  <c r="H32" i="1"/>
  <c r="H26" i="1"/>
  <c r="H20" i="1"/>
  <c r="F38" i="1"/>
  <c r="F32" i="1"/>
  <c r="F26" i="1"/>
  <c r="F20" i="1"/>
  <c r="E32" i="1"/>
  <c r="E26" i="1"/>
  <c r="E20" i="1"/>
  <c r="E38" i="1"/>
  <c r="G36" i="1"/>
  <c r="I36" i="1" s="1"/>
  <c r="K36" i="1" s="1"/>
  <c r="G40" i="1" l="1"/>
  <c r="G28" i="1"/>
  <c r="G34" i="1"/>
  <c r="G22" i="1" l="1"/>
  <c r="G26" i="1"/>
  <c r="I28" i="1"/>
  <c r="I34" i="1"/>
  <c r="G32" i="1"/>
  <c r="G38" i="1"/>
  <c r="I40" i="1"/>
  <c r="G20" i="1" l="1"/>
  <c r="I22" i="1"/>
  <c r="K40" i="1"/>
  <c r="K38" i="1" s="1"/>
  <c r="L40" i="1" s="1"/>
  <c r="I38" i="1"/>
  <c r="K28" i="1"/>
  <c r="K26" i="1" s="1"/>
  <c r="L28" i="1" s="1"/>
  <c r="I26" i="1"/>
  <c r="K34" i="1"/>
  <c r="K32" i="1" s="1"/>
  <c r="L34" i="1" s="1"/>
  <c r="I32" i="1"/>
  <c r="I20" i="1" l="1"/>
  <c r="K22" i="1"/>
  <c r="K20" i="1" s="1"/>
  <c r="L22" i="1" s="1"/>
</calcChain>
</file>

<file path=xl/sharedStrings.xml><?xml version="1.0" encoding="utf-8"?>
<sst xmlns="http://schemas.openxmlformats.org/spreadsheetml/2006/main" count="221" uniqueCount="56">
  <si>
    <t>DIVISIÓN JURIDICA</t>
  </si>
  <si>
    <t>NÚMERO</t>
  </si>
  <si>
    <t xml:space="preserve">INDICADOR </t>
  </si>
  <si>
    <t>FORMULA</t>
  </si>
  <si>
    <t>Operandos</t>
  </si>
  <si>
    <t>Operandos  Estimados Meta</t>
  </si>
  <si>
    <t>Oct.</t>
  </si>
  <si>
    <t>Acum Oct.</t>
  </si>
  <si>
    <t>Nov.</t>
  </si>
  <si>
    <t>Acum Nov.</t>
  </si>
  <si>
    <t>Dic.</t>
  </si>
  <si>
    <t>Cumplimiento
2025</t>
  </si>
  <si>
    <t>% Cumplimiento de Meta</t>
  </si>
  <si>
    <t>3.5.1.24</t>
  </si>
  <si>
    <r>
      <rPr>
        <b/>
        <u/>
        <sz val="8"/>
        <color theme="1"/>
        <rFont val="Arial Narrow"/>
        <family val="2"/>
      </rPr>
      <t>1) 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(CDC)</t>
    </r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</si>
  <si>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</si>
  <si>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(Sumatoria de Beneficios Previsionales de las áreas Particulares, Públicos y SSS que se finiquitan en un plazo máximo interno de 14 días en el año t</t>
  </si>
  <si>
    <t xml:space="preserve">Valor indicador=   </t>
  </si>
  <si>
    <t xml:space="preserve">Operando 1=   </t>
  </si>
  <si>
    <t>N° Total de Beneficios Previsionales de las áreas Particulares, Públicos y SSS que se finiquitan en el año t)*100</t>
  </si>
  <si>
    <t xml:space="preserve">Operando 2=    </t>
  </si>
  <si>
    <t>5.5.1.45</t>
  </si>
  <si>
    <r>
      <t xml:space="preserve">2) Eficacia/Producto
</t>
    </r>
    <r>
      <rPr>
        <sz val="8"/>
        <rFont val="Arial Narrow"/>
        <family val="2"/>
      </rPr>
      <t>Tiempo promedio de Bases de Licitación revisadas en el año t.</t>
    </r>
  </si>
  <si>
    <t>(Sumatoria de días de revisión de Bases de Licitación en el año t / Nº total de Bases de Licitación revisadas en el año t) *100</t>
  </si>
  <si>
    <t>Sumatoria de días de revisión de Bases de Licitación en el año t</t>
  </si>
  <si>
    <t>Nº total de Bases de Licitación revisadas en el año t) *100</t>
  </si>
  <si>
    <t>5.5.1.42</t>
  </si>
  <si>
    <r>
      <t xml:space="preserve">3) Eficacia/Producto
</t>
    </r>
    <r>
      <rPr>
        <sz val="8"/>
        <rFont val="Arial Narrow"/>
        <family val="2"/>
      </rPr>
      <t>Porcentaje de Procedimientos, institucionales aprobadas en un plazo máximo de 15 días hábiles en el año t.</t>
    </r>
  </si>
  <si>
    <t>(Sumatoria de Procedimientos institucionales aprobados en un plazo máximo de 15 días hábiles en el año t / N° total de Procedimientos revisados en el año t) *100</t>
  </si>
  <si>
    <t xml:space="preserve">(Sumatoria de Procedimientos institucionales aprobados en un plazo máximo de 15 días hábiles en el año t </t>
  </si>
  <si>
    <t>N° total de Procedimientos revisados en el año t) *100</t>
  </si>
  <si>
    <t>5.5.1.46</t>
  </si>
  <si>
    <r>
      <t xml:space="preserve">4) Eficacia/Producto
</t>
    </r>
    <r>
      <rPr>
        <sz val="8"/>
        <rFont val="Arial Narrow"/>
        <family val="2"/>
      </rPr>
      <t xml:space="preserve">Porcentaje de Informes en materias de Beneficios de Seguridad Social emitidos con un plazo máximo de 12 días hábiles en el año t.
</t>
    </r>
  </si>
  <si>
    <t>(Sumatoria de informes en materias de Beneficios de Seguridad Social emitidos con un plazo máximo de 12 días hábiles en el año t / Nº total de informes en materias de Beneficios de Seguridad Social emitidos en el año t)*100</t>
  </si>
  <si>
    <t>(Sumatoria de informes en materias de Beneficios de Seguridad Social emitidos con un plazo máximo de 12 días hábiles en el año t</t>
  </si>
  <si>
    <t>Nº total de informes en materias de Beneficios de Seguridad Social emitidos en el año t)*100</t>
  </si>
  <si>
    <t>5.5.1.43</t>
  </si>
  <si>
    <r>
      <t xml:space="preserve">5) Eficacia/Producto
</t>
    </r>
    <r>
      <rPr>
        <sz val="8"/>
        <rFont val="Arial Narrow"/>
        <family val="2"/>
      </rPr>
      <t>Porcentaje de Convenios Institucionales en un plazo de 10 días hábiles aprobados en el año t.</t>
    </r>
  </si>
  <si>
    <t>(Sumatoria de convenios institucionales aprobados en un plazo de 10 días hábiles / N° total de convenios institucionales aprobados en el año t)*100</t>
  </si>
  <si>
    <t>Sumatoria de convenios institucionales aprobados en un plazo de 10 días hábiles</t>
  </si>
  <si>
    <t xml:space="preserve">N° total de convenios institucionales aprobados en el año t)*100
</t>
  </si>
  <si>
    <t>5.5.1.47</t>
  </si>
  <si>
    <r>
      <t xml:space="preserve">6) Eficacia/Producto
</t>
    </r>
    <r>
      <rPr>
        <sz val="8"/>
        <rFont val="Arial Narrow"/>
        <family val="2"/>
      </rPr>
      <t>Tiempo promedio de Contrataciones aprobadas en el año t.</t>
    </r>
  </si>
  <si>
    <t>(Sumatoria de días de Contrataciones aprobadas en el año t / Nº total de Contrataciones aprobados en el año t) *100</t>
  </si>
  <si>
    <t>(Sumatoria de días de Contrataciones aprobadas en el año t</t>
  </si>
  <si>
    <t>Nº total de Contrataciones aprobados en el año t) *100</t>
  </si>
  <si>
    <t>5.5.1.48</t>
  </si>
  <si>
    <r>
      <t xml:space="preserve">7) Eficacia/Proceso
</t>
    </r>
    <r>
      <rPr>
        <sz val="8"/>
        <rFont val="Arial Narrow"/>
        <family val="2"/>
      </rPr>
      <t>7.	Porcentaje de actividades cumplidas del plan de cumplimiento normativo y preventivo en el año t</t>
    </r>
  </si>
  <si>
    <t>(Sumatoria de actividades cumplidas de plan de cumplimiento normativo y preventivo en el año t / N° total de actividades programadas del plan de cumplimiento normativo y preventivo en el año t)*100</t>
  </si>
  <si>
    <t>(Sumatoria de actividades cumplidas de plan de cumplimiento normativo y preventivo en el año t</t>
  </si>
  <si>
    <t>N° total de actividades programadas del plan de cumplimiento normativo y preventivo en el año t)*100</t>
  </si>
  <si>
    <t>5.3.1.50</t>
  </si>
  <si>
    <r>
      <rPr>
        <b/>
        <u/>
        <sz val="8"/>
        <rFont val="Arial Narrow"/>
        <family val="2"/>
      </rPr>
      <t>5) Eficacia /Proceso</t>
    </r>
    <r>
      <rPr>
        <sz val="8"/>
        <rFont val="Arial Narrow"/>
        <family val="2"/>
      </rPr>
      <t xml:space="preserve">
Porcentaje de actividades cumplidas del Plan de Trabajo del Sistema de Integridad en el año t.</t>
    </r>
  </si>
  <si>
    <t>(Sumatoria de actividades cumplidas del Plan de Trabajo del Sistema de Integridad en el año t / Número total de actividades definidas en el Plan de Trabajo del Sistema de Integridad en el año t)*100</t>
  </si>
  <si>
    <t>Sumatoria de actividades cumplidas del Plan de Trabajo del Sistema de Integridad en el año t</t>
  </si>
  <si>
    <t>Número total de actividades definidas en el Plan de Trabajo del Sistema de Integridad en el año t)*100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</si>
</sst>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#,##0.0"/>
  </numFmts>
  <fonts count="1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 Narrow"/>
      <family val="2"/>
    </font>
    <font>
      <sz val="8"/>
      <name val="Arial Narrow"/>
      <family val="2"/>
    </font>
    <font>
      <sz val="8"/>
      <name val="Arial"/>
      <family val="2"/>
    </font>
    <font>
      <sz val="10"/>
      <name val="Arial Narrow"/>
      <family val="2"/>
    </font>
    <font>
      <b/>
      <u/>
      <sz val="8"/>
      <name val="Arial Narrow"/>
      <family val="2"/>
    </font>
    <font>
      <sz val="12"/>
      <name val="Arial Narrow"/>
      <family val="2"/>
    </font>
    <font>
      <b/>
      <sz val="12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u/>
      <sz val="8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6">
    <xf numFmtId="0" fontId="0" fillId="0" borderId="0" xfId="0"/>
    <xf numFmtId="0" fontId="6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applyFont="1"/>
    <xf numFmtId="3" fontId="8" fillId="0" borderId="0" xfId="0" applyNumberFormat="1" applyFont="1" applyAlignment="1">
      <alignment horizontal="center"/>
    </xf>
    <xf numFmtId="0" fontId="8" fillId="0" borderId="3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3" fillId="0" borderId="0" xfId="0" applyFont="1"/>
    <xf numFmtId="0" fontId="4" fillId="0" borderId="4" xfId="0" applyFont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9" fontId="4" fillId="0" borderId="4" xfId="4" applyFont="1" applyBorder="1" applyAlignment="1">
      <alignment vertical="center"/>
    </xf>
    <xf numFmtId="0" fontId="4" fillId="0" borderId="0" xfId="0" applyFont="1"/>
    <xf numFmtId="10" fontId="4" fillId="4" borderId="6" xfId="4" applyNumberFormat="1" applyFont="1" applyFill="1" applyBorder="1" applyAlignment="1" applyProtection="1">
      <alignment horizontal="right" vertical="center"/>
    </xf>
    <xf numFmtId="10" fontId="4" fillId="2" borderId="7" xfId="4" applyNumberFormat="1" applyFont="1" applyFill="1" applyBorder="1" applyAlignment="1" applyProtection="1">
      <alignment vertical="center"/>
    </xf>
    <xf numFmtId="9" fontId="4" fillId="0" borderId="6" xfId="4" applyFont="1" applyBorder="1" applyAlignment="1">
      <alignment vertical="center"/>
    </xf>
    <xf numFmtId="0" fontId="4" fillId="0" borderId="6" xfId="0" applyFont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3" fontId="4" fillId="3" borderId="6" xfId="0" applyNumberFormat="1" applyFont="1" applyFill="1" applyBorder="1" applyAlignment="1">
      <alignment horizontal="right" vertical="center" wrapText="1"/>
    </xf>
    <xf numFmtId="3" fontId="4" fillId="2" borderId="6" xfId="0" applyNumberFormat="1" applyFont="1" applyFill="1" applyBorder="1" applyAlignment="1">
      <alignment horizontal="right" vertical="center" wrapText="1"/>
    </xf>
    <xf numFmtId="10" fontId="4" fillId="0" borderId="6" xfId="4" applyNumberFormat="1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left" vertical="center" wrapText="1"/>
    </xf>
    <xf numFmtId="3" fontId="4" fillId="2" borderId="7" xfId="0" applyNumberFormat="1" applyFont="1" applyFill="1" applyBorder="1" applyAlignment="1">
      <alignment horizontal="left" vertical="center" wrapText="1"/>
    </xf>
    <xf numFmtId="3" fontId="4" fillId="3" borderId="8" xfId="0" applyNumberFormat="1" applyFont="1" applyFill="1" applyBorder="1" applyAlignment="1">
      <alignment horizontal="right" vertical="center" wrapText="1"/>
    </xf>
    <xf numFmtId="3" fontId="4" fillId="2" borderId="9" xfId="0" applyNumberFormat="1" applyFont="1" applyFill="1" applyBorder="1" applyAlignment="1">
      <alignment horizontal="right" vertical="center" wrapText="1"/>
    </xf>
    <xf numFmtId="9" fontId="4" fillId="0" borderId="8" xfId="4" applyFont="1" applyBorder="1" applyAlignment="1">
      <alignment vertical="center"/>
    </xf>
    <xf numFmtId="0" fontId="4" fillId="0" borderId="10" xfId="0" applyFont="1" applyBorder="1"/>
    <xf numFmtId="10" fontId="3" fillId="5" borderId="6" xfId="4" applyNumberFormat="1" applyFont="1" applyFill="1" applyBorder="1" applyAlignment="1" applyProtection="1">
      <alignment horizontal="right" vertical="center"/>
    </xf>
    <xf numFmtId="3" fontId="4" fillId="6" borderId="6" xfId="0" applyNumberFormat="1" applyFont="1" applyFill="1" applyBorder="1" applyAlignment="1">
      <alignment horizontal="right" vertical="center" wrapText="1"/>
    </xf>
    <xf numFmtId="3" fontId="4" fillId="6" borderId="8" xfId="0" applyNumberFormat="1" applyFont="1" applyFill="1" applyBorder="1" applyAlignment="1">
      <alignment horizontal="right" vertical="center" wrapText="1"/>
    </xf>
    <xf numFmtId="165" fontId="4" fillId="3" borderId="6" xfId="0" applyNumberFormat="1" applyFont="1" applyFill="1" applyBorder="1" applyAlignment="1">
      <alignment horizontal="right" vertical="center" wrapText="1"/>
    </xf>
    <xf numFmtId="3" fontId="4" fillId="4" borderId="8" xfId="0" applyNumberFormat="1" applyFont="1" applyFill="1" applyBorder="1" applyAlignment="1">
      <alignment horizontal="right" vertical="center" wrapText="1"/>
    </xf>
    <xf numFmtId="165" fontId="4" fillId="2" borderId="6" xfId="0" applyNumberFormat="1" applyFont="1" applyFill="1" applyBorder="1" applyAlignment="1">
      <alignment horizontal="right" vertical="center" wrapText="1"/>
    </xf>
    <xf numFmtId="164" fontId="3" fillId="5" borderId="6" xfId="4" applyNumberFormat="1" applyFont="1" applyFill="1" applyBorder="1" applyAlignment="1" applyProtection="1">
      <alignment horizontal="right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9" fontId="10" fillId="0" borderId="4" xfId="4" applyFont="1" applyBorder="1" applyAlignment="1">
      <alignment vertical="center"/>
    </xf>
    <xf numFmtId="0" fontId="10" fillId="0" borderId="0" xfId="0" applyFont="1" applyProtection="1">
      <protection locked="0"/>
    </xf>
    <xf numFmtId="10" fontId="11" fillId="5" borderId="6" xfId="4" applyNumberFormat="1" applyFont="1" applyFill="1" applyBorder="1" applyAlignment="1" applyProtection="1">
      <alignment horizontal="right" vertical="center"/>
    </xf>
    <xf numFmtId="2" fontId="4" fillId="2" borderId="6" xfId="4" applyNumberFormat="1" applyFont="1" applyFill="1" applyBorder="1" applyAlignment="1">
      <alignment vertical="center"/>
    </xf>
    <xf numFmtId="2" fontId="4" fillId="3" borderId="6" xfId="4" applyNumberFormat="1" applyFont="1" applyFill="1" applyBorder="1" applyAlignment="1">
      <alignment vertical="center"/>
    </xf>
    <xf numFmtId="9" fontId="10" fillId="0" borderId="6" xfId="4" applyFont="1" applyBorder="1" applyAlignment="1">
      <alignment vertical="center"/>
    </xf>
    <xf numFmtId="0" fontId="4" fillId="2" borderId="6" xfId="0" applyFont="1" applyFill="1" applyBorder="1" applyAlignment="1">
      <alignment horizontal="left" vertical="center" wrapText="1"/>
    </xf>
    <xf numFmtId="3" fontId="4" fillId="4" borderId="6" xfId="0" applyNumberFormat="1" applyFont="1" applyFill="1" applyBorder="1" applyAlignment="1">
      <alignment horizontal="right" vertical="center" wrapText="1"/>
    </xf>
    <xf numFmtId="10" fontId="10" fillId="0" borderId="6" xfId="4" applyNumberFormat="1" applyFont="1" applyBorder="1" applyAlignment="1">
      <alignment horizontal="center" vertical="center"/>
    </xf>
    <xf numFmtId="3" fontId="4" fillId="2" borderId="6" xfId="0" applyNumberFormat="1" applyFont="1" applyFill="1" applyBorder="1" applyAlignment="1">
      <alignment horizontal="left" vertical="center" wrapText="1"/>
    </xf>
    <xf numFmtId="9" fontId="10" fillId="0" borderId="8" xfId="4" applyFont="1" applyBorder="1" applyAlignment="1">
      <alignment vertical="center"/>
    </xf>
    <xf numFmtId="0" fontId="10" fillId="2" borderId="5" xfId="0" applyFont="1" applyFill="1" applyBorder="1" applyAlignment="1">
      <alignment horizontal="left" vertical="center" wrapText="1"/>
    </xf>
    <xf numFmtId="10" fontId="10" fillId="3" borderId="6" xfId="4" applyNumberFormat="1" applyFont="1" applyFill="1" applyBorder="1" applyAlignment="1" applyProtection="1">
      <alignment horizontal="right" vertical="center"/>
    </xf>
    <xf numFmtId="10" fontId="10" fillId="2" borderId="7" xfId="4" applyNumberFormat="1" applyFont="1" applyFill="1" applyBorder="1" applyAlignment="1" applyProtection="1">
      <alignment vertical="center"/>
    </xf>
    <xf numFmtId="0" fontId="10" fillId="2" borderId="7" xfId="0" applyFont="1" applyFill="1" applyBorder="1" applyAlignment="1">
      <alignment horizontal="left" vertical="center" wrapText="1"/>
    </xf>
    <xf numFmtId="3" fontId="10" fillId="6" borderId="6" xfId="0" applyNumberFormat="1" applyFont="1" applyFill="1" applyBorder="1" applyAlignment="1">
      <alignment horizontal="right" vertical="center" wrapText="1"/>
    </xf>
    <xf numFmtId="3" fontId="10" fillId="0" borderId="6" xfId="0" applyNumberFormat="1" applyFont="1" applyBorder="1" applyAlignment="1">
      <alignment horizontal="left" vertical="center" wrapText="1"/>
    </xf>
    <xf numFmtId="2" fontId="3" fillId="5" borderId="6" xfId="4" applyNumberFormat="1" applyFont="1" applyFill="1" applyBorder="1" applyAlignment="1" applyProtection="1">
      <alignment horizontal="right" vertical="center"/>
    </xf>
    <xf numFmtId="1" fontId="3" fillId="5" borderId="6" xfId="4" applyNumberFormat="1" applyFont="1" applyFill="1" applyBorder="1" applyAlignment="1" applyProtection="1">
      <alignment horizontal="right" vertical="center"/>
    </xf>
    <xf numFmtId="10" fontId="4" fillId="2" borderId="6" xfId="6" applyNumberFormat="1" applyFont="1" applyFill="1" applyBorder="1" applyAlignment="1">
      <alignment vertical="center"/>
    </xf>
    <xf numFmtId="0" fontId="11" fillId="8" borderId="4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/>
    </xf>
    <xf numFmtId="0" fontId="10" fillId="8" borderId="8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vertical="top" wrapText="1"/>
    </xf>
    <xf numFmtId="0" fontId="4" fillId="8" borderId="6" xfId="0" applyFont="1" applyFill="1" applyBorder="1" applyAlignment="1">
      <alignment vertical="top" wrapText="1"/>
    </xf>
    <xf numFmtId="0" fontId="4" fillId="8" borderId="8" xfId="0" applyFont="1" applyFill="1" applyBorder="1" applyAlignment="1">
      <alignment vertical="top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1" fontId="4" fillId="8" borderId="4" xfId="0" applyNumberFormat="1" applyFont="1" applyFill="1" applyBorder="1" applyAlignment="1">
      <alignment horizontal="left" vertical="center" wrapText="1"/>
    </xf>
    <xf numFmtId="1" fontId="4" fillId="8" borderId="6" xfId="0" applyNumberFormat="1" applyFont="1" applyFill="1" applyBorder="1" applyAlignment="1">
      <alignment horizontal="left" vertical="center" wrapText="1"/>
    </xf>
    <xf numFmtId="1" fontId="4" fillId="8" borderId="8" xfId="0" applyNumberFormat="1" applyFont="1" applyFill="1" applyBorder="1" applyAlignment="1">
      <alignment horizontal="left" vertical="center" wrapText="1"/>
    </xf>
    <xf numFmtId="0" fontId="7" fillId="8" borderId="4" xfId="0" applyFont="1" applyFill="1" applyBorder="1" applyAlignment="1">
      <alignment horizontal="left" vertical="center" wrapText="1"/>
    </xf>
    <xf numFmtId="0" fontId="7" fillId="8" borderId="6" xfId="0" applyFont="1" applyFill="1" applyBorder="1" applyAlignment="1">
      <alignment horizontal="left" vertical="center" wrapText="1"/>
    </xf>
    <xf numFmtId="0" fontId="7" fillId="8" borderId="8" xfId="0" applyFont="1" applyFill="1" applyBorder="1" applyAlignment="1">
      <alignment horizontal="left" vertical="center" wrapText="1"/>
    </xf>
    <xf numFmtId="0" fontId="10" fillId="8" borderId="4" xfId="3" applyFont="1" applyFill="1" applyBorder="1" applyAlignment="1">
      <alignment horizontal="center" vertical="center" wrapText="1"/>
    </xf>
    <xf numFmtId="9" fontId="10" fillId="8" borderId="6" xfId="0" applyNumberFormat="1" applyFont="1" applyFill="1" applyBorder="1" applyAlignment="1">
      <alignment horizontal="left" vertical="center" wrapText="1"/>
    </xf>
    <xf numFmtId="0" fontId="10" fillId="8" borderId="6" xfId="0" applyFont="1" applyFill="1" applyBorder="1" applyAlignment="1">
      <alignment horizontal="left" wrapText="1"/>
    </xf>
    <xf numFmtId="0" fontId="10" fillId="8" borderId="8" xfId="0" applyFont="1" applyFill="1" applyBorder="1" applyAlignment="1">
      <alignment horizontal="left" wrapText="1"/>
    </xf>
    <xf numFmtId="9" fontId="10" fillId="8" borderId="4" xfId="0" applyNumberFormat="1" applyFont="1" applyFill="1" applyBorder="1" applyAlignment="1">
      <alignment horizontal="left" vertical="center" wrapText="1"/>
    </xf>
    <xf numFmtId="0" fontId="4" fillId="8" borderId="6" xfId="0" applyFont="1" applyFill="1" applyBorder="1" applyAlignment="1">
      <alignment horizontal="left" vertical="center"/>
    </xf>
    <xf numFmtId="0" fontId="4" fillId="8" borderId="8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4" xfId="2" applyFont="1" applyFill="1" applyBorder="1" applyAlignment="1">
      <alignment horizontal="center" vertical="center" wrapText="1"/>
    </xf>
    <xf numFmtId="0" fontId="3" fillId="2" borderId="8" xfId="2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1" fontId="4" fillId="7" borderId="4" xfId="0" applyNumberFormat="1" applyFont="1" applyFill="1" applyBorder="1" applyAlignment="1">
      <alignment horizontal="left" vertical="center" wrapText="1"/>
    </xf>
    <xf numFmtId="1" fontId="4" fillId="7" borderId="6" xfId="0" applyNumberFormat="1" applyFont="1" applyFill="1" applyBorder="1" applyAlignment="1">
      <alignment horizontal="left" vertical="center" wrapText="1"/>
    </xf>
    <xf numFmtId="1" fontId="4" fillId="7" borderId="8" xfId="0" applyNumberFormat="1" applyFont="1" applyFill="1" applyBorder="1" applyAlignment="1">
      <alignment horizontal="left" vertical="center" wrapText="1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6" fillId="0" borderId="14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11" fillId="7" borderId="4" xfId="0" applyFont="1" applyFill="1" applyBorder="1" applyAlignment="1">
      <alignment horizontal="left" vertical="center" wrapText="1"/>
    </xf>
    <xf numFmtId="0" fontId="10" fillId="7" borderId="6" xfId="0" applyFont="1" applyFill="1" applyBorder="1" applyAlignment="1">
      <alignment horizontal="left" vertical="center"/>
    </xf>
    <xf numFmtId="0" fontId="10" fillId="7" borderId="8" xfId="0" applyFont="1" applyFill="1" applyBorder="1" applyAlignment="1">
      <alignment horizontal="left" vertical="center"/>
    </xf>
    <xf numFmtId="0" fontId="4" fillId="8" borderId="4" xfId="3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9" fontId="4" fillId="8" borderId="4" xfId="0" applyNumberFormat="1" applyFont="1" applyFill="1" applyBorder="1" applyAlignment="1">
      <alignment horizontal="left" vertical="center" wrapText="1"/>
    </xf>
    <xf numFmtId="9" fontId="4" fillId="8" borderId="6" xfId="0" applyNumberFormat="1" applyFont="1" applyFill="1" applyBorder="1" applyAlignment="1">
      <alignment horizontal="left" vertical="center" wrapText="1"/>
    </xf>
    <xf numFmtId="0" fontId="4" fillId="8" borderId="8" xfId="0" applyFont="1" applyFill="1" applyBorder="1" applyAlignment="1">
      <alignment horizontal="left" wrapText="1"/>
    </xf>
    <xf numFmtId="0" fontId="4" fillId="8" borderId="6" xfId="0" applyFont="1" applyFill="1" applyBorder="1" applyAlignment="1">
      <alignment horizontal="left" wrapText="1"/>
    </xf>
    <xf numFmtId="0" fontId="9" fillId="0" borderId="1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wrapText="1"/>
    </xf>
    <xf numFmtId="0" fontId="13" fillId="0" borderId="0" xfId="0" applyFont="1"/>
    <xf numFmtId="0" fontId="10" fillId="7" borderId="6" xfId="0" applyFont="1" applyFill="1" applyBorder="1" applyAlignment="1"/>
    <xf numFmtId="0" fontId="10" fillId="7" borderId="8" xfId="0" applyFont="1" applyFill="1" applyBorder="1" applyAlignment="1"/>
    <xf numFmtId="0" fontId="4" fillId="8" borderId="6" xfId="0" applyFont="1" applyFill="1" applyBorder="1" applyAlignment="1"/>
    <xf numFmtId="0" fontId="4" fillId="8" borderId="8" xfId="0" applyFont="1" applyFill="1" applyBorder="1" applyAlignment="1"/>
    <xf numFmtId="0" fontId="4" fillId="8" borderId="6" xfId="3" applyFont="1" applyFill="1" applyBorder="1" applyAlignment="1"/>
    <xf numFmtId="0" fontId="4" fillId="8" borderId="8" xfId="3" applyFont="1" applyFill="1" applyBorder="1" applyAlignment="1"/>
    <xf numFmtId="0" fontId="10" fillId="8" borderId="6" xfId="3" applyFont="1" applyFill="1" applyBorder="1" applyAlignment="1"/>
    <xf numFmtId="0" fontId="10" fillId="8" borderId="8" xfId="3" applyFont="1" applyFill="1" applyBorder="1" applyAlignment="1"/>
  </cellXfs>
  <cellStyles count="7">
    <cellStyle name="Millares 2" xfId="1" xr:uid="{00000000-0005-0000-0000-000001000000}"/>
    <cellStyle name="Normal" xfId="0" builtinId="0"/>
    <cellStyle name="Normal 2" xfId="2" xr:uid="{00000000-0005-0000-0000-000003000000}"/>
    <cellStyle name="Normal 3" xfId="3" xr:uid="{00000000-0005-0000-0000-000004000000}"/>
    <cellStyle name="Porcentaje" xfId="4" builtinId="5"/>
    <cellStyle name="Porcentaje 2" xfId="5" xr:uid="{00000000-0005-0000-0000-000006000000}"/>
    <cellStyle name="Porcentaje 4" xfId="6" xr:uid="{944CFB9E-59DF-4AC4-856B-DF0922B126A1}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M61"/>
  <sheetViews>
    <sheetView showGridLines="0" tabSelected="1" topLeftCell="A8" zoomScale="90" zoomScaleNormal="90" workbookViewId="0">
      <pane xSplit="2" ySplit="5" topLeftCell="D42" activePane="bottomRight" state="frozen"/>
      <selection pane="bottomRight" activeCell="M54" sqref="M54"/>
      <selection pane="bottomLeft" activeCell="A13" sqref="A13"/>
      <selection pane="topRight" activeCell="D8" sqref="D8"/>
    </sheetView>
  </sheetViews>
  <sheetFormatPr defaultColWidth="11.42578125" defaultRowHeight="12.95"/>
  <cols>
    <col min="1" max="1" width="11.42578125" style="1"/>
    <col min="2" max="3" width="26.7109375" style="1" customWidth="1"/>
    <col min="4" max="4" width="28.5703125" style="1" customWidth="1"/>
    <col min="5" max="5" width="17" style="1" customWidth="1"/>
    <col min="6" max="11" width="10.7109375" style="4" customWidth="1"/>
    <col min="12" max="12" width="16" style="4" customWidth="1"/>
    <col min="13" max="13" width="21.28515625" style="1" customWidth="1"/>
    <col min="14" max="14" width="2.28515625" style="1" customWidth="1"/>
    <col min="15" max="16384" width="11.42578125" style="1"/>
  </cols>
  <sheetData>
    <row r="1" spans="1:13" s="2" customFormat="1" ht="12.75" customHeight="1">
      <c r="B1" s="95"/>
      <c r="C1" s="96"/>
      <c r="D1" s="112"/>
      <c r="E1" s="112"/>
      <c r="F1" s="3"/>
      <c r="G1" s="3"/>
      <c r="H1" s="3"/>
      <c r="I1" s="3"/>
      <c r="J1" s="3"/>
      <c r="K1" s="3"/>
      <c r="L1" s="3"/>
    </row>
    <row r="2" spans="1:13" s="2" customFormat="1" ht="12.75" customHeight="1">
      <c r="B2" s="97"/>
      <c r="C2" s="98"/>
      <c r="D2" s="113"/>
      <c r="E2" s="113"/>
      <c r="F2" s="3"/>
      <c r="G2" s="3"/>
      <c r="H2" s="3"/>
      <c r="I2" s="3"/>
      <c r="J2" s="3"/>
      <c r="K2" s="3"/>
      <c r="L2" s="3"/>
    </row>
    <row r="3" spans="1:13" s="2" customFormat="1" ht="15.75" customHeight="1">
      <c r="B3" s="97"/>
      <c r="C3" s="98"/>
      <c r="D3" s="113"/>
      <c r="E3" s="113"/>
      <c r="F3" s="3"/>
      <c r="G3" s="3"/>
      <c r="H3" s="3"/>
      <c r="I3" s="3"/>
      <c r="J3" s="3"/>
      <c r="K3" s="3"/>
      <c r="L3" s="3"/>
    </row>
    <row r="4" spans="1:13" s="2" customFormat="1" ht="12.75" customHeight="1">
      <c r="B4" s="97"/>
      <c r="C4" s="98"/>
      <c r="D4" s="113"/>
      <c r="E4" s="113"/>
      <c r="F4" s="3"/>
      <c r="G4" s="3"/>
      <c r="H4" s="3"/>
      <c r="I4" s="3"/>
      <c r="J4" s="3"/>
      <c r="K4" s="3"/>
      <c r="L4" s="3"/>
    </row>
    <row r="5" spans="1:13" s="2" customFormat="1" ht="20.25" customHeight="1">
      <c r="B5" s="99"/>
      <c r="C5" s="100"/>
      <c r="D5" s="114"/>
      <c r="E5" s="114"/>
      <c r="F5" s="3"/>
      <c r="G5" s="3"/>
      <c r="H5" s="3"/>
      <c r="I5" s="3"/>
      <c r="J5" s="3"/>
      <c r="K5" s="3"/>
      <c r="L5" s="3"/>
    </row>
    <row r="6" spans="1:13" ht="15.75" customHeight="1">
      <c r="B6" s="101"/>
      <c r="C6" s="102"/>
      <c r="D6" s="116"/>
      <c r="E6" s="116"/>
    </row>
    <row r="7" spans="1:13" s="2" customFormat="1" ht="16.5" customHeight="1">
      <c r="F7" s="3"/>
      <c r="G7" s="3"/>
      <c r="H7" s="3"/>
      <c r="I7" s="3"/>
      <c r="J7" s="3"/>
      <c r="K7" s="3"/>
      <c r="L7" s="3"/>
    </row>
    <row r="8" spans="1:13" s="2" customFormat="1" ht="15" customHeight="1">
      <c r="B8" s="5"/>
      <c r="C8" s="5"/>
      <c r="F8" s="3"/>
      <c r="G8" s="3"/>
      <c r="H8" s="7"/>
      <c r="I8" s="3"/>
      <c r="J8" s="3"/>
      <c r="K8" s="3"/>
      <c r="L8" s="3"/>
    </row>
    <row r="9" spans="1:13" s="2" customFormat="1" ht="16.5" customHeight="1">
      <c r="B9" s="5" t="s">
        <v>0</v>
      </c>
      <c r="C9" s="5"/>
      <c r="F9" s="3"/>
      <c r="G9" s="3"/>
      <c r="H9" s="3"/>
      <c r="I9" s="3"/>
      <c r="J9" s="3"/>
      <c r="K9" s="3"/>
      <c r="L9" s="3"/>
    </row>
    <row r="10" spans="1:13" s="2" customFormat="1" ht="15.95" thickBot="1">
      <c r="B10" s="6"/>
      <c r="C10" s="6"/>
      <c r="F10" s="3"/>
      <c r="G10" s="3"/>
      <c r="H10" s="3"/>
      <c r="I10" s="3"/>
      <c r="J10" s="3"/>
      <c r="K10" s="8"/>
      <c r="L10" s="8"/>
      <c r="M10" s="9"/>
    </row>
    <row r="11" spans="1:13" s="10" customFormat="1" ht="22.9" customHeight="1" thickTop="1">
      <c r="A11" s="62" t="s">
        <v>1</v>
      </c>
      <c r="B11" s="62" t="s">
        <v>2</v>
      </c>
      <c r="C11" s="89" t="s">
        <v>3</v>
      </c>
      <c r="D11" s="89" t="s">
        <v>4</v>
      </c>
      <c r="E11" s="89" t="s">
        <v>5</v>
      </c>
      <c r="F11" s="89" t="s">
        <v>6</v>
      </c>
      <c r="G11" s="89" t="s">
        <v>7</v>
      </c>
      <c r="H11" s="62" t="s">
        <v>8</v>
      </c>
      <c r="I11" s="89" t="s">
        <v>9</v>
      </c>
      <c r="J11" s="89" t="s">
        <v>10</v>
      </c>
      <c r="K11" s="87" t="s">
        <v>11</v>
      </c>
      <c r="L11" s="89" t="s">
        <v>12</v>
      </c>
    </row>
    <row r="12" spans="1:13" s="10" customFormat="1" ht="22.9" customHeight="1" thickBot="1">
      <c r="A12" s="63"/>
      <c r="B12" s="63"/>
      <c r="C12" s="90"/>
      <c r="D12" s="90"/>
      <c r="E12" s="115"/>
      <c r="F12" s="91"/>
      <c r="G12" s="91"/>
      <c r="H12" s="86"/>
      <c r="I12" s="91"/>
      <c r="J12" s="90"/>
      <c r="K12" s="88"/>
      <c r="L12" s="90"/>
    </row>
    <row r="13" spans="1:13" s="40" customFormat="1" ht="22.9" customHeight="1" thickTop="1">
      <c r="A13" s="64" t="s">
        <v>13</v>
      </c>
      <c r="B13" s="103" t="s">
        <v>14</v>
      </c>
      <c r="C13" s="107" t="s">
        <v>15</v>
      </c>
      <c r="D13" s="92" t="s">
        <v>16</v>
      </c>
      <c r="E13" s="36" t="s">
        <v>17</v>
      </c>
      <c r="F13" s="11" t="s">
        <v>17</v>
      </c>
      <c r="G13" s="38" t="s">
        <v>17</v>
      </c>
      <c r="H13" s="11" t="s">
        <v>17</v>
      </c>
      <c r="I13" s="38" t="s">
        <v>17</v>
      </c>
      <c r="J13" s="11" t="s">
        <v>17</v>
      </c>
      <c r="K13" s="38" t="s">
        <v>17</v>
      </c>
      <c r="L13" s="39"/>
    </row>
    <row r="14" spans="1:13" s="40" customFormat="1" ht="22.9" customHeight="1">
      <c r="A14" s="65"/>
      <c r="B14" s="104"/>
      <c r="C14" s="118"/>
      <c r="D14" s="93"/>
      <c r="E14" s="41">
        <f>IF(E16&lt;&gt;0,+E16/E18,0%)</f>
        <v>0.85</v>
      </c>
      <c r="F14" s="43">
        <f>IF(F16&lt;&gt;0,ROUND(+F16/F18,4),0%)</f>
        <v>0.94320000000000004</v>
      </c>
      <c r="G14" s="42" t="e">
        <f t="shared" ref="G14:I14" si="0">IF(G16&lt;&gt;0,+G16/G18,0%)</f>
        <v>#REF!</v>
      </c>
      <c r="H14" s="43">
        <f>IF(H16&lt;&gt;0,ROUND(+H16/H18,4),0%)</f>
        <v>0.94479999999999997</v>
      </c>
      <c r="I14" s="42" t="e">
        <f t="shared" si="0"/>
        <v>#REF!</v>
      </c>
      <c r="J14" s="43">
        <f>IF(J16&lt;&gt;0,ROUND(+J16/J18,4),0%)</f>
        <v>0.94520000000000004</v>
      </c>
      <c r="K14" s="42" t="e">
        <f>IF(K16&lt;&gt;0,+K16/K18,0%)</f>
        <v>#REF!</v>
      </c>
      <c r="L14" s="44"/>
    </row>
    <row r="15" spans="1:13" s="40" customFormat="1" ht="22.9" customHeight="1" thickBot="1">
      <c r="A15" s="65"/>
      <c r="B15" s="104"/>
      <c r="C15" s="118"/>
      <c r="D15" s="94"/>
      <c r="E15" s="37" t="s">
        <v>18</v>
      </c>
      <c r="F15" s="18" t="s">
        <v>18</v>
      </c>
      <c r="G15" s="45" t="s">
        <v>18</v>
      </c>
      <c r="H15" s="18" t="s">
        <v>18</v>
      </c>
      <c r="I15" s="45" t="s">
        <v>18</v>
      </c>
      <c r="J15" s="18" t="s">
        <v>18</v>
      </c>
      <c r="K15" s="45" t="s">
        <v>18</v>
      </c>
      <c r="L15" s="44"/>
    </row>
    <row r="16" spans="1:13" s="40" customFormat="1" ht="22.9" customHeight="1" thickTop="1">
      <c r="A16" s="65"/>
      <c r="B16" s="104"/>
      <c r="C16" s="118"/>
      <c r="D16" s="92" t="s">
        <v>19</v>
      </c>
      <c r="E16" s="30">
        <v>25500</v>
      </c>
      <c r="F16" s="46">
        <v>21237</v>
      </c>
      <c r="G16" s="21" t="e">
        <f>+#REF!+F16</f>
        <v>#REF!</v>
      </c>
      <c r="H16" s="46">
        <v>23177</v>
      </c>
      <c r="I16" s="21" t="e">
        <f>+G16+H16</f>
        <v>#REF!</v>
      </c>
      <c r="J16" s="46">
        <v>24830</v>
      </c>
      <c r="K16" s="21" t="e">
        <f>+I16+J16</f>
        <v>#REF!</v>
      </c>
      <c r="L16" s="47" t="e">
        <f>+K14/E14</f>
        <v>#REF!</v>
      </c>
    </row>
    <row r="17" spans="1:13" s="40" customFormat="1" ht="22.9" customHeight="1">
      <c r="A17" s="65"/>
      <c r="B17" s="104"/>
      <c r="C17" s="118"/>
      <c r="D17" s="93"/>
      <c r="E17" s="23" t="s">
        <v>20</v>
      </c>
      <c r="F17" s="23" t="s">
        <v>20</v>
      </c>
      <c r="G17" s="24" t="s">
        <v>20</v>
      </c>
      <c r="H17" s="23" t="s">
        <v>20</v>
      </c>
      <c r="I17" s="24" t="s">
        <v>20</v>
      </c>
      <c r="J17" s="23" t="s">
        <v>20</v>
      </c>
      <c r="K17" s="48" t="s">
        <v>20</v>
      </c>
      <c r="L17" s="44"/>
    </row>
    <row r="18" spans="1:13" s="40" customFormat="1" ht="22.9" customHeight="1" thickBot="1">
      <c r="A18" s="66"/>
      <c r="B18" s="105"/>
      <c r="C18" s="119"/>
      <c r="D18" s="94"/>
      <c r="E18" s="30">
        <v>30000</v>
      </c>
      <c r="F18" s="33">
        <v>22517</v>
      </c>
      <c r="G18" s="26" t="e">
        <f>+#REF!+F18</f>
        <v>#REF!</v>
      </c>
      <c r="H18" s="33">
        <v>24531</v>
      </c>
      <c r="I18" s="26" t="e">
        <f>+G18+H18</f>
        <v>#REF!</v>
      </c>
      <c r="J18" s="33">
        <v>26269</v>
      </c>
      <c r="K18" s="26" t="e">
        <f>+I18+J18</f>
        <v>#REF!</v>
      </c>
      <c r="L18" s="49"/>
    </row>
    <row r="19" spans="1:13" s="14" customFormat="1" ht="22.9" customHeight="1" thickTop="1">
      <c r="A19" s="59" t="s">
        <v>21</v>
      </c>
      <c r="B19" s="76" t="s">
        <v>22</v>
      </c>
      <c r="C19" s="70" t="s">
        <v>23</v>
      </c>
      <c r="D19" s="108" t="s">
        <v>24</v>
      </c>
      <c r="E19" s="11" t="s">
        <v>17</v>
      </c>
      <c r="F19" s="11" t="s">
        <v>17</v>
      </c>
      <c r="G19" s="12" t="s">
        <v>17</v>
      </c>
      <c r="H19" s="11" t="s">
        <v>17</v>
      </c>
      <c r="I19" s="12" t="s">
        <v>17</v>
      </c>
      <c r="J19" s="11" t="s">
        <v>17</v>
      </c>
      <c r="K19" s="12" t="s">
        <v>17</v>
      </c>
      <c r="L19" s="13"/>
      <c r="M19" s="28"/>
    </row>
    <row r="20" spans="1:13" s="14" customFormat="1" ht="22.9" customHeight="1">
      <c r="A20" s="60"/>
      <c r="B20" s="84"/>
      <c r="C20" s="120"/>
      <c r="D20" s="109"/>
      <c r="E20" s="56">
        <f t="shared" ref="E20:J20" si="1">IF(E22&lt;&gt;0,+E22/E24,0%)</f>
        <v>12.982456140350877</v>
      </c>
      <c r="F20" s="15">
        <f t="shared" si="1"/>
        <v>8</v>
      </c>
      <c r="G20" s="16" t="e">
        <f t="shared" si="1"/>
        <v>#REF!</v>
      </c>
      <c r="H20" s="15">
        <f t="shared" si="1"/>
        <v>6.666666666666667</v>
      </c>
      <c r="I20" s="16" t="e">
        <f t="shared" si="1"/>
        <v>#REF!</v>
      </c>
      <c r="J20" s="15">
        <f t="shared" si="1"/>
        <v>8</v>
      </c>
      <c r="K20" s="16" t="e">
        <f>IF(K22&lt;&gt;0,+K22/K24,0%)</f>
        <v>#REF!</v>
      </c>
      <c r="L20" s="17"/>
    </row>
    <row r="21" spans="1:13" s="14" customFormat="1" ht="22.9" customHeight="1" thickBot="1">
      <c r="A21" s="60"/>
      <c r="B21" s="84"/>
      <c r="C21" s="120"/>
      <c r="D21" s="110"/>
      <c r="E21" s="18" t="s">
        <v>18</v>
      </c>
      <c r="F21" s="18" t="s">
        <v>18</v>
      </c>
      <c r="G21" s="19" t="s">
        <v>18</v>
      </c>
      <c r="H21" s="18" t="s">
        <v>18</v>
      </c>
      <c r="I21" s="19" t="s">
        <v>18</v>
      </c>
      <c r="J21" s="18" t="s">
        <v>18</v>
      </c>
      <c r="K21" s="19" t="s">
        <v>18</v>
      </c>
      <c r="L21" s="17"/>
    </row>
    <row r="22" spans="1:13" s="14" customFormat="1" ht="22.9" customHeight="1" thickTop="1">
      <c r="A22" s="60"/>
      <c r="B22" s="84"/>
      <c r="C22" s="120"/>
      <c r="D22" s="109" t="s">
        <v>25</v>
      </c>
      <c r="E22" s="30">
        <v>740</v>
      </c>
      <c r="F22" s="20">
        <v>40</v>
      </c>
      <c r="G22" s="21" t="e">
        <f>+#REF!+F22</f>
        <v>#REF!</v>
      </c>
      <c r="H22" s="20">
        <v>20</v>
      </c>
      <c r="I22" s="21" t="e">
        <f t="shared" ref="I22" si="2">+G22+H22</f>
        <v>#REF!</v>
      </c>
      <c r="J22" s="20">
        <v>48</v>
      </c>
      <c r="K22" s="21" t="e">
        <f>+I22+J22</f>
        <v>#REF!</v>
      </c>
      <c r="L22" s="22" t="e">
        <f>+K20/E20</f>
        <v>#REF!</v>
      </c>
    </row>
    <row r="23" spans="1:13" s="14" customFormat="1" ht="22.9" customHeight="1">
      <c r="A23" s="60"/>
      <c r="B23" s="84"/>
      <c r="C23" s="120"/>
      <c r="D23" s="111"/>
      <c r="E23" s="23" t="s">
        <v>20</v>
      </c>
      <c r="F23" s="23" t="s">
        <v>20</v>
      </c>
      <c r="G23" s="24" t="s">
        <v>20</v>
      </c>
      <c r="H23" s="23" t="s">
        <v>20</v>
      </c>
      <c r="I23" s="24" t="s">
        <v>20</v>
      </c>
      <c r="J23" s="23" t="s">
        <v>20</v>
      </c>
      <c r="K23" s="24" t="s">
        <v>20</v>
      </c>
      <c r="L23" s="17"/>
    </row>
    <row r="24" spans="1:13" s="14" customFormat="1" ht="22.9" customHeight="1" thickBot="1">
      <c r="A24" s="61"/>
      <c r="B24" s="85"/>
      <c r="C24" s="121"/>
      <c r="D24" s="110"/>
      <c r="E24" s="31">
        <v>57</v>
      </c>
      <c r="F24" s="25">
        <v>5</v>
      </c>
      <c r="G24" s="26" t="e">
        <f>+#REF!+F24</f>
        <v>#REF!</v>
      </c>
      <c r="H24" s="25">
        <v>3</v>
      </c>
      <c r="I24" s="26" t="e">
        <f t="shared" ref="I24:K24" si="3">+G24+H24</f>
        <v>#REF!</v>
      </c>
      <c r="J24" s="25">
        <v>6</v>
      </c>
      <c r="K24" s="26" t="e">
        <f t="shared" si="3"/>
        <v>#REF!</v>
      </c>
      <c r="L24" s="27"/>
    </row>
    <row r="25" spans="1:13" s="14" customFormat="1" ht="22.9" customHeight="1" thickTop="1">
      <c r="A25" s="59" t="s">
        <v>26</v>
      </c>
      <c r="B25" s="76" t="s">
        <v>27</v>
      </c>
      <c r="C25" s="106" t="s">
        <v>28</v>
      </c>
      <c r="D25" s="109" t="s">
        <v>29</v>
      </c>
      <c r="E25" s="11" t="s">
        <v>17</v>
      </c>
      <c r="F25" s="11" t="s">
        <v>17</v>
      </c>
      <c r="G25" s="12" t="s">
        <v>17</v>
      </c>
      <c r="H25" s="11" t="s">
        <v>17</v>
      </c>
      <c r="I25" s="12" t="s">
        <v>17</v>
      </c>
      <c r="J25" s="11" t="s">
        <v>17</v>
      </c>
      <c r="K25" s="12" t="s">
        <v>17</v>
      </c>
      <c r="L25" s="13"/>
    </row>
    <row r="26" spans="1:13" s="14" customFormat="1" ht="22.9" customHeight="1">
      <c r="A26" s="60"/>
      <c r="B26" s="84"/>
      <c r="C26" s="122"/>
      <c r="D26" s="111"/>
      <c r="E26" s="35">
        <f t="shared" ref="E26:K26" si="4">IF(E28&lt;&gt;0,+E28/E30,0%)</f>
        <v>0.8</v>
      </c>
      <c r="F26" s="15">
        <f t="shared" si="4"/>
        <v>1</v>
      </c>
      <c r="G26" s="16" t="e">
        <f t="shared" si="4"/>
        <v>#REF!</v>
      </c>
      <c r="H26" s="15">
        <f t="shared" si="4"/>
        <v>0.75</v>
      </c>
      <c r="I26" s="16" t="e">
        <f t="shared" si="4"/>
        <v>#REF!</v>
      </c>
      <c r="J26" s="15">
        <f t="shared" si="4"/>
        <v>1</v>
      </c>
      <c r="K26" s="16" t="e">
        <f t="shared" si="4"/>
        <v>#REF!</v>
      </c>
      <c r="L26" s="17"/>
    </row>
    <row r="27" spans="1:13" s="14" customFormat="1" ht="22.9" customHeight="1" thickBot="1">
      <c r="A27" s="60"/>
      <c r="B27" s="84"/>
      <c r="C27" s="122"/>
      <c r="D27" s="110"/>
      <c r="E27" s="18" t="s">
        <v>18</v>
      </c>
      <c r="F27" s="18" t="s">
        <v>18</v>
      </c>
      <c r="G27" s="19" t="s">
        <v>18</v>
      </c>
      <c r="H27" s="18" t="s">
        <v>18</v>
      </c>
      <c r="I27" s="19" t="s">
        <v>18</v>
      </c>
      <c r="J27" s="18" t="s">
        <v>18</v>
      </c>
      <c r="K27" s="19" t="s">
        <v>18</v>
      </c>
      <c r="L27" s="17"/>
    </row>
    <row r="28" spans="1:13" s="14" customFormat="1" ht="22.9" customHeight="1" thickTop="1">
      <c r="A28" s="60"/>
      <c r="B28" s="84"/>
      <c r="C28" s="122"/>
      <c r="D28" s="108" t="s">
        <v>30</v>
      </c>
      <c r="E28" s="30">
        <v>24</v>
      </c>
      <c r="F28" s="20">
        <v>2</v>
      </c>
      <c r="G28" s="21" t="e">
        <f>+#REF!+F28</f>
        <v>#REF!</v>
      </c>
      <c r="H28" s="20">
        <v>3</v>
      </c>
      <c r="I28" s="21" t="e">
        <f t="shared" ref="I28:K28" si="5">+G28+H28</f>
        <v>#REF!</v>
      </c>
      <c r="J28" s="20">
        <v>3</v>
      </c>
      <c r="K28" s="21" t="e">
        <f t="shared" si="5"/>
        <v>#REF!</v>
      </c>
      <c r="L28" s="22" t="e">
        <f>+K26/E26</f>
        <v>#REF!</v>
      </c>
    </row>
    <row r="29" spans="1:13" s="14" customFormat="1" ht="22.9" customHeight="1">
      <c r="A29" s="60"/>
      <c r="B29" s="84"/>
      <c r="C29" s="122"/>
      <c r="D29" s="109"/>
      <c r="E29" s="23" t="s">
        <v>20</v>
      </c>
      <c r="F29" s="23" t="s">
        <v>20</v>
      </c>
      <c r="G29" s="24" t="s">
        <v>20</v>
      </c>
      <c r="H29" s="23" t="s">
        <v>20</v>
      </c>
      <c r="I29" s="24" t="s">
        <v>20</v>
      </c>
      <c r="J29" s="23" t="s">
        <v>20</v>
      </c>
      <c r="K29" s="24" t="s">
        <v>20</v>
      </c>
      <c r="L29" s="17"/>
    </row>
    <row r="30" spans="1:13" s="14" customFormat="1" ht="22.9" customHeight="1" thickBot="1">
      <c r="A30" s="61"/>
      <c r="B30" s="85"/>
      <c r="C30" s="123"/>
      <c r="D30" s="110"/>
      <c r="E30" s="31">
        <v>30</v>
      </c>
      <c r="F30" s="25">
        <v>2</v>
      </c>
      <c r="G30" s="26" t="e">
        <f>+#REF!+F30</f>
        <v>#REF!</v>
      </c>
      <c r="H30" s="25">
        <v>4</v>
      </c>
      <c r="I30" s="26" t="e">
        <f t="shared" ref="I30:K30" si="6">+G30+H30</f>
        <v>#REF!</v>
      </c>
      <c r="J30" s="25">
        <v>3</v>
      </c>
      <c r="K30" s="26" t="e">
        <f t="shared" si="6"/>
        <v>#REF!</v>
      </c>
      <c r="L30" s="27"/>
    </row>
    <row r="31" spans="1:13" s="14" customFormat="1" ht="22.9" customHeight="1" thickTop="1">
      <c r="A31" s="59" t="s">
        <v>31</v>
      </c>
      <c r="B31" s="76" t="s">
        <v>32</v>
      </c>
      <c r="C31" s="70" t="s">
        <v>33</v>
      </c>
      <c r="D31" s="73" t="s">
        <v>34</v>
      </c>
      <c r="E31" s="11" t="s">
        <v>17</v>
      </c>
      <c r="F31" s="11" t="s">
        <v>17</v>
      </c>
      <c r="G31" s="12" t="s">
        <v>17</v>
      </c>
      <c r="H31" s="11" t="s">
        <v>17</v>
      </c>
      <c r="I31" s="12" t="s">
        <v>17</v>
      </c>
      <c r="J31" s="11" t="s">
        <v>17</v>
      </c>
      <c r="K31" s="12" t="s">
        <v>17</v>
      </c>
      <c r="L31" s="13"/>
    </row>
    <row r="32" spans="1:13" s="14" customFormat="1" ht="22.9" customHeight="1">
      <c r="A32" s="60"/>
      <c r="B32" s="84"/>
      <c r="C32" s="71"/>
      <c r="D32" s="74"/>
      <c r="E32" s="29">
        <f t="shared" ref="E32:K32" si="7">IF(E34&lt;&gt;0,+E34/E36,0%)</f>
        <v>0.83333333333333337</v>
      </c>
      <c r="F32" s="15">
        <f t="shared" si="7"/>
        <v>0.72727272727272729</v>
      </c>
      <c r="G32" s="16" t="e">
        <f t="shared" si="7"/>
        <v>#REF!</v>
      </c>
      <c r="H32" s="15">
        <f t="shared" si="7"/>
        <v>0.70967741935483875</v>
      </c>
      <c r="I32" s="16" t="e">
        <f t="shared" si="7"/>
        <v>#REF!</v>
      </c>
      <c r="J32" s="15">
        <f t="shared" si="7"/>
        <v>0.77272727272727271</v>
      </c>
      <c r="K32" s="16" t="e">
        <f t="shared" si="7"/>
        <v>#REF!</v>
      </c>
      <c r="L32" s="17"/>
    </row>
    <row r="33" spans="1:12" s="14" customFormat="1" ht="22.9" customHeight="1" thickBot="1">
      <c r="A33" s="60"/>
      <c r="B33" s="84"/>
      <c r="C33" s="71"/>
      <c r="D33" s="75"/>
      <c r="E33" s="18" t="s">
        <v>18</v>
      </c>
      <c r="F33" s="18" t="s">
        <v>18</v>
      </c>
      <c r="G33" s="19" t="s">
        <v>18</v>
      </c>
      <c r="H33" s="18" t="s">
        <v>18</v>
      </c>
      <c r="I33" s="19" t="s">
        <v>18</v>
      </c>
      <c r="J33" s="18" t="s">
        <v>18</v>
      </c>
      <c r="K33" s="19" t="s">
        <v>18</v>
      </c>
      <c r="L33" s="17"/>
    </row>
    <row r="34" spans="1:12" s="14" customFormat="1" ht="22.9" customHeight="1" thickTop="1">
      <c r="A34" s="60"/>
      <c r="B34" s="84"/>
      <c r="C34" s="71"/>
      <c r="D34" s="74" t="s">
        <v>35</v>
      </c>
      <c r="E34" s="30">
        <v>200</v>
      </c>
      <c r="F34" s="20">
        <v>16</v>
      </c>
      <c r="G34" s="21" t="e">
        <f>+#REF!+F34</f>
        <v>#REF!</v>
      </c>
      <c r="H34" s="20">
        <v>22</v>
      </c>
      <c r="I34" s="21" t="e">
        <f t="shared" ref="I34" si="8">+G34+H34</f>
        <v>#REF!</v>
      </c>
      <c r="J34" s="20">
        <v>17</v>
      </c>
      <c r="K34" s="21" t="e">
        <f>+I34+J34</f>
        <v>#REF!</v>
      </c>
      <c r="L34" s="22" t="e">
        <f>K32/E32</f>
        <v>#REF!</v>
      </c>
    </row>
    <row r="35" spans="1:12" s="14" customFormat="1" ht="22.9" customHeight="1">
      <c r="A35" s="60"/>
      <c r="B35" s="84"/>
      <c r="C35" s="71"/>
      <c r="D35" s="74"/>
      <c r="E35" s="23" t="s">
        <v>20</v>
      </c>
      <c r="F35" s="23" t="s">
        <v>20</v>
      </c>
      <c r="G35" s="24" t="s">
        <v>20</v>
      </c>
      <c r="H35" s="23" t="s">
        <v>20</v>
      </c>
      <c r="I35" s="24" t="s">
        <v>20</v>
      </c>
      <c r="J35" s="23" t="s">
        <v>20</v>
      </c>
      <c r="K35" s="24" t="s">
        <v>20</v>
      </c>
      <c r="L35" s="17"/>
    </row>
    <row r="36" spans="1:12" s="14" customFormat="1" ht="22.9" customHeight="1" thickBot="1">
      <c r="A36" s="61"/>
      <c r="B36" s="85"/>
      <c r="C36" s="72"/>
      <c r="D36" s="75"/>
      <c r="E36" s="31">
        <v>240</v>
      </c>
      <c r="F36" s="25">
        <v>22</v>
      </c>
      <c r="G36" s="26" t="e">
        <f>+#REF!+F36</f>
        <v>#REF!</v>
      </c>
      <c r="H36" s="25">
        <v>31</v>
      </c>
      <c r="I36" s="26" t="e">
        <f t="shared" ref="I36:K36" si="9">+G36+H36</f>
        <v>#REF!</v>
      </c>
      <c r="J36" s="25">
        <v>22</v>
      </c>
      <c r="K36" s="26" t="e">
        <f t="shared" si="9"/>
        <v>#REF!</v>
      </c>
      <c r="L36" s="27"/>
    </row>
    <row r="37" spans="1:12" s="14" customFormat="1" ht="22.9" customHeight="1" thickTop="1">
      <c r="A37" s="59" t="s">
        <v>36</v>
      </c>
      <c r="B37" s="76" t="s">
        <v>37</v>
      </c>
      <c r="C37" s="70" t="s">
        <v>38</v>
      </c>
      <c r="D37" s="73" t="s">
        <v>39</v>
      </c>
      <c r="E37" s="11" t="s">
        <v>17</v>
      </c>
      <c r="F37" s="11" t="s">
        <v>17</v>
      </c>
      <c r="G37" s="12" t="s">
        <v>17</v>
      </c>
      <c r="H37" s="11" t="s">
        <v>17</v>
      </c>
      <c r="I37" s="12" t="s">
        <v>17</v>
      </c>
      <c r="J37" s="11" t="s">
        <v>17</v>
      </c>
      <c r="K37" s="12" t="s">
        <v>17</v>
      </c>
      <c r="L37" s="13"/>
    </row>
    <row r="38" spans="1:12" s="14" customFormat="1" ht="22.9" customHeight="1">
      <c r="A38" s="60"/>
      <c r="B38" s="84"/>
      <c r="C38" s="71"/>
      <c r="D38" s="74"/>
      <c r="E38" s="29">
        <f t="shared" ref="E38:K38" si="10">IF(E40&lt;&gt;0,+E40/E42,0%)</f>
        <v>0.8</v>
      </c>
      <c r="F38" s="15">
        <f t="shared" si="10"/>
        <v>0</v>
      </c>
      <c r="G38" s="16" t="e">
        <f t="shared" si="10"/>
        <v>#REF!</v>
      </c>
      <c r="H38" s="15">
        <f t="shared" si="10"/>
        <v>1</v>
      </c>
      <c r="I38" s="16" t="e">
        <f t="shared" si="10"/>
        <v>#REF!</v>
      </c>
      <c r="J38" s="15">
        <f t="shared" si="10"/>
        <v>0</v>
      </c>
      <c r="K38" s="16" t="e">
        <f t="shared" si="10"/>
        <v>#REF!</v>
      </c>
      <c r="L38" s="17"/>
    </row>
    <row r="39" spans="1:12" s="14" customFormat="1" ht="22.9" customHeight="1" thickBot="1">
      <c r="A39" s="60"/>
      <c r="B39" s="84"/>
      <c r="C39" s="71"/>
      <c r="D39" s="75"/>
      <c r="E39" s="18" t="s">
        <v>18</v>
      </c>
      <c r="F39" s="18" t="s">
        <v>18</v>
      </c>
      <c r="G39" s="19" t="s">
        <v>18</v>
      </c>
      <c r="H39" s="18" t="s">
        <v>18</v>
      </c>
      <c r="I39" s="19" t="s">
        <v>18</v>
      </c>
      <c r="J39" s="18" t="s">
        <v>18</v>
      </c>
      <c r="K39" s="19" t="s">
        <v>18</v>
      </c>
      <c r="L39" s="17"/>
    </row>
    <row r="40" spans="1:12" s="14" customFormat="1" ht="22.9" customHeight="1" thickTop="1">
      <c r="A40" s="60"/>
      <c r="B40" s="84"/>
      <c r="C40" s="71"/>
      <c r="D40" s="74" t="s">
        <v>40</v>
      </c>
      <c r="E40" s="30">
        <v>16</v>
      </c>
      <c r="F40" s="20">
        <v>0</v>
      </c>
      <c r="G40" s="21" t="e">
        <f>+#REF!+F40</f>
        <v>#REF!</v>
      </c>
      <c r="H40" s="20">
        <v>1</v>
      </c>
      <c r="I40" s="21" t="e">
        <f t="shared" ref="I40:K40" si="11">+G40+H40</f>
        <v>#REF!</v>
      </c>
      <c r="J40" s="32"/>
      <c r="K40" s="34" t="e">
        <f t="shared" si="11"/>
        <v>#REF!</v>
      </c>
      <c r="L40" s="22" t="e">
        <f>K38/E38</f>
        <v>#REF!</v>
      </c>
    </row>
    <row r="41" spans="1:12" s="14" customFormat="1" ht="22.9" customHeight="1">
      <c r="A41" s="60"/>
      <c r="B41" s="84"/>
      <c r="C41" s="71"/>
      <c r="D41" s="74"/>
      <c r="E41" s="23" t="s">
        <v>20</v>
      </c>
      <c r="F41" s="23" t="s">
        <v>20</v>
      </c>
      <c r="G41" s="24" t="s">
        <v>20</v>
      </c>
      <c r="H41" s="23" t="s">
        <v>20</v>
      </c>
      <c r="I41" s="24" t="s">
        <v>20</v>
      </c>
      <c r="J41" s="23" t="s">
        <v>20</v>
      </c>
      <c r="K41" s="24" t="s">
        <v>20</v>
      </c>
      <c r="L41" s="17"/>
    </row>
    <row r="42" spans="1:12" s="14" customFormat="1" ht="22.9" customHeight="1" thickBot="1">
      <c r="A42" s="61"/>
      <c r="B42" s="85"/>
      <c r="C42" s="72"/>
      <c r="D42" s="75"/>
      <c r="E42" s="31">
        <v>20</v>
      </c>
      <c r="F42" s="25">
        <v>0</v>
      </c>
      <c r="G42" s="26" t="e">
        <f>+#REF!+F42</f>
        <v>#REF!</v>
      </c>
      <c r="H42" s="25">
        <v>1</v>
      </c>
      <c r="I42" s="26" t="e">
        <f t="shared" ref="I42" si="12">+G42+H42</f>
        <v>#REF!</v>
      </c>
      <c r="J42" s="25"/>
      <c r="K42" s="26" t="e">
        <f>+I42+J42</f>
        <v>#REF!</v>
      </c>
      <c r="L42" s="27"/>
    </row>
    <row r="43" spans="1:12" s="14" customFormat="1" ht="22.9" customHeight="1" thickTop="1">
      <c r="A43" s="59" t="s">
        <v>41</v>
      </c>
      <c r="B43" s="76" t="s">
        <v>42</v>
      </c>
      <c r="C43" s="70" t="s">
        <v>43</v>
      </c>
      <c r="D43" s="73" t="s">
        <v>44</v>
      </c>
      <c r="E43" s="11" t="s">
        <v>17</v>
      </c>
      <c r="F43" s="11" t="s">
        <v>17</v>
      </c>
      <c r="G43" s="12" t="s">
        <v>17</v>
      </c>
      <c r="H43" s="11" t="s">
        <v>17</v>
      </c>
      <c r="I43" s="12" t="s">
        <v>17</v>
      </c>
      <c r="J43" s="11" t="s">
        <v>17</v>
      </c>
      <c r="K43" s="12" t="s">
        <v>17</v>
      </c>
      <c r="L43" s="13"/>
    </row>
    <row r="44" spans="1:12" s="14" customFormat="1" ht="22.9" customHeight="1">
      <c r="A44" s="60"/>
      <c r="B44" s="84"/>
      <c r="C44" s="71"/>
      <c r="D44" s="74"/>
      <c r="E44" s="57">
        <f t="shared" ref="E44:K44" si="13">IF(E46&lt;&gt;0,+E46/E48,0%)</f>
        <v>9</v>
      </c>
      <c r="F44" s="15">
        <f t="shared" si="13"/>
        <v>9.1111111111111107</v>
      </c>
      <c r="G44" s="16" t="e">
        <f t="shared" si="13"/>
        <v>#REF!</v>
      </c>
      <c r="H44" s="15">
        <f t="shared" si="13"/>
        <v>8.25</v>
      </c>
      <c r="I44" s="16" t="e">
        <f t="shared" si="13"/>
        <v>#REF!</v>
      </c>
      <c r="J44" s="15">
        <f t="shared" si="13"/>
        <v>8.5</v>
      </c>
      <c r="K44" s="16" t="e">
        <f t="shared" si="13"/>
        <v>#REF!</v>
      </c>
      <c r="L44" s="17"/>
    </row>
    <row r="45" spans="1:12" s="14" customFormat="1" ht="22.9" customHeight="1" thickBot="1">
      <c r="A45" s="60"/>
      <c r="B45" s="84"/>
      <c r="C45" s="71"/>
      <c r="D45" s="75"/>
      <c r="E45" s="18" t="s">
        <v>18</v>
      </c>
      <c r="F45" s="18" t="s">
        <v>18</v>
      </c>
      <c r="G45" s="19" t="s">
        <v>18</v>
      </c>
      <c r="H45" s="18" t="s">
        <v>18</v>
      </c>
      <c r="I45" s="19" t="s">
        <v>18</v>
      </c>
      <c r="J45" s="18" t="s">
        <v>18</v>
      </c>
      <c r="K45" s="19" t="s">
        <v>18</v>
      </c>
      <c r="L45" s="17"/>
    </row>
    <row r="46" spans="1:12" s="14" customFormat="1" ht="22.9" customHeight="1" thickTop="1">
      <c r="A46" s="60"/>
      <c r="B46" s="84"/>
      <c r="C46" s="71"/>
      <c r="D46" s="74" t="s">
        <v>45</v>
      </c>
      <c r="E46" s="30">
        <v>477</v>
      </c>
      <c r="F46" s="20">
        <v>82</v>
      </c>
      <c r="G46" s="21" t="e">
        <f>+#REF!+F46</f>
        <v>#REF!</v>
      </c>
      <c r="H46" s="20">
        <v>33</v>
      </c>
      <c r="I46" s="21" t="e">
        <f t="shared" ref="I46" si="14">+G46+H46</f>
        <v>#REF!</v>
      </c>
      <c r="J46" s="32">
        <v>17</v>
      </c>
      <c r="K46" s="34" t="e">
        <f t="shared" ref="K46" si="15">+I46+J46</f>
        <v>#REF!</v>
      </c>
      <c r="L46" s="22" t="e">
        <f>K44/E44</f>
        <v>#REF!</v>
      </c>
    </row>
    <row r="47" spans="1:12" s="14" customFormat="1" ht="22.9" customHeight="1">
      <c r="A47" s="60"/>
      <c r="B47" s="84"/>
      <c r="C47" s="71"/>
      <c r="D47" s="74"/>
      <c r="E47" s="23" t="s">
        <v>20</v>
      </c>
      <c r="F47" s="23" t="s">
        <v>20</v>
      </c>
      <c r="G47" s="24" t="s">
        <v>20</v>
      </c>
      <c r="H47" s="23" t="s">
        <v>20</v>
      </c>
      <c r="I47" s="24" t="s">
        <v>20</v>
      </c>
      <c r="J47" s="23" t="s">
        <v>20</v>
      </c>
      <c r="K47" s="24" t="s">
        <v>20</v>
      </c>
      <c r="L47" s="17"/>
    </row>
    <row r="48" spans="1:12" s="14" customFormat="1" ht="22.9" customHeight="1" thickBot="1">
      <c r="A48" s="61"/>
      <c r="B48" s="85"/>
      <c r="C48" s="72"/>
      <c r="D48" s="75"/>
      <c r="E48" s="31">
        <v>53</v>
      </c>
      <c r="F48" s="25">
        <v>9</v>
      </c>
      <c r="G48" s="26" t="e">
        <f>+#REF!+F48</f>
        <v>#REF!</v>
      </c>
      <c r="H48" s="25">
        <v>4</v>
      </c>
      <c r="I48" s="26" t="e">
        <f t="shared" ref="I48" si="16">+G48+H48</f>
        <v>#REF!</v>
      </c>
      <c r="J48" s="25">
        <v>2</v>
      </c>
      <c r="K48" s="26" t="e">
        <f>+I48+J48</f>
        <v>#REF!</v>
      </c>
      <c r="L48" s="27"/>
    </row>
    <row r="49" spans="1:13" s="14" customFormat="1" ht="22.9" customHeight="1" thickTop="1">
      <c r="A49" s="59" t="s">
        <v>46</v>
      </c>
      <c r="B49" s="76" t="s">
        <v>47</v>
      </c>
      <c r="C49" s="79" t="s">
        <v>48</v>
      </c>
      <c r="D49" s="80" t="s">
        <v>49</v>
      </c>
      <c r="E49" s="36" t="s">
        <v>17</v>
      </c>
      <c r="F49" s="36" t="s">
        <v>17</v>
      </c>
      <c r="G49" s="50" t="s">
        <v>17</v>
      </c>
      <c r="H49" s="36" t="s">
        <v>17</v>
      </c>
      <c r="I49" s="50" t="s">
        <v>17</v>
      </c>
      <c r="J49" s="36" t="s">
        <v>17</v>
      </c>
      <c r="K49" s="50" t="s">
        <v>17</v>
      </c>
      <c r="L49" s="39"/>
    </row>
    <row r="50" spans="1:13" s="14" customFormat="1" ht="22.9" customHeight="1">
      <c r="A50" s="60"/>
      <c r="B50" s="77"/>
      <c r="C50" s="124"/>
      <c r="D50" s="81"/>
      <c r="E50" s="41">
        <f>IF(E52&lt;&gt;0,+E52/E54,0%)</f>
        <v>1</v>
      </c>
      <c r="F50" s="51">
        <f>IF(F52&lt;&gt;0,+F52/F54,0%)</f>
        <v>1</v>
      </c>
      <c r="G50" s="52" t="e">
        <f t="shared" ref="G50" si="17">IF(G52&lt;&gt;0,+G52/G54,0%)</f>
        <v>#REF!</v>
      </c>
      <c r="H50" s="51">
        <f>IF(H52&lt;&gt;0,+H52/H54,0%)</f>
        <v>1</v>
      </c>
      <c r="I50" s="52" t="e">
        <f t="shared" ref="I50" si="18">IF(I52&lt;&gt;0,+I52/I54,0%)</f>
        <v>#REF!</v>
      </c>
      <c r="J50" s="51">
        <f>IF(J52&lt;&gt;0,+J52/J54,0%)</f>
        <v>1</v>
      </c>
      <c r="K50" s="52" t="e">
        <f t="shared" ref="K50" si="19">IF(K52&lt;&gt;0,+K52/K54,0%)</f>
        <v>#REF!</v>
      </c>
      <c r="L50" s="44"/>
    </row>
    <row r="51" spans="1:13" s="14" customFormat="1" ht="22.9" customHeight="1" thickBot="1">
      <c r="A51" s="60"/>
      <c r="B51" s="77"/>
      <c r="C51" s="124"/>
      <c r="D51" s="82"/>
      <c r="E51" s="37" t="s">
        <v>18</v>
      </c>
      <c r="F51" s="37" t="s">
        <v>18</v>
      </c>
      <c r="G51" s="53" t="s">
        <v>18</v>
      </c>
      <c r="H51" s="37" t="s">
        <v>18</v>
      </c>
      <c r="I51" s="53" t="s">
        <v>18</v>
      </c>
      <c r="J51" s="37" t="s">
        <v>18</v>
      </c>
      <c r="K51" s="53" t="s">
        <v>18</v>
      </c>
      <c r="L51" s="44"/>
    </row>
    <row r="52" spans="1:13" s="14" customFormat="1" ht="22.9" customHeight="1" thickTop="1">
      <c r="A52" s="60"/>
      <c r="B52" s="77"/>
      <c r="C52" s="124"/>
      <c r="D52" s="83" t="s">
        <v>50</v>
      </c>
      <c r="E52" s="54">
        <v>18</v>
      </c>
      <c r="F52" s="20">
        <v>2</v>
      </c>
      <c r="G52" s="21" t="e">
        <f>+#REF!+F52</f>
        <v>#REF!</v>
      </c>
      <c r="H52" s="20">
        <v>1</v>
      </c>
      <c r="I52" s="21" t="e">
        <f t="shared" ref="I52" si="20">+G52+H52</f>
        <v>#REF!</v>
      </c>
      <c r="J52" s="32">
        <v>2</v>
      </c>
      <c r="K52" s="34" t="e">
        <f t="shared" ref="K52" si="21">+I52+J52</f>
        <v>#REF!</v>
      </c>
      <c r="L52" s="47" t="e">
        <f>+K50/E50</f>
        <v>#REF!</v>
      </c>
    </row>
    <row r="53" spans="1:13" s="14" customFormat="1" ht="22.9" customHeight="1">
      <c r="A53" s="60"/>
      <c r="B53" s="77"/>
      <c r="C53" s="124"/>
      <c r="D53" s="80"/>
      <c r="E53" s="55" t="s">
        <v>20</v>
      </c>
      <c r="F53" s="23" t="s">
        <v>20</v>
      </c>
      <c r="G53" s="24" t="s">
        <v>20</v>
      </c>
      <c r="H53" s="23" t="s">
        <v>20</v>
      </c>
      <c r="I53" s="24" t="s">
        <v>20</v>
      </c>
      <c r="J53" s="23" t="s">
        <v>20</v>
      </c>
      <c r="K53" s="24" t="s">
        <v>20</v>
      </c>
      <c r="L53" s="44"/>
    </row>
    <row r="54" spans="1:13" s="14" customFormat="1" ht="22.9" customHeight="1" thickBot="1">
      <c r="A54" s="61"/>
      <c r="B54" s="78"/>
      <c r="C54" s="125"/>
      <c r="D54" s="82"/>
      <c r="E54" s="54">
        <v>18</v>
      </c>
      <c r="F54" s="25">
        <v>2</v>
      </c>
      <c r="G54" s="26" t="e">
        <f>+#REF!+F54</f>
        <v>#REF!</v>
      </c>
      <c r="H54" s="25">
        <v>1</v>
      </c>
      <c r="I54" s="26" t="e">
        <f t="shared" ref="I54" si="22">+G54+H54</f>
        <v>#REF!</v>
      </c>
      <c r="J54" s="25">
        <v>2</v>
      </c>
      <c r="K54" s="26" t="e">
        <f>+I54+J54</f>
        <v>#REF!</v>
      </c>
      <c r="L54" s="49"/>
      <c r="M54" s="117"/>
    </row>
    <row r="55" spans="1:13" ht="13.5" thickTop="1">
      <c r="A55" s="59" t="s">
        <v>51</v>
      </c>
      <c r="B55" s="67" t="s">
        <v>52</v>
      </c>
      <c r="C55" s="70" t="s">
        <v>53</v>
      </c>
      <c r="D55" s="73" t="s">
        <v>54</v>
      </c>
      <c r="E55" s="11" t="s">
        <v>17</v>
      </c>
      <c r="F55" s="11" t="s">
        <v>17</v>
      </c>
      <c r="G55" s="12" t="s">
        <v>17</v>
      </c>
      <c r="H55" s="11" t="s">
        <v>17</v>
      </c>
      <c r="I55" s="12" t="s">
        <v>17</v>
      </c>
      <c r="J55" s="11" t="s">
        <v>17</v>
      </c>
      <c r="K55" s="12" t="s">
        <v>17</v>
      </c>
      <c r="L55" s="13"/>
    </row>
    <row r="56" spans="1:13">
      <c r="A56" s="60"/>
      <c r="B56" s="68"/>
      <c r="C56" s="71"/>
      <c r="D56" s="74"/>
      <c r="E56" s="29">
        <f>IF(E58&lt;&gt;0,+E58/E60,0%)</f>
        <v>1</v>
      </c>
      <c r="F56" s="15">
        <f>IF(F58&lt;&gt;0,+F58/F60,0%)</f>
        <v>0.16666666666666666</v>
      </c>
      <c r="G56" s="58">
        <v>0</v>
      </c>
      <c r="H56" s="15">
        <f>IF(H58&lt;&gt;0,+H58/H60,0%)</f>
        <v>0.5</v>
      </c>
      <c r="I56" s="58">
        <v>0</v>
      </c>
      <c r="J56" s="15">
        <f>IF(J58&lt;&gt;0,+J58/J60,0%)</f>
        <v>0</v>
      </c>
      <c r="K56" s="16" t="e">
        <f t="shared" ref="K56" si="23">IF(K58&lt;&gt;0,+K58/K60,0%)</f>
        <v>#REF!</v>
      </c>
      <c r="L56" s="17"/>
    </row>
    <row r="57" spans="1:13" ht="13.5" thickBot="1">
      <c r="A57" s="60"/>
      <c r="B57" s="68"/>
      <c r="C57" s="71"/>
      <c r="D57" s="75"/>
      <c r="E57" s="18" t="s">
        <v>18</v>
      </c>
      <c r="F57" s="18" t="s">
        <v>18</v>
      </c>
      <c r="G57" s="19" t="s">
        <v>18</v>
      </c>
      <c r="H57" s="18" t="s">
        <v>18</v>
      </c>
      <c r="I57" s="19" t="s">
        <v>18</v>
      </c>
      <c r="J57" s="18" t="s">
        <v>18</v>
      </c>
      <c r="K57" s="19" t="s">
        <v>18</v>
      </c>
      <c r="L57" s="17"/>
    </row>
    <row r="58" spans="1:13" ht="13.5" thickTop="1">
      <c r="A58" s="60"/>
      <c r="B58" s="68"/>
      <c r="C58" s="71"/>
      <c r="D58" s="74" t="s">
        <v>55</v>
      </c>
      <c r="E58" s="30">
        <v>7</v>
      </c>
      <c r="F58" s="20">
        <v>1</v>
      </c>
      <c r="G58" s="21" t="e">
        <f>+#REF!+F58</f>
        <v>#REF!</v>
      </c>
      <c r="H58" s="20">
        <v>3</v>
      </c>
      <c r="I58" s="21" t="e">
        <f>+G58+H58</f>
        <v>#REF!</v>
      </c>
      <c r="J58" s="20">
        <v>0</v>
      </c>
      <c r="K58" s="21" t="e">
        <f>+I58+J58</f>
        <v>#REF!</v>
      </c>
      <c r="L58" s="22" t="e">
        <f>+K56/E56</f>
        <v>#REF!</v>
      </c>
    </row>
    <row r="59" spans="1:13">
      <c r="A59" s="60"/>
      <c r="B59" s="68"/>
      <c r="C59" s="71"/>
      <c r="D59" s="74"/>
      <c r="E59" s="23" t="s">
        <v>20</v>
      </c>
      <c r="F59" s="23" t="s">
        <v>20</v>
      </c>
      <c r="G59" s="24" t="s">
        <v>20</v>
      </c>
      <c r="H59" s="23" t="s">
        <v>20</v>
      </c>
      <c r="I59" s="24" t="s">
        <v>20</v>
      </c>
      <c r="J59" s="23" t="s">
        <v>20</v>
      </c>
      <c r="K59" s="24" t="s">
        <v>20</v>
      </c>
      <c r="L59" s="17"/>
    </row>
    <row r="60" spans="1:13" ht="13.5" thickBot="1">
      <c r="A60" s="61"/>
      <c r="B60" s="69"/>
      <c r="C60" s="72"/>
      <c r="D60" s="75"/>
      <c r="E60" s="31">
        <v>7</v>
      </c>
      <c r="F60" s="25">
        <v>6</v>
      </c>
      <c r="G60" s="26">
        <v>3</v>
      </c>
      <c r="H60" s="25">
        <v>6</v>
      </c>
      <c r="I60" s="26">
        <v>3</v>
      </c>
      <c r="J60" s="25">
        <v>6</v>
      </c>
      <c r="K60" s="26">
        <v>3</v>
      </c>
      <c r="L60" s="27"/>
    </row>
    <row r="61" spans="1:13" ht="13.5" thickTop="1"/>
  </sheetData>
  <mergeCells count="56">
    <mergeCell ref="B37:B42"/>
    <mergeCell ref="C37:C42"/>
    <mergeCell ref="D40:D42"/>
    <mergeCell ref="D37:D39"/>
    <mergeCell ref="D31:D33"/>
    <mergeCell ref="D34:D36"/>
    <mergeCell ref="D19:D21"/>
    <mergeCell ref="D22:D24"/>
    <mergeCell ref="D25:D27"/>
    <mergeCell ref="D28:D30"/>
    <mergeCell ref="D1:E5"/>
    <mergeCell ref="E11:E12"/>
    <mergeCell ref="D6:E6"/>
    <mergeCell ref="B1:C5"/>
    <mergeCell ref="B11:B12"/>
    <mergeCell ref="C11:C12"/>
    <mergeCell ref="B6:C6"/>
    <mergeCell ref="C31:C36"/>
    <mergeCell ref="B13:B18"/>
    <mergeCell ref="C25:C30"/>
    <mergeCell ref="B25:B30"/>
    <mergeCell ref="B31:B36"/>
    <mergeCell ref="C13:C18"/>
    <mergeCell ref="C19:C24"/>
    <mergeCell ref="B19:B24"/>
    <mergeCell ref="H11:H12"/>
    <mergeCell ref="K11:K12"/>
    <mergeCell ref="L11:L12"/>
    <mergeCell ref="I11:I12"/>
    <mergeCell ref="D16:D18"/>
    <mergeCell ref="G11:G12"/>
    <mergeCell ref="J11:J12"/>
    <mergeCell ref="F11:F12"/>
    <mergeCell ref="D11:D12"/>
    <mergeCell ref="D13:D15"/>
    <mergeCell ref="B55:B60"/>
    <mergeCell ref="C55:C60"/>
    <mergeCell ref="D55:D57"/>
    <mergeCell ref="D58:D60"/>
    <mergeCell ref="D43:D45"/>
    <mergeCell ref="D46:D48"/>
    <mergeCell ref="B49:B54"/>
    <mergeCell ref="C49:C54"/>
    <mergeCell ref="D49:D51"/>
    <mergeCell ref="D52:D54"/>
    <mergeCell ref="B43:B48"/>
    <mergeCell ref="C43:C48"/>
    <mergeCell ref="A37:A42"/>
    <mergeCell ref="A43:A48"/>
    <mergeCell ref="A49:A54"/>
    <mergeCell ref="A55:A60"/>
    <mergeCell ref="A11:A12"/>
    <mergeCell ref="A19:A24"/>
    <mergeCell ref="A25:A30"/>
    <mergeCell ref="A13:A18"/>
    <mergeCell ref="A31:A36"/>
  </mergeCells>
  <phoneticPr fontId="5" type="noConversion"/>
  <pageMargins left="0.56999999999999995" right="0.37" top="0.41" bottom="0.47" header="0" footer="0"/>
  <pageSetup scale="59" orientation="landscape" r:id="rId1"/>
  <headerFooter alignWithMargins="0"/>
</worksheet>
</file>

<file path=docMetadata/LabelInfo.xml><?xml version="1.0" encoding="utf-8"?>
<clbl:labelList xmlns:clbl="http://schemas.microsoft.com/office/2020/mipLabelMetadata">
  <clbl:label id="{61187623-5b64-4d8c-b7af-18fe1fa8371c}" enabled="0" method="" siteId="{61187623-5b64-4d8c-b7af-18fe1fa8371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Operaciones</dc:title>
  <dc:subject/>
  <dc:creator>Salvador Aguilera</dc:creator>
  <cp:keywords/>
  <dc:description/>
  <cp:lastModifiedBy>Carla Nicol Adasme Valdivia</cp:lastModifiedBy>
  <cp:revision/>
  <dcterms:created xsi:type="dcterms:W3CDTF">2008-08-20T14:03:15Z</dcterms:created>
  <dcterms:modified xsi:type="dcterms:W3CDTF">2026-01-15T19:28:41Z</dcterms:modified>
  <cp:category/>
  <cp:contentStatus/>
</cp:coreProperties>
</file>