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DC 2025"/>
    <sheet r:id="rId2" sheetId="2" name="ind 14 dias desagr por sexo CDC"/>
    <sheet r:id="rId3" sheetId="3" name="Form H cargas fam desagr sexo"/>
    <sheet r:id="rId4" sheetId="4" name="PGU Desg Genero"/>
  </sheets>
  <definedNames>
    <definedName name="_xlnm._FilterDatabase" localSheetId="0">'CDC 2025'!$B$14:$L$51</definedName>
    <definedName name="_xlnm.Print_Area" localSheetId="0">'CDC 2025'!$B$1:$L$27</definedName>
    <definedName name="_xlnm.Print_Titles" localSheetId="0">'CDC 2025'!$1:$15</definedName>
  </definedNames>
  <calcPr fullCalcOnLoad="1"/>
</workbook>
</file>

<file path=xl/sharedStrings.xml><?xml version="1.0" encoding="utf-8"?>
<sst xmlns="http://schemas.openxmlformats.org/spreadsheetml/2006/main" count="471" uniqueCount="59">
  <si>
    <t xml:space="preserve">INDICADOR </t>
  </si>
  <si>
    <t>FORMULA</t>
  </si>
  <si>
    <t>Operandos  Estimados Meta</t>
  </si>
  <si>
    <t>Oct.</t>
  </si>
  <si>
    <t>Acum Oct.</t>
  </si>
  <si>
    <t>Nov.</t>
  </si>
  <si>
    <t>Acum Nov.</t>
  </si>
  <si>
    <t>Dic.</t>
  </si>
  <si>
    <t>cumplimiento 2025</t>
  </si>
  <si>
    <t>% Cumplimiento de Meta</t>
  </si>
  <si>
    <t>Instrumentos de Gestión Asociados</t>
  </si>
  <si>
    <r>
      <t/>
    </r>
    <r>
      <rPr>
        <b/>
        <sz val="8"/>
        <color theme="1"/>
        <rFont val="Arial Narrow"/>
        <family val="2"/>
      </rPr>
      <t xml:space="preserve">2) </t>
    </r>
    <r>
      <rPr>
        <b/>
        <u/>
        <sz val="8"/>
        <color theme="1"/>
        <rFont val="Arial Narrow"/>
        <family val="2"/>
      </rPr>
      <t xml:space="preserve">Calidad/Producto
</t>
    </r>
    <r>
      <rPr>
        <sz val="8"/>
        <color theme="1"/>
        <rFont val="Arial Narrow"/>
        <family val="2"/>
      </rPr>
      <t>3.10.1.5.- Tiempo promedio de tramitación de solicitudes de beneficios de la Pensión Garantizada Universal (PGU)</t>
    </r>
  </si>
  <si>
    <t>(Sumatoria de días de trámites de beneficios de la Pensión Garantizada Universal finalizados en el año t / Número total de trámites en el año t)*100</t>
  </si>
  <si>
    <t xml:space="preserve">Valor indicador=   </t>
  </si>
  <si>
    <t>Formulario H</t>
  </si>
  <si>
    <t xml:space="preserve">Operando 1=   </t>
  </si>
  <si>
    <t xml:space="preserve">Operando 2=    </t>
  </si>
  <si>
    <t>Hombre</t>
  </si>
  <si>
    <t>Proyectado 2025</t>
  </si>
  <si>
    <r>
      <t/>
    </r>
    <r>
      <rPr>
        <b/>
        <sz val="8"/>
        <color theme="1"/>
        <rFont val="Arial Narrow"/>
        <family val="2"/>
      </rPr>
      <t xml:space="preserve">2) </t>
    </r>
    <r>
      <rPr>
        <b/>
        <u/>
        <sz val="8"/>
        <color theme="1"/>
        <rFont val="Arial Narrow"/>
        <family val="2"/>
      </rPr>
      <t xml:space="preserve">Calidad/Producto
</t>
    </r>
    <r>
      <rPr>
        <sz val="8"/>
        <color theme="1"/>
        <rFont val="Arial Narrow"/>
        <family val="2"/>
      </rPr>
      <t>Tiempo promedio de tramitación de solicitudes de beneficios de la Pensión Garantizada Universal (PGU)</t>
    </r>
  </si>
  <si>
    <t>Mujer</t>
  </si>
  <si>
    <r>
      <t/>
    </r>
    <r>
      <rPr>
        <b/>
        <u/>
        <sz val="8"/>
        <color rgb="FF000000"/>
        <rFont val="Arial Narrow"/>
        <family val="2"/>
      </rPr>
      <t>4) Calidad/Producto</t>
    </r>
    <r>
      <rPr>
        <b/>
        <sz val="8"/>
        <color rgb="FF000000"/>
        <rFont val="Arial Narrow"/>
        <family val="2"/>
      </rPr>
      <t xml:space="preserve">
</t>
    </r>
    <r>
      <rPr>
        <sz val="8"/>
        <color rgb="FF000000"/>
        <rFont val="Arial Narrow"/>
        <family val="2"/>
      </rPr>
      <t>3.5.1.26.-Porcentaje de cargas de asignación familiar reconocidas con derecho y pago emitido en un plazo máximo de 90 días en el año t</t>
    </r>
  </si>
  <si>
    <t>(Sumatoria de cargas de asignación familiar reconocidas y con pago emitido en un plazo máximo de 90 días en el año t / N° cargas de asignación familiar reconocidas con derecho y pago emitido en el año t)*100</t>
  </si>
  <si>
    <r>
      <t/>
    </r>
    <r>
      <rPr>
        <b/>
        <u/>
        <sz val="8"/>
        <color rgb="FF000000"/>
        <rFont val="Arial Narrow"/>
        <family val="2"/>
      </rPr>
      <t>4) Calidad/Producto</t>
    </r>
    <r>
      <rPr>
        <b/>
        <sz val="8"/>
        <color rgb="FF000000"/>
        <rFont val="Arial Narrow"/>
        <family val="2"/>
      </rPr>
      <t xml:space="preserve">
</t>
    </r>
    <r>
      <rPr>
        <sz val="8"/>
        <color rgb="FF000000"/>
        <rFont val="Arial Narrow"/>
        <family val="2"/>
      </rPr>
      <t>Porcentaje de cargas de asignación familiar reconocidas con derecho y pago emitido en un plazo máximo de 90 días en el año t</t>
    </r>
  </si>
  <si>
    <r>
      <t/>
    </r>
    <r>
      <rPr>
        <b/>
        <u/>
        <sz val="8"/>
        <color rgb="FF000000"/>
        <rFont val="Arial Narrow"/>
        <family val="2"/>
      </rPr>
      <t>1) Calidad/Producto</t>
    </r>
    <r>
      <rPr>
        <b/>
        <sz val="8"/>
        <color rgb="FF000000"/>
        <rFont val="Arial Narrow"/>
        <family val="2"/>
      </rPr>
      <t xml:space="preserve">
</t>
    </r>
    <r>
      <rPr>
        <sz val="8"/>
        <color rgb="FF000000"/>
        <rFont val="Arial Narrow"/>
        <family val="2"/>
      </rPr>
      <t>3.5.1.24.-Porcentaje de Beneficios Previsionales de las áreas Particulares, Públicos y SSS que se finiquitan en un plazo máximo interno de 14 días en el año t (Hombre - Mujer) (CDC)</t>
    </r>
  </si>
  <si>
    <t>(Sumatoria de Beneficios Previsionales de las áreas Particulares, Públicos y SSS que se finiquitan en un plazo máximo de 14 días en el año t / N° Total de Beneficios Previsionales de las áreas Particulares, Públicos y SSS que se finiquitan en el año t)*100</t>
  </si>
  <si>
    <r>
      <t/>
    </r>
    <r>
      <rPr>
        <b/>
        <u/>
        <sz val="8"/>
        <color rgb="FF000000"/>
        <rFont val="Arial Narrow"/>
        <family val="2"/>
      </rPr>
      <t>1) Calidad/Producto</t>
    </r>
    <r>
      <rPr>
        <b/>
        <sz val="8"/>
        <color rgb="FF000000"/>
        <rFont val="Arial Narrow"/>
        <family val="2"/>
      </rPr>
      <t xml:space="preserve">
</t>
    </r>
    <r>
      <rPr>
        <sz val="8"/>
        <color rgb="FF000000"/>
        <rFont val="Arial Narrow"/>
        <family val="2"/>
      </rPr>
      <t>Porcentaje de Beneficios Previsionales de las áreas Particulares, Públicos y SSS que se finiquitan en un plazo máximo interno de 14 días en el año t (Hombre - Mujer) (CDC)</t>
    </r>
  </si>
  <si>
    <t>DIVISIÓN BENEFICIOS</t>
  </si>
  <si>
    <t>NÚMERO</t>
  </si>
  <si>
    <t>Operandos</t>
  </si>
  <si>
    <t>Cumplimiento
2025</t>
  </si>
  <si>
    <t>3.5.1.24.</t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</si>
  <si>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</si>
  <si>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</si>
  <si>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N° Total de Beneficios Previsionales de las áreas Particulares, Públicos y SSS que se finiquitan en el año t)*100</t>
  </si>
  <si>
    <t>3.3.1.7</t>
  </si>
  <si>
    <r>
      <t/>
    </r>
    <r>
      <rPr>
        <b/>
        <sz val="8"/>
        <color theme="1"/>
        <rFont val="Arial Narrow"/>
        <family val="2"/>
      </rPr>
      <t xml:space="preserve">2) </t>
    </r>
    <r>
      <rPr>
        <b/>
        <u/>
        <sz val="8"/>
        <color theme="1"/>
        <rFont val="Arial Narrow"/>
        <family val="2"/>
      </rPr>
      <t xml:space="preserve">Calidad/Producto
</t>
    </r>
    <r>
      <rPr>
        <sz val="8"/>
        <color theme="1"/>
        <rFont val="Arial Narrow"/>
        <family val="2"/>
      </rPr>
      <t>Tiempo promedio de tramitación de solicitudes de Bonificación por Hijo Nacido Vivo (CDC)</t>
    </r>
  </si>
  <si>
    <t>(Sumatoria de días de trámites de Bonificación por Hijo Nacido Vivo solicitados por los usuarios finalizados en el año t / Número total de trámites de Bonificación por Hijo Nacido Vivo solicitados por los usuarios finalizados en el año t)</t>
  </si>
  <si>
    <t>Sumatoria de días de trámites de Bonificación por Hijo Nacido Vivo solicitados por los usuarios finalizados en el año t</t>
  </si>
  <si>
    <t>Número total de trámites de Bonificación por Hijo Nacido Vivo solicitados por los usuarios finalizados en el año t</t>
  </si>
  <si>
    <t>2.4.1.1</t>
  </si>
  <si>
    <r>
      <t/>
    </r>
    <r>
      <rPr>
        <b/>
        <sz val="8"/>
        <color theme="1"/>
        <rFont val="Arial Narrow"/>
        <family val="2"/>
      </rPr>
      <t xml:space="preserve">3) </t>
    </r>
    <r>
      <rPr>
        <b/>
        <u/>
        <sz val="8"/>
        <color theme="1"/>
        <rFont val="Arial Narrow"/>
        <family val="2"/>
      </rPr>
      <t xml:space="preserve">Calidad/Producto
</t>
    </r>
    <r>
      <rPr>
        <sz val="8"/>
        <color theme="1"/>
        <rFont val="Arial Narrow"/>
        <family val="2"/>
      </rPr>
      <t>Porcentaje de beneficios de Asignación Familiar finiquitados  en un plazo máximo de 5 días corridos en el año t.</t>
    </r>
    <r>
      <rPr>
        <b/>
        <u/>
        <sz val="8"/>
        <color theme="1"/>
        <rFont val="Arial Narrow"/>
        <family val="2"/>
      </rPr>
      <t xml:space="preserve">
</t>
    </r>
  </si>
  <si>
    <t>(Sumatoria de Beneficios de Asignaciones Familiares finiquitados  en un plazo máximo de 5 días corridos en el año t / N° total de Beneficios de Asignaciones Familiares finiquitados en el año t)*100</t>
  </si>
  <si>
    <t xml:space="preserve">(Sumatoria de Beneficios de Asignaciones Familiares finiquitados  en un plazo máximo de 5 días hábiles en el año t </t>
  </si>
  <si>
    <t>N° total de Beneficios de Asignaciones Familiares finiquitados en el año t)*100</t>
  </si>
  <si>
    <t>3.10.1.5</t>
  </si>
  <si>
    <r>
      <t/>
    </r>
    <r>
      <rPr>
        <b/>
        <sz val="8"/>
        <color theme="1"/>
        <rFont val="Arial Narrow"/>
        <family val="2"/>
      </rPr>
      <t xml:space="preserve">4) </t>
    </r>
    <r>
      <rPr>
        <b/>
        <u/>
        <sz val="8"/>
        <color theme="1"/>
        <rFont val="Arial Narrow"/>
        <family val="2"/>
      </rPr>
      <t xml:space="preserve">Calidad/Producto
</t>
    </r>
    <r>
      <rPr>
        <sz val="8"/>
        <color theme="1"/>
        <rFont val="Arial Narrow"/>
        <family val="2"/>
      </rPr>
      <t>Tiempo promedio de tramitación de solicitudes de beneficios de la Pensión Garantizada Universal (PGU)</t>
    </r>
  </si>
  <si>
    <t>Sumatoria de días de trámites de beneficios de la Pensión Garantizada Universal finalizados en el año t</t>
  </si>
  <si>
    <t>Número total de trámites en el año t</t>
  </si>
  <si>
    <t>5.1.3.40</t>
  </si>
  <si>
    <r>
      <t/>
    </r>
    <r>
      <rPr>
        <b/>
        <sz val="8"/>
        <color theme="1"/>
        <rFont val="Arial Narrow"/>
        <family val="2"/>
      </rPr>
      <t>5)</t>
    </r>
    <r>
      <rPr>
        <b/>
        <u/>
        <sz val="8"/>
        <color theme="1"/>
        <rFont val="Arial Narrow"/>
        <family val="2"/>
      </rPr>
      <t xml:space="preserve"> Eficacia/Proceso
</t>
    </r>
    <r>
      <rPr>
        <sz val="8"/>
        <color theme="1"/>
        <rFont val="Arial Narrow"/>
        <family val="2"/>
      </rPr>
      <t>Porcentaje de hitos de control cumplidos de ejecución presupuestaria a nivel de los Subtítulos 22 y 29, dentro de los plazos establecidos.
(División Beneficios)</t>
    </r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</si>
  <si>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</si>
  <si>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Sumatoria de hitos de control cumplidos de ejecución presupuestaria a nivel de los Subtítulos 22 y 29, dentro de los plazos establecidos</t>
  </si>
  <si>
    <t>N° total de hitos de control definidos de ejecución presupuestaria a nivel de los Subtítulos 22 y 29</t>
  </si>
  <si>
    <t>5.4.1.83</t>
  </si>
  <si>
    <r>
      <t/>
    </r>
    <r>
      <rPr>
        <b/>
        <u/>
        <sz val="8"/>
        <color theme="1"/>
        <rFont val="Arial Narrow"/>
        <family val="2"/>
      </rPr>
      <t xml:space="preserve">6) Eficacia/Proceso
</t>
    </r>
    <r>
      <rPr>
        <sz val="8"/>
        <color theme="1"/>
        <rFont val="Arial Narrow"/>
        <family val="2"/>
      </rPr>
      <t>Porcentaje de Reportes Trimestrales de riesgos enviados oportunamente al Depto. Gestión Integral de Riesgos en el año t (División Beneficios)</t>
    </r>
  </si>
  <si>
    <t>(Número de Reportes Trimestrales de riesgos enviados oportunamente al Depto. Gestión Integral de Riesgos en el año t / Número de Reportes Trimestrales de riesgos planificados enviados al Depto. Gestión Integral de Riesgos en el año t) *100</t>
  </si>
  <si>
    <t>(Número de Reportes Trimestrales de riesgos enviados oportunamente al Depto. Gestión Integral de Riesgos en el año t</t>
  </si>
  <si>
    <t>Número de Reportes Trimestrales de riesgos planificados enviados al Depto. Gestión Integral de Riesgos en el año t) *100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</si>
</sst>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%"/>
    <numFmt numFmtId="165" formatCode="#,##0%"/>
    <numFmt numFmtId="166" formatCode="#,##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2"/>
      <color rgb="FF0000ff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sz val="12"/>
      <color rgb="FF000000"/>
      <name val="Arial Narrow"/>
      <family val="2"/>
    </font>
    <font>
      <sz val="10"/>
      <color rgb="FF000000"/>
      <name val="Arial Narrow"/>
      <family val="2"/>
    </font>
    <font>
      <sz val="11"/>
      <color theme="1"/>
      <name val="Calibri"/>
      <family val="2"/>
    </font>
    <font>
      <b/>
      <sz val="8"/>
      <color theme="1"/>
      <name val="Arial Narrow"/>
      <family val="2"/>
    </font>
    <font>
      <sz val="8"/>
      <color rgb="FFff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</patternFill>
    </fill>
    <fill>
      <patternFill patternType="solid">
        <fgColor rgb="FFffff00"/>
      </patternFill>
    </fill>
    <fill>
      <patternFill patternType="solid">
        <fgColor rgb="FFfdeada"/>
      </patternFill>
    </fill>
    <fill>
      <patternFill patternType="solid">
        <fgColor rgb="FFffff99"/>
      </patternFill>
    </fill>
    <fill>
      <patternFill patternType="solid">
        <fgColor rgb="FFfcd5b5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double">
        <color rgb="FF000000"/>
      </right>
      <top style="double">
        <color rgb="FF000000"/>
      </top>
      <bottom style="thin">
        <color rgb="FFc6c6c6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c6c6c6"/>
      </bottom>
      <diagonal/>
    </border>
    <border>
      <left style="thin">
        <color rgb="FFc6c6c6"/>
      </left>
      <right style="double">
        <color rgb="FF000000"/>
      </right>
      <top style="thin">
        <color rgb="FFc6c6c6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c6c6c6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c6c6c6"/>
      </top>
      <bottom style="thin">
        <color rgb="FFc6c6c6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double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double">
        <color rgb="FF000000"/>
      </bottom>
      <diagonal/>
    </border>
    <border>
      <left style="double">
        <color rgb="FF000000"/>
      </left>
      <right style="thin">
        <color rgb="FFc6c6c6"/>
      </right>
      <top style="thin">
        <color rgb="FFc6c6c6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/>
      <bottom/>
      <diagonal/>
    </border>
  </borders>
  <cellStyleXfs count="1">
    <xf numFmtId="0" fontId="0" fillId="0" borderId="0"/>
  </cellStyleXfs>
  <cellXfs count="182">
    <xf xfId="0" numFmtId="0" borderId="0" fontId="0" fillId="0"/>
    <xf xfId="0" numFmtId="0" borderId="1" applyBorder="1" fontId="1" applyFont="1" fillId="0" applyAlignment="1">
      <alignment horizontal="center" vertical="top"/>
    </xf>
    <xf xfId="0" numFmtId="0" borderId="2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 vertical="top" wrapText="1"/>
    </xf>
    <xf xfId="0" numFmtId="4" applyNumberFormat="1" borderId="3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164" applyNumberFormat="1" borderId="3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3" applyBorder="1" fontId="1" applyFont="1" fillId="0" applyAlignment="1">
      <alignment horizontal="center"/>
    </xf>
    <xf xfId="0" numFmtId="0" borderId="4" applyBorder="1" fontId="1" applyFont="1" fillId="0" applyAlignment="1">
      <alignment horizontal="center"/>
    </xf>
    <xf xfId="0" numFmtId="3" applyNumberFormat="1" borderId="3" applyBorder="1" fontId="2" applyFont="1" fillId="0" applyAlignment="1">
      <alignment horizontal="center" wrapText="1"/>
    </xf>
    <xf xfId="0" numFmtId="0" borderId="5" applyBorder="1" fontId="1" applyFont="1" fillId="0" applyAlignment="1">
      <alignment horizontal="center"/>
    </xf>
    <xf xfId="0" numFmtId="0" borderId="6" applyBorder="1" fontId="1" applyFont="1" fillId="0" applyAlignment="1">
      <alignment horizontal="center"/>
    </xf>
    <xf xfId="0" numFmtId="3" applyNumberFormat="1" borderId="5" applyBorder="1" fontId="2" applyFont="1" fillId="0" applyAlignment="1">
      <alignment horizontal="center" wrapText="1"/>
    </xf>
    <xf xfId="0" numFmtId="0" borderId="7" applyBorder="1" fontId="3" applyFont="1" fillId="0" applyAlignment="1">
      <alignment horizontal="left"/>
    </xf>
    <xf xfId="0" numFmtId="0" borderId="8" applyBorder="1" fontId="3" applyFont="1" fillId="0" applyAlignment="1">
      <alignment horizontal="left"/>
    </xf>
    <xf xfId="0" numFmtId="3" applyNumberFormat="1" borderId="7" applyBorder="1" fontId="3" applyFont="1" fillId="0" applyAlignment="1">
      <alignment horizontal="left" wrapText="1"/>
    </xf>
    <xf xfId="0" numFmtId="4" applyNumberFormat="1" borderId="3" applyBorder="1" fontId="3" applyFont="1" fillId="0" applyAlignment="1">
      <alignment horizontal="center"/>
    </xf>
    <xf xfId="0" numFmtId="3" applyNumberFormat="1" borderId="3" applyBorder="1" fontId="3" applyFont="1" fillId="0" applyAlignment="1">
      <alignment horizontal="center"/>
    </xf>
    <xf xfId="0" numFmtId="164" applyNumberFormat="1" borderId="3" applyBorder="1" fontId="3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3" applyBorder="1" fontId="2" applyFont="1" fillId="0" applyAlignment="1">
      <alignment horizontal="left"/>
    </xf>
    <xf xfId="0" numFmtId="0" borderId="3" applyBorder="1" fontId="4" applyFont="1" fillId="0" applyAlignment="1">
      <alignment horizontal="left"/>
    </xf>
    <xf xfId="0" numFmtId="3" applyNumberFormat="1" borderId="3" applyBorder="1" fontId="1" applyFont="1" fillId="0" applyAlignment="1">
      <alignment horizontal="center" wrapText="1"/>
    </xf>
    <xf xfId="0" numFmtId="0" borderId="0" fontId="0" fillId="0" applyAlignment="1">
      <alignment wrapText="1"/>
    </xf>
    <xf xfId="0" numFmtId="0" borderId="9" applyBorder="1" fontId="5" applyFont="1" fillId="2" applyFill="1" applyAlignment="1">
      <alignment horizontal="center" vertical="top" wrapText="1"/>
    </xf>
    <xf xfId="0" numFmtId="0" borderId="10" applyBorder="1" fontId="5" applyFont="1" fillId="2" applyFill="1" applyAlignment="1">
      <alignment horizontal="center" vertical="top" wrapText="1"/>
    </xf>
    <xf xfId="0" numFmtId="3" applyNumberFormat="1" borderId="10" applyBorder="1" fontId="5" applyFont="1" fillId="2" applyFill="1" applyAlignment="1">
      <alignment horizontal="center" vertical="top" wrapText="1"/>
    </xf>
    <xf xfId="0" numFmtId="4" applyNumberFormat="1" borderId="10" applyBorder="1" fontId="5" applyFont="1" fillId="2" applyFill="1" applyAlignment="1">
      <alignment horizontal="center" vertical="top" wrapText="1"/>
    </xf>
    <xf xfId="0" numFmtId="4" applyNumberFormat="1" borderId="9" applyBorder="1" fontId="5" applyFont="1" fillId="2" applyFill="1" applyAlignment="1">
      <alignment horizontal="center" vertical="top" wrapText="1"/>
    </xf>
    <xf xfId="0" numFmtId="164" applyNumberFormat="1" borderId="10" applyBorder="1" fontId="5" applyFont="1" fillId="2" applyFill="1" applyAlignment="1">
      <alignment horizontal="center" vertical="top" wrapText="1"/>
    </xf>
    <xf xfId="0" numFmtId="0" borderId="0" fontId="0" fillId="0" applyAlignment="1">
      <alignment horizontal="general" wrapText="1"/>
    </xf>
    <xf xfId="0" numFmtId="0" borderId="11" applyBorder="1" fontId="5" applyFont="1" fillId="2" applyFill="1" applyAlignment="1">
      <alignment horizontal="center" wrapText="1"/>
    </xf>
    <xf xfId="0" numFmtId="0" borderId="12" applyBorder="1" fontId="5" applyFont="1" fillId="2" applyFill="1" applyAlignment="1">
      <alignment horizontal="center" wrapText="1"/>
    </xf>
    <xf xfId="0" numFmtId="3" applyNumberFormat="1" borderId="12" applyBorder="1" fontId="6" applyFont="1" fillId="2" applyFill="1" applyAlignment="1">
      <alignment horizontal="center" wrapText="1"/>
    </xf>
    <xf xfId="0" numFmtId="4" applyNumberFormat="1" borderId="12" applyBorder="1" fontId="5" applyFont="1" fillId="2" applyFill="1" applyAlignment="1">
      <alignment horizontal="center"/>
    </xf>
    <xf xfId="0" numFmtId="3" applyNumberFormat="1" borderId="12" applyBorder="1" fontId="5" applyFont="1" fillId="2" applyFill="1" applyAlignment="1">
      <alignment horizontal="center"/>
    </xf>
    <xf xfId="0" numFmtId="4" applyNumberFormat="1" borderId="11" applyBorder="1" fontId="5" applyFont="1" fillId="2" applyFill="1" applyAlignment="1">
      <alignment horizontal="center"/>
    </xf>
    <xf xfId="0" numFmtId="4" applyNumberFormat="1" borderId="12" applyBorder="1" fontId="5" applyFont="1" fillId="2" applyFill="1" applyAlignment="1">
      <alignment horizontal="center" wrapText="1"/>
    </xf>
    <xf xfId="0" numFmtId="3" applyNumberFormat="1" borderId="12" applyBorder="1" fontId="5" applyFont="1" fillId="2" applyFill="1" applyAlignment="1">
      <alignment horizontal="center" wrapText="1"/>
    </xf>
    <xf xfId="0" numFmtId="164" applyNumberFormat="1" borderId="12" applyBorder="1" fontId="5" applyFont="1" fillId="2" applyFill="1" applyAlignment="1">
      <alignment horizontal="center" wrapText="1"/>
    </xf>
    <xf xfId="0" numFmtId="0" borderId="10" applyBorder="1" fontId="7" applyFont="1" fillId="3" applyFill="1" applyAlignment="1">
      <alignment horizontal="left" vertical="top" wrapText="1"/>
    </xf>
    <xf xfId="0" numFmtId="0" borderId="10" applyBorder="1" fontId="7" applyFont="1" fillId="3" applyFill="1" applyAlignment="1">
      <alignment horizontal="center" vertical="top" wrapText="1"/>
    </xf>
    <xf xfId="0" numFmtId="3" applyNumberFormat="1" borderId="13" applyBorder="1" fontId="6" applyFont="1" fillId="0" applyAlignment="1">
      <alignment horizontal="left" wrapText="1"/>
    </xf>
    <xf xfId="0" numFmtId="4" applyNumberFormat="1" borderId="13" applyBorder="1" fontId="7" applyFont="1" fillId="0" applyAlignment="1">
      <alignment horizontal="left" wrapText="1"/>
    </xf>
    <xf xfId="0" numFmtId="3" applyNumberFormat="1" borderId="10" applyBorder="1" fontId="7" applyFont="1" fillId="2" applyFill="1" applyAlignment="1">
      <alignment horizontal="left" wrapText="1"/>
    </xf>
    <xf xfId="0" numFmtId="164" applyNumberFormat="1" borderId="13" applyBorder="1" fontId="6" applyFont="1" fillId="0" applyAlignment="1">
      <alignment horizontal="right"/>
    </xf>
    <xf xfId="0" numFmtId="0" borderId="10" applyBorder="1" fontId="7" applyFont="1" fillId="2" applyFill="1" applyAlignment="1">
      <alignment horizontal="center" vertical="top" wrapText="1"/>
    </xf>
    <xf xfId="0" numFmtId="0" borderId="14" applyBorder="1" fontId="7" applyFont="1" fillId="3" applyFill="1" applyAlignment="1">
      <alignment horizontal="left" wrapText="1"/>
    </xf>
    <xf xfId="0" numFmtId="0" borderId="14" applyBorder="1" fontId="7" applyFont="1" fillId="3" applyFill="1" applyAlignment="1">
      <alignment horizontal="center" wrapText="1"/>
    </xf>
    <xf xfId="0" numFmtId="4" applyNumberFormat="1" borderId="14" applyBorder="1" fontId="5" applyFont="1" fillId="4" applyFill="1" applyAlignment="1">
      <alignment horizontal="right"/>
    </xf>
    <xf xfId="0" numFmtId="4" applyNumberFormat="1" borderId="14" applyBorder="1" fontId="7" applyFont="1" fillId="5" applyFill="1" applyAlignment="1">
      <alignment horizontal="right"/>
    </xf>
    <xf xfId="0" numFmtId="3" applyNumberFormat="1" borderId="14" applyBorder="1" fontId="7" applyFont="1" fillId="2" applyFill="1" applyAlignment="1">
      <alignment horizontal="left"/>
    </xf>
    <xf xfId="0" numFmtId="164" applyNumberFormat="1" borderId="15" applyBorder="1" fontId="6" applyFont="1" fillId="0" applyAlignment="1">
      <alignment horizontal="right"/>
    </xf>
    <xf xfId="0" numFmtId="0" borderId="14" applyBorder="1" fontId="7" applyFont="1" fillId="2" applyFill="1" applyAlignment="1">
      <alignment horizontal="center" wrapText="1"/>
    </xf>
    <xf xfId="0" numFmtId="164" applyNumberFormat="1" borderId="3" applyBorder="1" fontId="6" applyFont="1" fillId="0" applyAlignment="1">
      <alignment horizontal="right"/>
    </xf>
    <xf xfId="0" numFmtId="3" applyNumberFormat="1" borderId="15" applyBorder="1" fontId="6" applyFont="1" fillId="0" applyAlignment="1">
      <alignment horizontal="left" wrapText="1"/>
    </xf>
    <xf xfId="0" numFmtId="4" applyNumberFormat="1" borderId="15" applyBorder="1" fontId="7" applyFont="1" fillId="0" applyAlignment="1">
      <alignment horizontal="left" wrapText="1"/>
    </xf>
    <xf xfId="0" numFmtId="3" applyNumberFormat="1" borderId="14" applyBorder="1" fontId="7" applyFont="1" fillId="2" applyFill="1" applyAlignment="1">
      <alignment horizontal="left" wrapText="1"/>
    </xf>
    <xf xfId="0" numFmtId="3" applyNumberFormat="1" borderId="14" applyBorder="1" fontId="7" applyFont="1" fillId="6" applyFill="1" applyAlignment="1">
      <alignment horizontal="right" wrapText="1"/>
    </xf>
    <xf xfId="0" numFmtId="3" applyNumberFormat="1" borderId="14" applyBorder="1" fontId="7" applyFont="1" fillId="5" applyFill="1" applyAlignment="1">
      <alignment horizontal="right" wrapText="1"/>
    </xf>
    <xf xfId="0" numFmtId="3" applyNumberFormat="1" borderId="14" applyBorder="1" fontId="7" applyFont="1" fillId="2" applyFill="1" applyAlignment="1">
      <alignment horizontal="right" wrapText="1"/>
    </xf>
    <xf xfId="0" numFmtId="164" applyNumberFormat="1" borderId="15" applyBorder="1" fontId="6" applyFont="1" fillId="0" applyAlignment="1">
      <alignment horizontal="center"/>
    </xf>
    <xf xfId="0" numFmtId="3" applyNumberFormat="1" borderId="15" applyBorder="1" fontId="7" applyFont="1" fillId="0" applyAlignment="1">
      <alignment horizontal="left" wrapText="1"/>
    </xf>
    <xf xfId="0" numFmtId="0" borderId="12" applyBorder="1" fontId="7" applyFont="1" fillId="3" applyFill="1" applyAlignment="1">
      <alignment horizontal="left" wrapText="1"/>
    </xf>
    <xf xfId="0" numFmtId="0" borderId="12" applyBorder="1" fontId="7" applyFont="1" fillId="3" applyFill="1" applyAlignment="1">
      <alignment horizontal="center" wrapText="1"/>
    </xf>
    <xf xfId="0" numFmtId="3" applyNumberFormat="1" borderId="12" applyBorder="1" fontId="7" applyFont="1" fillId="6" applyFill="1" applyAlignment="1">
      <alignment horizontal="right" wrapText="1"/>
    </xf>
    <xf xfId="0" numFmtId="3" applyNumberFormat="1" borderId="12" applyBorder="1" fontId="7" applyFont="1" fillId="5" applyFill="1" applyAlignment="1">
      <alignment horizontal="right" wrapText="1"/>
    </xf>
    <xf xfId="0" numFmtId="3" applyNumberFormat="1" borderId="11" applyBorder="1" fontId="7" applyFont="1" fillId="2" applyFill="1" applyAlignment="1">
      <alignment horizontal="right" wrapText="1"/>
    </xf>
    <xf xfId="0" numFmtId="164" applyNumberFormat="1" borderId="16" applyBorder="1" fontId="6" applyFont="1" fillId="0" applyAlignment="1">
      <alignment horizontal="right"/>
    </xf>
    <xf xfId="0" numFmtId="0" borderId="12" applyBorder="1" fontId="7" applyFont="1" fillId="2" applyFill="1" applyAlignment="1">
      <alignment horizontal="center" wrapText="1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3" applyBorder="1" fontId="8" applyFont="1" fillId="0" applyAlignment="1">
      <alignment horizontal="left"/>
    </xf>
    <xf xfId="0" numFmtId="3" applyNumberFormat="1" borderId="3" applyBorder="1" fontId="9" applyFont="1" fillId="0" applyAlignment="1">
      <alignment horizontal="left"/>
    </xf>
    <xf xfId="0" numFmtId="4" applyNumberFormat="1" borderId="3" applyBorder="1" fontId="9" applyFont="1" fillId="0" applyAlignment="1">
      <alignment horizontal="left"/>
    </xf>
    <xf xfId="0" numFmtId="164" applyNumberFormat="1" borderId="3" applyBorder="1" fontId="9" applyFont="1" fillId="0" applyAlignment="1">
      <alignment horizontal="left"/>
    </xf>
    <xf xfId="0" numFmtId="0" borderId="3" applyBorder="1" fontId="9" applyFont="1" fillId="0" applyAlignment="1">
      <alignment horizontal="left"/>
    </xf>
    <xf xfId="0" numFmtId="4" applyNumberFormat="1" borderId="14" applyBorder="1" fontId="7" applyFont="1" fillId="2" applyFill="1" applyAlignment="1">
      <alignment horizontal="right"/>
    </xf>
    <xf xfId="0" numFmtId="3" applyNumberFormat="1" borderId="17" applyBorder="1" fontId="6" applyFont="1" fillId="6" applyFill="1" applyAlignment="1">
      <alignment horizontal="right" wrapText="1"/>
    </xf>
    <xf xfId="0" numFmtId="3" applyNumberFormat="1" borderId="18" applyBorder="1" fontId="7" applyFont="1" fillId="2" applyFill="1" applyAlignment="1">
      <alignment horizontal="left" wrapText="1"/>
    </xf>
    <xf xfId="0" numFmtId="3" applyNumberFormat="1" borderId="19" applyBorder="1" fontId="6" applyFont="1" fillId="6" applyFill="1" applyAlignment="1">
      <alignment horizontal="right" wrapText="1"/>
    </xf>
    <xf xfId="0" numFmtId="3" applyNumberFormat="1" borderId="3" applyBorder="1" fontId="6" applyFont="1" fillId="0" applyAlignment="1">
      <alignment horizontal="right"/>
    </xf>
    <xf xfId="0" numFmtId="3" applyNumberFormat="1" borderId="3" applyBorder="1" fontId="10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4" applyNumberFormat="1" borderId="9" applyBorder="1" fontId="5" applyFont="1" fillId="2" applyFill="1" applyAlignment="1">
      <alignment horizontal="center" vertical="top" wrapText="1"/>
    </xf>
    <xf xfId="0" numFmtId="164" applyNumberFormat="1" borderId="12" applyBorder="1" fontId="5" applyFont="1" fillId="2" applyFill="1" applyAlignment="1">
      <alignment horizontal="center"/>
    </xf>
    <xf xfId="0" numFmtId="164" applyNumberFormat="1" borderId="11" applyBorder="1" fontId="5" applyFont="1" fillId="2" applyFill="1" applyAlignment="1">
      <alignment horizontal="center"/>
    </xf>
    <xf xfId="0" numFmtId="0" borderId="10" applyBorder="1" fontId="5" applyFont="1" fillId="3" applyFill="1" applyAlignment="1">
      <alignment horizontal="left" vertical="top" wrapText="1"/>
    </xf>
    <xf xfId="0" numFmtId="0" borderId="10" applyBorder="1" fontId="6" applyFont="1" fillId="3" applyFill="1" applyAlignment="1">
      <alignment horizontal="center" vertical="top" wrapText="1"/>
    </xf>
    <xf xfId="0" numFmtId="164" applyNumberFormat="1" borderId="13" applyBorder="1" fontId="7" applyFont="1" fillId="0" applyAlignment="1">
      <alignment horizontal="left" wrapText="1"/>
    </xf>
    <xf xfId="0" numFmtId="0" borderId="14" applyBorder="1" fontId="5" applyFont="1" fillId="3" applyFill="1" applyAlignment="1">
      <alignment horizontal="left" wrapText="1"/>
    </xf>
    <xf xfId="0" numFmtId="0" borderId="14" applyBorder="1" fontId="6" applyFont="1" fillId="3" applyFill="1" applyAlignment="1">
      <alignment horizontal="center" wrapText="1"/>
    </xf>
    <xf xfId="0" numFmtId="164" applyNumberFormat="1" borderId="14" applyBorder="1" fontId="5" applyFont="1" fillId="4" applyFill="1" applyAlignment="1">
      <alignment horizontal="right"/>
    </xf>
    <xf xfId="0" numFmtId="164" applyNumberFormat="1" borderId="14" applyBorder="1" fontId="7" applyFont="1" fillId="5" applyFill="1" applyAlignment="1">
      <alignment horizontal="right"/>
    </xf>
    <xf xfId="0" numFmtId="164" applyNumberFormat="1" borderId="15" applyBorder="1" fontId="7" applyFont="1" fillId="0" applyAlignment="1">
      <alignment horizontal="left" wrapText="1"/>
    </xf>
    <xf xfId="0" numFmtId="0" borderId="12" applyBorder="1" fontId="5" applyFont="1" fillId="3" applyFill="1" applyAlignment="1">
      <alignment horizontal="left" wrapText="1"/>
    </xf>
    <xf xfId="0" numFmtId="0" borderId="12" applyBorder="1" fontId="6" applyFont="1" fillId="3" applyFill="1" applyAlignment="1">
      <alignment horizontal="center" wrapText="1"/>
    </xf>
    <xf xfId="0" numFmtId="3" applyNumberFormat="1" borderId="12" applyBorder="1" fontId="6" applyFont="1" fillId="6" applyFill="1" applyAlignment="1">
      <alignment horizontal="right" wrapText="1"/>
    </xf>
    <xf xfId="0" numFmtId="164" applyNumberFormat="1" borderId="14" applyBorder="1" fontId="7" applyFont="1" fillId="2" applyFill="1" applyAlignment="1">
      <alignment horizontal="right"/>
    </xf>
    <xf xfId="0" numFmtId="3" applyNumberFormat="1" borderId="20" applyBorder="1" fontId="6" applyFont="1" fillId="6" applyFill="1" applyAlignment="1">
      <alignment horizontal="right" wrapText="1"/>
    </xf>
    <xf xfId="0" numFmtId="0" borderId="14" applyBorder="1" fontId="6" applyFont="1" fillId="3" applyFill="1" applyAlignment="1">
      <alignment horizontal="left"/>
    </xf>
    <xf xfId="0" numFmtId="0" borderId="12" applyBorder="1" fontId="6" applyFont="1" fillId="3" applyFill="1" applyAlignment="1">
      <alignment horizontal="left"/>
    </xf>
    <xf xfId="0" numFmtId="0" borderId="14" applyBorder="1" fontId="7" applyFont="1" fillId="3" applyFill="1" applyAlignment="1">
      <alignment horizontal="left"/>
    </xf>
    <xf xfId="0" numFmtId="0" borderId="12" applyBorder="1" fontId="7" applyFont="1" fillId="3" applyFill="1" applyAlignment="1">
      <alignment horizontal="left"/>
    </xf>
    <xf xfId="0" numFmtId="0" borderId="1" applyBorder="1" fontId="2" applyFont="1" fillId="0" applyAlignment="1">
      <alignment horizontal="center" vertical="top" wrapText="1"/>
    </xf>
    <xf xfId="0" numFmtId="3" applyNumberFormat="1" borderId="1" applyBorder="1" fontId="2" applyFont="1" fillId="0" applyAlignment="1">
      <alignment horizontal="center" wrapText="1"/>
    </xf>
    <xf xfId="0" numFmtId="0" borderId="3" applyBorder="1" fontId="2" applyFont="1" fillId="0" applyAlignment="1">
      <alignment horizontal="center" wrapText="1"/>
    </xf>
    <xf xfId="0" numFmtId="0" borderId="5" applyBorder="1" fontId="2" applyFont="1" fillId="0" applyAlignment="1">
      <alignment horizontal="center" wrapText="1"/>
    </xf>
    <xf xfId="0" numFmtId="0" borderId="7" applyBorder="1" fontId="3" applyFont="1" fillId="0" applyAlignment="1">
      <alignment horizontal="left" wrapText="1"/>
    </xf>
    <xf xfId="0" numFmtId="3" applyNumberFormat="1" borderId="21" applyBorder="1" fontId="1" applyFont="1" fillId="0" applyAlignment="1">
      <alignment horizontal="center"/>
    </xf>
    <xf xfId="0" numFmtId="0" borderId="21" applyBorder="1" fontId="1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0" borderId="9" applyBorder="1" fontId="11" applyFont="1" fillId="2" applyFill="1" applyAlignment="1">
      <alignment horizontal="center" vertical="top" wrapText="1"/>
    </xf>
    <xf xfId="0" numFmtId="0" borderId="10" applyBorder="1" fontId="11" applyFont="1" fillId="2" applyFill="1" applyAlignment="1">
      <alignment horizontal="center" vertical="top" wrapText="1"/>
    </xf>
    <xf xfId="0" numFmtId="3" applyNumberFormat="1" borderId="10" applyBorder="1" fontId="11" applyFont="1" fillId="2" applyFill="1" applyAlignment="1">
      <alignment horizontal="center" vertical="top" wrapText="1"/>
    </xf>
    <xf xfId="0" numFmtId="3" applyNumberFormat="1" borderId="9" applyBorder="1" fontId="11" applyFont="1" fillId="2" applyFill="1" applyAlignment="1">
      <alignment horizontal="center" vertical="top" wrapText="1"/>
    </xf>
    <xf xfId="0" numFmtId="0" borderId="11" applyBorder="1" fontId="11" applyFont="1" fillId="2" applyFill="1" applyAlignment="1">
      <alignment horizontal="center" wrapText="1"/>
    </xf>
    <xf xfId="0" numFmtId="0" borderId="12" applyBorder="1" fontId="11" applyFont="1" fillId="2" applyFill="1" applyAlignment="1">
      <alignment horizontal="center" wrapText="1"/>
    </xf>
    <xf xfId="0" numFmtId="3" applyNumberFormat="1" borderId="12" applyBorder="1" fontId="7" applyFont="1" fillId="2" applyFill="1" applyAlignment="1">
      <alignment horizontal="center" wrapText="1"/>
    </xf>
    <xf xfId="0" numFmtId="3" applyNumberFormat="1" borderId="12" applyBorder="1" fontId="11" applyFont="1" fillId="2" applyFill="1" applyAlignment="1">
      <alignment horizontal="center"/>
    </xf>
    <xf xfId="0" numFmtId="3" applyNumberFormat="1" borderId="11" applyBorder="1" fontId="11" applyFont="1" fillId="2" applyFill="1" applyAlignment="1">
      <alignment horizontal="center"/>
    </xf>
    <xf xfId="0" numFmtId="3" applyNumberFormat="1" borderId="12" applyBorder="1" fontId="11" applyFont="1" fillId="2" applyFill="1" applyAlignment="1">
      <alignment horizontal="center" wrapText="1"/>
    </xf>
    <xf xfId="0" numFmtId="0" borderId="10" applyBorder="1" fontId="5" applyFont="1" fillId="3" applyFill="1" applyAlignment="1">
      <alignment horizontal="center" vertical="top" wrapText="1"/>
    </xf>
    <xf xfId="0" numFmtId="3" applyNumberFormat="1" borderId="13" applyBorder="1" fontId="7" applyFont="1" fillId="0" applyAlignment="1">
      <alignment horizontal="left" wrapText="1"/>
    </xf>
    <xf xfId="0" numFmtId="165" applyNumberFormat="1" borderId="13" applyBorder="1" fontId="6" applyFont="1" fillId="0" applyAlignment="1">
      <alignment horizontal="right"/>
    </xf>
    <xf xfId="0" numFmtId="0" borderId="14" applyBorder="1" fontId="6" applyFont="1" fillId="3" applyFill="1" applyAlignment="1">
      <alignment horizontal="center"/>
    </xf>
    <xf xfId="0" numFmtId="1" applyNumberFormat="1" borderId="14" applyBorder="1" fontId="7" applyFont="1" fillId="3" applyFill="1" applyAlignment="1">
      <alignment horizontal="left" wrapText="1"/>
    </xf>
    <xf xfId="0" numFmtId="165" applyNumberFormat="1" borderId="15" applyBorder="1" fontId="6" applyFont="1" fillId="0" applyAlignment="1">
      <alignment horizontal="right"/>
    </xf>
    <xf xfId="0" numFmtId="1" applyNumberFormat="1" borderId="12" applyBorder="1" fontId="7" applyFont="1" fillId="3" applyFill="1" applyAlignment="1">
      <alignment horizontal="left" wrapText="1"/>
    </xf>
    <xf xfId="0" numFmtId="0" borderId="15" applyBorder="1" fontId="6" applyFont="1" fillId="0" applyAlignment="1">
      <alignment horizontal="center"/>
    </xf>
    <xf xfId="0" numFmtId="0" borderId="12" applyBorder="1" fontId="6" applyFont="1" fillId="3" applyFill="1" applyAlignment="1">
      <alignment horizontal="center"/>
    </xf>
    <xf xfId="0" numFmtId="165" applyNumberFormat="1" borderId="16" applyBorder="1" fontId="6" applyFont="1" fillId="0" applyAlignment="1">
      <alignment horizontal="right"/>
    </xf>
    <xf xfId="0" numFmtId="0" borderId="10" applyBorder="1" fontId="11" applyFont="1" fillId="3" applyFill="1" applyAlignment="1">
      <alignment horizontal="center" vertical="top" wrapText="1"/>
    </xf>
    <xf xfId="0" numFmtId="0" borderId="10" applyBorder="1" fontId="7" applyFont="1" fillId="2" applyFill="1" applyAlignment="1">
      <alignment horizontal="left" vertical="top" wrapText="1"/>
    </xf>
    <xf xfId="0" numFmtId="3" applyNumberFormat="1" borderId="9" applyBorder="1" fontId="7" applyFont="1" fillId="2" applyFill="1" applyAlignment="1">
      <alignment horizontal="left" wrapText="1"/>
    </xf>
    <xf xfId="0" numFmtId="165" applyNumberFormat="1" borderId="13" applyBorder="1" fontId="7" applyFont="1" fillId="0" applyAlignment="1">
      <alignment horizontal="right"/>
    </xf>
    <xf xfId="0" numFmtId="0" borderId="22" applyBorder="1" fontId="7" applyFont="1" fillId="0" applyAlignment="1">
      <alignment horizontal="left"/>
    </xf>
    <xf xfId="0" numFmtId="0" borderId="14" applyBorder="1" fontId="7" applyFont="1" fillId="3" applyFill="1" applyAlignment="1">
      <alignment horizontal="center"/>
    </xf>
    <xf xfId="0" numFmtId="165" applyNumberFormat="1" borderId="14" applyBorder="1" fontId="7" applyFont="1" fillId="2" applyFill="1" applyAlignment="1">
      <alignment horizontal="left" wrapText="1"/>
    </xf>
    <xf xfId="0" numFmtId="4" applyNumberFormat="1" borderId="14" applyBorder="1" fontId="11" applyFont="1" fillId="4" applyFill="1" applyAlignment="1">
      <alignment horizontal="right"/>
    </xf>
    <xf xfId="0" numFmtId="165" applyNumberFormat="1" borderId="15" applyBorder="1" fontId="7" applyFont="1" fillId="0" applyAlignment="1">
      <alignment horizontal="right"/>
    </xf>
    <xf xfId="0" numFmtId="0" borderId="12" applyBorder="1" fontId="7" applyFont="1" fillId="2" applyFill="1" applyAlignment="1">
      <alignment horizontal="left" wrapText="1"/>
    </xf>
    <xf xfId="0" numFmtId="0" borderId="14" applyBorder="1" fontId="7" applyFont="1" fillId="2" applyFill="1" applyAlignment="1">
      <alignment horizontal="left" vertical="top" wrapText="1"/>
    </xf>
    <xf xfId="0" numFmtId="0" borderId="15" applyBorder="1" fontId="7" applyFont="1" fillId="0" applyAlignment="1">
      <alignment horizontal="center"/>
    </xf>
    <xf xfId="0" numFmtId="0" borderId="14" applyBorder="1" fontId="7" applyFont="1" fillId="2" applyFill="1" applyAlignment="1">
      <alignment horizontal="left" wrapText="1"/>
    </xf>
    <xf xfId="0" numFmtId="0" borderId="12" applyBorder="1" fontId="7" applyFont="1" fillId="3" applyFill="1" applyAlignment="1">
      <alignment horizontal="center"/>
    </xf>
    <xf xfId="0" numFmtId="165" applyNumberFormat="1" borderId="16" applyBorder="1" fontId="7" applyFont="1" fillId="0" applyAlignment="1">
      <alignment horizontal="right"/>
    </xf>
    <xf xfId="0" numFmtId="164" applyNumberFormat="1" borderId="14" applyBorder="1" fontId="11" applyFont="1" fillId="4" applyFill="1" applyAlignment="1">
      <alignment horizontal="right"/>
    </xf>
    <xf xfId="0" numFmtId="3" applyNumberFormat="1" borderId="18" applyBorder="1" fontId="7" applyFont="1" fillId="2" applyFill="1" applyAlignment="1">
      <alignment horizontal="left"/>
    </xf>
    <xf xfId="0" numFmtId="165" applyNumberFormat="1" borderId="12" applyBorder="1" fontId="7" applyFont="1" fillId="2" applyFill="1" applyAlignment="1">
      <alignment horizontal="left" wrapText="1"/>
    </xf>
    <xf xfId="0" numFmtId="0" borderId="14" applyBorder="1" fontId="11" applyFont="1" fillId="2" applyFill="1" applyAlignment="1">
      <alignment horizontal="center" wrapText="1"/>
    </xf>
    <xf xfId="0" numFmtId="0" borderId="14" applyBorder="1" fontId="7" applyFont="1" fillId="2" applyFill="1" applyAlignment="1">
      <alignment horizontal="left"/>
    </xf>
    <xf xfId="0" numFmtId="1" applyNumberFormat="1" borderId="14" applyBorder="1" fontId="12" applyFont="1" fillId="2" applyFill="1" applyAlignment="1">
      <alignment horizontal="left" wrapText="1"/>
    </xf>
    <xf xfId="0" numFmtId="1" applyNumberFormat="1" borderId="12" applyBorder="1" fontId="12" applyFont="1" fillId="2" applyFill="1" applyAlignment="1">
      <alignment horizontal="left" wrapText="1"/>
    </xf>
    <xf xfId="0" numFmtId="1" applyNumberFormat="1" borderId="14" applyBorder="1" fontId="7" applyFont="1" fillId="2" applyFill="1" applyAlignment="1">
      <alignment horizontal="left" wrapText="1"/>
    </xf>
    <xf xfId="0" numFmtId="0" borderId="12" applyBorder="1" fontId="7" applyFont="1" fillId="2" applyFill="1" applyAlignment="1">
      <alignment horizontal="left"/>
    </xf>
    <xf xfId="0" numFmtId="1" applyNumberFormat="1" borderId="12" applyBorder="1" fontId="7" applyFont="1" fillId="2" applyFill="1" applyAlignment="1">
      <alignment horizontal="left" wrapText="1"/>
    </xf>
    <xf xfId="0" numFmtId="0" borderId="10" applyBorder="1" fontId="6" applyFont="1" fillId="2" applyFill="1" applyAlignment="1">
      <alignment horizontal="center" vertical="top" wrapText="1"/>
    </xf>
    <xf xfId="0" numFmtId="0" borderId="14" applyBorder="1" fontId="6" applyFont="1" fillId="2" applyFill="1" applyAlignment="1">
      <alignment horizontal="left" vertical="top" wrapText="1"/>
    </xf>
    <xf xfId="0" numFmtId="3" applyNumberFormat="1" borderId="9" applyBorder="1" fontId="6" applyFont="1" fillId="2" applyFill="1" applyAlignment="1">
      <alignment horizontal="left" wrapText="1"/>
    </xf>
    <xf xfId="0" numFmtId="0" borderId="14" applyBorder="1" fontId="7" applyFont="1" fillId="2" applyFill="1" applyAlignment="1">
      <alignment horizontal="center"/>
    </xf>
    <xf xfId="0" numFmtId="0" borderId="14" applyBorder="1" fontId="6" applyFont="1" fillId="2" applyFill="1" applyAlignment="1">
      <alignment horizontal="left"/>
    </xf>
    <xf xfId="0" numFmtId="0" borderId="14" applyBorder="1" fontId="6" applyFont="1" fillId="2" applyFill="1" applyAlignment="1">
      <alignment horizontal="left" wrapText="1"/>
    </xf>
    <xf xfId="0" numFmtId="164" applyNumberFormat="1" borderId="14" applyBorder="1" fontId="6" applyFont="1" fillId="5" applyFill="1" applyAlignment="1">
      <alignment horizontal="right"/>
    </xf>
    <xf xfId="0" numFmtId="3" applyNumberFormat="1" borderId="18" applyBorder="1" fontId="6" applyFont="1" fillId="2" applyFill="1" applyAlignment="1">
      <alignment horizontal="left"/>
    </xf>
    <xf xfId="0" numFmtId="0" borderId="12" applyBorder="1" fontId="6" applyFont="1" fillId="2" applyFill="1" applyAlignment="1">
      <alignment horizontal="left" wrapText="1"/>
    </xf>
    <xf xfId="0" numFmtId="3" applyNumberFormat="1" borderId="18" applyBorder="1" fontId="6" applyFont="1" fillId="2" applyFill="1" applyAlignment="1">
      <alignment horizontal="left" wrapText="1"/>
    </xf>
    <xf xfId="0" numFmtId="0" borderId="10" applyBorder="1" fontId="6" applyFont="1" fillId="2" applyFill="1" applyAlignment="1">
      <alignment horizontal="left" vertical="top" wrapText="1"/>
    </xf>
    <xf xfId="0" numFmtId="3" applyNumberFormat="1" borderId="14" applyBorder="1" fontId="6" applyFont="1" fillId="6" applyFill="1" applyAlignment="1">
      <alignment horizontal="right" wrapText="1"/>
    </xf>
    <xf xfId="0" numFmtId="3" applyNumberFormat="1" borderId="14" applyBorder="1" fontId="6" applyFont="1" fillId="5" applyFill="1" applyAlignment="1">
      <alignment horizontal="right" wrapText="1"/>
    </xf>
    <xf xfId="0" numFmtId="3" applyNumberFormat="1" borderId="14" applyBorder="1" fontId="6" applyFont="1" fillId="2" applyFill="1" applyAlignment="1">
      <alignment horizontal="right" wrapText="1"/>
    </xf>
    <xf xfId="0" numFmtId="166" applyNumberFormat="1" borderId="14" applyBorder="1" fontId="6" applyFont="1" fillId="5" applyFill="1" applyAlignment="1">
      <alignment horizontal="right" wrapText="1"/>
    </xf>
    <xf xfId="0" numFmtId="165" applyNumberFormat="1" borderId="14" applyBorder="1" fontId="6" applyFont="1" fillId="2" applyFill="1" applyAlignment="1">
      <alignment horizontal="left" wrapText="1"/>
    </xf>
    <xf xfId="0" numFmtId="0" borderId="12" applyBorder="1" fontId="7" applyFont="1" fillId="2" applyFill="1" applyAlignment="1">
      <alignment horizontal="center"/>
    </xf>
    <xf xfId="0" numFmtId="0" borderId="12" applyBorder="1" fontId="6" applyFont="1" fillId="2" applyFill="1" applyAlignment="1">
      <alignment horizontal="left"/>
    </xf>
    <xf xfId="0" numFmtId="3" applyNumberFormat="1" borderId="3" applyBorder="1" fontId="7" applyFont="1" fillId="0" applyAlignment="1">
      <alignment horizontal="center"/>
    </xf>
    <xf xfId="0" numFmtId="0" borderId="3" applyBorder="1" fontId="7" applyFont="1" fillId="0" applyAlignment="1">
      <alignment horizontal="center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76"/>
  <sheetViews>
    <sheetView workbookViewId="0" tabSelected="1">
      <pane state="frozen" activePane="bottomLeft" topLeftCell="A6" ySplit="5" xSplit="0"/>
    </sheetView>
  </sheetViews>
  <sheetFormatPr defaultRowHeight="15" x14ac:dyDescent="0.25"/>
  <cols>
    <col min="1" max="1" style="84" width="11.43357142857143" customWidth="1" bestFit="1"/>
    <col min="2" max="2" style="84" width="26.576428571428572" customWidth="1" bestFit="1"/>
    <col min="3" max="3" style="84" width="24.576428571428572" customWidth="1" bestFit="1"/>
    <col min="4" max="4" style="181" width="28.576428571428572" customWidth="1" bestFit="1"/>
    <col min="5" max="5" style="85" width="17.005" customWidth="1" bestFit="1"/>
    <col min="6" max="6" style="85" width="10.576428571428572" customWidth="1" bestFit="1"/>
    <col min="7" max="7" style="85" width="10.576428571428572" customWidth="1" bestFit="1"/>
    <col min="8" max="8" style="85" width="10.576428571428572" customWidth="1" bestFit="1"/>
    <col min="9" max="9" style="85" width="10.576428571428572" customWidth="1" bestFit="1"/>
    <col min="10" max="10" style="85" width="10.576428571428572" customWidth="1" bestFit="1"/>
    <col min="11" max="11" style="85" width="10.576428571428572" customWidth="1" bestFit="1"/>
    <col min="12" max="12" style="84" width="16.005" customWidth="1" bestFit="1"/>
    <col min="13" max="13" style="84" width="21.433571428571426" customWidth="1" bestFit="1"/>
  </cols>
  <sheetData>
    <row x14ac:dyDescent="0.25" r="1" customHeight="1" ht="12.75">
      <c r="A1" s="7"/>
      <c r="B1" s="1"/>
      <c r="C1" s="2"/>
      <c r="D1" s="108"/>
      <c r="E1" s="109"/>
      <c r="F1" s="5"/>
      <c r="G1" s="5"/>
      <c r="H1" s="5"/>
      <c r="I1" s="5"/>
      <c r="J1" s="5"/>
      <c r="K1" s="5"/>
      <c r="L1" s="8"/>
      <c r="M1" s="7"/>
    </row>
    <row x14ac:dyDescent="0.25" r="2" customHeight="1" ht="12.75">
      <c r="A2" s="7"/>
      <c r="B2" s="8"/>
      <c r="C2" s="9"/>
      <c r="D2" s="110"/>
      <c r="E2" s="10"/>
      <c r="F2" s="5"/>
      <c r="G2" s="5"/>
      <c r="H2" s="5"/>
      <c r="I2" s="5"/>
      <c r="J2" s="5"/>
      <c r="K2" s="5"/>
      <c r="L2" s="8"/>
      <c r="M2" s="7"/>
    </row>
    <row x14ac:dyDescent="0.25" r="3" customHeight="1" ht="15.75">
      <c r="A3" s="7"/>
      <c r="B3" s="8"/>
      <c r="C3" s="9"/>
      <c r="D3" s="110"/>
      <c r="E3" s="10"/>
      <c r="F3" s="5"/>
      <c r="G3" s="5"/>
      <c r="H3" s="5"/>
      <c r="I3" s="5"/>
      <c r="J3" s="5"/>
      <c r="K3" s="5"/>
      <c r="L3" s="8"/>
      <c r="M3" s="7"/>
    </row>
    <row x14ac:dyDescent="0.25" r="4" customHeight="1" ht="12.75">
      <c r="A4" s="7"/>
      <c r="B4" s="8"/>
      <c r="C4" s="9"/>
      <c r="D4" s="110"/>
      <c r="E4" s="10"/>
      <c r="F4" s="5"/>
      <c r="G4" s="5"/>
      <c r="H4" s="5"/>
      <c r="I4" s="5"/>
      <c r="J4" s="5"/>
      <c r="K4" s="5"/>
      <c r="L4" s="8"/>
      <c r="M4" s="7"/>
    </row>
    <row x14ac:dyDescent="0.25" r="5" customHeight="1" ht="20.25">
      <c r="A5" s="7"/>
      <c r="B5" s="11"/>
      <c r="C5" s="12"/>
      <c r="D5" s="111"/>
      <c r="E5" s="13"/>
      <c r="F5" s="5"/>
      <c r="G5" s="5"/>
      <c r="H5" s="5"/>
      <c r="I5" s="5"/>
      <c r="J5" s="5"/>
      <c r="K5" s="5"/>
      <c r="L5" s="8"/>
      <c r="M5" s="7"/>
    </row>
    <row x14ac:dyDescent="0.25" r="6" customHeight="1" ht="18.75">
      <c r="A6" s="7"/>
      <c r="B6" s="14"/>
      <c r="C6" s="15"/>
      <c r="D6" s="112"/>
      <c r="E6" s="16"/>
      <c r="F6" s="20"/>
      <c r="G6" s="20"/>
      <c r="H6" s="20"/>
      <c r="I6" s="20"/>
      <c r="J6" s="20"/>
      <c r="K6" s="20"/>
      <c r="L6" s="7"/>
      <c r="M6" s="7"/>
    </row>
    <row x14ac:dyDescent="0.25" r="7" customHeight="1" ht="18.75">
      <c r="A7" s="7"/>
      <c r="B7" s="7"/>
      <c r="C7" s="7"/>
      <c r="D7" s="31"/>
      <c r="E7" s="20"/>
      <c r="F7" s="5"/>
      <c r="G7" s="5"/>
      <c r="H7" s="5"/>
      <c r="I7" s="5"/>
      <c r="J7" s="5"/>
      <c r="K7" s="5"/>
      <c r="L7" s="8"/>
      <c r="M7" s="7"/>
    </row>
    <row x14ac:dyDescent="0.25" r="8" customHeight="1" ht="19.5">
      <c r="A8" s="7"/>
      <c r="B8" s="21"/>
      <c r="C8" s="22"/>
      <c r="D8" s="31"/>
      <c r="E8" s="20"/>
      <c r="F8" s="5"/>
      <c r="G8" s="5"/>
      <c r="H8" s="5"/>
      <c r="I8" s="5"/>
      <c r="J8" s="5"/>
      <c r="K8" s="5"/>
      <c r="L8" s="8"/>
      <c r="M8" s="7"/>
    </row>
    <row x14ac:dyDescent="0.25" r="9" customHeight="1" ht="19.5">
      <c r="A9" s="7"/>
      <c r="B9" s="21"/>
      <c r="C9" s="21"/>
      <c r="D9" s="31"/>
      <c r="E9" s="20"/>
      <c r="F9" s="5"/>
      <c r="G9" s="5"/>
      <c r="H9" s="5"/>
      <c r="I9" s="5"/>
      <c r="J9" s="5"/>
      <c r="K9" s="5"/>
      <c r="L9" s="8"/>
      <c r="M9" s="7"/>
    </row>
    <row x14ac:dyDescent="0.25" r="10" customHeight="1" ht="20.25">
      <c r="A10" s="7"/>
      <c r="B10" s="21"/>
      <c r="C10" s="21"/>
      <c r="D10" s="31"/>
      <c r="E10" s="20"/>
      <c r="F10" s="5"/>
      <c r="G10" s="5"/>
      <c r="H10" s="5"/>
      <c r="I10" s="5"/>
      <c r="J10" s="5"/>
      <c r="K10" s="113"/>
      <c r="L10" s="114"/>
      <c r="M10" s="115"/>
    </row>
    <row x14ac:dyDescent="0.25" r="11" customHeight="1" ht="19.5">
      <c r="A11" s="7"/>
      <c r="B11" s="21"/>
      <c r="C11" s="21"/>
      <c r="D11" s="31"/>
      <c r="E11" s="20"/>
      <c r="F11" s="5"/>
      <c r="G11" s="5"/>
      <c r="H11" s="5"/>
      <c r="I11" s="5"/>
      <c r="J11" s="5"/>
      <c r="K11" s="5"/>
      <c r="L11" s="8"/>
      <c r="M11" s="115"/>
    </row>
    <row x14ac:dyDescent="0.25" r="12" customHeight="1" ht="19.5">
      <c r="A12" s="7"/>
      <c r="B12" s="21" t="s">
        <v>27</v>
      </c>
      <c r="C12" s="21"/>
      <c r="D12" s="31"/>
      <c r="E12" s="20"/>
      <c r="F12" s="5"/>
      <c r="G12" s="5"/>
      <c r="H12" s="5"/>
      <c r="I12" s="5"/>
      <c r="J12" s="5"/>
      <c r="K12" s="5"/>
      <c r="L12" s="8"/>
      <c r="M12" s="115"/>
    </row>
    <row x14ac:dyDescent="0.25" r="13" customHeight="1" ht="19.5">
      <c r="A13" s="7"/>
      <c r="B13" s="21"/>
      <c r="C13" s="21"/>
      <c r="D13" s="31"/>
      <c r="E13" s="20"/>
      <c r="F13" s="5"/>
      <c r="G13" s="5"/>
      <c r="H13" s="5"/>
      <c r="I13" s="5"/>
      <c r="J13" s="5"/>
      <c r="K13" s="5"/>
      <c r="L13" s="8"/>
      <c r="M13" s="115"/>
    </row>
    <row x14ac:dyDescent="0.25" r="14" customHeight="1" ht="18.75" customFormat="1" s="24">
      <c r="A14" s="116" t="s">
        <v>28</v>
      </c>
      <c r="B14" s="116" t="s">
        <v>0</v>
      </c>
      <c r="C14" s="117" t="s">
        <v>1</v>
      </c>
      <c r="D14" s="117" t="s">
        <v>29</v>
      </c>
      <c r="E14" s="118" t="s">
        <v>2</v>
      </c>
      <c r="F14" s="118" t="s">
        <v>3</v>
      </c>
      <c r="G14" s="118" t="s">
        <v>4</v>
      </c>
      <c r="H14" s="119" t="s">
        <v>5</v>
      </c>
      <c r="I14" s="118" t="s">
        <v>6</v>
      </c>
      <c r="J14" s="118" t="s">
        <v>7</v>
      </c>
      <c r="K14" s="118" t="s">
        <v>30</v>
      </c>
      <c r="L14" s="117" t="s">
        <v>9</v>
      </c>
      <c r="M14" s="31"/>
    </row>
    <row x14ac:dyDescent="0.25" r="15" customHeight="1" ht="18.75">
      <c r="A15" s="120"/>
      <c r="B15" s="120"/>
      <c r="C15" s="121"/>
      <c r="D15" s="121"/>
      <c r="E15" s="122"/>
      <c r="F15" s="123"/>
      <c r="G15" s="123"/>
      <c r="H15" s="124"/>
      <c r="I15" s="123"/>
      <c r="J15" s="125"/>
      <c r="K15" s="125"/>
      <c r="L15" s="121"/>
      <c r="M15" s="7"/>
    </row>
    <row x14ac:dyDescent="0.25" r="16" customHeight="1" ht="27">
      <c r="A16" s="126" t="s">
        <v>31</v>
      </c>
      <c r="B16" s="91" t="s">
        <v>26</v>
      </c>
      <c r="C16" s="92" t="s">
        <v>32</v>
      </c>
      <c r="D16" s="41" t="s">
        <v>33</v>
      </c>
      <c r="E16" s="43" t="s">
        <v>13</v>
      </c>
      <c r="F16" s="127" t="s">
        <v>13</v>
      </c>
      <c r="G16" s="45" t="s">
        <v>13</v>
      </c>
      <c r="H16" s="127" t="s">
        <v>13</v>
      </c>
      <c r="I16" s="45" t="s">
        <v>13</v>
      </c>
      <c r="J16" s="127" t="s">
        <v>13</v>
      </c>
      <c r="K16" s="45" t="s">
        <v>13</v>
      </c>
      <c r="L16" s="128"/>
      <c r="M16" s="7"/>
    </row>
    <row x14ac:dyDescent="0.25" r="17" customHeight="1" ht="18.75">
      <c r="A17" s="129"/>
      <c r="B17" s="104"/>
      <c r="C17" s="104"/>
      <c r="D17" s="130"/>
      <c r="E17" s="96">
        <f>IF(E19&lt;&gt;0,+E19/E21,0%)</f>
      </c>
      <c r="F17" s="51">
        <f>IF(F19&lt;&gt;0,ROUND(+F19/F21,4),0%)</f>
      </c>
      <c r="G17" s="52">
        <f>IF(G19&lt;&gt;0,+G19/G21,0%)</f>
      </c>
      <c r="H17" s="51">
        <f>IF(H19&lt;&gt;0,ROUND(+H19/H21,4),0%)</f>
      </c>
      <c r="I17" s="52">
        <f>IF(I19&lt;&gt;0,+I19/I21,0%)</f>
      </c>
      <c r="J17" s="51">
        <f>IF(J19&lt;&gt;0,ROUND(+J19/J21,4),0%)</f>
      </c>
      <c r="K17" s="52">
        <f>IF(K19&lt;&gt;0,+K19/K21,0%)</f>
      </c>
      <c r="L17" s="131"/>
      <c r="M17" s="7"/>
    </row>
    <row x14ac:dyDescent="0.25" r="18" customHeight="1" ht="18.75">
      <c r="A18" s="129"/>
      <c r="B18" s="104"/>
      <c r="C18" s="104"/>
      <c r="D18" s="132"/>
      <c r="E18" s="56" t="s">
        <v>15</v>
      </c>
      <c r="F18" s="63" t="s">
        <v>15</v>
      </c>
      <c r="G18" s="58" t="s">
        <v>15</v>
      </c>
      <c r="H18" s="63" t="s">
        <v>15</v>
      </c>
      <c r="I18" s="58" t="s">
        <v>15</v>
      </c>
      <c r="J18" s="63" t="s">
        <v>15</v>
      </c>
      <c r="K18" s="58" t="s">
        <v>15</v>
      </c>
      <c r="L18" s="131"/>
      <c r="M18" s="7"/>
    </row>
    <row x14ac:dyDescent="0.25" r="19" customHeight="1" ht="18.75">
      <c r="A19" s="129"/>
      <c r="B19" s="104"/>
      <c r="C19" s="104"/>
      <c r="D19" s="41" t="s">
        <v>34</v>
      </c>
      <c r="E19" s="59">
        <v>25500</v>
      </c>
      <c r="F19" s="60"/>
      <c r="G19" s="61">
        <f>+#REF!+F19</f>
      </c>
      <c r="H19" s="60"/>
      <c r="I19" s="61">
        <f>+G19+H19</f>
      </c>
      <c r="J19" s="60"/>
      <c r="K19" s="61">
        <f>+I19+J19</f>
      </c>
      <c r="L19" s="133">
        <f>+K17/E17</f>
      </c>
      <c r="M19" s="7"/>
    </row>
    <row x14ac:dyDescent="0.25" r="20" customHeight="1" ht="18.75">
      <c r="A20" s="129"/>
      <c r="B20" s="104"/>
      <c r="C20" s="104"/>
      <c r="D20" s="130"/>
      <c r="E20" s="63" t="s">
        <v>16</v>
      </c>
      <c r="F20" s="63" t="s">
        <v>16</v>
      </c>
      <c r="G20" s="80" t="s">
        <v>16</v>
      </c>
      <c r="H20" s="63" t="s">
        <v>16</v>
      </c>
      <c r="I20" s="80" t="s">
        <v>16</v>
      </c>
      <c r="J20" s="63" t="s">
        <v>16</v>
      </c>
      <c r="K20" s="58" t="s">
        <v>16</v>
      </c>
      <c r="L20" s="131"/>
      <c r="M20" s="7"/>
    </row>
    <row x14ac:dyDescent="0.25" r="21" customHeight="1" ht="18.75">
      <c r="A21" s="134"/>
      <c r="B21" s="105"/>
      <c r="C21" s="105"/>
      <c r="D21" s="132"/>
      <c r="E21" s="59">
        <v>30000</v>
      </c>
      <c r="F21" s="67"/>
      <c r="G21" s="68">
        <f>+#REF!+F21</f>
      </c>
      <c r="H21" s="67"/>
      <c r="I21" s="68">
        <f>+G21+H21</f>
      </c>
      <c r="J21" s="67"/>
      <c r="K21" s="68">
        <f>+I21+J21</f>
      </c>
      <c r="L21" s="135"/>
      <c r="M21" s="7"/>
    </row>
    <row x14ac:dyDescent="0.25" r="22" customHeight="1" ht="27">
      <c r="A22" s="136" t="s">
        <v>35</v>
      </c>
      <c r="B22" s="41" t="s">
        <v>36</v>
      </c>
      <c r="C22" s="42" t="s">
        <v>37</v>
      </c>
      <c r="D22" s="137" t="s">
        <v>38</v>
      </c>
      <c r="E22" s="127" t="s">
        <v>13</v>
      </c>
      <c r="F22" s="127" t="s">
        <v>13</v>
      </c>
      <c r="G22" s="138" t="s">
        <v>13</v>
      </c>
      <c r="H22" s="127" t="s">
        <v>13</v>
      </c>
      <c r="I22" s="138" t="s">
        <v>13</v>
      </c>
      <c r="J22" s="127" t="s">
        <v>13</v>
      </c>
      <c r="K22" s="138" t="s">
        <v>13</v>
      </c>
      <c r="L22" s="139"/>
      <c r="M22" s="140"/>
    </row>
    <row x14ac:dyDescent="0.25" r="23" customHeight="1" ht="18.75">
      <c r="A23" s="141"/>
      <c r="B23" s="48"/>
      <c r="C23" s="106"/>
      <c r="D23" s="142"/>
      <c r="E23" s="143">
        <f>ROUND(E25/E27,0)</f>
      </c>
      <c r="F23" s="51">
        <f>IF(F25&lt;&gt;0,+F25/F27,0%)</f>
      </c>
      <c r="G23" s="52">
        <f>IF(G25&lt;&gt;0,+G25/G27,0%)</f>
      </c>
      <c r="H23" s="51">
        <f>IF(H25&lt;&gt;0,+H25/H27,0%)</f>
      </c>
      <c r="I23" s="52">
        <f>IF(I25&lt;&gt;0,+I25/I27,0%)</f>
      </c>
      <c r="J23" s="51">
        <f>IF(J25&lt;&gt;0,+J25/J27,0%)</f>
      </c>
      <c r="K23" s="52">
        <f>IF(K25&lt;&gt;0,+K25/K27,0%)</f>
      </c>
      <c r="L23" s="144"/>
      <c r="M23" s="7"/>
    </row>
    <row x14ac:dyDescent="0.25" r="24" customHeight="1" ht="18.75">
      <c r="A24" s="141"/>
      <c r="B24" s="48"/>
      <c r="C24" s="106"/>
      <c r="D24" s="145"/>
      <c r="E24" s="63" t="s">
        <v>15</v>
      </c>
      <c r="F24" s="63" t="s">
        <v>15</v>
      </c>
      <c r="G24" s="80" t="s">
        <v>15</v>
      </c>
      <c r="H24" s="63" t="s">
        <v>15</v>
      </c>
      <c r="I24" s="80" t="s">
        <v>15</v>
      </c>
      <c r="J24" s="63" t="s">
        <v>15</v>
      </c>
      <c r="K24" s="80" t="s">
        <v>15</v>
      </c>
      <c r="L24" s="144"/>
      <c r="M24" s="7"/>
    </row>
    <row x14ac:dyDescent="0.25" r="25" customHeight="1" ht="23.100000000000005">
      <c r="A25" s="141"/>
      <c r="B25" s="48"/>
      <c r="C25" s="106"/>
      <c r="D25" s="146" t="s">
        <v>39</v>
      </c>
      <c r="E25" s="59">
        <v>2770617</v>
      </c>
      <c r="F25" s="60"/>
      <c r="G25" s="61">
        <f>+#REF!+F25</f>
      </c>
      <c r="H25" s="60"/>
      <c r="I25" s="61">
        <f>+G25+H25</f>
      </c>
      <c r="J25" s="60"/>
      <c r="K25" s="61">
        <f>+I25+J25</f>
      </c>
      <c r="L25" s="147">
        <f>+K23/E23</f>
      </c>
      <c r="M25" s="7"/>
    </row>
    <row x14ac:dyDescent="0.25" r="26" customHeight="1" ht="23.100000000000005">
      <c r="A26" s="141"/>
      <c r="B26" s="48"/>
      <c r="C26" s="106"/>
      <c r="D26" s="148"/>
      <c r="E26" s="63" t="s">
        <v>16</v>
      </c>
      <c r="F26" s="63" t="s">
        <v>16</v>
      </c>
      <c r="G26" s="80" t="s">
        <v>16</v>
      </c>
      <c r="H26" s="63" t="s">
        <v>16</v>
      </c>
      <c r="I26" s="80" t="s">
        <v>16</v>
      </c>
      <c r="J26" s="63" t="s">
        <v>16</v>
      </c>
      <c r="K26" s="80" t="s">
        <v>16</v>
      </c>
      <c r="L26" s="144"/>
      <c r="M26" s="7"/>
    </row>
    <row x14ac:dyDescent="0.25" r="27" customHeight="1" ht="23.100000000000005">
      <c r="A27" s="149"/>
      <c r="B27" s="64"/>
      <c r="C27" s="107"/>
      <c r="D27" s="145"/>
      <c r="E27" s="59">
        <v>115369</v>
      </c>
      <c r="F27" s="67"/>
      <c r="G27" s="68">
        <f>+#REF!+F27</f>
      </c>
      <c r="H27" s="67"/>
      <c r="I27" s="68">
        <f>+G27+H27</f>
      </c>
      <c r="J27" s="67"/>
      <c r="K27" s="68">
        <f>+I27+J27</f>
      </c>
      <c r="L27" s="150"/>
      <c r="M27" s="7"/>
    </row>
    <row x14ac:dyDescent="0.25" r="28" customHeight="1" ht="23.100000000000005">
      <c r="A28" s="136" t="s">
        <v>40</v>
      </c>
      <c r="B28" s="41" t="s">
        <v>41</v>
      </c>
      <c r="C28" s="42" t="s">
        <v>42</v>
      </c>
      <c r="D28" s="137" t="s">
        <v>43</v>
      </c>
      <c r="E28" s="127" t="s">
        <v>13</v>
      </c>
      <c r="F28" s="127" t="s">
        <v>13</v>
      </c>
      <c r="G28" s="138" t="s">
        <v>13</v>
      </c>
      <c r="H28" s="127" t="s">
        <v>13</v>
      </c>
      <c r="I28" s="138" t="s">
        <v>13</v>
      </c>
      <c r="J28" s="127" t="s">
        <v>13</v>
      </c>
      <c r="K28" s="138" t="s">
        <v>13</v>
      </c>
      <c r="L28" s="139"/>
      <c r="M28" s="7"/>
    </row>
    <row x14ac:dyDescent="0.25" r="29" customHeight="1" ht="23.100000000000005">
      <c r="A29" s="141"/>
      <c r="B29" s="106"/>
      <c r="C29" s="49"/>
      <c r="D29" s="142"/>
      <c r="E29" s="151">
        <f>+E31/E33</f>
      </c>
      <c r="F29" s="97">
        <f>IF(F31&lt;&gt;0,+F31/F33,0%)</f>
      </c>
      <c r="G29" s="152">
        <f>IF(G31&lt;&gt;0,+G31/G33,0%)</f>
      </c>
      <c r="H29" s="97">
        <f>IF(H31&lt;&gt;0,+H31/H33,0%)</f>
      </c>
      <c r="I29" s="152">
        <f>IF(I31&lt;&gt;0,+I31/I33,0%)</f>
      </c>
      <c r="J29" s="97">
        <f>IF(J31&lt;&gt;0,+J31/J33,0%)</f>
      </c>
      <c r="K29" s="152">
        <f>IF(K31&lt;&gt;0,+K31/K33,0%)</f>
      </c>
      <c r="L29" s="144"/>
      <c r="M29" s="7"/>
    </row>
    <row x14ac:dyDescent="0.25" r="30" customHeight="1" ht="23.100000000000005">
      <c r="A30" s="141"/>
      <c r="B30" s="106"/>
      <c r="C30" s="49"/>
      <c r="D30" s="153"/>
      <c r="E30" s="63" t="s">
        <v>15</v>
      </c>
      <c r="F30" s="63" t="s">
        <v>15</v>
      </c>
      <c r="G30" s="80" t="s">
        <v>15</v>
      </c>
      <c r="H30" s="63" t="s">
        <v>15</v>
      </c>
      <c r="I30" s="80" t="s">
        <v>15</v>
      </c>
      <c r="J30" s="63" t="s">
        <v>15</v>
      </c>
      <c r="K30" s="80" t="s">
        <v>15</v>
      </c>
      <c r="L30" s="144"/>
      <c r="M30" s="7"/>
    </row>
    <row x14ac:dyDescent="0.25" r="31" customHeight="1" ht="23.100000000000005">
      <c r="A31" s="141"/>
      <c r="B31" s="106"/>
      <c r="C31" s="49"/>
      <c r="D31" s="137" t="s">
        <v>44</v>
      </c>
      <c r="E31" s="59">
        <v>247661</v>
      </c>
      <c r="F31" s="60"/>
      <c r="G31" s="61">
        <f>+#REF!+F31</f>
      </c>
      <c r="H31" s="60"/>
      <c r="I31" s="61">
        <f>+G31+H31</f>
      </c>
      <c r="J31" s="60"/>
      <c r="K31" s="61">
        <f>+I31+J31</f>
      </c>
      <c r="L31" s="147">
        <f>+K29/E29</f>
      </c>
      <c r="M31" s="7"/>
    </row>
    <row x14ac:dyDescent="0.25" r="32" customHeight="1" ht="23.100000000000005">
      <c r="A32" s="141"/>
      <c r="B32" s="106"/>
      <c r="C32" s="49"/>
      <c r="D32" s="142"/>
      <c r="E32" s="63" t="s">
        <v>16</v>
      </c>
      <c r="F32" s="63" t="s">
        <v>16</v>
      </c>
      <c r="G32" s="80" t="s">
        <v>16</v>
      </c>
      <c r="H32" s="63" t="s">
        <v>16</v>
      </c>
      <c r="I32" s="80" t="s">
        <v>16</v>
      </c>
      <c r="J32" s="63" t="s">
        <v>16</v>
      </c>
      <c r="K32" s="80" t="s">
        <v>16</v>
      </c>
      <c r="L32" s="144"/>
      <c r="M32" s="7"/>
    </row>
    <row x14ac:dyDescent="0.25" r="33" customHeight="1" ht="23.100000000000005">
      <c r="A33" s="149"/>
      <c r="B33" s="107"/>
      <c r="C33" s="65"/>
      <c r="D33" s="153"/>
      <c r="E33" s="59">
        <v>272154</v>
      </c>
      <c r="F33" s="67"/>
      <c r="G33" s="68">
        <f>+#REF!+F33</f>
      </c>
      <c r="H33" s="67"/>
      <c r="I33" s="68">
        <f>+G33+H33</f>
      </c>
      <c r="J33" s="67"/>
      <c r="K33" s="68">
        <f>+I33+J33</f>
      </c>
      <c r="L33" s="150"/>
      <c r="M33" s="7"/>
    </row>
    <row x14ac:dyDescent="0.25" r="34" customHeight="1" ht="23.100000000000005">
      <c r="A34" s="136" t="s">
        <v>45</v>
      </c>
      <c r="B34" s="41" t="s">
        <v>46</v>
      </c>
      <c r="C34" s="42" t="s">
        <v>12</v>
      </c>
      <c r="D34" s="41" t="s">
        <v>47</v>
      </c>
      <c r="E34" s="127" t="s">
        <v>13</v>
      </c>
      <c r="F34" s="127" t="s">
        <v>13</v>
      </c>
      <c r="G34" s="138" t="s">
        <v>13</v>
      </c>
      <c r="H34" s="127" t="s">
        <v>13</v>
      </c>
      <c r="I34" s="138" t="s">
        <v>13</v>
      </c>
      <c r="J34" s="127" t="s">
        <v>13</v>
      </c>
      <c r="K34" s="138" t="s">
        <v>13</v>
      </c>
      <c r="L34" s="139"/>
      <c r="M34" s="140"/>
    </row>
    <row x14ac:dyDescent="0.25" r="35" customHeight="1" ht="23.100000000000005">
      <c r="A35" s="141"/>
      <c r="B35" s="48"/>
      <c r="C35" s="106"/>
      <c r="D35" s="130"/>
      <c r="E35" s="143">
        <f>+E37/E39</f>
      </c>
      <c r="F35" s="51">
        <f>IF(F37&lt;&gt;0,+F37/F39,0%)</f>
      </c>
      <c r="G35" s="52">
        <f>IF(G37&lt;&gt;0,+G37/G39,0%)</f>
      </c>
      <c r="H35" s="51">
        <f>IF(H37&lt;&gt;0,+H37/H39,0%)</f>
      </c>
      <c r="I35" s="52">
        <f>IF(I37&lt;&gt;0,+I37/I39,0%)</f>
      </c>
      <c r="J35" s="51">
        <f>IF(J37&lt;&gt;0,+J37/J39,0%)</f>
      </c>
      <c r="K35" s="52">
        <f>IF(K37&lt;&gt;0,+K37/K39,0%)</f>
      </c>
      <c r="L35" s="144"/>
      <c r="M35" s="7"/>
    </row>
    <row x14ac:dyDescent="0.25" r="36" customHeight="1" ht="23.100000000000005">
      <c r="A36" s="141"/>
      <c r="B36" s="48"/>
      <c r="C36" s="106"/>
      <c r="D36" s="132"/>
      <c r="E36" s="63" t="s">
        <v>15</v>
      </c>
      <c r="F36" s="63" t="s">
        <v>15</v>
      </c>
      <c r="G36" s="80" t="s">
        <v>15</v>
      </c>
      <c r="H36" s="63" t="s">
        <v>15</v>
      </c>
      <c r="I36" s="80" t="s">
        <v>15</v>
      </c>
      <c r="J36" s="63" t="s">
        <v>15</v>
      </c>
      <c r="K36" s="80" t="s">
        <v>15</v>
      </c>
      <c r="L36" s="144"/>
      <c r="M36" s="7"/>
    </row>
    <row x14ac:dyDescent="0.25" r="37" customHeight="1" ht="23.100000000000005">
      <c r="A37" s="141"/>
      <c r="B37" s="48"/>
      <c r="C37" s="106"/>
      <c r="D37" s="41" t="s">
        <v>48</v>
      </c>
      <c r="E37" s="59">
        <v>7099750</v>
      </c>
      <c r="F37" s="60"/>
      <c r="G37" s="61">
        <f>+#REF!+F37</f>
      </c>
      <c r="H37" s="60"/>
      <c r="I37" s="61">
        <f>+G37+H37</f>
      </c>
      <c r="J37" s="60"/>
      <c r="K37" s="61">
        <f>+I37+J37</f>
      </c>
      <c r="L37" s="147">
        <f>+K35/E35</f>
      </c>
      <c r="M37" s="7"/>
    </row>
    <row x14ac:dyDescent="0.25" r="38" customHeight="1" ht="23.100000000000005">
      <c r="A38" s="141"/>
      <c r="B38" s="48"/>
      <c r="C38" s="106"/>
      <c r="D38" s="130"/>
      <c r="E38" s="63" t="s">
        <v>16</v>
      </c>
      <c r="F38" s="63" t="s">
        <v>16</v>
      </c>
      <c r="G38" s="80" t="s">
        <v>16</v>
      </c>
      <c r="H38" s="63" t="s">
        <v>16</v>
      </c>
      <c r="I38" s="80" t="s">
        <v>16</v>
      </c>
      <c r="J38" s="63" t="s">
        <v>16</v>
      </c>
      <c r="K38" s="80" t="s">
        <v>16</v>
      </c>
      <c r="L38" s="144"/>
      <c r="M38" s="7"/>
    </row>
    <row x14ac:dyDescent="0.25" r="39" customHeight="1" ht="23.100000000000005">
      <c r="A39" s="149"/>
      <c r="B39" s="64"/>
      <c r="C39" s="107"/>
      <c r="D39" s="132"/>
      <c r="E39" s="59">
        <v>251140</v>
      </c>
      <c r="F39" s="67"/>
      <c r="G39" s="68">
        <f>+#REF!+F39</f>
      </c>
      <c r="H39" s="67"/>
      <c r="I39" s="68">
        <f>+G39+H39</f>
      </c>
      <c r="J39" s="67"/>
      <c r="K39" s="68">
        <f>+I39+J39</f>
      </c>
      <c r="L39" s="150"/>
      <c r="M39" s="7"/>
    </row>
    <row x14ac:dyDescent="0.25" r="40" customHeight="1" ht="23.100000000000005">
      <c r="A40" s="117" t="s">
        <v>49</v>
      </c>
      <c r="B40" s="137" t="s">
        <v>50</v>
      </c>
      <c r="C40" s="137" t="s">
        <v>51</v>
      </c>
      <c r="D40" s="137" t="s">
        <v>52</v>
      </c>
      <c r="E40" s="127" t="s">
        <v>13</v>
      </c>
      <c r="F40" s="127" t="s">
        <v>13</v>
      </c>
      <c r="G40" s="138" t="s">
        <v>13</v>
      </c>
      <c r="H40" s="127" t="s">
        <v>13</v>
      </c>
      <c r="I40" s="138" t="s">
        <v>13</v>
      </c>
      <c r="J40" s="127" t="s">
        <v>13</v>
      </c>
      <c r="K40" s="138" t="s">
        <v>13</v>
      </c>
      <c r="L40" s="139"/>
      <c r="M40" s="7"/>
    </row>
    <row x14ac:dyDescent="0.25" r="41" customHeight="1" ht="23.100000000000005">
      <c r="A41" s="154"/>
      <c r="B41" s="155"/>
      <c r="C41" s="155"/>
      <c r="D41" s="156"/>
      <c r="E41" s="151">
        <f>IF(E43&lt;&gt;0,+E43/E45,0%)</f>
      </c>
      <c r="F41" s="97">
        <f>IF(F43&lt;&gt;0,+F43/F45,0%)</f>
      </c>
      <c r="G41" s="152">
        <f>IF(G43&lt;&gt;0,+G43/G45,0%)</f>
      </c>
      <c r="H41" s="97">
        <f>IF(H43&lt;&gt;0,+H43/H45,0%)</f>
      </c>
      <c r="I41" s="152">
        <f>IF(I43&lt;&gt;0,+I43/I45,0%)</f>
      </c>
      <c r="J41" s="97">
        <f>IF(J43&lt;&gt;0,+J43/J45,0%)</f>
      </c>
      <c r="K41" s="152">
        <f>IF(K43&lt;&gt;0,+K43/K45,0%)</f>
      </c>
      <c r="L41" s="144"/>
      <c r="M41" s="7"/>
    </row>
    <row x14ac:dyDescent="0.25" r="42" customHeight="1" ht="23.100000000000005">
      <c r="A42" s="154"/>
      <c r="B42" s="155"/>
      <c r="C42" s="155"/>
      <c r="D42" s="157"/>
      <c r="E42" s="63" t="s">
        <v>15</v>
      </c>
      <c r="F42" s="63" t="s">
        <v>15</v>
      </c>
      <c r="G42" s="80" t="s">
        <v>15</v>
      </c>
      <c r="H42" s="63" t="s">
        <v>15</v>
      </c>
      <c r="I42" s="80" t="s">
        <v>15</v>
      </c>
      <c r="J42" s="63" t="s">
        <v>15</v>
      </c>
      <c r="K42" s="80" t="s">
        <v>15</v>
      </c>
      <c r="L42" s="144"/>
      <c r="M42" s="7"/>
    </row>
    <row x14ac:dyDescent="0.25" r="43" customHeight="1" ht="23.100000000000005">
      <c r="A43" s="154"/>
      <c r="B43" s="155"/>
      <c r="C43" s="155"/>
      <c r="D43" s="137" t="s">
        <v>53</v>
      </c>
      <c r="E43" s="59">
        <v>2</v>
      </c>
      <c r="F43" s="60"/>
      <c r="G43" s="61">
        <f>+#REF!+F43</f>
      </c>
      <c r="H43" s="60"/>
      <c r="I43" s="61">
        <f>+G43+H43</f>
      </c>
      <c r="J43" s="60"/>
      <c r="K43" s="61">
        <f>+I43+J43</f>
      </c>
      <c r="L43" s="147">
        <f>K41/E41</f>
      </c>
      <c r="M43" s="7"/>
    </row>
    <row x14ac:dyDescent="0.25" r="44" customHeight="1" ht="23.100000000000005">
      <c r="A44" s="154"/>
      <c r="B44" s="155"/>
      <c r="C44" s="155"/>
      <c r="D44" s="158"/>
      <c r="E44" s="63" t="s">
        <v>16</v>
      </c>
      <c r="F44" s="63" t="s">
        <v>16</v>
      </c>
      <c r="G44" s="80" t="s">
        <v>16</v>
      </c>
      <c r="H44" s="63" t="s">
        <v>16</v>
      </c>
      <c r="I44" s="80" t="s">
        <v>16</v>
      </c>
      <c r="J44" s="63" t="s">
        <v>16</v>
      </c>
      <c r="K44" s="80" t="s">
        <v>16</v>
      </c>
      <c r="L44" s="144"/>
      <c r="M44" s="7"/>
    </row>
    <row x14ac:dyDescent="0.25" r="45" customHeight="1" ht="23.100000000000005">
      <c r="A45" s="121"/>
      <c r="B45" s="159"/>
      <c r="C45" s="159"/>
      <c r="D45" s="160"/>
      <c r="E45" s="66">
        <v>3</v>
      </c>
      <c r="F45" s="67">
        <v>3</v>
      </c>
      <c r="G45" s="68">
        <v>3</v>
      </c>
      <c r="H45" s="67">
        <v>3</v>
      </c>
      <c r="I45" s="68">
        <v>3</v>
      </c>
      <c r="J45" s="67">
        <v>3</v>
      </c>
      <c r="K45" s="68">
        <v>3</v>
      </c>
      <c r="L45" s="150"/>
      <c r="M45" s="7"/>
    </row>
    <row x14ac:dyDescent="0.25" r="46" customHeight="1" ht="23.100000000000005">
      <c r="A46" s="117" t="s">
        <v>54</v>
      </c>
      <c r="B46" s="137" t="s">
        <v>55</v>
      </c>
      <c r="C46" s="161" t="s">
        <v>56</v>
      </c>
      <c r="D46" s="162" t="s">
        <v>57</v>
      </c>
      <c r="E46" s="43" t="s">
        <v>13</v>
      </c>
      <c r="F46" s="43" t="s">
        <v>13</v>
      </c>
      <c r="G46" s="163" t="s">
        <v>13</v>
      </c>
      <c r="H46" s="43" t="s">
        <v>13</v>
      </c>
      <c r="I46" s="163" t="s">
        <v>13</v>
      </c>
      <c r="J46" s="43" t="s">
        <v>13</v>
      </c>
      <c r="K46" s="163" t="s">
        <v>13</v>
      </c>
      <c r="L46" s="128"/>
      <c r="M46" s="7"/>
    </row>
    <row x14ac:dyDescent="0.25" r="47" customHeight="1" ht="23.100000000000005">
      <c r="A47" s="164"/>
      <c r="B47" s="155"/>
      <c r="C47" s="165"/>
      <c r="D47" s="166"/>
      <c r="E47" s="96">
        <f>IF(E49&lt;&gt;0,+E49/E51,0%)</f>
      </c>
      <c r="F47" s="167">
        <f>IF(F49&lt;&gt;0,+F49/F51,0%)</f>
      </c>
      <c r="G47" s="168">
        <f>IF(G49&lt;&gt;0,+G49/G51,0%)</f>
      </c>
      <c r="H47" s="167">
        <f>IF(H49&lt;&gt;0,+H49/H51,0%)</f>
      </c>
      <c r="I47" s="168">
        <f>IF(I49&lt;&gt;0,+I49/I51,0%)</f>
      </c>
      <c r="J47" s="167">
        <f>IF(J49&lt;&gt;0,+J49/J51,0%)</f>
      </c>
      <c r="K47" s="168">
        <f>IF(K49&lt;&gt;0,+K49/K51,0%)</f>
      </c>
      <c r="L47" s="131"/>
      <c r="M47" s="7"/>
    </row>
    <row x14ac:dyDescent="0.25" r="48" customHeight="1" ht="23.100000000000005">
      <c r="A48" s="164"/>
      <c r="B48" s="155"/>
      <c r="C48" s="165"/>
      <c r="D48" s="169"/>
      <c r="E48" s="56" t="s">
        <v>15</v>
      </c>
      <c r="F48" s="56" t="s">
        <v>15</v>
      </c>
      <c r="G48" s="170" t="s">
        <v>15</v>
      </c>
      <c r="H48" s="56" t="s">
        <v>15</v>
      </c>
      <c r="I48" s="170" t="s">
        <v>15</v>
      </c>
      <c r="J48" s="56" t="s">
        <v>15</v>
      </c>
      <c r="K48" s="170" t="s">
        <v>15</v>
      </c>
      <c r="L48" s="131"/>
      <c r="M48" s="7"/>
    </row>
    <row x14ac:dyDescent="0.25" r="49" customHeight="1" ht="23.100000000000005">
      <c r="A49" s="164"/>
      <c r="B49" s="155"/>
      <c r="C49" s="165"/>
      <c r="D49" s="171" t="s">
        <v>58</v>
      </c>
      <c r="E49" s="172">
        <v>4</v>
      </c>
      <c r="F49" s="173"/>
      <c r="G49" s="174">
        <f>+#REF!+F49</f>
      </c>
      <c r="H49" s="173"/>
      <c r="I49" s="174">
        <f>+G49+H49</f>
      </c>
      <c r="J49" s="175"/>
      <c r="K49" s="174">
        <f>+I49+J49</f>
      </c>
      <c r="L49" s="133">
        <f>+K47/E47</f>
      </c>
      <c r="M49" s="7"/>
    </row>
    <row x14ac:dyDescent="0.25" r="50" customHeight="1" ht="23.100000000000005">
      <c r="A50" s="164"/>
      <c r="B50" s="155"/>
      <c r="C50" s="165"/>
      <c r="D50" s="176"/>
      <c r="E50" s="56" t="s">
        <v>16</v>
      </c>
      <c r="F50" s="56" t="s">
        <v>16</v>
      </c>
      <c r="G50" s="170" t="s">
        <v>16</v>
      </c>
      <c r="H50" s="56" t="s">
        <v>16</v>
      </c>
      <c r="I50" s="170" t="s">
        <v>16</v>
      </c>
      <c r="J50" s="56" t="s">
        <v>16</v>
      </c>
      <c r="K50" s="170" t="s">
        <v>16</v>
      </c>
      <c r="L50" s="131"/>
      <c r="M50" s="7"/>
    </row>
    <row x14ac:dyDescent="0.25" r="51" customHeight="1" ht="23.100000000000005">
      <c r="A51" s="177"/>
      <c r="B51" s="159"/>
      <c r="C51" s="178"/>
      <c r="D51" s="169"/>
      <c r="E51" s="101">
        <v>4</v>
      </c>
      <c r="F51" s="67">
        <v>4</v>
      </c>
      <c r="G51" s="68">
        <v>4</v>
      </c>
      <c r="H51" s="67">
        <v>4</v>
      </c>
      <c r="I51" s="68">
        <v>4</v>
      </c>
      <c r="J51" s="67">
        <v>4</v>
      </c>
      <c r="K51" s="68">
        <v>4</v>
      </c>
      <c r="L51" s="135"/>
      <c r="M51" s="7"/>
    </row>
    <row x14ac:dyDescent="0.25" r="52" customHeight="1" ht="18.75">
      <c r="A52" s="7"/>
      <c r="B52" s="7"/>
      <c r="C52" s="7"/>
      <c r="D52" s="31"/>
      <c r="E52" s="20"/>
      <c r="F52" s="179"/>
      <c r="G52" s="179"/>
      <c r="H52" s="179"/>
      <c r="I52" s="179"/>
      <c r="J52" s="179"/>
      <c r="K52" s="179"/>
      <c r="L52" s="180"/>
      <c r="M52" s="7"/>
    </row>
    <row x14ac:dyDescent="0.25" r="53" customHeight="1" ht="18.75">
      <c r="A53" s="7"/>
      <c r="B53" s="7"/>
      <c r="C53" s="7"/>
      <c r="D53" s="31"/>
      <c r="E53" s="20"/>
      <c r="F53" s="179"/>
      <c r="G53" s="179"/>
      <c r="H53" s="179"/>
      <c r="I53" s="179"/>
      <c r="J53" s="179"/>
      <c r="K53" s="179"/>
      <c r="L53" s="180"/>
      <c r="M53" s="7"/>
    </row>
    <row x14ac:dyDescent="0.25" r="54" customHeight="1" ht="18.75">
      <c r="A54" s="7"/>
      <c r="B54" s="7"/>
      <c r="C54" s="7"/>
      <c r="D54" s="31"/>
      <c r="E54" s="20"/>
      <c r="F54" s="20"/>
      <c r="G54" s="20"/>
      <c r="H54" s="20"/>
      <c r="I54" s="20"/>
      <c r="J54" s="20"/>
      <c r="K54" s="20"/>
      <c r="L54" s="7"/>
      <c r="M54" s="7"/>
    </row>
    <row x14ac:dyDescent="0.25" r="55" customHeight="1" ht="18.75">
      <c r="A55" s="7"/>
      <c r="B55" s="7"/>
      <c r="C55" s="7"/>
      <c r="D55" s="31"/>
      <c r="E55" s="20"/>
      <c r="F55" s="20"/>
      <c r="G55" s="20"/>
      <c r="H55" s="20"/>
      <c r="I55" s="20"/>
      <c r="J55" s="20"/>
      <c r="K55" s="20"/>
      <c r="L55" s="7"/>
      <c r="M55" s="7"/>
    </row>
    <row x14ac:dyDescent="0.25" r="56" customHeight="1" ht="17.25">
      <c r="A56" s="7"/>
      <c r="B56" s="7"/>
      <c r="C56" s="7"/>
      <c r="D56" s="31"/>
      <c r="E56" s="20"/>
      <c r="F56" s="20"/>
      <c r="G56" s="20"/>
      <c r="H56" s="20"/>
      <c r="I56" s="20"/>
      <c r="J56" s="20"/>
      <c r="K56" s="20"/>
      <c r="L56" s="7"/>
      <c r="M56" s="7"/>
    </row>
    <row x14ac:dyDescent="0.25" r="57" customHeight="1" ht="14.25">
      <c r="A57" s="7"/>
      <c r="B57" s="7"/>
      <c r="C57" s="7"/>
      <c r="D57" s="31"/>
      <c r="E57" s="20"/>
      <c r="F57" s="20"/>
      <c r="G57" s="20"/>
      <c r="H57" s="20"/>
      <c r="I57" s="20"/>
      <c r="J57" s="20"/>
      <c r="K57" s="20"/>
      <c r="L57" s="7"/>
      <c r="M57" s="7"/>
    </row>
    <row x14ac:dyDescent="0.25" r="58" customHeight="1" ht="35.25">
      <c r="A58" s="7"/>
      <c r="B58" s="7"/>
      <c r="C58" s="7"/>
      <c r="D58" s="31"/>
      <c r="E58" s="20"/>
      <c r="F58" s="20"/>
      <c r="G58" s="20"/>
      <c r="H58" s="20"/>
      <c r="I58" s="20"/>
      <c r="J58" s="20"/>
      <c r="K58" s="20"/>
      <c r="L58" s="7"/>
      <c r="M58" s="7"/>
    </row>
    <row x14ac:dyDescent="0.25" r="59" customHeight="1" ht="20.1">
      <c r="A59" s="7"/>
      <c r="B59" s="7"/>
      <c r="C59" s="7"/>
      <c r="D59" s="31"/>
      <c r="E59" s="20"/>
      <c r="F59" s="20"/>
      <c r="G59" s="20"/>
      <c r="H59" s="20"/>
      <c r="I59" s="20"/>
      <c r="J59" s="20"/>
      <c r="K59" s="20"/>
      <c r="L59" s="7"/>
      <c r="M59" s="7"/>
    </row>
    <row x14ac:dyDescent="0.25" r="60" customHeight="1" ht="20.1">
      <c r="A60" s="7"/>
      <c r="B60" s="7"/>
      <c r="C60" s="7"/>
      <c r="D60" s="31"/>
      <c r="E60" s="20"/>
      <c r="F60" s="20"/>
      <c r="G60" s="20"/>
      <c r="H60" s="20"/>
      <c r="I60" s="20"/>
      <c r="J60" s="20"/>
      <c r="K60" s="20"/>
      <c r="L60" s="7"/>
      <c r="M60" s="7"/>
    </row>
    <row x14ac:dyDescent="0.25" r="61" customHeight="1" ht="20.1">
      <c r="A61" s="7"/>
      <c r="B61" s="7"/>
      <c r="C61" s="7"/>
      <c r="D61" s="31"/>
      <c r="E61" s="20"/>
      <c r="F61" s="20"/>
      <c r="G61" s="20"/>
      <c r="H61" s="20"/>
      <c r="I61" s="20"/>
      <c r="J61" s="20"/>
      <c r="K61" s="20"/>
      <c r="L61" s="7"/>
      <c r="M61" s="7"/>
    </row>
    <row x14ac:dyDescent="0.25" r="62" customHeight="1" ht="20.1">
      <c r="A62" s="7"/>
      <c r="B62" s="7"/>
      <c r="C62" s="7"/>
      <c r="D62" s="31"/>
      <c r="E62" s="20"/>
      <c r="F62" s="20"/>
      <c r="G62" s="20"/>
      <c r="H62" s="20"/>
      <c r="I62" s="20"/>
      <c r="J62" s="20"/>
      <c r="K62" s="20"/>
      <c r="L62" s="7"/>
      <c r="M62" s="7"/>
    </row>
    <row x14ac:dyDescent="0.25" r="63" customHeight="1" ht="20.1">
      <c r="A63" s="7"/>
      <c r="B63" s="7"/>
      <c r="C63" s="7"/>
      <c r="D63" s="31"/>
      <c r="E63" s="20"/>
      <c r="F63" s="20"/>
      <c r="G63" s="20"/>
      <c r="H63" s="20"/>
      <c r="I63" s="20"/>
      <c r="J63" s="20"/>
      <c r="K63" s="20"/>
      <c r="L63" s="7"/>
      <c r="M63" s="7"/>
    </row>
    <row x14ac:dyDescent="0.25" r="64" customHeight="1" ht="20.1">
      <c r="A64" s="7"/>
      <c r="B64" s="7"/>
      <c r="C64" s="7"/>
      <c r="D64" s="31"/>
      <c r="E64" s="20"/>
      <c r="F64" s="20"/>
      <c r="G64" s="20"/>
      <c r="H64" s="20"/>
      <c r="I64" s="20"/>
      <c r="J64" s="20"/>
      <c r="K64" s="20"/>
      <c r="L64" s="7"/>
      <c r="M64" s="7"/>
    </row>
    <row x14ac:dyDescent="0.25" r="65" customHeight="1" ht="18.75">
      <c r="A65" s="7"/>
      <c r="B65" s="7"/>
      <c r="C65" s="7"/>
      <c r="D65" s="31"/>
      <c r="E65" s="20"/>
      <c r="F65" s="20"/>
      <c r="G65" s="20"/>
      <c r="H65" s="20"/>
      <c r="I65" s="20"/>
      <c r="J65" s="20"/>
      <c r="K65" s="20"/>
      <c r="L65" s="7"/>
      <c r="M65" s="7"/>
    </row>
    <row x14ac:dyDescent="0.25" r="66" customHeight="1" ht="18.75">
      <c r="A66" s="7"/>
      <c r="B66" s="7"/>
      <c r="C66" s="7"/>
      <c r="D66" s="31"/>
      <c r="E66" s="20"/>
      <c r="F66" s="20"/>
      <c r="G66" s="20"/>
      <c r="H66" s="20"/>
      <c r="I66" s="20"/>
      <c r="J66" s="20"/>
      <c r="K66" s="20"/>
      <c r="L66" s="7"/>
      <c r="M66" s="7"/>
    </row>
    <row x14ac:dyDescent="0.25" r="67" customHeight="1" ht="18.75">
      <c r="A67" s="7"/>
      <c r="B67" s="7"/>
      <c r="C67" s="7"/>
      <c r="D67" s="31"/>
      <c r="E67" s="20"/>
      <c r="F67" s="20"/>
      <c r="G67" s="20"/>
      <c r="H67" s="20"/>
      <c r="I67" s="20"/>
      <c r="J67" s="20"/>
      <c r="K67" s="20"/>
      <c r="L67" s="7"/>
      <c r="M67" s="7"/>
    </row>
    <row x14ac:dyDescent="0.25" r="68" customHeight="1" ht="18.75">
      <c r="A68" s="7"/>
      <c r="B68" s="7"/>
      <c r="C68" s="7"/>
      <c r="D68" s="31"/>
      <c r="E68" s="20"/>
      <c r="F68" s="20"/>
      <c r="G68" s="20"/>
      <c r="H68" s="20"/>
      <c r="I68" s="20"/>
      <c r="J68" s="20"/>
      <c r="K68" s="20"/>
      <c r="L68" s="7"/>
      <c r="M68" s="7"/>
    </row>
    <row x14ac:dyDescent="0.25" r="69" customHeight="1" ht="18.75">
      <c r="A69" s="7"/>
      <c r="B69" s="7"/>
      <c r="C69" s="7"/>
      <c r="D69" s="31"/>
      <c r="E69" s="20"/>
      <c r="F69" s="20"/>
      <c r="G69" s="20"/>
      <c r="H69" s="20"/>
      <c r="I69" s="20"/>
      <c r="J69" s="20"/>
      <c r="K69" s="20"/>
      <c r="L69" s="7"/>
      <c r="M69" s="7"/>
    </row>
    <row x14ac:dyDescent="0.25" r="70" customHeight="1" ht="35.25">
      <c r="A70" s="7"/>
      <c r="B70" s="7"/>
      <c r="C70" s="7"/>
      <c r="D70" s="31"/>
      <c r="E70" s="20"/>
      <c r="F70" s="20"/>
      <c r="G70" s="20"/>
      <c r="H70" s="20"/>
      <c r="I70" s="20"/>
      <c r="J70" s="20"/>
      <c r="K70" s="20"/>
      <c r="L70" s="7"/>
      <c r="M70" s="7"/>
    </row>
    <row x14ac:dyDescent="0.25" r="71" customHeight="1" ht="20.1">
      <c r="A71" s="7"/>
      <c r="B71" s="7"/>
      <c r="C71" s="7"/>
      <c r="D71" s="31"/>
      <c r="E71" s="20"/>
      <c r="F71" s="20"/>
      <c r="G71" s="20"/>
      <c r="H71" s="20"/>
      <c r="I71" s="20"/>
      <c r="J71" s="20"/>
      <c r="K71" s="20"/>
      <c r="L71" s="7"/>
      <c r="M71" s="7"/>
    </row>
    <row x14ac:dyDescent="0.25" r="72" customHeight="1" ht="20.1">
      <c r="A72" s="7"/>
      <c r="B72" s="7"/>
      <c r="C72" s="7"/>
      <c r="D72" s="31"/>
      <c r="E72" s="20"/>
      <c r="F72" s="20"/>
      <c r="G72" s="20"/>
      <c r="H72" s="20"/>
      <c r="I72" s="20"/>
      <c r="J72" s="20"/>
      <c r="K72" s="20"/>
      <c r="L72" s="7"/>
      <c r="M72" s="7"/>
    </row>
    <row x14ac:dyDescent="0.25" r="73" customHeight="1" ht="20.1">
      <c r="A73" s="7"/>
      <c r="B73" s="7"/>
      <c r="C73" s="7"/>
      <c r="D73" s="31"/>
      <c r="E73" s="20"/>
      <c r="F73" s="20"/>
      <c r="G73" s="20"/>
      <c r="H73" s="20"/>
      <c r="I73" s="20"/>
      <c r="J73" s="20"/>
      <c r="K73" s="20"/>
      <c r="L73" s="7"/>
      <c r="M73" s="7"/>
    </row>
    <row x14ac:dyDescent="0.25" r="74" customHeight="1" ht="20.1">
      <c r="A74" s="7"/>
      <c r="B74" s="7"/>
      <c r="C74" s="7"/>
      <c r="D74" s="31"/>
      <c r="E74" s="20"/>
      <c r="F74" s="20"/>
      <c r="G74" s="20"/>
      <c r="H74" s="20"/>
      <c r="I74" s="20"/>
      <c r="J74" s="20"/>
      <c r="K74" s="20"/>
      <c r="L74" s="7"/>
      <c r="M74" s="7"/>
    </row>
    <row x14ac:dyDescent="0.25" r="75" customHeight="1" ht="20.1">
      <c r="A75" s="7"/>
      <c r="B75" s="7"/>
      <c r="C75" s="7"/>
      <c r="D75" s="31"/>
      <c r="E75" s="20"/>
      <c r="F75" s="20"/>
      <c r="G75" s="20"/>
      <c r="H75" s="20"/>
      <c r="I75" s="20"/>
      <c r="J75" s="20"/>
      <c r="K75" s="20"/>
      <c r="L75" s="7"/>
      <c r="M75" s="7"/>
    </row>
    <row x14ac:dyDescent="0.25" r="76" customHeight="1" ht="20.1">
      <c r="A76" s="7"/>
      <c r="B76" s="7"/>
      <c r="C76" s="7"/>
      <c r="D76" s="31"/>
      <c r="E76" s="20"/>
      <c r="F76" s="20"/>
      <c r="G76" s="20"/>
      <c r="H76" s="20"/>
      <c r="I76" s="20"/>
      <c r="J76" s="20"/>
      <c r="K76" s="20"/>
      <c r="L76" s="7"/>
      <c r="M76" s="7"/>
    </row>
  </sheetData>
  <mergeCells count="46">
    <mergeCell ref="B1:C5"/>
    <mergeCell ref="D1:E5"/>
    <mergeCell ref="B6:C6"/>
    <mergeCell ref="D6:E6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A16:A21"/>
    <mergeCell ref="B16:B21"/>
    <mergeCell ref="C16:C21"/>
    <mergeCell ref="D16:D18"/>
    <mergeCell ref="D19:D21"/>
    <mergeCell ref="A22:A27"/>
    <mergeCell ref="B22:B27"/>
    <mergeCell ref="C22:C27"/>
    <mergeCell ref="D22:D24"/>
    <mergeCell ref="D25:D27"/>
    <mergeCell ref="A28:A33"/>
    <mergeCell ref="B28:B33"/>
    <mergeCell ref="C28:C33"/>
    <mergeCell ref="D28:D30"/>
    <mergeCell ref="D31:D33"/>
    <mergeCell ref="A34:A39"/>
    <mergeCell ref="B34:B39"/>
    <mergeCell ref="C34:C39"/>
    <mergeCell ref="D34:D36"/>
    <mergeCell ref="D37:D39"/>
    <mergeCell ref="A40:A45"/>
    <mergeCell ref="B40:B45"/>
    <mergeCell ref="C40:C45"/>
    <mergeCell ref="D40:D42"/>
    <mergeCell ref="D43:D45"/>
    <mergeCell ref="A46:A51"/>
    <mergeCell ref="B46:B51"/>
    <mergeCell ref="C46:C51"/>
    <mergeCell ref="D46:D48"/>
    <mergeCell ref="D49:D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2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84" width="21.14785714285714" customWidth="1" bestFit="1"/>
    <col min="2" max="2" style="84" width="13.576428571428572" customWidth="1" bestFit="1"/>
    <col min="3" max="3" style="85" width="13.576428571428572" customWidth="1" bestFit="1"/>
    <col min="4" max="4" style="87" width="13.576428571428572" customWidth="1" bestFit="1"/>
    <col min="5" max="5" style="85" width="13.576428571428572" customWidth="1" bestFit="1"/>
    <col min="6" max="6" style="87" width="13.576428571428572" customWidth="1" bestFit="1"/>
    <col min="7" max="7" style="85" width="13.576428571428572" customWidth="1" bestFit="1"/>
    <col min="8" max="8" style="87" width="13.576428571428572" customWidth="1" bestFit="1"/>
    <col min="9" max="9" style="85" width="13.576428571428572" customWidth="1" bestFit="1"/>
    <col min="10" max="10" style="87" width="13.576428571428572" customWidth="1" bestFit="1"/>
    <col min="11" max="11" style="84" width="13.576428571428572" customWidth="1" bestFit="1"/>
    <col min="12" max="12" style="84" width="13.576428571428572" customWidth="1" bestFit="1"/>
  </cols>
  <sheetData>
    <row x14ac:dyDescent="0.25" r="1" customHeight="1" ht="12.75">
      <c r="A1" s="1"/>
      <c r="B1" s="2"/>
      <c r="C1" s="3"/>
      <c r="D1" s="6"/>
      <c r="E1" s="5"/>
      <c r="F1" s="6"/>
      <c r="G1" s="5"/>
      <c r="H1" s="6"/>
      <c r="I1" s="5"/>
      <c r="J1" s="6"/>
      <c r="K1" s="7"/>
      <c r="L1" s="7"/>
    </row>
    <row x14ac:dyDescent="0.25" r="2" customHeight="1" ht="12.75">
      <c r="A2" s="8"/>
      <c r="B2" s="9"/>
      <c r="C2" s="10"/>
      <c r="D2" s="6"/>
      <c r="E2" s="5"/>
      <c r="F2" s="6"/>
      <c r="G2" s="5"/>
      <c r="H2" s="6"/>
      <c r="I2" s="5"/>
      <c r="J2" s="6"/>
      <c r="K2" s="7"/>
      <c r="L2" s="7"/>
    </row>
    <row x14ac:dyDescent="0.25" r="3" customHeight="1" ht="15.75">
      <c r="A3" s="8"/>
      <c r="B3" s="9"/>
      <c r="C3" s="10"/>
      <c r="D3" s="6"/>
      <c r="E3" s="5"/>
      <c r="F3" s="6"/>
      <c r="G3" s="5"/>
      <c r="H3" s="6"/>
      <c r="I3" s="5"/>
      <c r="J3" s="6"/>
      <c r="K3" s="7"/>
      <c r="L3" s="7"/>
    </row>
    <row x14ac:dyDescent="0.25" r="4" customHeight="1" ht="12.75">
      <c r="A4" s="8"/>
      <c r="B4" s="9"/>
      <c r="C4" s="10"/>
      <c r="D4" s="6"/>
      <c r="E4" s="5"/>
      <c r="F4" s="6"/>
      <c r="G4" s="5"/>
      <c r="H4" s="6"/>
      <c r="I4" s="5"/>
      <c r="J4" s="6"/>
      <c r="K4" s="7"/>
      <c r="L4" s="7"/>
    </row>
    <row x14ac:dyDescent="0.25" r="5" customHeight="1" ht="20.25">
      <c r="A5" s="11"/>
      <c r="B5" s="12"/>
      <c r="C5" s="13"/>
      <c r="D5" s="6"/>
      <c r="E5" s="5"/>
      <c r="F5" s="6"/>
      <c r="G5" s="5"/>
      <c r="H5" s="6"/>
      <c r="I5" s="5"/>
      <c r="J5" s="6"/>
      <c r="K5" s="7"/>
      <c r="L5" s="7"/>
    </row>
    <row x14ac:dyDescent="0.25" r="6" customHeight="1" ht="15.75">
      <c r="A6" s="14"/>
      <c r="B6" s="15"/>
      <c r="C6" s="16"/>
      <c r="D6" s="19"/>
      <c r="E6" s="18"/>
      <c r="F6" s="19"/>
      <c r="G6" s="18"/>
      <c r="H6" s="19"/>
      <c r="I6" s="18"/>
      <c r="J6" s="19"/>
      <c r="K6" s="7"/>
      <c r="L6" s="7"/>
    </row>
    <row x14ac:dyDescent="0.25" r="7" customHeight="1" ht="16.5">
      <c r="A7" s="7"/>
      <c r="B7" s="7"/>
      <c r="C7" s="20"/>
      <c r="D7" s="6"/>
      <c r="E7" s="5"/>
      <c r="F7" s="6"/>
      <c r="G7" s="5"/>
      <c r="H7" s="6"/>
      <c r="I7" s="5"/>
      <c r="J7" s="6"/>
      <c r="K7" s="7"/>
      <c r="L7" s="7"/>
    </row>
    <row x14ac:dyDescent="0.25" r="8" customHeight="1" ht="18.75">
      <c r="A8" s="21"/>
      <c r="B8" s="22"/>
      <c r="C8" s="20"/>
      <c r="D8" s="6"/>
      <c r="E8" s="5"/>
      <c r="F8" s="5"/>
      <c r="G8" s="5"/>
      <c r="H8" s="6"/>
      <c r="I8" s="5"/>
      <c r="J8" s="6"/>
      <c r="K8" s="7"/>
      <c r="L8" s="7"/>
    </row>
    <row x14ac:dyDescent="0.25" r="9" customHeight="1" ht="16.5">
      <c r="A9" s="21"/>
      <c r="B9" s="21"/>
      <c r="C9" s="20"/>
      <c r="D9" s="6"/>
      <c r="E9" s="5"/>
      <c r="F9" s="6"/>
      <c r="G9" s="5"/>
      <c r="H9" s="6"/>
      <c r="I9" s="5"/>
      <c r="J9" s="6"/>
      <c r="K9" s="7"/>
      <c r="L9" s="7"/>
    </row>
    <row x14ac:dyDescent="0.25" r="10" customHeight="1" ht="16.5">
      <c r="A10" s="21"/>
      <c r="B10" s="21"/>
      <c r="C10" s="20"/>
      <c r="D10" s="6"/>
      <c r="E10" s="5"/>
      <c r="F10" s="6"/>
      <c r="G10" s="5"/>
      <c r="H10" s="6"/>
      <c r="I10" s="5"/>
      <c r="J10" s="6"/>
      <c r="K10" s="7"/>
      <c r="L10" s="7"/>
    </row>
    <row x14ac:dyDescent="0.25" r="11" customHeight="1" ht="23.100000000000005" customFormat="1" s="24">
      <c r="A11" s="25" t="s">
        <v>0</v>
      </c>
      <c r="B11" s="26" t="s">
        <v>1</v>
      </c>
      <c r="C11" s="27" t="s">
        <v>2</v>
      </c>
      <c r="D11" s="30" t="s">
        <v>3</v>
      </c>
      <c r="E11" s="27" t="s">
        <v>4</v>
      </c>
      <c r="F11" s="88" t="s">
        <v>5</v>
      </c>
      <c r="G11" s="27" t="s">
        <v>6</v>
      </c>
      <c r="H11" s="30" t="s">
        <v>7</v>
      </c>
      <c r="I11" s="27" t="s">
        <v>8</v>
      </c>
      <c r="J11" s="30" t="s">
        <v>9</v>
      </c>
      <c r="K11" s="31"/>
      <c r="L11" s="31"/>
    </row>
    <row x14ac:dyDescent="0.25" r="12" customHeight="1" ht="23.100000000000005">
      <c r="A12" s="32"/>
      <c r="B12" s="33"/>
      <c r="C12" s="34"/>
      <c r="D12" s="89"/>
      <c r="E12" s="36"/>
      <c r="F12" s="90"/>
      <c r="G12" s="36"/>
      <c r="H12" s="40"/>
      <c r="I12" s="39"/>
      <c r="J12" s="40"/>
      <c r="K12" s="7"/>
      <c r="L12" s="7"/>
    </row>
    <row x14ac:dyDescent="0.25" r="13" customHeight="1" ht="23.100000000000005">
      <c r="A13" s="91" t="s">
        <v>24</v>
      </c>
      <c r="B13" s="42" t="s">
        <v>25</v>
      </c>
      <c r="C13" s="43" t="s">
        <v>13</v>
      </c>
      <c r="D13" s="93" t="s">
        <v>13</v>
      </c>
      <c r="E13" s="45" t="s">
        <v>13</v>
      </c>
      <c r="F13" s="93" t="s">
        <v>13</v>
      </c>
      <c r="G13" s="45" t="s">
        <v>13</v>
      </c>
      <c r="H13" s="93" t="s">
        <v>13</v>
      </c>
      <c r="I13" s="45" t="s">
        <v>13</v>
      </c>
      <c r="J13" s="46"/>
      <c r="K13" s="7"/>
      <c r="L13" s="7"/>
    </row>
    <row x14ac:dyDescent="0.25" r="14" customHeight="1" ht="23.100000000000005">
      <c r="A14" s="104"/>
      <c r="B14" s="49"/>
      <c r="C14" s="96">
        <f>IF(C16&lt;&gt;0,+C16/C18,0%)</f>
      </c>
      <c r="D14" s="97">
        <f>IF(D16&lt;&gt;0,ROUND(+D16/D18,4),0%)</f>
      </c>
      <c r="E14" s="52">
        <f>IF(E16&lt;&gt;0,+E16/E18,0%)</f>
      </c>
      <c r="F14" s="97">
        <f>IF(F16&lt;&gt;0,ROUND(+F16/F18,4),0%)</f>
      </c>
      <c r="G14" s="52">
        <f>IF(G16&lt;&gt;0,+G16/G18,0%)</f>
      </c>
      <c r="H14" s="97">
        <f>IF(H16&lt;&gt;0,ROUND(+H16/H18,4),0%)</f>
      </c>
      <c r="I14" s="52">
        <f>IF(I16&lt;&gt;0,+I16/I18,0%)</f>
      </c>
      <c r="J14" s="53"/>
      <c r="K14" s="7"/>
      <c r="L14" s="55"/>
    </row>
    <row x14ac:dyDescent="0.25" r="15" customHeight="1" ht="23.100000000000005">
      <c r="A15" s="104"/>
      <c r="B15" s="49"/>
      <c r="C15" s="56" t="s">
        <v>15</v>
      </c>
      <c r="D15" s="98" t="s">
        <v>15</v>
      </c>
      <c r="E15" s="58" t="s">
        <v>15</v>
      </c>
      <c r="F15" s="98" t="s">
        <v>15</v>
      </c>
      <c r="G15" s="58" t="s">
        <v>15</v>
      </c>
      <c r="H15" s="98" t="s">
        <v>15</v>
      </c>
      <c r="I15" s="58" t="s">
        <v>15</v>
      </c>
      <c r="J15" s="53"/>
      <c r="K15" s="7"/>
      <c r="L15" s="7"/>
    </row>
    <row x14ac:dyDescent="0.25" r="16" customHeight="1" ht="23.100000000000005">
      <c r="A16" s="104"/>
      <c r="B16" s="49"/>
      <c r="C16" s="59">
        <f>+'CDC 2025'!E19</f>
      </c>
      <c r="D16" s="60"/>
      <c r="E16" s="61">
        <f>+#REF!+D16</f>
      </c>
      <c r="F16" s="60"/>
      <c r="G16" s="61">
        <f>+E16+F16</f>
      </c>
      <c r="H16" s="60"/>
      <c r="I16" s="61">
        <f>+G16+H16</f>
      </c>
      <c r="J16" s="62">
        <f>I14/C14</f>
      </c>
      <c r="K16" s="7"/>
      <c r="L16" s="7"/>
    </row>
    <row x14ac:dyDescent="0.25" r="17" customHeight="1" ht="23.100000000000005">
      <c r="A17" s="104"/>
      <c r="B17" s="49"/>
      <c r="C17" s="63" t="s">
        <v>16</v>
      </c>
      <c r="D17" s="98" t="s">
        <v>16</v>
      </c>
      <c r="E17" s="58" t="s">
        <v>16</v>
      </c>
      <c r="F17" s="98" t="s">
        <v>16</v>
      </c>
      <c r="G17" s="58" t="s">
        <v>16</v>
      </c>
      <c r="H17" s="63"/>
      <c r="I17" s="58" t="s">
        <v>16</v>
      </c>
      <c r="J17" s="53"/>
      <c r="K17" s="7"/>
      <c r="L17" s="7"/>
    </row>
    <row x14ac:dyDescent="0.25" r="18" customHeight="1" ht="23.100000000000005">
      <c r="A18" s="105"/>
      <c r="B18" s="65"/>
      <c r="C18" s="66">
        <f>+'CDC 2025'!E21</f>
      </c>
      <c r="D18" s="67"/>
      <c r="E18" s="68">
        <f>+#REF!+D18</f>
      </c>
      <c r="F18" s="67"/>
      <c r="G18" s="68">
        <f>+E18+F18</f>
      </c>
      <c r="H18" s="67"/>
      <c r="I18" s="68">
        <f>+G18+H18</f>
      </c>
      <c r="J18" s="69"/>
      <c r="K18" s="7"/>
      <c r="L18" s="7"/>
    </row>
    <row x14ac:dyDescent="0.25" r="19" customHeight="1" ht="18.75">
      <c r="A19" s="7"/>
      <c r="B19" s="7"/>
      <c r="C19" s="20"/>
      <c r="D19" s="72"/>
      <c r="E19" s="20"/>
      <c r="F19" s="72"/>
      <c r="G19" s="20"/>
      <c r="H19" s="72"/>
      <c r="I19" s="20"/>
      <c r="J19" s="72"/>
      <c r="K19" s="7"/>
      <c r="L19" s="7"/>
    </row>
    <row x14ac:dyDescent="0.25" r="20" customHeight="1" ht="18.75">
      <c r="A20" s="73" t="s">
        <v>17</v>
      </c>
      <c r="B20" s="7"/>
      <c r="C20" s="74"/>
      <c r="D20" s="76"/>
      <c r="E20" s="74"/>
      <c r="F20" s="76"/>
      <c r="G20" s="74"/>
      <c r="H20" s="76"/>
      <c r="I20" s="74"/>
      <c r="J20" s="76"/>
      <c r="K20" s="7"/>
      <c r="L20" s="7"/>
    </row>
    <row x14ac:dyDescent="0.25" r="21" customHeight="1" ht="23.100000000000005" customFormat="1" s="24">
      <c r="A21" s="25" t="s">
        <v>0</v>
      </c>
      <c r="B21" s="26" t="s">
        <v>1</v>
      </c>
      <c r="C21" s="27" t="s">
        <v>2</v>
      </c>
      <c r="D21" s="30" t="s">
        <v>3</v>
      </c>
      <c r="E21" s="27" t="s">
        <v>4</v>
      </c>
      <c r="F21" s="88" t="s">
        <v>5</v>
      </c>
      <c r="G21" s="27" t="s">
        <v>6</v>
      </c>
      <c r="H21" s="30" t="s">
        <v>7</v>
      </c>
      <c r="I21" s="27" t="s">
        <v>8</v>
      </c>
      <c r="J21" s="30" t="s">
        <v>9</v>
      </c>
      <c r="K21" s="31"/>
      <c r="L21" s="31"/>
    </row>
    <row x14ac:dyDescent="0.25" r="22" customHeight="1" ht="23.100000000000005">
      <c r="A22" s="32"/>
      <c r="B22" s="33"/>
      <c r="C22" s="34"/>
      <c r="D22" s="89"/>
      <c r="E22" s="36"/>
      <c r="F22" s="90"/>
      <c r="G22" s="36"/>
      <c r="H22" s="40"/>
      <c r="I22" s="39"/>
      <c r="J22" s="40"/>
      <c r="K22" s="7"/>
      <c r="L22" s="7"/>
    </row>
    <row x14ac:dyDescent="0.25" r="23" customHeight="1" ht="23.100000000000005">
      <c r="A23" s="91" t="s">
        <v>26</v>
      </c>
      <c r="B23" s="42" t="s">
        <v>25</v>
      </c>
      <c r="C23" s="43" t="s">
        <v>13</v>
      </c>
      <c r="D23" s="93" t="s">
        <v>13</v>
      </c>
      <c r="E23" s="45" t="s">
        <v>13</v>
      </c>
      <c r="F23" s="93" t="s">
        <v>13</v>
      </c>
      <c r="G23" s="45" t="s">
        <v>13</v>
      </c>
      <c r="H23" s="93" t="s">
        <v>13</v>
      </c>
      <c r="I23" s="45" t="s">
        <v>13</v>
      </c>
      <c r="J23" s="46"/>
      <c r="K23" s="7"/>
      <c r="L23" s="7"/>
    </row>
    <row x14ac:dyDescent="0.25" r="24" customHeight="1" ht="23.100000000000005">
      <c r="A24" s="104"/>
      <c r="B24" s="106"/>
      <c r="C24" s="96">
        <f>IF(C26&lt;&gt;0,+C26/C28,0%)</f>
      </c>
      <c r="D24" s="97">
        <f>IF(D26&lt;&gt;0,ROUND(+D26/D28,4),0%)</f>
      </c>
      <c r="E24" s="102">
        <f>IF(E26&lt;&gt;0,+E26/E28,0%)</f>
      </c>
      <c r="F24" s="97">
        <f>IF(F26&lt;&gt;0,ROUND(+F26/F28,4),0%)</f>
      </c>
      <c r="G24" s="102">
        <f>IF(G26&lt;&gt;0,+G26/G28,0%)</f>
      </c>
      <c r="H24" s="97">
        <f>IF(H26&lt;&gt;0,ROUND(+H26/H28,4),0%)</f>
      </c>
      <c r="I24" s="102">
        <f>IF(I26&lt;&gt;0,+I26/I28,0%)</f>
      </c>
      <c r="J24" s="53"/>
      <c r="K24" s="7"/>
      <c r="L24" s="7"/>
    </row>
    <row x14ac:dyDescent="0.25" r="25" customHeight="1" ht="23.100000000000005">
      <c r="A25" s="104"/>
      <c r="B25" s="106"/>
      <c r="C25" s="56"/>
      <c r="D25" s="98" t="s">
        <v>15</v>
      </c>
      <c r="E25" s="58" t="s">
        <v>15</v>
      </c>
      <c r="F25" s="98" t="s">
        <v>15</v>
      </c>
      <c r="G25" s="58" t="s">
        <v>15</v>
      </c>
      <c r="H25" s="98" t="s">
        <v>15</v>
      </c>
      <c r="I25" s="58" t="s">
        <v>15</v>
      </c>
      <c r="J25" s="53"/>
      <c r="K25" s="7"/>
      <c r="L25" s="7"/>
    </row>
    <row x14ac:dyDescent="0.25" r="26" customHeight="1" ht="23.100000000000005">
      <c r="A26" s="104"/>
      <c r="B26" s="106"/>
      <c r="C26" s="79">
        <v>16124</v>
      </c>
      <c r="D26" s="60"/>
      <c r="E26" s="61">
        <f>SUM(D26:D26)</f>
      </c>
      <c r="F26" s="60"/>
      <c r="G26" s="61">
        <f>SUM(E26:F26)</f>
      </c>
      <c r="H26" s="60"/>
      <c r="I26" s="61">
        <f>SUM(G26:H26)</f>
      </c>
      <c r="J26" s="62">
        <f>+I24/C24</f>
      </c>
      <c r="K26" s="7"/>
      <c r="L26" s="7"/>
    </row>
    <row x14ac:dyDescent="0.25" r="27" customHeight="1" ht="23.100000000000005">
      <c r="A27" s="104"/>
      <c r="B27" s="106"/>
      <c r="C27" s="56" t="s">
        <v>16</v>
      </c>
      <c r="D27" s="98" t="s">
        <v>16</v>
      </c>
      <c r="E27" s="80" t="s">
        <v>16</v>
      </c>
      <c r="F27" s="98" t="s">
        <v>16</v>
      </c>
      <c r="G27" s="80" t="s">
        <v>16</v>
      </c>
      <c r="H27" s="98" t="s">
        <v>16</v>
      </c>
      <c r="I27" s="80" t="s">
        <v>16</v>
      </c>
      <c r="J27" s="53"/>
      <c r="K27" s="7"/>
      <c r="L27" s="7"/>
    </row>
    <row x14ac:dyDescent="0.25" r="28" customHeight="1" ht="23.100000000000005">
      <c r="A28" s="105"/>
      <c r="B28" s="107"/>
      <c r="C28" s="103">
        <v>18824</v>
      </c>
      <c r="D28" s="67"/>
      <c r="E28" s="68">
        <f>SUM(D28:D28)</f>
      </c>
      <c r="F28" s="67"/>
      <c r="G28" s="68">
        <f>SUM(E28:F28)</f>
      </c>
      <c r="H28" s="67"/>
      <c r="I28" s="68">
        <f>SUM(G28:H28)</f>
      </c>
      <c r="J28" s="69"/>
      <c r="K28" s="7"/>
      <c r="L28" s="82"/>
    </row>
    <row x14ac:dyDescent="0.25" r="29" customHeight="1" ht="18.75">
      <c r="A29" s="7"/>
      <c r="B29" s="7"/>
      <c r="C29" s="20"/>
      <c r="D29" s="72"/>
      <c r="E29" s="20"/>
      <c r="F29" s="72"/>
      <c r="G29" s="20"/>
      <c r="H29" s="72"/>
      <c r="I29" s="20"/>
      <c r="J29" s="72"/>
      <c r="K29" s="7"/>
      <c r="L29" s="7"/>
    </row>
    <row x14ac:dyDescent="0.25" r="30" customHeight="1" ht="18.75">
      <c r="A30" s="73" t="s">
        <v>20</v>
      </c>
      <c r="B30" s="7"/>
      <c r="C30" s="74"/>
      <c r="D30" s="76"/>
      <c r="E30" s="74"/>
      <c r="F30" s="76"/>
      <c r="G30" s="74"/>
      <c r="H30" s="76"/>
      <c r="I30" s="74"/>
      <c r="J30" s="76"/>
      <c r="K30" s="7"/>
      <c r="L30" s="7"/>
    </row>
    <row x14ac:dyDescent="0.25" r="31" customHeight="1" ht="23.100000000000005" customFormat="1" s="24">
      <c r="A31" s="25" t="s">
        <v>0</v>
      </c>
      <c r="B31" s="26" t="s">
        <v>1</v>
      </c>
      <c r="C31" s="27" t="s">
        <v>2</v>
      </c>
      <c r="D31" s="30" t="s">
        <v>3</v>
      </c>
      <c r="E31" s="27" t="s">
        <v>4</v>
      </c>
      <c r="F31" s="88" t="s">
        <v>5</v>
      </c>
      <c r="G31" s="27" t="s">
        <v>6</v>
      </c>
      <c r="H31" s="30" t="s">
        <v>7</v>
      </c>
      <c r="I31" s="27" t="s">
        <v>8</v>
      </c>
      <c r="J31" s="30" t="s">
        <v>9</v>
      </c>
      <c r="K31" s="31"/>
      <c r="L31" s="31"/>
    </row>
    <row x14ac:dyDescent="0.25" r="32" customHeight="1" ht="23.100000000000005">
      <c r="A32" s="32"/>
      <c r="B32" s="33"/>
      <c r="C32" s="34"/>
      <c r="D32" s="89"/>
      <c r="E32" s="36"/>
      <c r="F32" s="90"/>
      <c r="G32" s="36"/>
      <c r="H32" s="40"/>
      <c r="I32" s="39"/>
      <c r="J32" s="40"/>
      <c r="K32" s="7"/>
      <c r="L32" s="7"/>
    </row>
    <row x14ac:dyDescent="0.25" r="33" customHeight="1" ht="23.100000000000005">
      <c r="A33" s="91" t="s">
        <v>26</v>
      </c>
      <c r="B33" s="42" t="s">
        <v>25</v>
      </c>
      <c r="C33" s="43" t="s">
        <v>13</v>
      </c>
      <c r="D33" s="93" t="s">
        <v>13</v>
      </c>
      <c r="E33" s="45" t="s">
        <v>13</v>
      </c>
      <c r="F33" s="93" t="s">
        <v>13</v>
      </c>
      <c r="G33" s="45" t="s">
        <v>13</v>
      </c>
      <c r="H33" s="93" t="s">
        <v>13</v>
      </c>
      <c r="I33" s="45" t="s">
        <v>13</v>
      </c>
      <c r="J33" s="46"/>
      <c r="K33" s="7"/>
      <c r="L33" s="7"/>
    </row>
    <row x14ac:dyDescent="0.25" r="34" customHeight="1" ht="23.100000000000005">
      <c r="A34" s="104"/>
      <c r="B34" s="106"/>
      <c r="C34" s="96">
        <f>IF(C36&lt;&gt;0,+C36/C38,0%)</f>
      </c>
      <c r="D34" s="97">
        <f>IF(D36&lt;&gt;0,ROUND(+D36/D38,4),0%)</f>
      </c>
      <c r="E34" s="102">
        <f>IF(E36&lt;&gt;0,+E36/E38,0%)</f>
      </c>
      <c r="F34" s="97">
        <f>IF(F36&lt;&gt;0,ROUND(+F36/F38,4),0%)</f>
      </c>
      <c r="G34" s="102">
        <f>IF(G36&lt;&gt;0,+G36/G38,0%)</f>
      </c>
      <c r="H34" s="97">
        <f>IF(H36&lt;&gt;0,ROUND(+H36/H38,4),0%)</f>
      </c>
      <c r="I34" s="102">
        <f>IF(I36&lt;&gt;0,+I36/I38,0%)</f>
      </c>
      <c r="J34" s="53"/>
      <c r="K34" s="7"/>
      <c r="L34" s="7"/>
    </row>
    <row x14ac:dyDescent="0.25" r="35" customHeight="1" ht="23.100000000000005">
      <c r="A35" s="104"/>
      <c r="B35" s="106"/>
      <c r="C35" s="56"/>
      <c r="D35" s="98" t="s">
        <v>15</v>
      </c>
      <c r="E35" s="58" t="s">
        <v>15</v>
      </c>
      <c r="F35" s="98" t="s">
        <v>15</v>
      </c>
      <c r="G35" s="58" t="s">
        <v>15</v>
      </c>
      <c r="H35" s="98" t="s">
        <v>15</v>
      </c>
      <c r="I35" s="58" t="s">
        <v>15</v>
      </c>
      <c r="J35" s="53"/>
      <c r="K35" s="7"/>
      <c r="L35" s="7"/>
    </row>
    <row x14ac:dyDescent="0.25" r="36" customHeight="1" ht="23.100000000000005">
      <c r="A36" s="104"/>
      <c r="B36" s="106"/>
      <c r="C36" s="79">
        <v>9376</v>
      </c>
      <c r="D36" s="60"/>
      <c r="E36" s="61">
        <f>SUM(D36:D36)</f>
      </c>
      <c r="F36" s="60"/>
      <c r="G36" s="61">
        <f>SUM(E36:F36)</f>
      </c>
      <c r="H36" s="60"/>
      <c r="I36" s="61">
        <f>SUM(G36:H36)</f>
      </c>
      <c r="J36" s="62">
        <f>+I34/C34</f>
      </c>
      <c r="K36" s="7"/>
      <c r="L36" s="7"/>
    </row>
    <row x14ac:dyDescent="0.25" r="37" customHeight="1" ht="23.100000000000005">
      <c r="A37" s="104"/>
      <c r="B37" s="106"/>
      <c r="C37" s="56" t="s">
        <v>16</v>
      </c>
      <c r="D37" s="98" t="s">
        <v>16</v>
      </c>
      <c r="E37" s="80" t="s">
        <v>16</v>
      </c>
      <c r="F37" s="98" t="s">
        <v>16</v>
      </c>
      <c r="G37" s="80" t="s">
        <v>16</v>
      </c>
      <c r="H37" s="98" t="s">
        <v>16</v>
      </c>
      <c r="I37" s="80" t="s">
        <v>16</v>
      </c>
      <c r="J37" s="53"/>
      <c r="K37" s="7"/>
      <c r="L37" s="7"/>
    </row>
    <row x14ac:dyDescent="0.25" r="38" customHeight="1" ht="23.100000000000005">
      <c r="A38" s="105"/>
      <c r="B38" s="107"/>
      <c r="C38" s="103">
        <v>11176</v>
      </c>
      <c r="D38" s="67"/>
      <c r="E38" s="68">
        <f>SUM(D38:D38)</f>
      </c>
      <c r="F38" s="67"/>
      <c r="G38" s="68">
        <f>SUM(E38:F38)</f>
      </c>
      <c r="H38" s="67"/>
      <c r="I38" s="68">
        <f>SUM(G38:H38)</f>
      </c>
      <c r="J38" s="69"/>
      <c r="K38" s="7"/>
      <c r="L38" s="7"/>
    </row>
    <row x14ac:dyDescent="0.25" r="39" customHeight="1" ht="18.75">
      <c r="A39" s="7"/>
      <c r="B39" s="7"/>
      <c r="C39" s="20"/>
      <c r="D39" s="72"/>
      <c r="E39" s="20"/>
      <c r="F39" s="72"/>
      <c r="G39" s="20"/>
      <c r="H39" s="72"/>
      <c r="I39" s="20"/>
      <c r="J39" s="72"/>
      <c r="K39" s="7"/>
      <c r="L39" s="7"/>
    </row>
    <row x14ac:dyDescent="0.25" r="40" customHeight="1" ht="18.75">
      <c r="A40" s="7"/>
      <c r="B40" s="7"/>
      <c r="C40" s="20"/>
      <c r="D40" s="72"/>
      <c r="E40" s="20"/>
      <c r="F40" s="72"/>
      <c r="G40" s="20"/>
      <c r="H40" s="72"/>
      <c r="I40" s="20"/>
      <c r="J40" s="72"/>
      <c r="K40" s="7"/>
      <c r="L40" s="7"/>
    </row>
    <row x14ac:dyDescent="0.25" r="41" customHeight="1" ht="18.75">
      <c r="A41" s="7"/>
      <c r="B41" s="7"/>
      <c r="C41" s="83"/>
      <c r="D41" s="83"/>
      <c r="E41" s="83"/>
      <c r="F41" s="83"/>
      <c r="G41" s="83"/>
      <c r="H41" s="83"/>
      <c r="I41" s="83"/>
      <c r="J41" s="72"/>
      <c r="K41" s="7"/>
      <c r="L41" s="7"/>
    </row>
    <row x14ac:dyDescent="0.25" r="42" customHeight="1" ht="18.75">
      <c r="A42" s="7"/>
      <c r="B42" s="7"/>
      <c r="C42" s="83"/>
      <c r="D42" s="83"/>
      <c r="E42" s="83"/>
      <c r="F42" s="83"/>
      <c r="G42" s="83"/>
      <c r="H42" s="83"/>
      <c r="I42" s="83"/>
      <c r="J42" s="72"/>
      <c r="K42" s="7"/>
      <c r="L42" s="7"/>
    </row>
  </sheetData>
  <mergeCells count="39">
    <mergeCell ref="A1:B5"/>
    <mergeCell ref="C1:C5"/>
    <mergeCell ref="A6:B6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A13:A18"/>
    <mergeCell ref="B13:B18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A23:A28"/>
    <mergeCell ref="B23:B28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8"/>
    <mergeCell ref="B33:B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3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84" width="13.576428571428572" customWidth="1" bestFit="1"/>
    <col min="2" max="2" style="84" width="13.576428571428572" customWidth="1" bestFit="1"/>
    <col min="3" max="3" style="85" width="13.576428571428572" customWidth="1" bestFit="1"/>
    <col min="4" max="4" style="87" width="13.576428571428572" customWidth="1" bestFit="1"/>
    <col min="5" max="5" style="85" width="13.576428571428572" customWidth="1" bestFit="1"/>
    <col min="6" max="6" style="87" width="13.576428571428572" customWidth="1" bestFit="1"/>
    <col min="7" max="7" style="85" width="13.576428571428572" customWidth="1" bestFit="1"/>
    <col min="8" max="8" style="87" width="13.576428571428572" customWidth="1" bestFit="1"/>
    <col min="9" max="9" style="85" width="13.576428571428572" customWidth="1" bestFit="1"/>
    <col min="10" max="10" style="87" width="13.576428571428572" customWidth="1" bestFit="1"/>
    <col min="11" max="11" style="84" width="13.576428571428572" customWidth="1" bestFit="1"/>
    <col min="12" max="12" style="84" width="13.576428571428572" customWidth="1" bestFit="1"/>
  </cols>
  <sheetData>
    <row x14ac:dyDescent="0.25" r="1" customHeight="1" ht="12.75">
      <c r="A1" s="1"/>
      <c r="B1" s="2"/>
      <c r="C1" s="3"/>
      <c r="D1" s="6"/>
      <c r="E1" s="5"/>
      <c r="F1" s="6"/>
      <c r="G1" s="5"/>
      <c r="H1" s="6"/>
      <c r="I1" s="5"/>
      <c r="J1" s="6"/>
      <c r="K1" s="7"/>
      <c r="L1" s="7"/>
    </row>
    <row x14ac:dyDescent="0.25" r="2" customHeight="1" ht="12.75">
      <c r="A2" s="8"/>
      <c r="B2" s="9"/>
      <c r="C2" s="10"/>
      <c r="D2" s="6"/>
      <c r="E2" s="5"/>
      <c r="F2" s="6"/>
      <c r="G2" s="5"/>
      <c r="H2" s="6"/>
      <c r="I2" s="5"/>
      <c r="J2" s="6"/>
      <c r="K2" s="7"/>
      <c r="L2" s="7"/>
    </row>
    <row x14ac:dyDescent="0.25" r="3" customHeight="1" ht="15.75">
      <c r="A3" s="8"/>
      <c r="B3" s="9"/>
      <c r="C3" s="10"/>
      <c r="D3" s="6"/>
      <c r="E3" s="5"/>
      <c r="F3" s="6"/>
      <c r="G3" s="5"/>
      <c r="H3" s="6"/>
      <c r="I3" s="5"/>
      <c r="J3" s="6"/>
      <c r="K3" s="7"/>
      <c r="L3" s="7"/>
    </row>
    <row x14ac:dyDescent="0.25" r="4" customHeight="1" ht="12.75">
      <c r="A4" s="8"/>
      <c r="B4" s="9"/>
      <c r="C4" s="10"/>
      <c r="D4" s="6"/>
      <c r="E4" s="5"/>
      <c r="F4" s="6"/>
      <c r="G4" s="5"/>
      <c r="H4" s="6"/>
      <c r="I4" s="5"/>
      <c r="J4" s="6"/>
      <c r="K4" s="7"/>
      <c r="L4" s="7"/>
    </row>
    <row x14ac:dyDescent="0.25" r="5" customHeight="1" ht="20.25">
      <c r="A5" s="11"/>
      <c r="B5" s="12"/>
      <c r="C5" s="13"/>
      <c r="D5" s="6"/>
      <c r="E5" s="5"/>
      <c r="F5" s="6"/>
      <c r="G5" s="5"/>
      <c r="H5" s="6"/>
      <c r="I5" s="5"/>
      <c r="J5" s="6"/>
      <c r="K5" s="7"/>
      <c r="L5" s="7"/>
    </row>
    <row x14ac:dyDescent="0.25" r="6" customHeight="1" ht="15.75">
      <c r="A6" s="14"/>
      <c r="B6" s="15"/>
      <c r="C6" s="16"/>
      <c r="D6" s="19"/>
      <c r="E6" s="18"/>
      <c r="F6" s="19"/>
      <c r="G6" s="18"/>
      <c r="H6" s="19"/>
      <c r="I6" s="18"/>
      <c r="J6" s="19"/>
      <c r="K6" s="7"/>
      <c r="L6" s="7"/>
    </row>
    <row x14ac:dyDescent="0.25" r="7" customHeight="1" ht="16.5">
      <c r="A7" s="7"/>
      <c r="B7" s="7"/>
      <c r="C7" s="20"/>
      <c r="D7" s="6"/>
      <c r="E7" s="5"/>
      <c r="F7" s="6"/>
      <c r="G7" s="5"/>
      <c r="H7" s="6"/>
      <c r="I7" s="5"/>
      <c r="J7" s="6"/>
      <c r="K7" s="7"/>
      <c r="L7" s="7"/>
    </row>
    <row x14ac:dyDescent="0.25" r="8" customHeight="1" ht="18.75">
      <c r="A8" s="21"/>
      <c r="B8" s="22"/>
      <c r="C8" s="20"/>
      <c r="D8" s="6"/>
      <c r="E8" s="5"/>
      <c r="F8" s="5"/>
      <c r="G8" s="5"/>
      <c r="H8" s="6"/>
      <c r="I8" s="5"/>
      <c r="J8" s="6"/>
      <c r="K8" s="7"/>
      <c r="L8" s="7"/>
    </row>
    <row x14ac:dyDescent="0.25" r="9" customHeight="1" ht="16.5">
      <c r="A9" s="21"/>
      <c r="B9" s="21"/>
      <c r="C9" s="20"/>
      <c r="D9" s="6"/>
      <c r="E9" s="5"/>
      <c r="F9" s="6"/>
      <c r="G9" s="5"/>
      <c r="H9" s="6"/>
      <c r="I9" s="5"/>
      <c r="J9" s="6"/>
      <c r="K9" s="7"/>
      <c r="L9" s="7"/>
    </row>
    <row x14ac:dyDescent="0.25" r="10" customHeight="1" ht="16.5">
      <c r="A10" s="21"/>
      <c r="B10" s="21"/>
      <c r="C10" s="20"/>
      <c r="D10" s="6"/>
      <c r="E10" s="5"/>
      <c r="F10" s="6"/>
      <c r="G10" s="5"/>
      <c r="H10" s="6"/>
      <c r="I10" s="5"/>
      <c r="J10" s="6"/>
      <c r="K10" s="7"/>
      <c r="L10" s="7"/>
    </row>
    <row x14ac:dyDescent="0.25" r="11" customHeight="1" ht="23.100000000000005" customFormat="1" s="24">
      <c r="A11" s="25" t="s">
        <v>0</v>
      </c>
      <c r="B11" s="26" t="s">
        <v>1</v>
      </c>
      <c r="C11" s="27" t="s">
        <v>2</v>
      </c>
      <c r="D11" s="30" t="s">
        <v>3</v>
      </c>
      <c r="E11" s="27" t="s">
        <v>4</v>
      </c>
      <c r="F11" s="88" t="s">
        <v>5</v>
      </c>
      <c r="G11" s="27" t="s">
        <v>6</v>
      </c>
      <c r="H11" s="30" t="s">
        <v>7</v>
      </c>
      <c r="I11" s="27" t="s">
        <v>8</v>
      </c>
      <c r="J11" s="30" t="s">
        <v>9</v>
      </c>
      <c r="K11" s="31"/>
      <c r="L11" s="31"/>
    </row>
    <row x14ac:dyDescent="0.25" r="12" customHeight="1" ht="23.100000000000005">
      <c r="A12" s="32"/>
      <c r="B12" s="33"/>
      <c r="C12" s="34"/>
      <c r="D12" s="89"/>
      <c r="E12" s="36"/>
      <c r="F12" s="90"/>
      <c r="G12" s="36"/>
      <c r="H12" s="40"/>
      <c r="I12" s="39"/>
      <c r="J12" s="40"/>
      <c r="K12" s="7"/>
      <c r="L12" s="7"/>
    </row>
    <row x14ac:dyDescent="0.25" r="13" customHeight="1" ht="23.100000000000005">
      <c r="A13" s="91" t="s">
        <v>21</v>
      </c>
      <c r="B13" s="92" t="s">
        <v>22</v>
      </c>
      <c r="C13" s="43" t="s">
        <v>13</v>
      </c>
      <c r="D13" s="93" t="s">
        <v>13</v>
      </c>
      <c r="E13" s="45" t="s">
        <v>13</v>
      </c>
      <c r="F13" s="93" t="s">
        <v>13</v>
      </c>
      <c r="G13" s="45" t="s">
        <v>13</v>
      </c>
      <c r="H13" s="93" t="s">
        <v>13</v>
      </c>
      <c r="I13" s="45" t="s">
        <v>13</v>
      </c>
      <c r="J13" s="46"/>
      <c r="K13" s="7"/>
      <c r="L13" s="7"/>
    </row>
    <row x14ac:dyDescent="0.25" r="14" customHeight="1" ht="23.100000000000005">
      <c r="A14" s="94"/>
      <c r="B14" s="95"/>
      <c r="C14" s="96">
        <f>IF(C16&lt;&gt;0,+C16/C18,0%)</f>
      </c>
      <c r="D14" s="97">
        <f>IF(D16&lt;&gt;0,ROUND(+D16/D18,4),0%)</f>
      </c>
      <c r="E14" s="52">
        <f>IF(E16&lt;&gt;0,+E16/E18,0%)</f>
      </c>
      <c r="F14" s="97">
        <f>IF(F16&lt;&gt;0,ROUND(+F16/F18,4),0%)</f>
      </c>
      <c r="G14" s="52">
        <f>IF(G16&lt;&gt;0,+G16/G18,0%)</f>
      </c>
      <c r="H14" s="97">
        <f>IF(H16&lt;&gt;0,ROUND(+H16/H18,4),0%)</f>
      </c>
      <c r="I14" s="52">
        <f>IF(I16&lt;&gt;0,+I16/I18,0%)</f>
      </c>
      <c r="J14" s="53"/>
      <c r="K14" s="7"/>
      <c r="L14" s="55"/>
    </row>
    <row x14ac:dyDescent="0.25" r="15" customHeight="1" ht="23.100000000000005">
      <c r="A15" s="94"/>
      <c r="B15" s="95"/>
      <c r="C15" s="56" t="s">
        <v>15</v>
      </c>
      <c r="D15" s="98" t="s">
        <v>15</v>
      </c>
      <c r="E15" s="58" t="s">
        <v>15</v>
      </c>
      <c r="F15" s="98" t="s">
        <v>15</v>
      </c>
      <c r="G15" s="58" t="s">
        <v>15</v>
      </c>
      <c r="H15" s="98" t="s">
        <v>15</v>
      </c>
      <c r="I15" s="58" t="s">
        <v>15</v>
      </c>
      <c r="J15" s="53"/>
      <c r="K15" s="7"/>
      <c r="L15" s="7"/>
    </row>
    <row x14ac:dyDescent="0.25" r="16" customHeight="1" ht="23.100000000000005">
      <c r="A16" s="94"/>
      <c r="B16" s="95"/>
      <c r="C16" s="79">
        <v>8742</v>
      </c>
      <c r="D16" s="60"/>
      <c r="E16" s="61">
        <f>+#REF!+D16</f>
      </c>
      <c r="F16" s="60"/>
      <c r="G16" s="61">
        <f>+E16+F16</f>
      </c>
      <c r="H16" s="60"/>
      <c r="I16" s="61">
        <f>+G16+H16</f>
      </c>
      <c r="J16" s="62">
        <f>I14/C14</f>
      </c>
      <c r="K16" s="7"/>
      <c r="L16" s="7"/>
    </row>
    <row x14ac:dyDescent="0.25" r="17" customHeight="1" ht="23.100000000000005">
      <c r="A17" s="94"/>
      <c r="B17" s="95"/>
      <c r="C17" s="56" t="s">
        <v>16</v>
      </c>
      <c r="D17" s="98" t="s">
        <v>16</v>
      </c>
      <c r="E17" s="58" t="s">
        <v>16</v>
      </c>
      <c r="F17" s="98" t="s">
        <v>16</v>
      </c>
      <c r="G17" s="58" t="s">
        <v>16</v>
      </c>
      <c r="H17" s="98" t="s">
        <v>16</v>
      </c>
      <c r="I17" s="58" t="s">
        <v>16</v>
      </c>
      <c r="J17" s="53"/>
      <c r="K17" s="7"/>
      <c r="L17" s="7"/>
    </row>
    <row x14ac:dyDescent="0.25" r="18" customHeight="1" ht="23.100000000000005">
      <c r="A18" s="99"/>
      <c r="B18" s="100"/>
      <c r="C18" s="101">
        <v>8920</v>
      </c>
      <c r="D18" s="67"/>
      <c r="E18" s="68">
        <f>+#REF!+D18</f>
      </c>
      <c r="F18" s="67"/>
      <c r="G18" s="68">
        <f>+E18+F18</f>
      </c>
      <c r="H18" s="67"/>
      <c r="I18" s="68">
        <f>+G18+H18</f>
      </c>
      <c r="J18" s="69"/>
      <c r="K18" s="7"/>
      <c r="L18" s="7"/>
    </row>
    <row x14ac:dyDescent="0.25" r="19" customHeight="1" ht="18.75">
      <c r="A19" s="7"/>
      <c r="B19" s="7"/>
      <c r="C19" s="20"/>
      <c r="D19" s="72"/>
      <c r="E19" s="20"/>
      <c r="F19" s="72"/>
      <c r="G19" s="20"/>
      <c r="H19" s="72"/>
      <c r="I19" s="20"/>
      <c r="J19" s="72"/>
      <c r="K19" s="7"/>
      <c r="L19" s="7"/>
    </row>
    <row x14ac:dyDescent="0.25" r="20" customHeight="1" ht="18.75">
      <c r="A20" s="73" t="s">
        <v>17</v>
      </c>
      <c r="B20" s="7"/>
      <c r="C20" s="74"/>
      <c r="D20" s="76"/>
      <c r="E20" s="74"/>
      <c r="F20" s="76"/>
      <c r="G20" s="74"/>
      <c r="H20" s="76"/>
      <c r="I20" s="74"/>
      <c r="J20" s="76"/>
      <c r="K20" s="7"/>
      <c r="L20" s="7"/>
    </row>
    <row x14ac:dyDescent="0.25" r="21" customHeight="1" ht="23.100000000000005" customFormat="1" s="24">
      <c r="A21" s="25" t="s">
        <v>0</v>
      </c>
      <c r="B21" s="26" t="s">
        <v>1</v>
      </c>
      <c r="C21" s="27" t="s">
        <v>2</v>
      </c>
      <c r="D21" s="30" t="s">
        <v>3</v>
      </c>
      <c r="E21" s="27" t="s">
        <v>4</v>
      </c>
      <c r="F21" s="88" t="s">
        <v>5</v>
      </c>
      <c r="G21" s="27" t="s">
        <v>6</v>
      </c>
      <c r="H21" s="30" t="s">
        <v>7</v>
      </c>
      <c r="I21" s="27" t="s">
        <v>8</v>
      </c>
      <c r="J21" s="30" t="s">
        <v>9</v>
      </c>
      <c r="K21" s="31"/>
      <c r="L21" s="31"/>
    </row>
    <row x14ac:dyDescent="0.25" r="22" customHeight="1" ht="23.100000000000005">
      <c r="A22" s="32"/>
      <c r="B22" s="33"/>
      <c r="C22" s="34"/>
      <c r="D22" s="89"/>
      <c r="E22" s="36"/>
      <c r="F22" s="90"/>
      <c r="G22" s="36"/>
      <c r="H22" s="40"/>
      <c r="I22" s="39"/>
      <c r="J22" s="40"/>
      <c r="K22" s="7"/>
      <c r="L22" s="7"/>
    </row>
    <row x14ac:dyDescent="0.25" r="23" customHeight="1" ht="23.100000000000005">
      <c r="A23" s="91" t="s">
        <v>23</v>
      </c>
      <c r="B23" s="92" t="s">
        <v>22</v>
      </c>
      <c r="C23" s="43" t="s">
        <v>13</v>
      </c>
      <c r="D23" s="93" t="s">
        <v>13</v>
      </c>
      <c r="E23" s="45" t="s">
        <v>13</v>
      </c>
      <c r="F23" s="93" t="s">
        <v>13</v>
      </c>
      <c r="G23" s="45" t="s">
        <v>13</v>
      </c>
      <c r="H23" s="93" t="s">
        <v>13</v>
      </c>
      <c r="I23" s="45" t="s">
        <v>13</v>
      </c>
      <c r="J23" s="46"/>
      <c r="K23" s="7"/>
      <c r="L23" s="7"/>
    </row>
    <row x14ac:dyDescent="0.25" r="24" customHeight="1" ht="23.100000000000005">
      <c r="A24" s="94"/>
      <c r="B24" s="95"/>
      <c r="C24" s="96">
        <f>IF(C26&lt;&gt;0,+C26/C28,0%)</f>
      </c>
      <c r="D24" s="97">
        <f>IF(D26&lt;&gt;0,ROUND(+D26/D28,4),0%)</f>
      </c>
      <c r="E24" s="102">
        <f>IF(E26&lt;&gt;0,+E26/E28,0%)</f>
      </c>
      <c r="F24" s="97">
        <f>IF(F26&lt;&gt;0,ROUND(+F26/F28,4),0%)</f>
      </c>
      <c r="G24" s="102">
        <f>IF(G26&lt;&gt;0,+G26/G28,0%)</f>
      </c>
      <c r="H24" s="97">
        <f>IF(H26&lt;&gt;0,ROUND(+H26/H28,4),0%)</f>
      </c>
      <c r="I24" s="102">
        <f>IF(I26&lt;&gt;0,+I26/I28,0%)</f>
      </c>
      <c r="J24" s="53"/>
      <c r="K24" s="7"/>
      <c r="L24" s="7"/>
    </row>
    <row x14ac:dyDescent="0.25" r="25" customHeight="1" ht="23.100000000000005">
      <c r="A25" s="94"/>
      <c r="B25" s="95"/>
      <c r="C25" s="56"/>
      <c r="D25" s="98" t="s">
        <v>15</v>
      </c>
      <c r="E25" s="58" t="s">
        <v>15</v>
      </c>
      <c r="F25" s="98" t="s">
        <v>15</v>
      </c>
      <c r="G25" s="58" t="s">
        <v>15</v>
      </c>
      <c r="H25" s="98" t="s">
        <v>15</v>
      </c>
      <c r="I25" s="58" t="s">
        <v>15</v>
      </c>
      <c r="J25" s="53"/>
      <c r="K25" s="7"/>
      <c r="L25" s="7"/>
    </row>
    <row x14ac:dyDescent="0.25" r="26" customHeight="1" ht="23.100000000000005">
      <c r="A26" s="94"/>
      <c r="B26" s="95"/>
      <c r="C26" s="79">
        <v>5584</v>
      </c>
      <c r="D26" s="60"/>
      <c r="E26" s="61">
        <f>SUM(D26:D26)</f>
      </c>
      <c r="F26" s="60"/>
      <c r="G26" s="61">
        <f>SUM(E26:F26)</f>
      </c>
      <c r="H26" s="60"/>
      <c r="I26" s="61">
        <f>SUM(G26:H26)</f>
      </c>
      <c r="J26" s="62">
        <f>+I24/C24</f>
      </c>
      <c r="K26" s="7"/>
      <c r="L26" s="7"/>
    </row>
    <row x14ac:dyDescent="0.25" r="27" customHeight="1" ht="23.100000000000005">
      <c r="A27" s="94"/>
      <c r="B27" s="95"/>
      <c r="C27" s="56" t="s">
        <v>16</v>
      </c>
      <c r="D27" s="98" t="s">
        <v>16</v>
      </c>
      <c r="E27" s="80" t="s">
        <v>16</v>
      </c>
      <c r="F27" s="98" t="s">
        <v>16</v>
      </c>
      <c r="G27" s="80" t="s">
        <v>16</v>
      </c>
      <c r="H27" s="98" t="s">
        <v>16</v>
      </c>
      <c r="I27" s="80" t="s">
        <v>16</v>
      </c>
      <c r="J27" s="53"/>
      <c r="K27" s="7"/>
      <c r="L27" s="7"/>
    </row>
    <row x14ac:dyDescent="0.25" r="28" customHeight="1" ht="23.100000000000005">
      <c r="A28" s="99"/>
      <c r="B28" s="100"/>
      <c r="C28" s="101">
        <v>5699</v>
      </c>
      <c r="D28" s="67"/>
      <c r="E28" s="68">
        <f>SUM(D28:D28)</f>
      </c>
      <c r="F28" s="67"/>
      <c r="G28" s="68">
        <f>SUM(E28:F28)</f>
      </c>
      <c r="H28" s="67"/>
      <c r="I28" s="68">
        <f>SUM(G28:H28)</f>
      </c>
      <c r="J28" s="69"/>
      <c r="K28" s="7"/>
      <c r="L28" s="82"/>
    </row>
    <row x14ac:dyDescent="0.25" r="29" customHeight="1" ht="18.75">
      <c r="A29" s="7"/>
      <c r="B29" s="7"/>
      <c r="C29" s="20"/>
      <c r="D29" s="72"/>
      <c r="E29" s="20"/>
      <c r="F29" s="72"/>
      <c r="G29" s="20"/>
      <c r="H29" s="72"/>
      <c r="I29" s="20"/>
      <c r="J29" s="72"/>
      <c r="K29" s="7"/>
      <c r="L29" s="7"/>
    </row>
    <row x14ac:dyDescent="0.25" r="30" customHeight="1" ht="18.75">
      <c r="A30" s="73" t="s">
        <v>20</v>
      </c>
      <c r="B30" s="7"/>
      <c r="C30" s="74"/>
      <c r="D30" s="76"/>
      <c r="E30" s="74"/>
      <c r="F30" s="76"/>
      <c r="G30" s="74"/>
      <c r="H30" s="76"/>
      <c r="I30" s="74"/>
      <c r="J30" s="76"/>
      <c r="K30" s="7"/>
      <c r="L30" s="7"/>
    </row>
    <row x14ac:dyDescent="0.25" r="31" customHeight="1" ht="23.100000000000005" customFormat="1" s="24">
      <c r="A31" s="25" t="s">
        <v>0</v>
      </c>
      <c r="B31" s="26" t="s">
        <v>1</v>
      </c>
      <c r="C31" s="27" t="s">
        <v>2</v>
      </c>
      <c r="D31" s="30" t="s">
        <v>3</v>
      </c>
      <c r="E31" s="27" t="s">
        <v>4</v>
      </c>
      <c r="F31" s="88" t="s">
        <v>5</v>
      </c>
      <c r="G31" s="27" t="s">
        <v>6</v>
      </c>
      <c r="H31" s="30" t="s">
        <v>7</v>
      </c>
      <c r="I31" s="27" t="s">
        <v>8</v>
      </c>
      <c r="J31" s="30" t="s">
        <v>9</v>
      </c>
      <c r="K31" s="31"/>
      <c r="L31" s="31"/>
    </row>
    <row x14ac:dyDescent="0.25" r="32" customHeight="1" ht="23.100000000000005">
      <c r="A32" s="32"/>
      <c r="B32" s="33"/>
      <c r="C32" s="34"/>
      <c r="D32" s="89"/>
      <c r="E32" s="36"/>
      <c r="F32" s="90"/>
      <c r="G32" s="36"/>
      <c r="H32" s="40"/>
      <c r="I32" s="39"/>
      <c r="J32" s="40"/>
      <c r="K32" s="7"/>
      <c r="L32" s="7"/>
    </row>
    <row x14ac:dyDescent="0.25" r="33" customHeight="1" ht="23.100000000000005">
      <c r="A33" s="91" t="s">
        <v>23</v>
      </c>
      <c r="B33" s="92" t="s">
        <v>22</v>
      </c>
      <c r="C33" s="43" t="s">
        <v>13</v>
      </c>
      <c r="D33" s="93" t="s">
        <v>13</v>
      </c>
      <c r="E33" s="45" t="s">
        <v>13</v>
      </c>
      <c r="F33" s="93" t="s">
        <v>13</v>
      </c>
      <c r="G33" s="45" t="s">
        <v>13</v>
      </c>
      <c r="H33" s="93" t="s">
        <v>13</v>
      </c>
      <c r="I33" s="45" t="s">
        <v>13</v>
      </c>
      <c r="J33" s="46"/>
      <c r="K33" s="7"/>
      <c r="L33" s="7"/>
    </row>
    <row x14ac:dyDescent="0.25" r="34" customHeight="1" ht="23.100000000000005">
      <c r="A34" s="94"/>
      <c r="B34" s="95"/>
      <c r="C34" s="96">
        <f>IF(C36&lt;&gt;0,+C36/C38,0%)</f>
      </c>
      <c r="D34" s="97">
        <f>IF(D36&lt;&gt;0,ROUND(+D36/D38,4),0%)</f>
      </c>
      <c r="E34" s="102">
        <f>IF(E36&lt;&gt;0,+E36/E38,0%)</f>
      </c>
      <c r="F34" s="97">
        <f>IF(F36&lt;&gt;0,ROUND(+F36/F38,4),0%)</f>
      </c>
      <c r="G34" s="102">
        <f>IF(G36&lt;&gt;0,+G36/G38,0%)</f>
      </c>
      <c r="H34" s="97">
        <f>IF(H36&lt;&gt;0,ROUND(+H36/H38,4),0%)</f>
      </c>
      <c r="I34" s="102">
        <f>IF(I36&lt;&gt;0,+I36/I38,0%)</f>
      </c>
      <c r="J34" s="53"/>
      <c r="K34" s="7"/>
      <c r="L34" s="7"/>
    </row>
    <row x14ac:dyDescent="0.25" r="35" customHeight="1" ht="23.100000000000005">
      <c r="A35" s="94"/>
      <c r="B35" s="95"/>
      <c r="C35" s="56"/>
      <c r="D35" s="98" t="s">
        <v>15</v>
      </c>
      <c r="E35" s="58" t="s">
        <v>15</v>
      </c>
      <c r="F35" s="98" t="s">
        <v>15</v>
      </c>
      <c r="G35" s="58" t="s">
        <v>15</v>
      </c>
      <c r="H35" s="98" t="s">
        <v>15</v>
      </c>
      <c r="I35" s="58" t="s">
        <v>15</v>
      </c>
      <c r="J35" s="53"/>
      <c r="K35" s="7"/>
      <c r="L35" s="7"/>
    </row>
    <row x14ac:dyDescent="0.25" r="36" customHeight="1" ht="23.100000000000005">
      <c r="A36" s="94"/>
      <c r="B36" s="95"/>
      <c r="C36" s="79">
        <v>3158</v>
      </c>
      <c r="D36" s="60"/>
      <c r="E36" s="61">
        <f>SUM(D36:D36)</f>
      </c>
      <c r="F36" s="60"/>
      <c r="G36" s="61">
        <f>SUM(E36:F36)</f>
      </c>
      <c r="H36" s="60"/>
      <c r="I36" s="61">
        <f>SUM(G36:H36)</f>
      </c>
      <c r="J36" s="62">
        <f>+I34/C34</f>
      </c>
      <c r="K36" s="7"/>
      <c r="L36" s="7"/>
    </row>
    <row x14ac:dyDescent="0.25" r="37" customHeight="1" ht="23.100000000000005">
      <c r="A37" s="94"/>
      <c r="B37" s="95"/>
      <c r="C37" s="56" t="s">
        <v>16</v>
      </c>
      <c r="D37" s="98" t="s">
        <v>16</v>
      </c>
      <c r="E37" s="80" t="s">
        <v>16</v>
      </c>
      <c r="F37" s="98" t="s">
        <v>16</v>
      </c>
      <c r="G37" s="80" t="s">
        <v>16</v>
      </c>
      <c r="H37" s="98" t="s">
        <v>16</v>
      </c>
      <c r="I37" s="80" t="s">
        <v>16</v>
      </c>
      <c r="J37" s="53"/>
      <c r="K37" s="7"/>
      <c r="L37" s="7"/>
    </row>
    <row x14ac:dyDescent="0.25" r="38" customHeight="1" ht="23.100000000000005">
      <c r="A38" s="99"/>
      <c r="B38" s="100"/>
      <c r="C38" s="103">
        <v>3221</v>
      </c>
      <c r="D38" s="67"/>
      <c r="E38" s="68">
        <f>SUM(D38:D38)</f>
      </c>
      <c r="F38" s="67"/>
      <c r="G38" s="68">
        <f>SUM(E38:F38)</f>
      </c>
      <c r="H38" s="67"/>
      <c r="I38" s="68">
        <f>SUM(G38:H38)</f>
      </c>
      <c r="J38" s="69"/>
      <c r="K38" s="7"/>
      <c r="L38" s="7"/>
    </row>
    <row x14ac:dyDescent="0.25" r="39" customHeight="1" ht="18.75">
      <c r="A39" s="7"/>
      <c r="B39" s="7"/>
      <c r="C39" s="20"/>
      <c r="D39" s="72"/>
      <c r="E39" s="20"/>
      <c r="F39" s="72"/>
      <c r="G39" s="20"/>
      <c r="H39" s="72"/>
      <c r="I39" s="20"/>
      <c r="J39" s="72"/>
      <c r="K39" s="7"/>
      <c r="L39" s="7"/>
    </row>
    <row x14ac:dyDescent="0.25" r="40" customHeight="1" ht="18.75">
      <c r="A40" s="7"/>
      <c r="B40" s="7"/>
      <c r="C40" s="20"/>
      <c r="D40" s="72"/>
      <c r="E40" s="20"/>
      <c r="F40" s="72"/>
      <c r="G40" s="20"/>
      <c r="H40" s="72"/>
      <c r="I40" s="20"/>
      <c r="J40" s="72"/>
      <c r="K40" s="7"/>
      <c r="L40" s="7"/>
    </row>
    <row x14ac:dyDescent="0.25" r="41" customHeight="1" ht="18.75">
      <c r="A41" s="7"/>
      <c r="B41" s="7"/>
      <c r="C41" s="20"/>
      <c r="D41" s="72"/>
      <c r="E41" s="20"/>
      <c r="F41" s="72"/>
      <c r="G41" s="20"/>
      <c r="H41" s="72"/>
      <c r="I41" s="20"/>
      <c r="J41" s="72"/>
      <c r="K41" s="7"/>
      <c r="L41" s="7"/>
    </row>
    <row x14ac:dyDescent="0.25" r="42" customHeight="1" ht="18.75">
      <c r="A42" s="7"/>
      <c r="B42" s="7"/>
      <c r="C42" s="20"/>
      <c r="D42" s="72"/>
      <c r="E42" s="20"/>
      <c r="F42" s="72"/>
      <c r="G42" s="20"/>
      <c r="H42" s="72"/>
      <c r="I42" s="20"/>
      <c r="J42" s="72"/>
      <c r="K42" s="7"/>
      <c r="L42" s="7"/>
    </row>
    <row x14ac:dyDescent="0.25" r="43" customHeight="1" ht="18.75">
      <c r="A43" s="7"/>
      <c r="B43" s="7"/>
      <c r="C43" s="20"/>
      <c r="D43" s="83"/>
      <c r="E43" s="20"/>
      <c r="F43" s="83"/>
      <c r="G43" s="20"/>
      <c r="H43" s="83"/>
      <c r="I43" s="20"/>
      <c r="J43" s="72"/>
      <c r="K43" s="7"/>
      <c r="L43" s="7"/>
    </row>
  </sheetData>
  <mergeCells count="39">
    <mergeCell ref="A1:B5"/>
    <mergeCell ref="C1:C5"/>
    <mergeCell ref="A6:B6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A13:A18"/>
    <mergeCell ref="B13:B18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A23:A28"/>
    <mergeCell ref="B23:B28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8"/>
    <mergeCell ref="B33:B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3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84" width="13.576428571428572" customWidth="1" bestFit="1"/>
    <col min="2" max="2" style="84" width="13.576428571428572" customWidth="1" bestFit="1"/>
    <col min="3" max="3" style="85" width="13.576428571428572" customWidth="1" bestFit="1"/>
    <col min="4" max="4" style="86" width="13.576428571428572" customWidth="1" bestFit="1"/>
    <col min="5" max="5" style="85" width="13.576428571428572" customWidth="1" bestFit="1"/>
    <col min="6" max="6" style="86" width="13.576428571428572" customWidth="1" bestFit="1"/>
    <col min="7" max="7" style="85" width="13.576428571428572" customWidth="1" bestFit="1"/>
    <col min="8" max="8" style="86" width="13.576428571428572" customWidth="1" bestFit="1"/>
    <col min="9" max="9" style="85" width="13.576428571428572" customWidth="1" bestFit="1"/>
    <col min="10" max="10" style="87" width="13.576428571428572" customWidth="1" bestFit="1"/>
    <col min="11" max="11" style="84" width="13.576428571428572" customWidth="1" bestFit="1"/>
    <col min="12" max="12" style="84" width="13.576428571428572" customWidth="1" bestFit="1"/>
    <col min="13" max="13" style="84" width="13.576428571428572" customWidth="1" bestFit="1"/>
  </cols>
  <sheetData>
    <row x14ac:dyDescent="0.25" r="1" customHeight="1" ht="12.75">
      <c r="A1" s="1"/>
      <c r="B1" s="2"/>
      <c r="C1" s="3"/>
      <c r="D1" s="4"/>
      <c r="E1" s="5"/>
      <c r="F1" s="4"/>
      <c r="G1" s="5"/>
      <c r="H1" s="4"/>
      <c r="I1" s="5"/>
      <c r="J1" s="6"/>
      <c r="K1" s="7"/>
      <c r="L1" s="7"/>
      <c r="M1" s="7"/>
    </row>
    <row x14ac:dyDescent="0.25" r="2" customHeight="1" ht="12.75">
      <c r="A2" s="8"/>
      <c r="B2" s="9"/>
      <c r="C2" s="10"/>
      <c r="D2" s="4"/>
      <c r="E2" s="5"/>
      <c r="F2" s="4"/>
      <c r="G2" s="5"/>
      <c r="H2" s="4"/>
      <c r="I2" s="5"/>
      <c r="J2" s="6"/>
      <c r="K2" s="7"/>
      <c r="L2" s="7"/>
      <c r="M2" s="7"/>
    </row>
    <row x14ac:dyDescent="0.25" r="3" customHeight="1" ht="15.75">
      <c r="A3" s="8"/>
      <c r="B3" s="9"/>
      <c r="C3" s="10"/>
      <c r="D3" s="4"/>
      <c r="E3" s="5"/>
      <c r="F3" s="4"/>
      <c r="G3" s="5"/>
      <c r="H3" s="4"/>
      <c r="I3" s="5"/>
      <c r="J3" s="6"/>
      <c r="K3" s="7"/>
      <c r="L3" s="7"/>
      <c r="M3" s="7"/>
    </row>
    <row x14ac:dyDescent="0.25" r="4" customHeight="1" ht="12.75">
      <c r="A4" s="8"/>
      <c r="B4" s="9"/>
      <c r="C4" s="10"/>
      <c r="D4" s="4"/>
      <c r="E4" s="5"/>
      <c r="F4" s="4"/>
      <c r="G4" s="5"/>
      <c r="H4" s="4"/>
      <c r="I4" s="5"/>
      <c r="J4" s="6"/>
      <c r="K4" s="7"/>
      <c r="L4" s="7"/>
      <c r="M4" s="7"/>
    </row>
    <row x14ac:dyDescent="0.25" r="5" customHeight="1" ht="20.25">
      <c r="A5" s="11"/>
      <c r="B5" s="12"/>
      <c r="C5" s="13"/>
      <c r="D5" s="4"/>
      <c r="E5" s="5"/>
      <c r="F5" s="4"/>
      <c r="G5" s="5"/>
      <c r="H5" s="4"/>
      <c r="I5" s="5"/>
      <c r="J5" s="6"/>
      <c r="K5" s="7"/>
      <c r="L5" s="7"/>
      <c r="M5" s="7"/>
    </row>
    <row x14ac:dyDescent="0.25" r="6" customHeight="1" ht="15.75">
      <c r="A6" s="14"/>
      <c r="B6" s="15"/>
      <c r="C6" s="16"/>
      <c r="D6" s="17"/>
      <c r="E6" s="18"/>
      <c r="F6" s="17"/>
      <c r="G6" s="18"/>
      <c r="H6" s="17"/>
      <c r="I6" s="18"/>
      <c r="J6" s="19"/>
      <c r="K6" s="7"/>
      <c r="L6" s="7"/>
      <c r="M6" s="7"/>
    </row>
    <row x14ac:dyDescent="0.25" r="7" customHeight="1" ht="16.5">
      <c r="A7" s="7"/>
      <c r="B7" s="7"/>
      <c r="C7" s="20"/>
      <c r="D7" s="4"/>
      <c r="E7" s="5"/>
      <c r="F7" s="4"/>
      <c r="G7" s="5"/>
      <c r="H7" s="4"/>
      <c r="I7" s="5"/>
      <c r="J7" s="6"/>
      <c r="K7" s="7"/>
      <c r="L7" s="7"/>
      <c r="M7" s="7"/>
    </row>
    <row x14ac:dyDescent="0.25" r="8" customHeight="1" ht="15">
      <c r="A8" s="21"/>
      <c r="B8" s="22"/>
      <c r="C8" s="20"/>
      <c r="D8" s="4"/>
      <c r="E8" s="5"/>
      <c r="F8" s="5"/>
      <c r="G8" s="5"/>
      <c r="H8" s="4"/>
      <c r="I8" s="5"/>
      <c r="J8" s="6"/>
      <c r="K8" s="7"/>
      <c r="L8" s="7"/>
      <c r="M8" s="7"/>
    </row>
    <row x14ac:dyDescent="0.25" r="9" customHeight="1" ht="16.5">
      <c r="A9" s="21"/>
      <c r="B9" s="21"/>
      <c r="C9" s="20"/>
      <c r="D9" s="23"/>
      <c r="E9" s="23"/>
      <c r="F9" s="23"/>
      <c r="G9" s="23"/>
      <c r="H9" s="23"/>
      <c r="I9" s="5"/>
      <c r="J9" s="6"/>
      <c r="K9" s="7"/>
      <c r="L9" s="7"/>
      <c r="M9" s="7"/>
    </row>
    <row x14ac:dyDescent="0.25" r="10" customHeight="1" ht="16.5">
      <c r="A10" s="21"/>
      <c r="B10" s="21"/>
      <c r="C10" s="20"/>
      <c r="D10" s="23"/>
      <c r="E10" s="23"/>
      <c r="F10" s="23"/>
      <c r="G10" s="23"/>
      <c r="H10" s="23"/>
      <c r="I10" s="5"/>
      <c r="J10" s="6"/>
      <c r="K10" s="7"/>
      <c r="L10" s="7"/>
      <c r="M10" s="7"/>
    </row>
    <row x14ac:dyDescent="0.25" r="11" customHeight="1" ht="23.100000000000005" customFormat="1" s="24">
      <c r="A11" s="25" t="s">
        <v>0</v>
      </c>
      <c r="B11" s="26" t="s">
        <v>1</v>
      </c>
      <c r="C11" s="27" t="s">
        <v>2</v>
      </c>
      <c r="D11" s="28" t="s">
        <v>3</v>
      </c>
      <c r="E11" s="27" t="s">
        <v>4</v>
      </c>
      <c r="F11" s="29" t="s">
        <v>5</v>
      </c>
      <c r="G11" s="27" t="s">
        <v>6</v>
      </c>
      <c r="H11" s="28" t="s">
        <v>7</v>
      </c>
      <c r="I11" s="27" t="s">
        <v>8</v>
      </c>
      <c r="J11" s="30" t="s">
        <v>9</v>
      </c>
      <c r="K11" s="26" t="s">
        <v>10</v>
      </c>
      <c r="L11" s="31"/>
      <c r="M11" s="31"/>
    </row>
    <row x14ac:dyDescent="0.25" r="12" customHeight="1" ht="23.100000000000005">
      <c r="A12" s="32"/>
      <c r="B12" s="33"/>
      <c r="C12" s="34"/>
      <c r="D12" s="35"/>
      <c r="E12" s="36"/>
      <c r="F12" s="37"/>
      <c r="G12" s="36"/>
      <c r="H12" s="38"/>
      <c r="I12" s="39"/>
      <c r="J12" s="40"/>
      <c r="K12" s="33"/>
      <c r="L12" s="7"/>
      <c r="M12" s="7"/>
    </row>
    <row x14ac:dyDescent="0.25" r="13" customHeight="1" ht="23.100000000000005">
      <c r="A13" s="41" t="s">
        <v>11</v>
      </c>
      <c r="B13" s="42" t="s">
        <v>12</v>
      </c>
      <c r="C13" s="43" t="s">
        <v>13</v>
      </c>
      <c r="D13" s="44" t="s">
        <v>13</v>
      </c>
      <c r="E13" s="45" t="s">
        <v>13</v>
      </c>
      <c r="F13" s="44" t="s">
        <v>13</v>
      </c>
      <c r="G13" s="45" t="s">
        <v>13</v>
      </c>
      <c r="H13" s="44" t="s">
        <v>13</v>
      </c>
      <c r="I13" s="45" t="s">
        <v>13</v>
      </c>
      <c r="J13" s="46"/>
      <c r="K13" s="47" t="s">
        <v>14</v>
      </c>
      <c r="L13" s="7"/>
      <c r="M13" s="7"/>
    </row>
    <row x14ac:dyDescent="0.25" r="14" customHeight="1" ht="23.100000000000005">
      <c r="A14" s="48"/>
      <c r="B14" s="49"/>
      <c r="C14" s="50">
        <f>IF(C16&lt;&gt;0,+C16/C18,0%)</f>
      </c>
      <c r="D14" s="51">
        <f>IF(D16&lt;&gt;0,ROUND(+D16/D18,4),0%)</f>
      </c>
      <c r="E14" s="52">
        <f>IF(E16&lt;&gt;0,+E16/E18,0%)</f>
      </c>
      <c r="F14" s="51">
        <f>IF(F16&lt;&gt;0,ROUND(+F16/F18,4),0%)</f>
      </c>
      <c r="G14" s="52">
        <f>IF(G16&lt;&gt;0,+G16/G18,0%)</f>
      </c>
      <c r="H14" s="51">
        <f>IF(H16&lt;&gt;0,ROUND(+H16/H18,4),0%)</f>
      </c>
      <c r="I14" s="52">
        <f>IF(I16&lt;&gt;0,+I16/I18,0%)</f>
      </c>
      <c r="J14" s="53"/>
      <c r="K14" s="54"/>
      <c r="L14" s="7"/>
      <c r="M14" s="55"/>
    </row>
    <row x14ac:dyDescent="0.25" r="15" customHeight="1" ht="23.100000000000005">
      <c r="A15" s="48"/>
      <c r="B15" s="49"/>
      <c r="C15" s="56" t="s">
        <v>15</v>
      </c>
      <c r="D15" s="57" t="s">
        <v>15</v>
      </c>
      <c r="E15" s="58" t="s">
        <v>15</v>
      </c>
      <c r="F15" s="57" t="s">
        <v>15</v>
      </c>
      <c r="G15" s="58" t="s">
        <v>15</v>
      </c>
      <c r="H15" s="57" t="s">
        <v>15</v>
      </c>
      <c r="I15" s="58" t="s">
        <v>15</v>
      </c>
      <c r="J15" s="53"/>
      <c r="K15" s="54"/>
      <c r="L15" s="7"/>
      <c r="M15" s="7"/>
    </row>
    <row x14ac:dyDescent="0.25" r="16" customHeight="1" ht="23.100000000000005">
      <c r="A16" s="48"/>
      <c r="B16" s="49"/>
      <c r="C16" s="59">
        <v>7099750</v>
      </c>
      <c r="D16" s="60"/>
      <c r="E16" s="61">
        <f>+#REF!+D16</f>
      </c>
      <c r="F16" s="60"/>
      <c r="G16" s="61">
        <f>+E16+F16</f>
      </c>
      <c r="H16" s="60"/>
      <c r="I16" s="61">
        <f>+G16+H16</f>
      </c>
      <c r="J16" s="62">
        <f>I14/C14</f>
      </c>
      <c r="K16" s="54"/>
      <c r="L16" s="7"/>
      <c r="M16" s="7"/>
    </row>
    <row x14ac:dyDescent="0.25" r="17" customHeight="1" ht="23.100000000000005">
      <c r="A17" s="48"/>
      <c r="B17" s="49"/>
      <c r="C17" s="63" t="s">
        <v>16</v>
      </c>
      <c r="D17" s="57" t="s">
        <v>16</v>
      </c>
      <c r="E17" s="58" t="s">
        <v>16</v>
      </c>
      <c r="F17" s="57" t="s">
        <v>16</v>
      </c>
      <c r="G17" s="58" t="s">
        <v>16</v>
      </c>
      <c r="H17" s="57" t="s">
        <v>16</v>
      </c>
      <c r="I17" s="58" t="s">
        <v>16</v>
      </c>
      <c r="J17" s="53"/>
      <c r="K17" s="54"/>
      <c r="L17" s="7"/>
      <c r="M17" s="7"/>
    </row>
    <row x14ac:dyDescent="0.25" r="18" customHeight="1" ht="23.100000000000005">
      <c r="A18" s="64"/>
      <c r="B18" s="65"/>
      <c r="C18" s="66">
        <v>251140</v>
      </c>
      <c r="D18" s="67"/>
      <c r="E18" s="68">
        <f>+#REF!+D18</f>
      </c>
      <c r="F18" s="67"/>
      <c r="G18" s="68">
        <f>+E18+F18</f>
      </c>
      <c r="H18" s="67"/>
      <c r="I18" s="68">
        <f>+G18+H18</f>
      </c>
      <c r="J18" s="69"/>
      <c r="K18" s="70"/>
      <c r="L18" s="7"/>
      <c r="M18" s="7"/>
    </row>
    <row x14ac:dyDescent="0.25" r="19" customHeight="1" ht="18.75">
      <c r="A19" s="7"/>
      <c r="B19" s="7"/>
      <c r="C19" s="20"/>
      <c r="D19" s="71"/>
      <c r="E19" s="20"/>
      <c r="F19" s="71"/>
      <c r="G19" s="20"/>
      <c r="H19" s="71"/>
      <c r="I19" s="20"/>
      <c r="J19" s="72"/>
      <c r="K19" s="7"/>
      <c r="L19" s="7"/>
      <c r="M19" s="7"/>
    </row>
    <row x14ac:dyDescent="0.25" r="20" customHeight="1" ht="18.75">
      <c r="A20" s="73" t="s">
        <v>17</v>
      </c>
      <c r="B20" s="7"/>
      <c r="C20" s="74"/>
      <c r="D20" s="75"/>
      <c r="E20" s="74"/>
      <c r="F20" s="75"/>
      <c r="G20" s="74"/>
      <c r="H20" s="75"/>
      <c r="I20" s="74"/>
      <c r="J20" s="76"/>
      <c r="K20" s="77"/>
      <c r="L20" s="7"/>
      <c r="M20" s="7"/>
    </row>
    <row x14ac:dyDescent="0.25" r="21" customHeight="1" ht="23.100000000000005" customFormat="1" s="24">
      <c r="A21" s="25" t="s">
        <v>0</v>
      </c>
      <c r="B21" s="26" t="s">
        <v>1</v>
      </c>
      <c r="C21" s="27" t="s">
        <v>2</v>
      </c>
      <c r="D21" s="28" t="s">
        <v>3</v>
      </c>
      <c r="E21" s="27" t="s">
        <v>4</v>
      </c>
      <c r="F21" s="29" t="s">
        <v>5</v>
      </c>
      <c r="G21" s="27" t="s">
        <v>6</v>
      </c>
      <c r="H21" s="28" t="s">
        <v>7</v>
      </c>
      <c r="I21" s="27" t="s">
        <v>18</v>
      </c>
      <c r="J21" s="30" t="s">
        <v>9</v>
      </c>
      <c r="K21" s="26" t="s">
        <v>10</v>
      </c>
      <c r="L21" s="31"/>
      <c r="M21" s="31"/>
    </row>
    <row x14ac:dyDescent="0.25" r="22" customHeight="1" ht="23.100000000000005">
      <c r="A22" s="32"/>
      <c r="B22" s="33"/>
      <c r="C22" s="34"/>
      <c r="D22" s="35"/>
      <c r="E22" s="36"/>
      <c r="F22" s="37"/>
      <c r="G22" s="36"/>
      <c r="H22" s="38"/>
      <c r="I22" s="39"/>
      <c r="J22" s="40"/>
      <c r="K22" s="33"/>
      <c r="L22" s="7"/>
      <c r="M22" s="7"/>
    </row>
    <row x14ac:dyDescent="0.25" r="23" customHeight="1" ht="23.100000000000005">
      <c r="A23" s="41" t="s">
        <v>19</v>
      </c>
      <c r="B23" s="42" t="s">
        <v>12</v>
      </c>
      <c r="C23" s="43" t="s">
        <v>13</v>
      </c>
      <c r="D23" s="44" t="s">
        <v>13</v>
      </c>
      <c r="E23" s="45" t="s">
        <v>13</v>
      </c>
      <c r="F23" s="44" t="s">
        <v>13</v>
      </c>
      <c r="G23" s="45" t="s">
        <v>13</v>
      </c>
      <c r="H23" s="44" t="s">
        <v>13</v>
      </c>
      <c r="I23" s="45" t="s">
        <v>13</v>
      </c>
      <c r="J23" s="46"/>
      <c r="K23" s="47" t="s">
        <v>14</v>
      </c>
      <c r="L23" s="7"/>
      <c r="M23" s="7"/>
    </row>
    <row x14ac:dyDescent="0.25" r="24" customHeight="1" ht="23.100000000000005">
      <c r="A24" s="48"/>
      <c r="B24" s="49"/>
      <c r="C24" s="50">
        <f>IF(C26&lt;&gt;0,+C26/C28,0%)</f>
      </c>
      <c r="D24" s="51">
        <f>IF(D26&lt;&gt;0,ROUND(+D26/D28,4),0%)</f>
      </c>
      <c r="E24" s="78">
        <f>IF(E26&lt;&gt;0,+E26/E28,0%)</f>
      </c>
      <c r="F24" s="51">
        <f>IF(F26&lt;&gt;0,ROUND(+F26/F28,4),0%)</f>
      </c>
      <c r="G24" s="78">
        <f>IF(G26&lt;&gt;0,+G26/G28,0%)</f>
      </c>
      <c r="H24" s="51">
        <f>IF(H26&lt;&gt;0,ROUND(+H26/H28,4),0%)</f>
      </c>
      <c r="I24" s="78">
        <f>IF(I26&lt;&gt;0,+I26/I28,0%)</f>
      </c>
      <c r="J24" s="53"/>
      <c r="K24" s="54"/>
      <c r="L24" s="7"/>
      <c r="M24" s="7"/>
    </row>
    <row x14ac:dyDescent="0.25" r="25" customHeight="1" ht="23.100000000000005">
      <c r="A25" s="48"/>
      <c r="B25" s="49"/>
      <c r="C25" s="56"/>
      <c r="D25" s="57" t="s">
        <v>15</v>
      </c>
      <c r="E25" s="58" t="s">
        <v>15</v>
      </c>
      <c r="F25" s="57" t="s">
        <v>15</v>
      </c>
      <c r="G25" s="58" t="s">
        <v>15</v>
      </c>
      <c r="H25" s="57" t="s">
        <v>15</v>
      </c>
      <c r="I25" s="58" t="s">
        <v>15</v>
      </c>
      <c r="J25" s="53"/>
      <c r="K25" s="54"/>
      <c r="L25" s="7"/>
      <c r="M25" s="7"/>
    </row>
    <row x14ac:dyDescent="0.25" r="26" customHeight="1" ht="23.100000000000005">
      <c r="A26" s="48"/>
      <c r="B26" s="49"/>
      <c r="C26" s="79">
        <v>3479600</v>
      </c>
      <c r="D26" s="60"/>
      <c r="E26" s="61">
        <f>SUM(D26:D26)</f>
      </c>
      <c r="F26" s="60"/>
      <c r="G26" s="61">
        <f>SUM(E26:F26)</f>
      </c>
      <c r="H26" s="60"/>
      <c r="I26" s="61">
        <f>SUM(G26:H26)</f>
      </c>
      <c r="J26" s="62">
        <f>+I24/C24</f>
      </c>
      <c r="K26" s="54"/>
      <c r="L26" s="7"/>
      <c r="M26" s="7"/>
    </row>
    <row x14ac:dyDescent="0.25" r="27" customHeight="1" ht="23.100000000000005">
      <c r="A27" s="48"/>
      <c r="B27" s="49"/>
      <c r="C27" s="56" t="s">
        <v>16</v>
      </c>
      <c r="D27" s="57" t="s">
        <v>16</v>
      </c>
      <c r="E27" s="80" t="s">
        <v>16</v>
      </c>
      <c r="F27" s="57" t="s">
        <v>16</v>
      </c>
      <c r="G27" s="80" t="s">
        <v>16</v>
      </c>
      <c r="H27" s="57" t="s">
        <v>16</v>
      </c>
      <c r="I27" s="80" t="s">
        <v>16</v>
      </c>
      <c r="J27" s="53"/>
      <c r="K27" s="54"/>
      <c r="L27" s="7"/>
      <c r="M27" s="7"/>
    </row>
    <row x14ac:dyDescent="0.25" r="28" customHeight="1" ht="23.100000000000005">
      <c r="A28" s="64"/>
      <c r="B28" s="65"/>
      <c r="C28" s="81">
        <v>134502</v>
      </c>
      <c r="D28" s="67"/>
      <c r="E28" s="68">
        <f>SUM(D28:D28)</f>
      </c>
      <c r="F28" s="67"/>
      <c r="G28" s="68">
        <f>SUM(E28:F28)</f>
      </c>
      <c r="H28" s="67"/>
      <c r="I28" s="68">
        <f>SUM(G28:H28)</f>
      </c>
      <c r="J28" s="69"/>
      <c r="K28" s="70"/>
      <c r="L28" s="7"/>
      <c r="M28" s="82"/>
    </row>
    <row x14ac:dyDescent="0.25" r="29" customHeight="1" ht="18.75">
      <c r="A29" s="7"/>
      <c r="B29" s="7"/>
      <c r="C29" s="20"/>
      <c r="D29" s="71"/>
      <c r="E29" s="20"/>
      <c r="F29" s="71"/>
      <c r="G29" s="20"/>
      <c r="H29" s="71"/>
      <c r="I29" s="20"/>
      <c r="J29" s="72"/>
      <c r="K29" s="7"/>
      <c r="L29" s="7"/>
      <c r="M29" s="7"/>
    </row>
    <row x14ac:dyDescent="0.25" r="30" customHeight="1" ht="18.75">
      <c r="A30" s="73" t="s">
        <v>20</v>
      </c>
      <c r="B30" s="7"/>
      <c r="C30" s="74"/>
      <c r="D30" s="75"/>
      <c r="E30" s="74"/>
      <c r="F30" s="75"/>
      <c r="G30" s="74"/>
      <c r="H30" s="75"/>
      <c r="I30" s="74"/>
      <c r="J30" s="76"/>
      <c r="K30" s="77"/>
      <c r="L30" s="7"/>
      <c r="M30" s="7"/>
    </row>
    <row x14ac:dyDescent="0.25" r="31" customHeight="1" ht="23.100000000000005" customFormat="1" s="24">
      <c r="A31" s="25" t="s">
        <v>0</v>
      </c>
      <c r="B31" s="26" t="s">
        <v>1</v>
      </c>
      <c r="C31" s="27" t="s">
        <v>2</v>
      </c>
      <c r="D31" s="28" t="s">
        <v>3</v>
      </c>
      <c r="E31" s="27" t="s">
        <v>4</v>
      </c>
      <c r="F31" s="29" t="s">
        <v>5</v>
      </c>
      <c r="G31" s="27" t="s">
        <v>6</v>
      </c>
      <c r="H31" s="28" t="s">
        <v>7</v>
      </c>
      <c r="I31" s="27" t="s">
        <v>8</v>
      </c>
      <c r="J31" s="30" t="s">
        <v>9</v>
      </c>
      <c r="K31" s="26" t="s">
        <v>10</v>
      </c>
      <c r="L31" s="31"/>
      <c r="M31" s="31"/>
    </row>
    <row x14ac:dyDescent="0.25" r="32" customHeight="1" ht="23.100000000000005">
      <c r="A32" s="32"/>
      <c r="B32" s="33"/>
      <c r="C32" s="34"/>
      <c r="D32" s="35"/>
      <c r="E32" s="36"/>
      <c r="F32" s="37"/>
      <c r="G32" s="36"/>
      <c r="H32" s="38"/>
      <c r="I32" s="39"/>
      <c r="J32" s="40"/>
      <c r="K32" s="33"/>
      <c r="L32" s="7"/>
      <c r="M32" s="7"/>
    </row>
    <row x14ac:dyDescent="0.25" r="33" customHeight="1" ht="23.100000000000005">
      <c r="A33" s="41" t="s">
        <v>19</v>
      </c>
      <c r="B33" s="42" t="s">
        <v>12</v>
      </c>
      <c r="C33" s="43" t="s">
        <v>13</v>
      </c>
      <c r="D33" s="44" t="s">
        <v>13</v>
      </c>
      <c r="E33" s="45" t="s">
        <v>13</v>
      </c>
      <c r="F33" s="44" t="s">
        <v>13</v>
      </c>
      <c r="G33" s="45" t="s">
        <v>13</v>
      </c>
      <c r="H33" s="44" t="s">
        <v>13</v>
      </c>
      <c r="I33" s="45" t="s">
        <v>13</v>
      </c>
      <c r="J33" s="46"/>
      <c r="K33" s="47" t="s">
        <v>14</v>
      </c>
      <c r="L33" s="7"/>
      <c r="M33" s="7"/>
    </row>
    <row x14ac:dyDescent="0.25" r="34" customHeight="1" ht="23.100000000000005">
      <c r="A34" s="48"/>
      <c r="B34" s="49"/>
      <c r="C34" s="50">
        <f>IF(C36&lt;&gt;0,+C36/C38,0%)</f>
      </c>
      <c r="D34" s="51">
        <f>IF(D36&lt;&gt;0,ROUND(+D36/D38,4),0%)</f>
      </c>
      <c r="E34" s="78">
        <f>IF(E36&lt;&gt;0,+E36/E38,0%)</f>
      </c>
      <c r="F34" s="51">
        <f>IF(F36&lt;&gt;0,ROUND(+F36/F38,4),0%)</f>
      </c>
      <c r="G34" s="78">
        <f>IF(G36&lt;&gt;0,+G36/G38,0%)</f>
      </c>
      <c r="H34" s="51">
        <f>IF(H36&lt;&gt;0,ROUND(+H36/H38,4),0%)</f>
      </c>
      <c r="I34" s="78">
        <f>IF(I36&lt;&gt;0,+I36/I38,0%)</f>
      </c>
      <c r="J34" s="53"/>
      <c r="K34" s="54"/>
      <c r="L34" s="7"/>
      <c r="M34" s="7"/>
    </row>
    <row x14ac:dyDescent="0.25" r="35" customHeight="1" ht="23.100000000000005">
      <c r="A35" s="48"/>
      <c r="B35" s="49"/>
      <c r="C35" s="56"/>
      <c r="D35" s="57" t="s">
        <v>15</v>
      </c>
      <c r="E35" s="58" t="s">
        <v>15</v>
      </c>
      <c r="F35" s="57" t="s">
        <v>15</v>
      </c>
      <c r="G35" s="58" t="s">
        <v>15</v>
      </c>
      <c r="H35" s="57" t="s">
        <v>15</v>
      </c>
      <c r="I35" s="58" t="s">
        <v>15</v>
      </c>
      <c r="J35" s="53"/>
      <c r="K35" s="54"/>
      <c r="L35" s="7"/>
      <c r="M35" s="7"/>
    </row>
    <row x14ac:dyDescent="0.25" r="36" customHeight="1" ht="23.100000000000005">
      <c r="A36" s="48"/>
      <c r="B36" s="49"/>
      <c r="C36" s="79">
        <v>3620150</v>
      </c>
      <c r="D36" s="60"/>
      <c r="E36" s="61">
        <f>SUM(D36:D36)</f>
      </c>
      <c r="F36" s="60"/>
      <c r="G36" s="61">
        <f>SUM(E36:F36)</f>
      </c>
      <c r="H36" s="60"/>
      <c r="I36" s="61">
        <f>SUM(G36:H36)</f>
      </c>
      <c r="J36" s="62">
        <f>+I34/C34</f>
      </c>
      <c r="K36" s="54"/>
      <c r="L36" s="7"/>
      <c r="M36" s="7"/>
    </row>
    <row x14ac:dyDescent="0.25" r="37" customHeight="1" ht="23.100000000000005">
      <c r="A37" s="48"/>
      <c r="B37" s="49"/>
      <c r="C37" s="56" t="s">
        <v>16</v>
      </c>
      <c r="D37" s="57" t="s">
        <v>16</v>
      </c>
      <c r="E37" s="80" t="s">
        <v>16</v>
      </c>
      <c r="F37" s="57" t="s">
        <v>16</v>
      </c>
      <c r="G37" s="80" t="s">
        <v>16</v>
      </c>
      <c r="H37" s="57" t="s">
        <v>16</v>
      </c>
      <c r="I37" s="80" t="s">
        <v>16</v>
      </c>
      <c r="J37" s="53"/>
      <c r="K37" s="54"/>
      <c r="L37" s="7"/>
      <c r="M37" s="7"/>
    </row>
    <row x14ac:dyDescent="0.25" r="38" customHeight="1" ht="23.100000000000005">
      <c r="A38" s="64"/>
      <c r="B38" s="65"/>
      <c r="C38" s="81">
        <v>116638</v>
      </c>
      <c r="D38" s="67"/>
      <c r="E38" s="68">
        <f>SUM(D38:D38)</f>
      </c>
      <c r="F38" s="67"/>
      <c r="G38" s="68">
        <f>SUM(E38:F38)</f>
      </c>
      <c r="H38" s="67"/>
      <c r="I38" s="68">
        <f>SUM(G38:H38)</f>
      </c>
      <c r="J38" s="69"/>
      <c r="K38" s="70"/>
      <c r="L38" s="7"/>
      <c r="M38" s="7"/>
    </row>
    <row x14ac:dyDescent="0.25" r="39" customHeight="1" ht="18.75">
      <c r="A39" s="7"/>
      <c r="B39" s="7"/>
      <c r="C39" s="20"/>
      <c r="D39" s="71"/>
      <c r="E39" s="20"/>
      <c r="F39" s="71"/>
      <c r="G39" s="20"/>
      <c r="H39" s="71"/>
      <c r="I39" s="20"/>
      <c r="J39" s="72"/>
      <c r="K39" s="7"/>
      <c r="L39" s="7"/>
      <c r="M39" s="7"/>
    </row>
    <row x14ac:dyDescent="0.25" r="40" customHeight="1" ht="18.75">
      <c r="A40" s="7"/>
      <c r="B40" s="7"/>
      <c r="C40" s="20"/>
      <c r="D40" s="71"/>
      <c r="E40" s="20"/>
      <c r="F40" s="71"/>
      <c r="G40" s="20"/>
      <c r="H40" s="71"/>
      <c r="I40" s="20"/>
      <c r="J40" s="72"/>
      <c r="K40" s="7"/>
      <c r="L40" s="7"/>
      <c r="M40" s="7"/>
    </row>
    <row x14ac:dyDescent="0.25" r="41" customHeight="1" ht="18.75">
      <c r="A41" s="7"/>
      <c r="B41" s="7"/>
      <c r="C41" s="20"/>
      <c r="D41" s="71"/>
      <c r="E41" s="20"/>
      <c r="F41" s="71"/>
      <c r="G41" s="20"/>
      <c r="H41" s="71"/>
      <c r="I41" s="20"/>
      <c r="J41" s="72"/>
      <c r="K41" s="7"/>
      <c r="L41" s="7"/>
      <c r="M41" s="7"/>
    </row>
    <row x14ac:dyDescent="0.25" r="42" customHeight="1" ht="18.75">
      <c r="A42" s="7"/>
      <c r="B42" s="7"/>
      <c r="C42" s="83"/>
      <c r="D42" s="83"/>
      <c r="E42" s="83"/>
      <c r="F42" s="83"/>
      <c r="G42" s="83"/>
      <c r="H42" s="83"/>
      <c r="I42" s="83"/>
      <c r="J42" s="72"/>
      <c r="K42" s="7"/>
      <c r="L42" s="7"/>
      <c r="M42" s="7"/>
    </row>
    <row x14ac:dyDescent="0.25" r="43" customHeight="1" ht="18.75">
      <c r="A43" s="7"/>
      <c r="B43" s="7"/>
      <c r="C43" s="83"/>
      <c r="D43" s="83"/>
      <c r="E43" s="83"/>
      <c r="F43" s="83"/>
      <c r="G43" s="83"/>
      <c r="H43" s="83"/>
      <c r="I43" s="83"/>
      <c r="J43" s="72"/>
      <c r="K43" s="7"/>
      <c r="L43" s="7"/>
      <c r="M43" s="7"/>
    </row>
  </sheetData>
  <mergeCells count="45">
    <mergeCell ref="A1:B5"/>
    <mergeCell ref="C1:C5"/>
    <mergeCell ref="A6:B6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A13:A18"/>
    <mergeCell ref="B13:B18"/>
    <mergeCell ref="K13:K18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23:A28"/>
    <mergeCell ref="B23:B28"/>
    <mergeCell ref="K23:K28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33:A38"/>
    <mergeCell ref="B33:B38"/>
    <mergeCell ref="K33:K3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CDC 2025</vt:lpstr>
      <vt:lpstr>ind 14 dias desagr por sexo CDC</vt:lpstr>
      <vt:lpstr>Form H cargas fam desagr sexo</vt:lpstr>
      <vt:lpstr>PGU Desg Genero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2026-02-03T02:06:11.400Z</dcterms:created>
  <dcterms:modified xsi:type="dcterms:W3CDTF">2026-02-03T02:06:11.400Z</dcterms:modified>
</cp:coreProperties>
</file>