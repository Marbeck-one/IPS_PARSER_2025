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ivisión Informática/"/>
    </mc:Choice>
  </mc:AlternateContent>
  <xr:revisionPtr revIDLastSave="57" documentId="13_ncr:1_{1A9B1675-12FB-460A-A30A-C2ED60542F10}" xr6:coauthVersionLast="47" xr6:coauthVersionMax="47" xr10:uidLastSave="{0414B729-9C5D-456F-9859-78B7F61129FB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_FilterDatabase" localSheetId="0" hidden="1">'CDC 2025'!$A$11:$L$36</definedName>
    <definedName name="_xlnm.Print_Area" localSheetId="0">'CDC 2025'!$B$1:$L$18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H38" i="1"/>
  <c r="I38" i="1"/>
  <c r="G38" i="1"/>
  <c r="J14" i="1"/>
  <c r="H14" i="1"/>
  <c r="F14" i="1"/>
  <c r="K42" i="1"/>
  <c r="I42" i="1"/>
  <c r="G42" i="1"/>
  <c r="K30" i="1"/>
  <c r="I30" i="1"/>
  <c r="G30" i="1"/>
  <c r="K24" i="1"/>
  <c r="I24" i="1"/>
  <c r="G24" i="1"/>
  <c r="F38" i="1" l="1"/>
  <c r="E38" i="1"/>
  <c r="J32" i="1"/>
  <c r="H32" i="1"/>
  <c r="F32" i="1"/>
  <c r="E32" i="1"/>
  <c r="J44" i="1"/>
  <c r="H44" i="1"/>
  <c r="F44" i="1"/>
  <c r="E44" i="1"/>
  <c r="G34" i="1" l="1"/>
  <c r="G46" i="1"/>
  <c r="G40" i="1" l="1"/>
  <c r="I34" i="1"/>
  <c r="G32" i="1"/>
  <c r="I46" i="1"/>
  <c r="G44" i="1"/>
  <c r="I40" i="1" l="1"/>
  <c r="K34" i="1"/>
  <c r="K32" i="1" s="1"/>
  <c r="L34" i="1" s="1"/>
  <c r="I32" i="1"/>
  <c r="K46" i="1"/>
  <c r="K44" i="1" s="1"/>
  <c r="L46" i="1" s="1"/>
  <c r="I44" i="1"/>
  <c r="K40" i="1" l="1"/>
  <c r="K38" i="1" s="1"/>
  <c r="L40" i="1" s="1"/>
  <c r="G18" i="1"/>
  <c r="I18" i="1" s="1"/>
  <c r="K18" i="1" s="1"/>
  <c r="E14" i="1"/>
  <c r="G16" i="1" l="1"/>
  <c r="G14" i="1" l="1"/>
  <c r="I16" i="1"/>
  <c r="J26" i="1"/>
  <c r="J20" i="1"/>
  <c r="H26" i="1"/>
  <c r="H20" i="1"/>
  <c r="F26" i="1"/>
  <c r="F20" i="1"/>
  <c r="E26" i="1"/>
  <c r="E20" i="1"/>
  <c r="K16" i="1" l="1"/>
  <c r="K14" i="1" s="1"/>
  <c r="L16" i="1" s="1"/>
  <c r="I14" i="1"/>
  <c r="G28" i="1" l="1"/>
  <c r="G22" i="1" l="1"/>
  <c r="I28" i="1"/>
  <c r="G26" i="1"/>
  <c r="K28" i="1" l="1"/>
  <c r="K26" i="1" s="1"/>
  <c r="L28" i="1" s="1"/>
  <c r="I26" i="1"/>
  <c r="I22" i="1"/>
  <c r="G20" i="1"/>
  <c r="I20" i="1" l="1"/>
  <c r="K22" i="1"/>
  <c r="K20" i="1" s="1"/>
  <c r="L22" i="1" s="1"/>
</calcChain>
</file>

<file path=xl/sharedStrings.xml><?xml version="1.0" encoding="utf-8"?>
<sst xmlns="http://schemas.openxmlformats.org/spreadsheetml/2006/main" count="169" uniqueCount="44">
  <si>
    <t>DIVISIÓN INFORMÁTICA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</si>
  <si>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</si>
  <si>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</si>
  <si>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</si>
  <si>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</si>
  <si>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</si>
  <si>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</si>
  <si>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</si>
  <si>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</si>
  <si>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</si>
  <si>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</si>
  <si>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</si>
  <si>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</si>
  <si>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</si>
  <si>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</si>
  <si>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</si>
  <si>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</si>
  <si>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</si>
  <si>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</si>
  <si>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</si>
  <si>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</si>
  <si>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5.2.1.19</t>
  </si>
  <si>
    <r>
      <t>2) Eficacia/Proceso</t>
    </r>
    <r>
      <rPr>
        <sz val="8"/>
        <rFont val="Arial Narrow"/>
        <family val="2"/>
      </rPr>
      <t xml:space="preserve">
Porcentaje de horas disponibles del sitio Web del servicio en el año. (IPS.GOB.CL)</t>
    </r>
    <r>
      <rPr>
        <b/>
        <sz val="8"/>
        <rFont val="Arial Narrow"/>
        <family val="2"/>
      </rPr>
      <t xml:space="preserve">
</t>
    </r>
    <r>
      <rPr>
        <b/>
        <u/>
        <sz val="8"/>
        <rFont val="Arial Narrow"/>
        <family val="2"/>
      </rPr>
      <t xml:space="preserve">
</t>
    </r>
  </si>
  <si>
    <t>(N° de horas de disponibilidad de  sitios Web del servicio en el año t / N° total de horas de disponibilidad requeridas para los sitios Web del servicio en el año t)*100</t>
  </si>
  <si>
    <t xml:space="preserve">(N° de horas de disponibilidad de  sitios Web del servicio en el año t </t>
  </si>
  <si>
    <t>N° total de horas de disponibilidad requeridas para los sitios Web del servicio en el año t)*100</t>
  </si>
  <si>
    <t>5.2.1.18</t>
  </si>
  <si>
    <r>
      <t xml:space="preserve">3) Eficacia/Proceso
</t>
    </r>
    <r>
      <rPr>
        <sz val="8"/>
        <rFont val="Arial Narrow"/>
        <family val="2"/>
      </rPr>
      <t>Porcentaje de controles de seguridad de la información implementados respecto del total definido en la norma NCh -ISO 27001, en el año t.</t>
    </r>
  </si>
  <si>
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</si>
  <si>
    <t>(Número de controles de seguridad de la Norma NCh. - ISO 27001 implementados para mitigar riesgos de seguridad de la información al año t</t>
  </si>
  <si>
    <t>Número total de controles establecidos en la Norma NCh. -ISO 27001 para mitigar riesgos de seguridad de la información) *100</t>
  </si>
  <si>
    <t>5.1.3.43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</si>
  <si>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
(División Informática)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</si>
  <si>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</si>
  <si>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</si>
  <si>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(N° total de hitos de control definidos de ejecución presupuestaria a nivel de los Subtítulos 22 y 29) *100</t>
  </si>
  <si>
    <t>5.2.1.94</t>
  </si>
  <si>
    <r>
      <t>5) Eficacia/Proceso</t>
    </r>
    <r>
      <rPr>
        <sz val="8"/>
        <rFont val="Arial Narrow"/>
        <family val="2"/>
      </rPr>
      <t xml:space="preserve">
Porcentaje de tickets de atención cerrados por el Subdepto de Gestión de Servicios TI, en el año t.</t>
    </r>
    <r>
      <rPr>
        <b/>
        <u/>
        <sz val="8"/>
        <rFont val="Arial Narrow"/>
        <family val="2"/>
      </rPr>
      <t xml:space="preserve">
</t>
    </r>
  </si>
  <si>
    <t xml:space="preserve">(N° de tickets de atención cerrados por el Subdepto de Gestión de Servicios TI en el año t / N° total de ticket creados por el Subdepto de Gestión de Servicios TI en el año t) *100 </t>
  </si>
  <si>
    <t>5.4.1.76</t>
  </si>
  <si>
    <r>
      <rPr>
        <b/>
        <u/>
        <sz val="8"/>
        <rFont val="Arial Narrow"/>
        <family val="2"/>
      </rPr>
      <t>6) Eficacia/Proceso</t>
    </r>
    <r>
      <rPr>
        <sz val="8"/>
        <rFont val="Arial Narrow"/>
        <family val="2"/>
      </rPr>
      <t xml:space="preserve">
Porcentaje de Reportes Trimestrales de riesgos enviados oportunamente al Depto. Gestión Integral de Riesgos en el año t (División Informática)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</si>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</sst>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2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  <font>
      <b/>
      <u/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0" fillId="0" borderId="3" xfId="0" applyFont="1" applyBorder="1" applyAlignment="1">
      <alignment horizontal="center"/>
    </xf>
    <xf numFmtId="0" fontId="13" fillId="0" borderId="4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9" fontId="13" fillId="0" borderId="4" xfId="4" applyFont="1" applyBorder="1" applyAlignment="1">
      <alignment vertical="center"/>
    </xf>
    <xf numFmtId="10" fontId="13" fillId="2" borderId="7" xfId="4" applyNumberFormat="1" applyFont="1" applyFill="1" applyBorder="1" applyAlignment="1" applyProtection="1">
      <alignment vertical="center"/>
    </xf>
    <xf numFmtId="9" fontId="13" fillId="0" borderId="6" xfId="4" applyFont="1" applyBorder="1" applyAlignment="1">
      <alignment vertical="center"/>
    </xf>
    <xf numFmtId="0" fontId="13" fillId="0" borderId="6" xfId="0" applyFont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3" fontId="13" fillId="5" borderId="6" xfId="0" applyNumberFormat="1" applyFont="1" applyFill="1" applyBorder="1" applyAlignment="1">
      <alignment horizontal="right" vertical="center" wrapText="1"/>
    </xf>
    <xf numFmtId="3" fontId="13" fillId="3" borderId="6" xfId="0" applyNumberFormat="1" applyFont="1" applyFill="1" applyBorder="1" applyAlignment="1">
      <alignment horizontal="right" vertical="center" wrapText="1"/>
    </xf>
    <xf numFmtId="3" fontId="13" fillId="2" borderId="6" xfId="0" applyNumberFormat="1" applyFont="1" applyFill="1" applyBorder="1" applyAlignment="1">
      <alignment horizontal="right" vertical="center" wrapText="1"/>
    </xf>
    <xf numFmtId="10" fontId="13" fillId="0" borderId="6" xfId="4" applyNumberFormat="1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left" vertical="center" wrapText="1"/>
    </xf>
    <xf numFmtId="3" fontId="13" fillId="2" borderId="7" xfId="0" applyNumberFormat="1" applyFont="1" applyFill="1" applyBorder="1" applyAlignment="1">
      <alignment horizontal="left" vertical="center" wrapText="1"/>
    </xf>
    <xf numFmtId="3" fontId="13" fillId="5" borderId="8" xfId="0" applyNumberFormat="1" applyFont="1" applyFill="1" applyBorder="1" applyAlignment="1">
      <alignment horizontal="right" vertical="center" wrapText="1"/>
    </xf>
    <xf numFmtId="3" fontId="13" fillId="3" borderId="8" xfId="0" applyNumberFormat="1" applyFont="1" applyFill="1" applyBorder="1" applyAlignment="1">
      <alignment horizontal="right" vertical="center" wrapText="1"/>
    </xf>
    <xf numFmtId="3" fontId="13" fillId="2" borderId="9" xfId="0" applyNumberFormat="1" applyFont="1" applyFill="1" applyBorder="1" applyAlignment="1">
      <alignment horizontal="right" vertical="center" wrapText="1"/>
    </xf>
    <xf numFmtId="9" fontId="13" fillId="0" borderId="8" xfId="4" applyFont="1" applyBorder="1" applyAlignment="1">
      <alignment vertical="center"/>
    </xf>
    <xf numFmtId="10" fontId="13" fillId="3" borderId="6" xfId="4" applyNumberFormat="1" applyFont="1" applyFill="1" applyBorder="1" applyAlignment="1" applyProtection="1">
      <alignment horizontal="right" vertical="center"/>
    </xf>
    <xf numFmtId="0" fontId="13" fillId="0" borderId="0" xfId="0" applyFont="1"/>
    <xf numFmtId="10" fontId="14" fillId="6" borderId="6" xfId="4" applyNumberFormat="1" applyFont="1" applyFill="1" applyBorder="1" applyAlignment="1" applyProtection="1">
      <alignment horizontal="right" vertical="center"/>
    </xf>
    <xf numFmtId="0" fontId="13" fillId="0" borderId="0" xfId="0" applyFont="1" applyAlignment="1">
      <alignment horizontal="left" vertical="center" wrapText="1"/>
    </xf>
    <xf numFmtId="9" fontId="13" fillId="0" borderId="0" xfId="4" applyFont="1" applyFill="1" applyBorder="1" applyAlignment="1">
      <alignment vertical="center"/>
    </xf>
    <xf numFmtId="10" fontId="13" fillId="0" borderId="0" xfId="4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left" vertical="center" wrapText="1"/>
    </xf>
    <xf numFmtId="0" fontId="11" fillId="0" borderId="0" xfId="0" applyFont="1"/>
    <xf numFmtId="10" fontId="14" fillId="0" borderId="0" xfId="4" applyNumberFormat="1" applyFont="1" applyFill="1" applyBorder="1" applyAlignment="1" applyProtection="1">
      <alignment horizontal="right" vertical="center"/>
    </xf>
    <xf numFmtId="10" fontId="13" fillId="0" borderId="0" xfId="4" applyNumberFormat="1" applyFont="1" applyFill="1" applyBorder="1" applyAlignment="1" applyProtection="1">
      <alignment horizontal="right" vertical="center"/>
    </xf>
    <xf numFmtId="10" fontId="13" fillId="0" borderId="0" xfId="4" applyNumberFormat="1" applyFont="1" applyFill="1" applyBorder="1" applyAlignment="1">
      <alignment vertical="center"/>
    </xf>
    <xf numFmtId="3" fontId="13" fillId="0" borderId="0" xfId="0" applyNumberFormat="1" applyFont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10" fontId="3" fillId="6" borderId="6" xfId="4" applyNumberFormat="1" applyFont="1" applyFill="1" applyBorder="1" applyAlignment="1" applyProtection="1">
      <alignment horizontal="right" vertical="center"/>
    </xf>
    <xf numFmtId="0" fontId="4" fillId="0" borderId="6" xfId="0" applyFont="1" applyBorder="1" applyAlignment="1">
      <alignment horizontal="left" vertical="center" wrapText="1"/>
    </xf>
    <xf numFmtId="3" fontId="4" fillId="5" borderId="6" xfId="0" applyNumberFormat="1" applyFont="1" applyFill="1" applyBorder="1" applyAlignment="1">
      <alignment horizontal="right" vertical="center" wrapText="1"/>
    </xf>
    <xf numFmtId="3" fontId="4" fillId="0" borderId="6" xfId="0" applyNumberFormat="1" applyFont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/>
    </xf>
    <xf numFmtId="0" fontId="15" fillId="0" borderId="0" xfId="0" applyFont="1"/>
    <xf numFmtId="0" fontId="4" fillId="2" borderId="4" xfId="0" applyFont="1" applyFill="1" applyBorder="1" applyAlignment="1">
      <alignment horizontal="left" vertical="center" wrapText="1"/>
    </xf>
    <xf numFmtId="2" fontId="4" fillId="2" borderId="6" xfId="4" applyNumberFormat="1" applyFont="1" applyFill="1" applyBorder="1" applyAlignment="1">
      <alignment vertical="center"/>
    </xf>
    <xf numFmtId="2" fontId="4" fillId="3" borderId="6" xfId="4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 wrapText="1"/>
    </xf>
    <xf numFmtId="3" fontId="4" fillId="4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2" borderId="6" xfId="0" applyNumberFormat="1" applyFont="1" applyFill="1" applyBorder="1" applyAlignment="1">
      <alignment horizontal="left" vertical="center" wrapText="1"/>
    </xf>
    <xf numFmtId="3" fontId="4" fillId="4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0" fontId="13" fillId="0" borderId="0" xfId="0" applyFont="1" applyProtection="1">
      <protection locked="0"/>
    </xf>
    <xf numFmtId="164" fontId="13" fillId="3" borderId="6" xfId="0" applyNumberFormat="1" applyFont="1" applyFill="1" applyBorder="1" applyAlignment="1">
      <alignment horizontal="right" vertical="center" wrapText="1"/>
    </xf>
    <xf numFmtId="164" fontId="13" fillId="2" borderId="6" xfId="0" applyNumberFormat="1" applyFont="1" applyFill="1" applyBorder="1" applyAlignment="1">
      <alignment horizontal="right" vertical="center" wrapText="1"/>
    </xf>
    <xf numFmtId="0" fontId="4" fillId="7" borderId="5" xfId="0" applyFont="1" applyFill="1" applyBorder="1" applyAlignment="1">
      <alignment horizontal="left" vertical="center" wrapText="1"/>
    </xf>
    <xf numFmtId="9" fontId="4" fillId="0" borderId="4" xfId="4" applyFont="1" applyBorder="1" applyAlignment="1">
      <alignment vertical="center"/>
    </xf>
    <xf numFmtId="10" fontId="4" fillId="4" borderId="6" xfId="4" applyNumberFormat="1" applyFont="1" applyFill="1" applyBorder="1" applyAlignment="1" applyProtection="1">
      <alignment horizontal="right" vertical="center"/>
    </xf>
    <xf numFmtId="10" fontId="4" fillId="7" borderId="7" xfId="4" applyNumberFormat="1" applyFont="1" applyFill="1" applyBorder="1" applyAlignment="1" applyProtection="1">
      <alignment vertical="center"/>
    </xf>
    <xf numFmtId="9" fontId="4" fillId="0" borderId="6" xfId="4" applyFont="1" applyBorder="1" applyAlignment="1">
      <alignment vertical="center"/>
    </xf>
    <xf numFmtId="0" fontId="4" fillId="7" borderId="7" xfId="0" applyFont="1" applyFill="1" applyBorder="1" applyAlignment="1">
      <alignment horizontal="left" vertical="center" wrapText="1"/>
    </xf>
    <xf numFmtId="3" fontId="4" fillId="4" borderId="6" xfId="0" applyNumberFormat="1" applyFont="1" applyFill="1" applyBorder="1" applyAlignment="1" applyProtection="1">
      <alignment horizontal="right" vertical="center" wrapText="1"/>
      <protection locked="0"/>
    </xf>
    <xf numFmtId="3" fontId="4" fillId="7" borderId="7" xfId="0" applyNumberFormat="1" applyFont="1" applyFill="1" applyBorder="1" applyAlignment="1">
      <alignment horizontal="right" vertical="center" wrapText="1"/>
    </xf>
    <xf numFmtId="10" fontId="4" fillId="0" borderId="6" xfId="4" applyNumberFormat="1" applyFont="1" applyBorder="1" applyAlignment="1">
      <alignment horizontal="center" vertical="center"/>
    </xf>
    <xf numFmtId="3" fontId="4" fillId="7" borderId="7" xfId="0" applyNumberFormat="1" applyFont="1" applyFill="1" applyBorder="1" applyAlignment="1">
      <alignment horizontal="left" vertical="center" wrapText="1"/>
    </xf>
    <xf numFmtId="9" fontId="4" fillId="0" borderId="8" xfId="4" applyFont="1" applyBorder="1" applyAlignment="1">
      <alignment vertical="center"/>
    </xf>
    <xf numFmtId="9" fontId="8" fillId="0" borderId="0" xfId="4" applyFont="1"/>
    <xf numFmtId="1" fontId="8" fillId="0" borderId="0" xfId="4" applyNumberFormat="1" applyFont="1"/>
    <xf numFmtId="4" fontId="13" fillId="3" borderId="6" xfId="0" applyNumberFormat="1" applyFont="1" applyFill="1" applyBorder="1" applyAlignment="1">
      <alignment horizontal="right" vertical="center" wrapText="1"/>
    </xf>
    <xf numFmtId="9" fontId="13" fillId="7" borderId="4" xfId="0" applyNumberFormat="1" applyFont="1" applyFill="1" applyBorder="1" applyAlignment="1">
      <alignment horizontal="left" vertical="center" wrapText="1"/>
    </xf>
    <xf numFmtId="9" fontId="13" fillId="7" borderId="6" xfId="0" applyNumberFormat="1" applyFont="1" applyFill="1" applyBorder="1" applyAlignment="1">
      <alignment horizontal="left" vertical="center" wrapText="1"/>
    </xf>
    <xf numFmtId="0" fontId="13" fillId="7" borderId="8" xfId="0" applyFont="1" applyFill="1" applyBorder="1" applyAlignment="1">
      <alignment horizontal="left" wrapText="1"/>
    </xf>
    <xf numFmtId="0" fontId="13" fillId="8" borderId="4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13" fillId="7" borderId="4" xfId="3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 wrapText="1"/>
    </xf>
    <xf numFmtId="0" fontId="14" fillId="2" borderId="8" xfId="2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left" wrapText="1"/>
    </xf>
    <xf numFmtId="1" fontId="4" fillId="7" borderId="4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8" xfId="0" applyNumberFormat="1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wrapText="1"/>
    </xf>
    <xf numFmtId="9" fontId="13" fillId="8" borderId="4" xfId="0" applyNumberFormat="1" applyFont="1" applyFill="1" applyBorder="1" applyAlignment="1">
      <alignment horizontal="left" vertical="center" wrapText="1"/>
    </xf>
    <xf numFmtId="9" fontId="13" fillId="8" borderId="6" xfId="0" applyNumberFormat="1" applyFont="1" applyFill="1" applyBorder="1" applyAlignment="1">
      <alignment horizontal="left" vertical="center" wrapText="1"/>
    </xf>
    <xf numFmtId="0" fontId="13" fillId="8" borderId="8" xfId="0" applyFont="1" applyFill="1" applyBorder="1" applyAlignment="1">
      <alignment horizontal="left" wrapText="1"/>
    </xf>
    <xf numFmtId="1" fontId="13" fillId="8" borderId="4" xfId="0" applyNumberFormat="1" applyFont="1" applyFill="1" applyBorder="1" applyAlignment="1">
      <alignment horizontal="left" vertical="center" wrapText="1"/>
    </xf>
    <xf numFmtId="1" fontId="13" fillId="8" borderId="6" xfId="0" applyNumberFormat="1" applyFont="1" applyFill="1" applyBorder="1" applyAlignment="1">
      <alignment horizontal="left" vertical="center" wrapText="1"/>
    </xf>
    <xf numFmtId="1" fontId="13" fillId="8" borderId="8" xfId="0" applyNumberFormat="1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left" wrapText="1"/>
    </xf>
    <xf numFmtId="1" fontId="16" fillId="7" borderId="6" xfId="0" applyNumberFormat="1" applyFont="1" applyFill="1" applyBorder="1" applyAlignment="1">
      <alignment horizontal="left" vertical="center" wrapText="1"/>
    </xf>
    <xf numFmtId="1" fontId="16" fillId="7" borderId="8" xfId="0" applyNumberFormat="1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4" fillId="2" borderId="9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14" fillId="7" borderId="4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left" vertical="center"/>
    </xf>
    <xf numFmtId="0" fontId="13" fillId="7" borderId="8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20" fillId="0" borderId="0" xfId="0" applyFont="1"/>
    <xf numFmtId="0" fontId="13" fillId="7" borderId="6" xfId="0" applyFont="1" applyFill="1" applyBorder="1" applyAlignment="1"/>
    <xf numFmtId="0" fontId="13" fillId="7" borderId="8" xfId="0" applyFont="1" applyFill="1" applyBorder="1" applyAlignment="1"/>
    <xf numFmtId="0" fontId="13" fillId="8" borderId="6" xfId="0" applyFont="1" applyFill="1" applyBorder="1" applyAlignment="1"/>
    <xf numFmtId="0" fontId="13" fillId="8" borderId="8" xfId="0" applyFont="1" applyFill="1" applyBorder="1" applyAlignment="1"/>
    <xf numFmtId="0" fontId="13" fillId="7" borderId="6" xfId="3" applyFont="1" applyFill="1" applyBorder="1" applyAlignment="1"/>
    <xf numFmtId="0" fontId="13" fillId="7" borderId="8" xfId="3" applyFont="1" applyFill="1" applyBorder="1" applyAlignment="1"/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90"/>
  <sheetViews>
    <sheetView showGridLines="0" tabSelected="1" topLeftCell="A8" zoomScale="90" zoomScaleNormal="90" workbookViewId="0">
      <pane xSplit="2" ySplit="5" topLeftCell="D13" activePane="bottomRight" state="frozen"/>
      <selection pane="bottomRight" activeCell="Q23" sqref="Q23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8.42578125" style="3" customWidth="1"/>
    <col min="2" max="3" width="26.5703125" style="3" customWidth="1"/>
    <col min="4" max="4" width="28.5703125" style="3" customWidth="1"/>
    <col min="5" max="5" width="17" style="3" customWidth="1"/>
    <col min="6" max="10" width="10.5703125" style="2" customWidth="1"/>
    <col min="11" max="11" width="13" style="2" bestFit="1" customWidth="1"/>
    <col min="12" max="12" width="16" style="2" customWidth="1"/>
    <col min="13" max="13" width="21.42578125" style="3" customWidth="1"/>
    <col min="14" max="14" width="2.42578125" style="3" customWidth="1"/>
    <col min="15" max="16384" width="11.42578125" style="3"/>
  </cols>
  <sheetData>
    <row r="1" spans="1:13" s="8" customFormat="1" ht="12.75" customHeight="1">
      <c r="B1" s="124"/>
      <c r="C1" s="125"/>
      <c r="D1" s="110"/>
      <c r="E1" s="110"/>
      <c r="F1" s="10"/>
      <c r="G1" s="10"/>
      <c r="H1" s="10"/>
      <c r="I1" s="10"/>
      <c r="J1" s="10"/>
      <c r="K1" s="10"/>
      <c r="L1" s="10"/>
    </row>
    <row r="2" spans="1:13" s="8" customFormat="1" ht="12.75" customHeight="1">
      <c r="B2" s="126"/>
      <c r="C2" s="127"/>
      <c r="D2" s="111"/>
      <c r="E2" s="111"/>
      <c r="F2" s="10"/>
      <c r="G2" s="10"/>
      <c r="H2" s="10"/>
      <c r="I2" s="10"/>
      <c r="J2" s="10"/>
      <c r="K2" s="10"/>
      <c r="L2" s="10"/>
    </row>
    <row r="3" spans="1:13" s="8" customFormat="1" ht="15.75" customHeight="1">
      <c r="B3" s="126"/>
      <c r="C3" s="127"/>
      <c r="D3" s="111"/>
      <c r="E3" s="111"/>
      <c r="F3" s="10"/>
      <c r="G3" s="10"/>
      <c r="H3" s="10"/>
      <c r="I3" s="10"/>
      <c r="J3" s="10"/>
      <c r="K3" s="10"/>
      <c r="L3" s="10"/>
    </row>
    <row r="4" spans="1:13" s="8" customFormat="1" ht="12.75" customHeight="1">
      <c r="B4" s="126"/>
      <c r="C4" s="127"/>
      <c r="D4" s="111"/>
      <c r="E4" s="111"/>
      <c r="F4" s="10"/>
      <c r="G4" s="10"/>
      <c r="H4" s="10"/>
      <c r="I4" s="10"/>
      <c r="J4" s="10"/>
      <c r="K4" s="10"/>
      <c r="L4" s="10"/>
    </row>
    <row r="5" spans="1:13" s="8" customFormat="1" ht="20.25" customHeight="1">
      <c r="B5" s="128"/>
      <c r="C5" s="129"/>
      <c r="D5" s="112"/>
      <c r="E5" s="112"/>
      <c r="F5" s="10"/>
      <c r="G5" s="10"/>
      <c r="H5" s="10"/>
      <c r="I5" s="10"/>
      <c r="J5" s="10"/>
      <c r="K5" s="10"/>
      <c r="L5" s="10"/>
    </row>
    <row r="6" spans="1:13" ht="15.75" customHeight="1">
      <c r="B6" s="131"/>
      <c r="C6" s="132"/>
      <c r="D6" s="114"/>
      <c r="E6" s="114"/>
      <c r="F6" s="12"/>
      <c r="G6" s="12"/>
      <c r="H6" s="12"/>
      <c r="I6" s="12"/>
      <c r="J6" s="12"/>
      <c r="K6" s="12"/>
      <c r="L6" s="12"/>
    </row>
    <row r="7" spans="1:13" s="8" customFormat="1" ht="16.5" customHeight="1">
      <c r="D7" s="11"/>
      <c r="E7" s="11"/>
      <c r="F7" s="10"/>
      <c r="G7" s="10"/>
      <c r="H7" s="10"/>
      <c r="I7" s="10"/>
      <c r="J7" s="10"/>
      <c r="K7" s="10"/>
      <c r="L7" s="10"/>
    </row>
    <row r="8" spans="1:13" s="8" customFormat="1" ht="15.6">
      <c r="B8" s="6"/>
      <c r="C8" s="7"/>
      <c r="D8" s="11"/>
      <c r="F8" s="76"/>
      <c r="G8" s="76"/>
      <c r="H8" s="76"/>
      <c r="I8" s="77"/>
      <c r="J8" s="76"/>
      <c r="K8" s="10"/>
      <c r="L8" s="10"/>
    </row>
    <row r="9" spans="1:13" s="8" customFormat="1" ht="16.5" customHeight="1">
      <c r="A9" s="4" t="s">
        <v>0</v>
      </c>
      <c r="B9" s="6"/>
      <c r="C9" s="6"/>
      <c r="D9" s="11"/>
      <c r="E9" s="11"/>
      <c r="F9" s="11"/>
      <c r="G9" s="11"/>
      <c r="H9" s="11"/>
      <c r="I9" s="11"/>
      <c r="J9" s="11"/>
      <c r="K9" s="10"/>
      <c r="L9" s="10"/>
    </row>
    <row r="10" spans="1:13" s="8" customFormat="1" ht="15.95" thickBot="1">
      <c r="B10" s="4"/>
      <c r="C10" s="4"/>
      <c r="D10" s="11"/>
      <c r="E10" s="11"/>
      <c r="F10" s="10"/>
      <c r="G10" s="10"/>
      <c r="H10" s="10"/>
      <c r="I10" s="10"/>
      <c r="J10" s="10"/>
      <c r="K10" s="14"/>
      <c r="L10" s="14"/>
      <c r="M10" s="9"/>
    </row>
    <row r="11" spans="1:13" s="1" customFormat="1" ht="23.1" customHeight="1" thickTop="1">
      <c r="A11" s="102" t="s">
        <v>1</v>
      </c>
      <c r="B11" s="102" t="s">
        <v>2</v>
      </c>
      <c r="C11" s="99" t="s">
        <v>3</v>
      </c>
      <c r="D11" s="99" t="s">
        <v>4</v>
      </c>
      <c r="E11" s="99" t="s">
        <v>5</v>
      </c>
      <c r="F11" s="99" t="s">
        <v>6</v>
      </c>
      <c r="G11" s="99" t="s">
        <v>7</v>
      </c>
      <c r="H11" s="102" t="s">
        <v>8</v>
      </c>
      <c r="I11" s="99" t="s">
        <v>9</v>
      </c>
      <c r="J11" s="99" t="s">
        <v>10</v>
      </c>
      <c r="K11" s="104" t="s">
        <v>11</v>
      </c>
      <c r="L11" s="99" t="s">
        <v>12</v>
      </c>
    </row>
    <row r="12" spans="1:13" s="1" customFormat="1" ht="23.1" customHeight="1" thickBot="1">
      <c r="A12" s="130"/>
      <c r="B12" s="130"/>
      <c r="C12" s="100"/>
      <c r="D12" s="100"/>
      <c r="E12" s="113"/>
      <c r="F12" s="101"/>
      <c r="G12" s="101"/>
      <c r="H12" s="103"/>
      <c r="I12" s="101"/>
      <c r="J12" s="100"/>
      <c r="K12" s="105"/>
      <c r="L12" s="100"/>
    </row>
    <row r="13" spans="1:13" s="62" customFormat="1" ht="23.1" customHeight="1" thickTop="1">
      <c r="A13" s="86" t="s">
        <v>13</v>
      </c>
      <c r="B13" s="142" t="s">
        <v>14</v>
      </c>
      <c r="C13" s="85" t="s">
        <v>15</v>
      </c>
      <c r="D13" s="107" t="s">
        <v>16</v>
      </c>
      <c r="E13" s="15" t="s">
        <v>17</v>
      </c>
      <c r="F13" s="44" t="s">
        <v>17</v>
      </c>
      <c r="G13" s="52" t="s">
        <v>17</v>
      </c>
      <c r="H13" s="44" t="s">
        <v>17</v>
      </c>
      <c r="I13" s="52" t="s">
        <v>17</v>
      </c>
      <c r="J13" s="44" t="s">
        <v>17</v>
      </c>
      <c r="K13" s="52" t="s">
        <v>17</v>
      </c>
      <c r="L13" s="17"/>
    </row>
    <row r="14" spans="1:13" s="62" customFormat="1" ht="23.1" customHeight="1">
      <c r="A14" s="87"/>
      <c r="B14" s="143"/>
      <c r="C14" s="154"/>
      <c r="D14" s="108"/>
      <c r="E14" s="34">
        <f>IF(E16&lt;&gt;0,+E16/E18,0%)</f>
        <v>0.85</v>
      </c>
      <c r="F14" s="54">
        <f>IF(F16&lt;&gt;0,ROUND(+F16/F18,4),0%)*100</f>
        <v>94.320000000000007</v>
      </c>
      <c r="G14" s="53" t="e">
        <f t="shared" ref="G14:I14" si="0">IF(G16&lt;&gt;0,+G16/G18,0%)</f>
        <v>#REF!</v>
      </c>
      <c r="H14" s="54">
        <f>IF(H16&lt;&gt;0,ROUND(+H16/H18,4),0%)*100</f>
        <v>94.48</v>
      </c>
      <c r="I14" s="53" t="e">
        <f t="shared" si="0"/>
        <v>#REF!</v>
      </c>
      <c r="J14" s="54">
        <f>IF(J16&lt;&gt;0,ROUND(+J16/J18,4),0%)*100</f>
        <v>94.52000000000001</v>
      </c>
      <c r="K14" s="53" t="e">
        <f>IF(K16&lt;&gt;0,+K16/K18,0%)</f>
        <v>#REF!</v>
      </c>
      <c r="L14" s="19"/>
    </row>
    <row r="15" spans="1:13" s="62" customFormat="1" ht="23.1" customHeight="1" thickBot="1">
      <c r="A15" s="87"/>
      <c r="B15" s="143"/>
      <c r="C15" s="154"/>
      <c r="D15" s="109"/>
      <c r="E15" s="20" t="s">
        <v>18</v>
      </c>
      <c r="F15" s="46" t="s">
        <v>18</v>
      </c>
      <c r="G15" s="55" t="s">
        <v>18</v>
      </c>
      <c r="H15" s="46" t="s">
        <v>18</v>
      </c>
      <c r="I15" s="55" t="s">
        <v>18</v>
      </c>
      <c r="J15" s="46" t="s">
        <v>18</v>
      </c>
      <c r="K15" s="55" t="s">
        <v>18</v>
      </c>
      <c r="L15" s="19"/>
    </row>
    <row r="16" spans="1:13" s="62" customFormat="1" ht="23.1" customHeight="1" thickTop="1">
      <c r="A16" s="87"/>
      <c r="B16" s="143"/>
      <c r="C16" s="154"/>
      <c r="D16" s="107" t="s">
        <v>19</v>
      </c>
      <c r="E16" s="47">
        <v>25500</v>
      </c>
      <c r="F16" s="56">
        <v>21237</v>
      </c>
      <c r="G16" s="57" t="e">
        <f>+#REF!+F16</f>
        <v>#REF!</v>
      </c>
      <c r="H16" s="56">
        <v>23177</v>
      </c>
      <c r="I16" s="57" t="e">
        <f>+G16+H16</f>
        <v>#REF!</v>
      </c>
      <c r="J16" s="56">
        <v>24830</v>
      </c>
      <c r="K16" s="57" t="e">
        <f>+I16+J16</f>
        <v>#REF!</v>
      </c>
      <c r="L16" s="25" t="e">
        <f>+K14/E14</f>
        <v>#REF!</v>
      </c>
    </row>
    <row r="17" spans="1:17" s="62" customFormat="1" ht="23.1" customHeight="1">
      <c r="A17" s="87"/>
      <c r="B17" s="143"/>
      <c r="C17" s="154"/>
      <c r="D17" s="108"/>
      <c r="E17" s="48" t="s">
        <v>20</v>
      </c>
      <c r="F17" s="48" t="s">
        <v>20</v>
      </c>
      <c r="G17" s="58" t="s">
        <v>20</v>
      </c>
      <c r="H17" s="48" t="s">
        <v>20</v>
      </c>
      <c r="I17" s="58" t="s">
        <v>20</v>
      </c>
      <c r="J17" s="48" t="s">
        <v>20</v>
      </c>
      <c r="K17" s="59" t="s">
        <v>20</v>
      </c>
      <c r="L17" s="19"/>
    </row>
    <row r="18" spans="1:17" s="62" customFormat="1" ht="23.1" customHeight="1" thickBot="1">
      <c r="A18" s="88"/>
      <c r="B18" s="144"/>
      <c r="C18" s="155"/>
      <c r="D18" s="109"/>
      <c r="E18" s="47">
        <v>30000</v>
      </c>
      <c r="F18" s="60">
        <v>22517</v>
      </c>
      <c r="G18" s="61" t="e">
        <f>+#REF!+F18</f>
        <v>#REF!</v>
      </c>
      <c r="H18" s="60">
        <v>24531</v>
      </c>
      <c r="I18" s="61" t="e">
        <f>+G18+H18</f>
        <v>#REF!</v>
      </c>
      <c r="J18" s="60">
        <v>26269</v>
      </c>
      <c r="K18" s="61" t="e">
        <f>+I18+J18</f>
        <v>#REF!</v>
      </c>
      <c r="L18" s="31"/>
    </row>
    <row r="19" spans="1:17" s="5" customFormat="1" ht="23.1" customHeight="1" thickTop="1">
      <c r="A19" s="89" t="s">
        <v>21</v>
      </c>
      <c r="B19" s="96" t="s">
        <v>22</v>
      </c>
      <c r="C19" s="82" t="s">
        <v>23</v>
      </c>
      <c r="D19" s="116" t="s">
        <v>24</v>
      </c>
      <c r="E19" s="15" t="s">
        <v>17</v>
      </c>
      <c r="F19" s="15" t="s">
        <v>17</v>
      </c>
      <c r="G19" s="16" t="s">
        <v>17</v>
      </c>
      <c r="H19" s="15" t="s">
        <v>17</v>
      </c>
      <c r="I19" s="16" t="s">
        <v>17</v>
      </c>
      <c r="J19" s="15" t="s">
        <v>17</v>
      </c>
      <c r="K19" s="16" t="s">
        <v>17</v>
      </c>
      <c r="L19" s="17"/>
    </row>
    <row r="20" spans="1:17" s="5" customFormat="1" ht="23.1" customHeight="1">
      <c r="A20" s="90"/>
      <c r="B20" s="97"/>
      <c r="C20" s="156"/>
      <c r="D20" s="121"/>
      <c r="E20" s="34">
        <f t="shared" ref="E20:K20" si="1">IF(E22&lt;&gt;0,+E22/E24,0%)</f>
        <v>0.98504566210045663</v>
      </c>
      <c r="F20" s="32">
        <f t="shared" si="1"/>
        <v>8.4301369863013703E-2</v>
      </c>
      <c r="G20" s="18" t="e">
        <f t="shared" si="1"/>
        <v>#REF!</v>
      </c>
      <c r="H20" s="32">
        <f t="shared" si="1"/>
        <v>8.1944063926940647E-2</v>
      </c>
      <c r="I20" s="18" t="e">
        <f t="shared" si="1"/>
        <v>#REF!</v>
      </c>
      <c r="J20" s="32">
        <f t="shared" si="1"/>
        <v>8.0260273972602741E-2</v>
      </c>
      <c r="K20" s="18" t="e">
        <f t="shared" si="1"/>
        <v>#REF!</v>
      </c>
      <c r="L20" s="19"/>
    </row>
    <row r="21" spans="1:17" s="5" customFormat="1" ht="23.1" customHeight="1" thickBot="1">
      <c r="A21" s="90"/>
      <c r="B21" s="97"/>
      <c r="C21" s="156"/>
      <c r="D21" s="117"/>
      <c r="E21" s="20" t="s">
        <v>18</v>
      </c>
      <c r="F21" s="20" t="s">
        <v>18</v>
      </c>
      <c r="G21" s="21" t="s">
        <v>18</v>
      </c>
      <c r="H21" s="20" t="s">
        <v>18</v>
      </c>
      <c r="I21" s="21" t="s">
        <v>18</v>
      </c>
      <c r="J21" s="20" t="s">
        <v>18</v>
      </c>
      <c r="K21" s="21" t="s">
        <v>18</v>
      </c>
      <c r="L21" s="19"/>
    </row>
    <row r="22" spans="1:17" s="5" customFormat="1" ht="23.1" customHeight="1" thickTop="1">
      <c r="A22" s="90"/>
      <c r="B22" s="97"/>
      <c r="C22" s="156"/>
      <c r="D22" s="115" t="s">
        <v>25</v>
      </c>
      <c r="E22" s="22">
        <v>8629</v>
      </c>
      <c r="F22" s="78">
        <v>738.48</v>
      </c>
      <c r="G22" s="24" t="e">
        <f>+#REF!+F22</f>
        <v>#REF!</v>
      </c>
      <c r="H22" s="78">
        <v>717.83</v>
      </c>
      <c r="I22" s="24" t="e">
        <f t="shared" ref="I22:K22" si="2">+G22+H22</f>
        <v>#REF!</v>
      </c>
      <c r="J22" s="78">
        <v>703.08</v>
      </c>
      <c r="K22" s="24" t="e">
        <f t="shared" si="2"/>
        <v>#REF!</v>
      </c>
      <c r="L22" s="25" t="e">
        <f>+K20/E20</f>
        <v>#REF!</v>
      </c>
    </row>
    <row r="23" spans="1:17" s="5" customFormat="1" ht="23.1" customHeight="1">
      <c r="A23" s="90"/>
      <c r="B23" s="97"/>
      <c r="C23" s="156"/>
      <c r="D23" s="116"/>
      <c r="E23" s="26" t="s">
        <v>20</v>
      </c>
      <c r="F23" s="26" t="s">
        <v>20</v>
      </c>
      <c r="G23" s="27" t="s">
        <v>20</v>
      </c>
      <c r="H23" s="26" t="s">
        <v>20</v>
      </c>
      <c r="I23" s="27" t="s">
        <v>20</v>
      </c>
      <c r="J23" s="26" t="s">
        <v>20</v>
      </c>
      <c r="K23" s="27" t="s">
        <v>20</v>
      </c>
      <c r="L23" s="19"/>
      <c r="Q23" s="153"/>
    </row>
    <row r="24" spans="1:17" s="5" customFormat="1" ht="23.1" customHeight="1" thickBot="1">
      <c r="A24" s="91"/>
      <c r="B24" s="98"/>
      <c r="C24" s="157"/>
      <c r="D24" s="117"/>
      <c r="E24" s="22">
        <v>8760</v>
      </c>
      <c r="F24" s="29">
        <v>8760</v>
      </c>
      <c r="G24" s="30">
        <f>F24</f>
        <v>8760</v>
      </c>
      <c r="H24" s="29">
        <v>8760</v>
      </c>
      <c r="I24" s="30">
        <f>H24</f>
        <v>8760</v>
      </c>
      <c r="J24" s="29">
        <v>8760</v>
      </c>
      <c r="K24" s="30">
        <f>J24</f>
        <v>8760</v>
      </c>
      <c r="L24" s="31"/>
    </row>
    <row r="25" spans="1:17" s="5" customFormat="1" ht="23.1" customHeight="1" thickTop="1">
      <c r="A25" s="89" t="s">
        <v>26</v>
      </c>
      <c r="B25" s="96" t="s">
        <v>27</v>
      </c>
      <c r="C25" s="82" t="s">
        <v>28</v>
      </c>
      <c r="D25" s="118" t="s">
        <v>29</v>
      </c>
      <c r="E25" s="15" t="s">
        <v>17</v>
      </c>
      <c r="F25" s="15" t="s">
        <v>17</v>
      </c>
      <c r="G25" s="16" t="s">
        <v>17</v>
      </c>
      <c r="H25" s="15" t="s">
        <v>17</v>
      </c>
      <c r="I25" s="16" t="s">
        <v>17</v>
      </c>
      <c r="J25" s="15" t="s">
        <v>17</v>
      </c>
      <c r="K25" s="16" t="s">
        <v>17</v>
      </c>
      <c r="L25" s="17"/>
    </row>
    <row r="26" spans="1:17" s="5" customFormat="1" ht="23.1" customHeight="1">
      <c r="A26" s="90"/>
      <c r="B26" s="97"/>
      <c r="C26" s="83"/>
      <c r="D26" s="119"/>
      <c r="E26" s="34">
        <f t="shared" ref="E26:K26" si="3">IF(E28&lt;&gt;0,+E28/E30,0%)</f>
        <v>0.80645161290322576</v>
      </c>
      <c r="F26" s="32">
        <f t="shared" si="3"/>
        <v>8.6021505376344093E-2</v>
      </c>
      <c r="G26" s="18" t="e">
        <f t="shared" si="3"/>
        <v>#REF!</v>
      </c>
      <c r="H26" s="32">
        <f t="shared" si="3"/>
        <v>7.5268817204301078E-2</v>
      </c>
      <c r="I26" s="18" t="e">
        <f t="shared" si="3"/>
        <v>#REF!</v>
      </c>
      <c r="J26" s="32">
        <f t="shared" si="3"/>
        <v>5.3763440860215055E-2</v>
      </c>
      <c r="K26" s="18" t="e">
        <f t="shared" si="3"/>
        <v>#REF!</v>
      </c>
      <c r="L26" s="19"/>
    </row>
    <row r="27" spans="1:17" s="5" customFormat="1" ht="23.1" customHeight="1" thickBot="1">
      <c r="A27" s="90"/>
      <c r="B27" s="97"/>
      <c r="C27" s="83"/>
      <c r="D27" s="120"/>
      <c r="E27" s="20" t="s">
        <v>18</v>
      </c>
      <c r="F27" s="20" t="s">
        <v>18</v>
      </c>
      <c r="G27" s="21" t="s">
        <v>18</v>
      </c>
      <c r="H27" s="20" t="s">
        <v>18</v>
      </c>
      <c r="I27" s="21" t="s">
        <v>18</v>
      </c>
      <c r="J27" s="20" t="s">
        <v>18</v>
      </c>
      <c r="K27" s="21" t="s">
        <v>18</v>
      </c>
      <c r="L27" s="19"/>
    </row>
    <row r="28" spans="1:17" s="5" customFormat="1" ht="23.1" customHeight="1" thickTop="1">
      <c r="A28" s="90"/>
      <c r="B28" s="97"/>
      <c r="C28" s="83"/>
      <c r="D28" s="119" t="s">
        <v>30</v>
      </c>
      <c r="E28" s="22">
        <v>75</v>
      </c>
      <c r="F28" s="23">
        <v>8</v>
      </c>
      <c r="G28" s="24" t="e">
        <f>+#REF!+F28</f>
        <v>#REF!</v>
      </c>
      <c r="H28" s="23">
        <v>7</v>
      </c>
      <c r="I28" s="24" t="e">
        <f>+G28+H28</f>
        <v>#REF!</v>
      </c>
      <c r="J28" s="23">
        <v>5</v>
      </c>
      <c r="K28" s="24" t="e">
        <f>+I28+J28</f>
        <v>#REF!</v>
      </c>
      <c r="L28" s="25" t="e">
        <f>+K26/E26</f>
        <v>#REF!</v>
      </c>
    </row>
    <row r="29" spans="1:17" s="5" customFormat="1" ht="23.1" customHeight="1">
      <c r="A29" s="90"/>
      <c r="B29" s="97"/>
      <c r="C29" s="83"/>
      <c r="D29" s="119"/>
      <c r="E29" s="26" t="s">
        <v>20</v>
      </c>
      <c r="F29" s="26" t="s">
        <v>20</v>
      </c>
      <c r="G29" s="27" t="s">
        <v>20</v>
      </c>
      <c r="H29" s="26" t="s">
        <v>20</v>
      </c>
      <c r="I29" s="27" t="s">
        <v>20</v>
      </c>
      <c r="J29" s="26" t="s">
        <v>20</v>
      </c>
      <c r="K29" s="27" t="s">
        <v>20</v>
      </c>
      <c r="L29" s="19"/>
    </row>
    <row r="30" spans="1:17" s="5" customFormat="1" ht="23.1" customHeight="1" thickBot="1">
      <c r="A30" s="91"/>
      <c r="B30" s="98"/>
      <c r="C30" s="84"/>
      <c r="D30" s="120"/>
      <c r="E30" s="28">
        <v>93</v>
      </c>
      <c r="F30" s="29">
        <v>93</v>
      </c>
      <c r="G30" s="30">
        <f>F30</f>
        <v>93</v>
      </c>
      <c r="H30" s="29">
        <v>93</v>
      </c>
      <c r="I30" s="30">
        <f>H30</f>
        <v>93</v>
      </c>
      <c r="J30" s="29">
        <v>93</v>
      </c>
      <c r="K30" s="30">
        <f>J30</f>
        <v>93</v>
      </c>
      <c r="L30" s="31"/>
    </row>
    <row r="31" spans="1:17" s="5" customFormat="1" ht="23.1" customHeight="1" thickTop="1">
      <c r="A31" s="134" t="s">
        <v>31</v>
      </c>
      <c r="B31" s="137" t="s">
        <v>32</v>
      </c>
      <c r="C31" s="92" t="s">
        <v>33</v>
      </c>
      <c r="D31" s="107" t="s">
        <v>34</v>
      </c>
      <c r="E31" s="44" t="s">
        <v>17</v>
      </c>
      <c r="F31" s="44" t="s">
        <v>17</v>
      </c>
      <c r="G31" s="65" t="s">
        <v>17</v>
      </c>
      <c r="H31" s="44" t="s">
        <v>17</v>
      </c>
      <c r="I31" s="65" t="s">
        <v>17</v>
      </c>
      <c r="J31" s="44" t="s">
        <v>17</v>
      </c>
      <c r="K31" s="65" t="s">
        <v>17</v>
      </c>
      <c r="L31" s="66"/>
    </row>
    <row r="32" spans="1:17" s="5" customFormat="1" ht="23.1" customHeight="1">
      <c r="A32" s="135"/>
      <c r="B32" s="138"/>
      <c r="C32" s="140"/>
      <c r="D32" s="122"/>
      <c r="E32" s="45">
        <f t="shared" ref="E32" si="4">IF(E34&lt;&gt;0,+E34/E36,0%)</f>
        <v>0.66666666666666663</v>
      </c>
      <c r="F32" s="67">
        <f t="shared" ref="F32:H32" si="5">IF(F34&lt;&gt;0,+F34/F36,0%)</f>
        <v>0</v>
      </c>
      <c r="G32" s="68" t="e">
        <f>IF(G34&lt;&gt;0,+G34/G36,0%)</f>
        <v>#REF!</v>
      </c>
      <c r="H32" s="67">
        <f t="shared" si="5"/>
        <v>0</v>
      </c>
      <c r="I32" s="68" t="e">
        <f>IF(I34&lt;&gt;0,+I34/I36,0%)</f>
        <v>#REF!</v>
      </c>
      <c r="J32" s="67">
        <f t="shared" ref="J32" si="6">IF(J34&lt;&gt;0,+J34/J36,0%)</f>
        <v>0</v>
      </c>
      <c r="K32" s="68" t="e">
        <f>IF(K34&lt;&gt;0,+K34/K36,0%)</f>
        <v>#REF!</v>
      </c>
      <c r="L32" s="69"/>
    </row>
    <row r="33" spans="1:12" s="5" customFormat="1" ht="23.1" customHeight="1" thickBot="1">
      <c r="A33" s="135"/>
      <c r="B33" s="138"/>
      <c r="C33" s="140"/>
      <c r="D33" s="123"/>
      <c r="E33" s="46" t="s">
        <v>18</v>
      </c>
      <c r="F33" s="46" t="s">
        <v>18</v>
      </c>
      <c r="G33" s="70" t="s">
        <v>18</v>
      </c>
      <c r="H33" s="46" t="s">
        <v>18</v>
      </c>
      <c r="I33" s="70" t="s">
        <v>18</v>
      </c>
      <c r="J33" s="46" t="s">
        <v>18</v>
      </c>
      <c r="K33" s="70" t="s">
        <v>18</v>
      </c>
      <c r="L33" s="69"/>
    </row>
    <row r="34" spans="1:12" s="5" customFormat="1" ht="23.1" customHeight="1" thickTop="1">
      <c r="A34" s="135"/>
      <c r="B34" s="138"/>
      <c r="C34" s="140"/>
      <c r="D34" s="107" t="s">
        <v>35</v>
      </c>
      <c r="E34" s="47">
        <v>2</v>
      </c>
      <c r="F34" s="71">
        <v>0</v>
      </c>
      <c r="G34" s="72" t="e">
        <f>+#REF!+F34</f>
        <v>#REF!</v>
      </c>
      <c r="H34" s="71">
        <v>0</v>
      </c>
      <c r="I34" s="72" t="e">
        <f>+G34+H34</f>
        <v>#REF!</v>
      </c>
      <c r="J34" s="71">
        <v>0</v>
      </c>
      <c r="K34" s="72" t="e">
        <f>+I34+J34</f>
        <v>#REF!</v>
      </c>
      <c r="L34" s="73" t="e">
        <f>K32/E32</f>
        <v>#REF!</v>
      </c>
    </row>
    <row r="35" spans="1:12" s="5" customFormat="1" ht="23.1" customHeight="1">
      <c r="A35" s="135"/>
      <c r="B35" s="138"/>
      <c r="C35" s="140"/>
      <c r="D35" s="108"/>
      <c r="E35" s="48" t="s">
        <v>20</v>
      </c>
      <c r="F35" s="48" t="s">
        <v>20</v>
      </c>
      <c r="G35" s="74" t="s">
        <v>20</v>
      </c>
      <c r="H35" s="48" t="s">
        <v>20</v>
      </c>
      <c r="I35" s="74" t="s">
        <v>20</v>
      </c>
      <c r="J35" s="48" t="s">
        <v>20</v>
      </c>
      <c r="K35" s="74" t="s">
        <v>20</v>
      </c>
      <c r="L35" s="69"/>
    </row>
    <row r="36" spans="1:12" s="5" customFormat="1" ht="23.1" customHeight="1" thickBot="1">
      <c r="A36" s="136"/>
      <c r="B36" s="139"/>
      <c r="C36" s="141"/>
      <c r="D36" s="109"/>
      <c r="E36" s="49">
        <v>3</v>
      </c>
      <c r="F36" s="60">
        <v>3</v>
      </c>
      <c r="G36" s="72">
        <v>3</v>
      </c>
      <c r="H36" s="60">
        <v>3</v>
      </c>
      <c r="I36" s="72">
        <v>3</v>
      </c>
      <c r="J36" s="60">
        <v>3</v>
      </c>
      <c r="K36" s="72">
        <v>3</v>
      </c>
      <c r="L36" s="75"/>
    </row>
    <row r="37" spans="1:12" s="5" customFormat="1" ht="23.1" customHeight="1" thickTop="1">
      <c r="A37" s="89" t="s">
        <v>36</v>
      </c>
      <c r="B37" s="96" t="s">
        <v>37</v>
      </c>
      <c r="C37" s="82" t="s">
        <v>38</v>
      </c>
      <c r="D37" s="116" t="s">
        <v>38</v>
      </c>
      <c r="E37" s="15" t="s">
        <v>17</v>
      </c>
      <c r="F37" s="15" t="s">
        <v>17</v>
      </c>
      <c r="G37" s="16" t="s">
        <v>17</v>
      </c>
      <c r="H37" s="15" t="s">
        <v>17</v>
      </c>
      <c r="I37" s="16" t="s">
        <v>17</v>
      </c>
      <c r="J37" s="15" t="s">
        <v>17</v>
      </c>
      <c r="K37" s="16" t="s">
        <v>17</v>
      </c>
      <c r="L37" s="17"/>
    </row>
    <row r="38" spans="1:12" s="5" customFormat="1" ht="23.1" customHeight="1">
      <c r="A38" s="90"/>
      <c r="B38" s="97"/>
      <c r="C38" s="156"/>
      <c r="D38" s="121"/>
      <c r="E38" s="34">
        <f t="shared" ref="E38:K38" si="7">IF(E40&lt;&gt;0,+E40/E42,0%)</f>
        <v>0.8</v>
      </c>
      <c r="F38" s="32">
        <f t="shared" si="7"/>
        <v>0.79555555555555557</v>
      </c>
      <c r="G38" s="18" t="e">
        <f t="shared" si="7"/>
        <v>#REF!</v>
      </c>
      <c r="H38" s="32">
        <f>IF(H40&lt;&gt;0,+H40/H42,0%)</f>
        <v>0.75684556407447978</v>
      </c>
      <c r="I38" s="18" t="e">
        <f t="shared" si="7"/>
        <v>#REF!</v>
      </c>
      <c r="J38" s="32">
        <f>IF(J40&lt;&gt;0,+J40/J42,0%)</f>
        <v>0.81555333998005985</v>
      </c>
      <c r="K38" s="18" t="e">
        <f t="shared" si="7"/>
        <v>#REF!</v>
      </c>
      <c r="L38" s="19"/>
    </row>
    <row r="39" spans="1:12" s="5" customFormat="1" ht="23.1" customHeight="1" thickBot="1">
      <c r="A39" s="90"/>
      <c r="B39" s="97"/>
      <c r="C39" s="156"/>
      <c r="D39" s="117"/>
      <c r="E39" s="20" t="s">
        <v>18</v>
      </c>
      <c r="F39" s="20" t="s">
        <v>18</v>
      </c>
      <c r="G39" s="21" t="s">
        <v>18</v>
      </c>
      <c r="H39" s="20" t="s">
        <v>18</v>
      </c>
      <c r="I39" s="21" t="s">
        <v>18</v>
      </c>
      <c r="J39" s="20" t="s">
        <v>18</v>
      </c>
      <c r="K39" s="21" t="s">
        <v>18</v>
      </c>
      <c r="L39" s="19"/>
    </row>
    <row r="40" spans="1:12" s="5" customFormat="1" ht="23.1" customHeight="1" thickTop="1">
      <c r="A40" s="90"/>
      <c r="B40" s="97"/>
      <c r="C40" s="156"/>
      <c r="D40" s="115" t="s">
        <v>38</v>
      </c>
      <c r="E40" s="22">
        <v>11380</v>
      </c>
      <c r="F40" s="23">
        <v>895</v>
      </c>
      <c r="G40" s="24" t="e">
        <f>+#REF!+F40</f>
        <v>#REF!</v>
      </c>
      <c r="H40" s="23">
        <v>691</v>
      </c>
      <c r="I40" s="24" t="e">
        <f t="shared" ref="I40" si="8">+G40+H40</f>
        <v>#REF!</v>
      </c>
      <c r="J40" s="23">
        <v>818</v>
      </c>
      <c r="K40" s="24" t="e">
        <f t="shared" ref="K40" si="9">+I40+J40</f>
        <v>#REF!</v>
      </c>
      <c r="L40" s="25" t="e">
        <f>+K38/E38</f>
        <v>#REF!</v>
      </c>
    </row>
    <row r="41" spans="1:12" s="5" customFormat="1" ht="23.1" customHeight="1">
      <c r="A41" s="90"/>
      <c r="B41" s="97"/>
      <c r="C41" s="156"/>
      <c r="D41" s="116"/>
      <c r="E41" s="26" t="s">
        <v>20</v>
      </c>
      <c r="F41" s="26" t="s">
        <v>20</v>
      </c>
      <c r="G41" s="27" t="s">
        <v>20</v>
      </c>
      <c r="H41" s="26" t="s">
        <v>20</v>
      </c>
      <c r="I41" s="27" t="s">
        <v>20</v>
      </c>
      <c r="J41" s="26" t="s">
        <v>20</v>
      </c>
      <c r="K41" s="27" t="s">
        <v>20</v>
      </c>
      <c r="L41" s="19"/>
    </row>
    <row r="42" spans="1:12" s="5" customFormat="1" ht="23.1" customHeight="1" thickBot="1">
      <c r="A42" s="91"/>
      <c r="B42" s="98"/>
      <c r="C42" s="157"/>
      <c r="D42" s="117"/>
      <c r="E42" s="22">
        <v>14225</v>
      </c>
      <c r="F42" s="29">
        <v>1125</v>
      </c>
      <c r="G42" s="30">
        <f>F42</f>
        <v>1125</v>
      </c>
      <c r="H42" s="29">
        <v>913</v>
      </c>
      <c r="I42" s="30">
        <f>H42</f>
        <v>913</v>
      </c>
      <c r="J42" s="29">
        <v>1003</v>
      </c>
      <c r="K42" s="30">
        <f>J42</f>
        <v>1003</v>
      </c>
      <c r="L42" s="31"/>
    </row>
    <row r="43" spans="1:12" s="5" customFormat="1" ht="23.1" customHeight="1" thickTop="1">
      <c r="A43" s="86" t="s">
        <v>39</v>
      </c>
      <c r="B43" s="92" t="s">
        <v>40</v>
      </c>
      <c r="C43" s="95" t="s">
        <v>41</v>
      </c>
      <c r="D43" s="80" t="s">
        <v>42</v>
      </c>
      <c r="E43" s="15" t="s">
        <v>17</v>
      </c>
      <c r="F43" s="15" t="s">
        <v>17</v>
      </c>
      <c r="G43" s="16" t="s">
        <v>17</v>
      </c>
      <c r="H43" s="15" t="s">
        <v>17</v>
      </c>
      <c r="I43" s="16" t="s">
        <v>17</v>
      </c>
      <c r="J43" s="15" t="s">
        <v>17</v>
      </c>
      <c r="K43" s="16" t="s">
        <v>17</v>
      </c>
      <c r="L43" s="17"/>
    </row>
    <row r="44" spans="1:12" s="5" customFormat="1" ht="23.1" customHeight="1">
      <c r="A44" s="87"/>
      <c r="B44" s="93"/>
      <c r="C44" s="158"/>
      <c r="D44" s="106"/>
      <c r="E44" s="34">
        <f>IF(E46&lt;&gt;0,+E46/E48,0%)</f>
        <v>1</v>
      </c>
      <c r="F44" s="32">
        <f>IF(F46&lt;&gt;0,+F46/F48,0%)</f>
        <v>0.25</v>
      </c>
      <c r="G44" s="18" t="e">
        <f t="shared" ref="G44" si="10">IF(G46&lt;&gt;0,+G46/G48,0%)</f>
        <v>#REF!</v>
      </c>
      <c r="H44" s="32">
        <f>IF(H46&lt;&gt;0,+H46/H48,0%)</f>
        <v>0</v>
      </c>
      <c r="I44" s="18" t="e">
        <f t="shared" ref="I44" si="11">IF(I46&lt;&gt;0,+I46/I48,0%)</f>
        <v>#REF!</v>
      </c>
      <c r="J44" s="32">
        <f>IF(J46&lt;&gt;0,+J46/J48,0%)</f>
        <v>0</v>
      </c>
      <c r="K44" s="18" t="e">
        <f t="shared" ref="K44" si="12">IF(K46&lt;&gt;0,+K46/K48,0%)</f>
        <v>#REF!</v>
      </c>
      <c r="L44" s="19"/>
    </row>
    <row r="45" spans="1:12" s="5" customFormat="1" ht="23.1" customHeight="1" thickBot="1">
      <c r="A45" s="87"/>
      <c r="B45" s="93"/>
      <c r="C45" s="158"/>
      <c r="D45" s="81"/>
      <c r="E45" s="20" t="s">
        <v>18</v>
      </c>
      <c r="F45" s="20" t="s">
        <v>18</v>
      </c>
      <c r="G45" s="21" t="s">
        <v>18</v>
      </c>
      <c r="H45" s="20" t="s">
        <v>18</v>
      </c>
      <c r="I45" s="21" t="s">
        <v>18</v>
      </c>
      <c r="J45" s="20" t="s">
        <v>18</v>
      </c>
      <c r="K45" s="21" t="s">
        <v>18</v>
      </c>
      <c r="L45" s="19"/>
    </row>
    <row r="46" spans="1:12" s="5" customFormat="1" ht="23.1" customHeight="1" thickTop="1">
      <c r="A46" s="87"/>
      <c r="B46" s="93"/>
      <c r="C46" s="158"/>
      <c r="D46" s="79" t="s">
        <v>43</v>
      </c>
      <c r="E46" s="22">
        <v>4</v>
      </c>
      <c r="F46" s="23">
        <v>1</v>
      </c>
      <c r="G46" s="24" t="e">
        <f>+#REF!+F46</f>
        <v>#REF!</v>
      </c>
      <c r="H46" s="23">
        <v>0</v>
      </c>
      <c r="I46" s="24" t="e">
        <f t="shared" ref="I46" si="13">+G46+H46</f>
        <v>#REF!</v>
      </c>
      <c r="J46" s="63">
        <v>0</v>
      </c>
      <c r="K46" s="64" t="e">
        <f>+I46+J46</f>
        <v>#REF!</v>
      </c>
      <c r="L46" s="25" t="e">
        <f>+K44/E44</f>
        <v>#REF!</v>
      </c>
    </row>
    <row r="47" spans="1:12" s="5" customFormat="1" ht="23.1" customHeight="1">
      <c r="A47" s="87"/>
      <c r="B47" s="93"/>
      <c r="C47" s="158"/>
      <c r="D47" s="80"/>
      <c r="E47" s="26" t="s">
        <v>20</v>
      </c>
      <c r="F47" s="26" t="s">
        <v>20</v>
      </c>
      <c r="G47" s="27" t="s">
        <v>20</v>
      </c>
      <c r="H47" s="26" t="s">
        <v>20</v>
      </c>
      <c r="I47" s="27" t="s">
        <v>20</v>
      </c>
      <c r="J47" s="26" t="s">
        <v>20</v>
      </c>
      <c r="K47" s="27" t="s">
        <v>20</v>
      </c>
      <c r="L47" s="19"/>
    </row>
    <row r="48" spans="1:12" s="5" customFormat="1" ht="23.1" customHeight="1" thickBot="1">
      <c r="A48" s="88"/>
      <c r="B48" s="94"/>
      <c r="C48" s="159"/>
      <c r="D48" s="81"/>
      <c r="E48" s="22">
        <v>4</v>
      </c>
      <c r="F48" s="60">
        <v>4</v>
      </c>
      <c r="G48" s="61">
        <v>4</v>
      </c>
      <c r="H48" s="60">
        <v>4</v>
      </c>
      <c r="I48" s="61">
        <v>4</v>
      </c>
      <c r="J48" s="60">
        <v>4</v>
      </c>
      <c r="K48" s="61">
        <v>4</v>
      </c>
      <c r="L48" s="31"/>
    </row>
    <row r="49" spans="1:12" s="5" customFormat="1" ht="11.1" thickTop="1">
      <c r="A49" s="33"/>
      <c r="B49" s="33"/>
      <c r="C49" s="33"/>
      <c r="D49" s="33"/>
      <c r="E49" s="33"/>
      <c r="F49" s="50"/>
      <c r="G49" s="50"/>
      <c r="H49" s="50"/>
      <c r="I49" s="50"/>
      <c r="J49" s="50"/>
      <c r="K49" s="50"/>
      <c r="L49" s="50"/>
    </row>
    <row r="50" spans="1:12" s="5" customFormat="1" ht="10.5">
      <c r="A50" s="51"/>
      <c r="B50" s="33"/>
      <c r="C50" s="33"/>
      <c r="D50" s="33"/>
      <c r="E50" s="33"/>
      <c r="F50" s="50"/>
      <c r="G50" s="50"/>
      <c r="H50" s="50"/>
      <c r="I50" s="50"/>
      <c r="J50" s="50"/>
      <c r="K50" s="50"/>
      <c r="L50" s="50"/>
    </row>
    <row r="51" spans="1:12" ht="15.6">
      <c r="A51" s="39"/>
      <c r="B51" s="39"/>
      <c r="C51" s="39"/>
      <c r="D51" s="11"/>
      <c r="E51" s="11"/>
      <c r="F51" s="10"/>
      <c r="G51" s="10"/>
      <c r="H51" s="10"/>
      <c r="I51" s="10"/>
      <c r="J51" s="10"/>
      <c r="K51" s="10"/>
      <c r="L51" s="10"/>
    </row>
    <row r="52" spans="1:1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52"/>
      <c r="L52" s="133"/>
    </row>
    <row r="53" spans="1:12" ht="47.25" customHeight="1">
      <c r="A53" s="133"/>
      <c r="B53" s="133"/>
      <c r="C53" s="133"/>
      <c r="D53" s="133"/>
      <c r="E53" s="146"/>
      <c r="F53" s="145"/>
      <c r="G53" s="145"/>
      <c r="H53" s="145"/>
      <c r="I53" s="145"/>
      <c r="J53" s="133"/>
      <c r="K53" s="152"/>
      <c r="L53" s="133"/>
    </row>
    <row r="54" spans="1:12" ht="18.75" customHeight="1">
      <c r="A54" s="147"/>
      <c r="B54" s="149"/>
      <c r="C54" s="146"/>
      <c r="D54" s="151"/>
      <c r="E54" s="35"/>
      <c r="F54" s="35"/>
      <c r="G54" s="35"/>
      <c r="H54" s="35"/>
      <c r="I54" s="35"/>
      <c r="J54" s="35"/>
      <c r="K54" s="35"/>
      <c r="L54" s="36"/>
    </row>
    <row r="55" spans="1:12" ht="18.75" customHeight="1">
      <c r="A55" s="148"/>
      <c r="B55" s="150"/>
      <c r="C55" s="133"/>
      <c r="D55" s="151"/>
      <c r="E55" s="40"/>
      <c r="F55" s="41"/>
      <c r="G55" s="42"/>
      <c r="H55" s="41"/>
      <c r="I55" s="42"/>
      <c r="J55" s="41"/>
      <c r="K55" s="36"/>
      <c r="L55" s="36"/>
    </row>
    <row r="56" spans="1:12" ht="18.75" customHeight="1">
      <c r="A56" s="148"/>
      <c r="B56" s="150"/>
      <c r="C56" s="133"/>
      <c r="D56" s="151"/>
      <c r="E56" s="35"/>
      <c r="F56" s="35"/>
      <c r="G56" s="35"/>
      <c r="H56" s="35"/>
      <c r="I56" s="35"/>
      <c r="J56" s="35"/>
      <c r="K56" s="35"/>
      <c r="L56" s="36"/>
    </row>
    <row r="57" spans="1:12" ht="18.75" customHeight="1">
      <c r="A57" s="148"/>
      <c r="B57" s="150"/>
      <c r="C57" s="133"/>
      <c r="D57" s="151"/>
      <c r="E57" s="43"/>
      <c r="F57" s="43"/>
      <c r="G57" s="43"/>
      <c r="H57" s="43"/>
      <c r="I57" s="43"/>
      <c r="J57" s="43"/>
      <c r="K57" s="43"/>
      <c r="L57" s="37"/>
    </row>
    <row r="58" spans="1:12" ht="18.75" customHeight="1">
      <c r="A58" s="148"/>
      <c r="B58" s="150"/>
      <c r="C58" s="133"/>
      <c r="D58" s="151"/>
      <c r="E58" s="38"/>
      <c r="F58" s="38"/>
      <c r="G58" s="38"/>
      <c r="H58" s="38"/>
      <c r="I58" s="38"/>
      <c r="J58" s="38"/>
      <c r="K58" s="38"/>
      <c r="L58" s="36"/>
    </row>
    <row r="59" spans="1:12" ht="18.75" customHeight="1">
      <c r="A59" s="148"/>
      <c r="B59" s="150"/>
      <c r="C59" s="133"/>
      <c r="D59" s="151"/>
      <c r="E59" s="43"/>
      <c r="F59" s="43"/>
      <c r="G59" s="43"/>
      <c r="H59" s="43"/>
      <c r="I59" s="43"/>
      <c r="J59" s="43"/>
      <c r="K59" s="43"/>
      <c r="L59" s="36"/>
    </row>
    <row r="60" spans="1:12">
      <c r="A60" s="13"/>
      <c r="B60" s="13"/>
      <c r="C60" s="13"/>
      <c r="D60" s="5"/>
    </row>
    <row r="61" spans="1:12">
      <c r="D61" s="5"/>
    </row>
    <row r="62" spans="1:12">
      <c r="D62" s="5"/>
    </row>
    <row r="63" spans="1:12">
      <c r="D63" s="5"/>
    </row>
    <row r="64" spans="1:12">
      <c r="D64" s="5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5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</sheetData>
  <mergeCells count="63">
    <mergeCell ref="I52:I53"/>
    <mergeCell ref="J52:J53"/>
    <mergeCell ref="K52:K53"/>
    <mergeCell ref="L52:L53"/>
    <mergeCell ref="G52:G53"/>
    <mergeCell ref="H52:H53"/>
    <mergeCell ref="F52:F53"/>
    <mergeCell ref="D52:D53"/>
    <mergeCell ref="E52:E53"/>
    <mergeCell ref="A54:A59"/>
    <mergeCell ref="B54:B59"/>
    <mergeCell ref="C54:C59"/>
    <mergeCell ref="D57:D59"/>
    <mergeCell ref="D54:D56"/>
    <mergeCell ref="B1:C5"/>
    <mergeCell ref="B11:B12"/>
    <mergeCell ref="C11:C12"/>
    <mergeCell ref="B6:C6"/>
    <mergeCell ref="A52:A53"/>
    <mergeCell ref="B52:B53"/>
    <mergeCell ref="C52:C53"/>
    <mergeCell ref="A31:A36"/>
    <mergeCell ref="B31:B36"/>
    <mergeCell ref="C31:C36"/>
    <mergeCell ref="A19:A24"/>
    <mergeCell ref="A11:A12"/>
    <mergeCell ref="A13:A18"/>
    <mergeCell ref="B13:B18"/>
    <mergeCell ref="B19:B24"/>
    <mergeCell ref="B25:B30"/>
    <mergeCell ref="D19:D21"/>
    <mergeCell ref="D40:D42"/>
    <mergeCell ref="D37:D39"/>
    <mergeCell ref="D34:D36"/>
    <mergeCell ref="D31:D33"/>
    <mergeCell ref="D1:E5"/>
    <mergeCell ref="E11:E12"/>
    <mergeCell ref="D6:E6"/>
    <mergeCell ref="D11:D12"/>
    <mergeCell ref="D16:D18"/>
    <mergeCell ref="L11:L12"/>
    <mergeCell ref="J11:J12"/>
    <mergeCell ref="I11:I12"/>
    <mergeCell ref="F11:F12"/>
    <mergeCell ref="G11:G12"/>
    <mergeCell ref="H11:H12"/>
    <mergeCell ref="K11:K12"/>
    <mergeCell ref="D46:D48"/>
    <mergeCell ref="C25:C30"/>
    <mergeCell ref="C13:C18"/>
    <mergeCell ref="A43:A48"/>
    <mergeCell ref="A25:A30"/>
    <mergeCell ref="C19:C24"/>
    <mergeCell ref="B43:B48"/>
    <mergeCell ref="C43:C48"/>
    <mergeCell ref="A37:A42"/>
    <mergeCell ref="B37:B42"/>
    <mergeCell ref="C37:C42"/>
    <mergeCell ref="D43:D45"/>
    <mergeCell ref="D13:D15"/>
    <mergeCell ref="D22:D24"/>
    <mergeCell ref="D25:D27"/>
    <mergeCell ref="D28:D30"/>
  </mergeCells>
  <phoneticPr fontId="5" type="noConversion"/>
  <pageMargins left="0.56999999999999995" right="0.37" top="0.41" bottom="0.47" header="0" footer="0"/>
  <pageSetup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2026-01-15T15:39:54Z</dcterms:modified>
  <cp:category/>
  <cp:contentStatus/>
</cp:coreProperties>
</file>