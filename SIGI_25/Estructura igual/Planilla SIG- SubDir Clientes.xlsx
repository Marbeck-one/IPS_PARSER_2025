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arla_adasme_ips_gob_cl/Documents/AVANCE-OCT-NOV-DIC-CDC-2025/Subdirección de Servicios al Cliente/"/>
    </mc:Choice>
  </mc:AlternateContent>
  <xr:revisionPtr revIDLastSave="685" documentId="13_ncr:1_{15498B68-FF90-47EF-AA6F-897518498E9A}" xr6:coauthVersionLast="47" xr6:coauthVersionMax="47" xr10:uidLastSave="{6B24D3D6-DF54-40FB-BA40-1E83EEF166CF}"/>
  <bookViews>
    <workbookView xWindow="-120" yWindow="-120" windowWidth="29040" windowHeight="15720" xr2:uid="{00000000-000D-0000-FFFF-FFFF00000000}"/>
  </bookViews>
  <sheets>
    <sheet name="CDC 2025" sheetId="1" r:id="rId1"/>
    <sheet name="25 minutos desagregado" sheetId="4" r:id="rId2"/>
  </sheets>
  <definedNames>
    <definedName name="_xlnm.Print_Area" localSheetId="0">'CDC 2025'!$B$1:$L$24</definedName>
    <definedName name="_xlnm.Print_Titles" localSheetId="0">'CDC 2025'!$1:$12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H20" i="1"/>
  <c r="J14" i="1"/>
  <c r="H14" i="1"/>
  <c r="F14" i="1"/>
  <c r="G28" i="1"/>
  <c r="E564" i="4"/>
  <c r="E554" i="4"/>
  <c r="E544" i="4"/>
  <c r="E531" i="4"/>
  <c r="E521" i="4"/>
  <c r="E511" i="4"/>
  <c r="E498" i="4"/>
  <c r="E488" i="4"/>
  <c r="E478" i="4"/>
  <c r="E465" i="4"/>
  <c r="E455" i="4"/>
  <c r="E445" i="4"/>
  <c r="E432" i="4"/>
  <c r="E422" i="4"/>
  <c r="E412" i="4"/>
  <c r="E399" i="4"/>
  <c r="E389" i="4"/>
  <c r="E379" i="4"/>
  <c r="E366" i="4"/>
  <c r="E356" i="4"/>
  <c r="E346" i="4"/>
  <c r="E333" i="4"/>
  <c r="E323" i="4"/>
  <c r="E313" i="4"/>
  <c r="E300" i="4"/>
  <c r="E290" i="4"/>
  <c r="E280" i="4"/>
  <c r="E267" i="4"/>
  <c r="E257" i="4"/>
  <c r="E247" i="4"/>
  <c r="E234" i="4"/>
  <c r="E224" i="4"/>
  <c r="E214" i="4"/>
  <c r="E201" i="4"/>
  <c r="E191" i="4"/>
  <c r="E181" i="4"/>
  <c r="E168" i="4"/>
  <c r="E158" i="4"/>
  <c r="E148" i="4"/>
  <c r="E135" i="4"/>
  <c r="E125" i="4"/>
  <c r="E115" i="4"/>
  <c r="E102" i="4"/>
  <c r="E92" i="4"/>
  <c r="E82" i="4"/>
  <c r="G568" i="4"/>
  <c r="I568" i="4" s="1"/>
  <c r="J564" i="4"/>
  <c r="H564" i="4"/>
  <c r="F564" i="4"/>
  <c r="G558" i="4"/>
  <c r="I558" i="4" s="1"/>
  <c r="J554" i="4"/>
  <c r="H554" i="4"/>
  <c r="F554" i="4"/>
  <c r="J548" i="4"/>
  <c r="H548" i="4"/>
  <c r="F548" i="4"/>
  <c r="J546" i="4"/>
  <c r="J544" i="4" s="1"/>
  <c r="H546" i="4"/>
  <c r="H544" i="4" s="1"/>
  <c r="F546" i="4"/>
  <c r="F544" i="4" s="1"/>
  <c r="G535" i="4"/>
  <c r="I535" i="4" s="1"/>
  <c r="J531" i="4"/>
  <c r="H531" i="4"/>
  <c r="F531" i="4"/>
  <c r="G525" i="4"/>
  <c r="I525" i="4" s="1"/>
  <c r="J521" i="4"/>
  <c r="H521" i="4"/>
  <c r="F521" i="4"/>
  <c r="J515" i="4"/>
  <c r="H515" i="4"/>
  <c r="F515" i="4"/>
  <c r="J513" i="4"/>
  <c r="J511" i="4" s="1"/>
  <c r="H513" i="4"/>
  <c r="H511" i="4" s="1"/>
  <c r="F513" i="4"/>
  <c r="F511" i="4" s="1"/>
  <c r="G502" i="4"/>
  <c r="I502" i="4" s="1"/>
  <c r="J498" i="4"/>
  <c r="H498" i="4"/>
  <c r="F498" i="4"/>
  <c r="G492" i="4"/>
  <c r="I492" i="4" s="1"/>
  <c r="J488" i="4"/>
  <c r="H488" i="4"/>
  <c r="F488" i="4"/>
  <c r="J482" i="4"/>
  <c r="H482" i="4"/>
  <c r="F482" i="4"/>
  <c r="J480" i="4"/>
  <c r="J478" i="4" s="1"/>
  <c r="H480" i="4"/>
  <c r="H478" i="4" s="1"/>
  <c r="F480" i="4"/>
  <c r="F478" i="4" s="1"/>
  <c r="G469" i="4"/>
  <c r="I469" i="4" s="1"/>
  <c r="J465" i="4"/>
  <c r="H465" i="4"/>
  <c r="F465" i="4"/>
  <c r="G459" i="4"/>
  <c r="I459" i="4" s="1"/>
  <c r="J455" i="4"/>
  <c r="H455" i="4"/>
  <c r="F455" i="4"/>
  <c r="J449" i="4"/>
  <c r="H449" i="4"/>
  <c r="F449" i="4"/>
  <c r="J447" i="4"/>
  <c r="J445" i="4" s="1"/>
  <c r="H447" i="4"/>
  <c r="H445" i="4" s="1"/>
  <c r="F447" i="4"/>
  <c r="F445" i="4" s="1"/>
  <c r="G436" i="4"/>
  <c r="I436" i="4" s="1"/>
  <c r="J432" i="4"/>
  <c r="H432" i="4"/>
  <c r="F432" i="4"/>
  <c r="G426" i="4"/>
  <c r="I426" i="4" s="1"/>
  <c r="J422" i="4"/>
  <c r="H422" i="4"/>
  <c r="F422" i="4"/>
  <c r="J416" i="4"/>
  <c r="H416" i="4"/>
  <c r="F416" i="4"/>
  <c r="G416" i="4" s="1"/>
  <c r="I416" i="4" s="1"/>
  <c r="J414" i="4"/>
  <c r="J412" i="4" s="1"/>
  <c r="H414" i="4"/>
  <c r="H412" i="4" s="1"/>
  <c r="F414" i="4"/>
  <c r="F412" i="4" s="1"/>
  <c r="G403" i="4"/>
  <c r="I403" i="4" s="1"/>
  <c r="J399" i="4"/>
  <c r="H399" i="4"/>
  <c r="F399" i="4"/>
  <c r="G393" i="4"/>
  <c r="I393" i="4" s="1"/>
  <c r="J389" i="4"/>
  <c r="H389" i="4"/>
  <c r="F389" i="4"/>
  <c r="J383" i="4"/>
  <c r="H383" i="4"/>
  <c r="F383" i="4"/>
  <c r="J381" i="4"/>
  <c r="J379" i="4" s="1"/>
  <c r="H381" i="4"/>
  <c r="H379" i="4" s="1"/>
  <c r="F381" i="4"/>
  <c r="F379" i="4" s="1"/>
  <c r="G370" i="4"/>
  <c r="I370" i="4" s="1"/>
  <c r="J366" i="4"/>
  <c r="H366" i="4"/>
  <c r="F366" i="4"/>
  <c r="G360" i="4"/>
  <c r="I360" i="4" s="1"/>
  <c r="J356" i="4"/>
  <c r="H356" i="4"/>
  <c r="F356" i="4"/>
  <c r="J350" i="4"/>
  <c r="H350" i="4"/>
  <c r="F350" i="4"/>
  <c r="J348" i="4"/>
  <c r="J346" i="4" s="1"/>
  <c r="H348" i="4"/>
  <c r="H346" i="4" s="1"/>
  <c r="F348" i="4"/>
  <c r="F346" i="4" s="1"/>
  <c r="G337" i="4"/>
  <c r="I337" i="4" s="1"/>
  <c r="J333" i="4"/>
  <c r="H333" i="4"/>
  <c r="F333" i="4"/>
  <c r="G327" i="4"/>
  <c r="I327" i="4" s="1"/>
  <c r="J323" i="4"/>
  <c r="H323" i="4"/>
  <c r="F323" i="4"/>
  <c r="J317" i="4"/>
  <c r="H317" i="4"/>
  <c r="F317" i="4"/>
  <c r="J315" i="4"/>
  <c r="J313" i="4" s="1"/>
  <c r="H315" i="4"/>
  <c r="H313" i="4" s="1"/>
  <c r="F315" i="4"/>
  <c r="F313" i="4" s="1"/>
  <c r="G304" i="4"/>
  <c r="I304" i="4" s="1"/>
  <c r="J300" i="4"/>
  <c r="H300" i="4"/>
  <c r="F300" i="4"/>
  <c r="G294" i="4"/>
  <c r="I294" i="4" s="1"/>
  <c r="J290" i="4"/>
  <c r="H290" i="4"/>
  <c r="F290" i="4"/>
  <c r="J284" i="4"/>
  <c r="H284" i="4"/>
  <c r="F284" i="4"/>
  <c r="G284" i="4"/>
  <c r="I284" i="4" s="1"/>
  <c r="J282" i="4"/>
  <c r="J280" i="4" s="1"/>
  <c r="H282" i="4"/>
  <c r="H280" i="4" s="1"/>
  <c r="F282" i="4"/>
  <c r="F280" i="4" s="1"/>
  <c r="G271" i="4"/>
  <c r="I271" i="4" s="1"/>
  <c r="J267" i="4"/>
  <c r="H267" i="4"/>
  <c r="F267" i="4"/>
  <c r="G261" i="4"/>
  <c r="I261" i="4" s="1"/>
  <c r="J257" i="4"/>
  <c r="H257" i="4"/>
  <c r="F257" i="4"/>
  <c r="J251" i="4"/>
  <c r="H251" i="4"/>
  <c r="F251" i="4"/>
  <c r="J249" i="4"/>
  <c r="H249" i="4"/>
  <c r="H247" i="4" s="1"/>
  <c r="F249" i="4"/>
  <c r="F247" i="4" s="1"/>
  <c r="J247" i="4"/>
  <c r="G238" i="4"/>
  <c r="I238" i="4" s="1"/>
  <c r="J234" i="4"/>
  <c r="H234" i="4"/>
  <c r="F234" i="4"/>
  <c r="G228" i="4"/>
  <c r="I228" i="4" s="1"/>
  <c r="J224" i="4"/>
  <c r="H224" i="4"/>
  <c r="F224" i="4"/>
  <c r="J218" i="4"/>
  <c r="H218" i="4"/>
  <c r="F218" i="4"/>
  <c r="J216" i="4"/>
  <c r="J214" i="4" s="1"/>
  <c r="H216" i="4"/>
  <c r="H214" i="4" s="1"/>
  <c r="F216" i="4"/>
  <c r="F214" i="4" s="1"/>
  <c r="G205" i="4"/>
  <c r="I205" i="4" s="1"/>
  <c r="J201" i="4"/>
  <c r="H201" i="4"/>
  <c r="F201" i="4"/>
  <c r="G195" i="4"/>
  <c r="I195" i="4" s="1"/>
  <c r="J191" i="4"/>
  <c r="H191" i="4"/>
  <c r="F191" i="4"/>
  <c r="J185" i="4"/>
  <c r="H185" i="4"/>
  <c r="F185" i="4"/>
  <c r="J183" i="4"/>
  <c r="J181" i="4" s="1"/>
  <c r="H183" i="4"/>
  <c r="F183" i="4"/>
  <c r="H181" i="4"/>
  <c r="F181" i="4"/>
  <c r="G172" i="4"/>
  <c r="I172" i="4" s="1"/>
  <c r="J168" i="4"/>
  <c r="H168" i="4"/>
  <c r="F168" i="4"/>
  <c r="G162" i="4"/>
  <c r="I162" i="4" s="1"/>
  <c r="J158" i="4"/>
  <c r="H158" i="4"/>
  <c r="F158" i="4"/>
  <c r="J152" i="4"/>
  <c r="H152" i="4"/>
  <c r="F152" i="4"/>
  <c r="G152" i="4"/>
  <c r="I152" i="4" s="1"/>
  <c r="J150" i="4"/>
  <c r="J148" i="4" s="1"/>
  <c r="H150" i="4"/>
  <c r="H148" i="4" s="1"/>
  <c r="F150" i="4"/>
  <c r="F148" i="4" s="1"/>
  <c r="G139" i="4"/>
  <c r="I139" i="4" s="1"/>
  <c r="J135" i="4"/>
  <c r="H135" i="4"/>
  <c r="F135" i="4"/>
  <c r="G129" i="4"/>
  <c r="I129" i="4" s="1"/>
  <c r="J125" i="4"/>
  <c r="H125" i="4"/>
  <c r="F125" i="4"/>
  <c r="J119" i="4"/>
  <c r="H119" i="4"/>
  <c r="F119" i="4"/>
  <c r="G119" i="4" s="1"/>
  <c r="J117" i="4"/>
  <c r="J115" i="4" s="1"/>
  <c r="H117" i="4"/>
  <c r="H115" i="4" s="1"/>
  <c r="F117" i="4"/>
  <c r="F115" i="4"/>
  <c r="G106" i="4"/>
  <c r="I106" i="4" s="1"/>
  <c r="J102" i="4"/>
  <c r="H102" i="4"/>
  <c r="F102" i="4"/>
  <c r="G96" i="4"/>
  <c r="I96" i="4" s="1"/>
  <c r="J92" i="4"/>
  <c r="H92" i="4"/>
  <c r="F92" i="4"/>
  <c r="J86" i="4"/>
  <c r="H86" i="4"/>
  <c r="F86" i="4"/>
  <c r="J84" i="4"/>
  <c r="J82" i="4" s="1"/>
  <c r="H84" i="4"/>
  <c r="H82" i="4" s="1"/>
  <c r="F84" i="4"/>
  <c r="F82" i="4" s="1"/>
  <c r="G73" i="4"/>
  <c r="I73" i="4" s="1"/>
  <c r="J69" i="4"/>
  <c r="H69" i="4"/>
  <c r="F69" i="4"/>
  <c r="G63" i="4"/>
  <c r="I63" i="4" s="1"/>
  <c r="J59" i="4"/>
  <c r="H59" i="4"/>
  <c r="F59" i="4"/>
  <c r="J53" i="4"/>
  <c r="H53" i="4"/>
  <c r="F53" i="4"/>
  <c r="J51" i="4"/>
  <c r="J49" i="4" s="1"/>
  <c r="H51" i="4"/>
  <c r="H49" i="4" s="1"/>
  <c r="F51" i="4"/>
  <c r="F49" i="4" s="1"/>
  <c r="G40" i="4"/>
  <c r="I40" i="4" s="1"/>
  <c r="G38" i="4"/>
  <c r="I38" i="4" s="1"/>
  <c r="E50" i="1"/>
  <c r="F50" i="1"/>
  <c r="H50" i="1"/>
  <c r="J50" i="1"/>
  <c r="I119" i="4" l="1"/>
  <c r="G53" i="4"/>
  <c r="I53" i="4" s="1"/>
  <c r="G218" i="4"/>
  <c r="I218" i="4" s="1"/>
  <c r="G482" i="4"/>
  <c r="I482" i="4" s="1"/>
  <c r="G548" i="4"/>
  <c r="I548" i="4" s="1"/>
  <c r="K548" i="4" s="1"/>
  <c r="G86" i="4"/>
  <c r="I86" i="4" s="1"/>
  <c r="G515" i="4"/>
  <c r="I515" i="4" s="1"/>
  <c r="G383" i="4"/>
  <c r="I383" i="4" s="1"/>
  <c r="G350" i="4"/>
  <c r="I350" i="4" s="1"/>
  <c r="K350" i="4" s="1"/>
  <c r="G449" i="4"/>
  <c r="I449" i="4" s="1"/>
  <c r="G317" i="4"/>
  <c r="I317" i="4" s="1"/>
  <c r="G251" i="4"/>
  <c r="I251" i="4" s="1"/>
  <c r="K251" i="4" s="1"/>
  <c r="G185" i="4"/>
  <c r="I185" i="4" s="1"/>
  <c r="K185" i="4" s="1"/>
  <c r="G24" i="1"/>
  <c r="I24" i="1" s="1"/>
  <c r="K24" i="1" s="1"/>
  <c r="G22" i="1"/>
  <c r="I22" i="1" s="1"/>
  <c r="K22" i="1" s="1"/>
  <c r="K558" i="4"/>
  <c r="K535" i="4"/>
  <c r="K525" i="4"/>
  <c r="K502" i="4"/>
  <c r="K459" i="4"/>
  <c r="K436" i="4"/>
  <c r="K426" i="4"/>
  <c r="K403" i="4"/>
  <c r="K393" i="4"/>
  <c r="K383" i="4"/>
  <c r="K370" i="4"/>
  <c r="K337" i="4"/>
  <c r="K327" i="4"/>
  <c r="K304" i="4"/>
  <c r="K294" i="4"/>
  <c r="K284" i="4"/>
  <c r="K271" i="4"/>
  <c r="K261" i="4"/>
  <c r="K238" i="4"/>
  <c r="K228" i="4"/>
  <c r="K205" i="4"/>
  <c r="K195" i="4"/>
  <c r="K172" i="4"/>
  <c r="K162" i="4"/>
  <c r="K152" i="4"/>
  <c r="K139" i="4"/>
  <c r="K129" i="4"/>
  <c r="K119" i="4"/>
  <c r="K106" i="4"/>
  <c r="K96" i="4"/>
  <c r="K73" i="4"/>
  <c r="E69" i="4"/>
  <c r="K63" i="4"/>
  <c r="E59" i="4"/>
  <c r="E49" i="4"/>
  <c r="K40" i="4"/>
  <c r="J36" i="4"/>
  <c r="H36" i="4"/>
  <c r="F36" i="4"/>
  <c r="E36" i="4"/>
  <c r="G30" i="4"/>
  <c r="I30" i="4" s="1"/>
  <c r="K30" i="4" s="1"/>
  <c r="J26" i="4"/>
  <c r="H26" i="4"/>
  <c r="F26" i="4"/>
  <c r="E26" i="4"/>
  <c r="J20" i="4"/>
  <c r="H20" i="4"/>
  <c r="F20" i="4"/>
  <c r="E16" i="4"/>
  <c r="J18" i="4"/>
  <c r="J16" i="4" s="1"/>
  <c r="H18" i="4"/>
  <c r="H16" i="4" s="1"/>
  <c r="F18" i="4"/>
  <c r="F16" i="4" s="1"/>
  <c r="G46" i="1"/>
  <c r="I46" i="1" s="1"/>
  <c r="G40" i="1"/>
  <c r="I40" i="1" s="1"/>
  <c r="K53" i="4" l="1"/>
  <c r="G20" i="4"/>
  <c r="I20" i="4" s="1"/>
  <c r="K20" i="4" s="1"/>
  <c r="K86" i="4"/>
  <c r="K218" i="4"/>
  <c r="K317" i="4"/>
  <c r="K360" i="4"/>
  <c r="K469" i="4"/>
  <c r="K449" i="4"/>
  <c r="K416" i="4"/>
  <c r="K482" i="4"/>
  <c r="K515" i="4"/>
  <c r="J44" i="1"/>
  <c r="H44" i="1"/>
  <c r="F44" i="1"/>
  <c r="E44" i="1"/>
  <c r="G18" i="1"/>
  <c r="I18" i="1" s="1"/>
  <c r="K18" i="1" s="1"/>
  <c r="E14" i="1"/>
  <c r="G424" i="4" l="1"/>
  <c r="G556" i="4" l="1"/>
  <c r="G533" i="4"/>
  <c r="G422" i="4"/>
  <c r="I424" i="4"/>
  <c r="I422" i="4" s="1"/>
  <c r="G325" i="4"/>
  <c r="G127" i="4"/>
  <c r="G554" i="4" l="1"/>
  <c r="I556" i="4"/>
  <c r="I554" i="4" s="1"/>
  <c r="G566" i="4"/>
  <c r="I533" i="4"/>
  <c r="I531" i="4" s="1"/>
  <c r="G531" i="4"/>
  <c r="G500" i="4"/>
  <c r="G467" i="4"/>
  <c r="G434" i="4"/>
  <c r="G401" i="4"/>
  <c r="G348" i="4"/>
  <c r="G368" i="4"/>
  <c r="G358" i="4"/>
  <c r="G323" i="4"/>
  <c r="I325" i="4"/>
  <c r="I323" i="4" s="1"/>
  <c r="G335" i="4"/>
  <c r="G302" i="4"/>
  <c r="G269" i="4"/>
  <c r="G236" i="4"/>
  <c r="G193" i="4"/>
  <c r="G170" i="4"/>
  <c r="G137" i="4"/>
  <c r="I127" i="4"/>
  <c r="I125" i="4" s="1"/>
  <c r="G125" i="4"/>
  <c r="G84" i="4"/>
  <c r="G104" i="4"/>
  <c r="G94" i="4"/>
  <c r="G71" i="4"/>
  <c r="G52" i="1"/>
  <c r="G292" i="4" l="1"/>
  <c r="G203" i="4"/>
  <c r="G61" i="4"/>
  <c r="G490" i="4"/>
  <c r="G226" i="4"/>
  <c r="G160" i="4"/>
  <c r="G523" i="4"/>
  <c r="G391" i="4"/>
  <c r="G546" i="4"/>
  <c r="G564" i="4"/>
  <c r="I566" i="4"/>
  <c r="I564" i="4" s="1"/>
  <c r="G513" i="4"/>
  <c r="G480" i="4"/>
  <c r="I500" i="4"/>
  <c r="I498" i="4" s="1"/>
  <c r="G498" i="4"/>
  <c r="G447" i="4"/>
  <c r="G457" i="4"/>
  <c r="I467" i="4"/>
  <c r="I465" i="4" s="1"/>
  <c r="G465" i="4"/>
  <c r="G414" i="4"/>
  <c r="I434" i="4"/>
  <c r="I432" i="4" s="1"/>
  <c r="G432" i="4"/>
  <c r="G381" i="4"/>
  <c r="I401" i="4"/>
  <c r="I399" i="4" s="1"/>
  <c r="G399" i="4"/>
  <c r="G346" i="4"/>
  <c r="I348" i="4"/>
  <c r="I346" i="4" s="1"/>
  <c r="I358" i="4"/>
  <c r="I356" i="4" s="1"/>
  <c r="G356" i="4"/>
  <c r="I368" i="4"/>
  <c r="I366" i="4" s="1"/>
  <c r="G366" i="4"/>
  <c r="I335" i="4"/>
  <c r="I333" i="4" s="1"/>
  <c r="G333" i="4"/>
  <c r="G315" i="4"/>
  <c r="G282" i="4"/>
  <c r="I302" i="4"/>
  <c r="I300" i="4" s="1"/>
  <c r="G300" i="4"/>
  <c r="G259" i="4"/>
  <c r="G249" i="4"/>
  <c r="I269" i="4"/>
  <c r="I267" i="4" s="1"/>
  <c r="G267" i="4"/>
  <c r="G216" i="4"/>
  <c r="I236" i="4"/>
  <c r="I234" i="4" s="1"/>
  <c r="G234" i="4"/>
  <c r="I193" i="4"/>
  <c r="I191" i="4" s="1"/>
  <c r="G191" i="4"/>
  <c r="I170" i="4"/>
  <c r="I168" i="4" s="1"/>
  <c r="G168" i="4"/>
  <c r="G150" i="4"/>
  <c r="I137" i="4"/>
  <c r="I135" i="4" s="1"/>
  <c r="G135" i="4"/>
  <c r="G117" i="4"/>
  <c r="I84" i="4"/>
  <c r="I82" i="4" s="1"/>
  <c r="G82" i="4"/>
  <c r="I104" i="4"/>
  <c r="I102" i="4" s="1"/>
  <c r="G102" i="4"/>
  <c r="I94" i="4"/>
  <c r="I92" i="4" s="1"/>
  <c r="G92" i="4"/>
  <c r="I71" i="4"/>
  <c r="I69" i="4" s="1"/>
  <c r="G69" i="4"/>
  <c r="G51" i="4"/>
  <c r="I52" i="1"/>
  <c r="G50" i="1"/>
  <c r="K401" i="4"/>
  <c r="K399" i="4" s="1"/>
  <c r="L401" i="4" s="1"/>
  <c r="K467" i="4" l="1"/>
  <c r="K465" i="4" s="1"/>
  <c r="L467" i="4" s="1"/>
  <c r="I523" i="4"/>
  <c r="I521" i="4" s="1"/>
  <c r="G521" i="4"/>
  <c r="G158" i="4"/>
  <c r="I160" i="4"/>
  <c r="I158" i="4" s="1"/>
  <c r="G224" i="4"/>
  <c r="I226" i="4"/>
  <c r="I224" i="4" s="1"/>
  <c r="G389" i="4"/>
  <c r="I391" i="4"/>
  <c r="G488" i="4"/>
  <c r="I490" i="4"/>
  <c r="I203" i="4"/>
  <c r="I201" i="4" s="1"/>
  <c r="G201" i="4"/>
  <c r="G290" i="4"/>
  <c r="I292" i="4"/>
  <c r="I290" i="4" s="1"/>
  <c r="I61" i="4"/>
  <c r="I59" i="4" s="1"/>
  <c r="G59" i="4"/>
  <c r="I546" i="4"/>
  <c r="I544" i="4" s="1"/>
  <c r="G544" i="4"/>
  <c r="I513" i="4"/>
  <c r="I511" i="4" s="1"/>
  <c r="G511" i="4"/>
  <c r="I480" i="4"/>
  <c r="I478" i="4" s="1"/>
  <c r="G478" i="4"/>
  <c r="I447" i="4"/>
  <c r="I445" i="4" s="1"/>
  <c r="G445" i="4"/>
  <c r="G455" i="4"/>
  <c r="I457" i="4"/>
  <c r="I455" i="4" s="1"/>
  <c r="I414" i="4"/>
  <c r="I412" i="4" s="1"/>
  <c r="G412" i="4"/>
  <c r="I381" i="4"/>
  <c r="I379" i="4" s="1"/>
  <c r="G379" i="4"/>
  <c r="I315" i="4"/>
  <c r="I313" i="4" s="1"/>
  <c r="G313" i="4"/>
  <c r="I282" i="4"/>
  <c r="I280" i="4" s="1"/>
  <c r="G280" i="4"/>
  <c r="G257" i="4"/>
  <c r="I259" i="4"/>
  <c r="I257" i="4" s="1"/>
  <c r="G247" i="4"/>
  <c r="I249" i="4"/>
  <c r="I247" i="4" s="1"/>
  <c r="G214" i="4"/>
  <c r="I216" i="4"/>
  <c r="I214" i="4" s="1"/>
  <c r="G183" i="4"/>
  <c r="I150" i="4"/>
  <c r="I148" i="4" s="1"/>
  <c r="G148" i="4"/>
  <c r="I117" i="4"/>
  <c r="I115" i="4" s="1"/>
  <c r="G115" i="4"/>
  <c r="I51" i="4"/>
  <c r="I49" i="4" s="1"/>
  <c r="G49" i="4"/>
  <c r="I50" i="1"/>
  <c r="K52" i="1"/>
  <c r="K50" i="1" s="1"/>
  <c r="L52" i="1" s="1"/>
  <c r="K368" i="4"/>
  <c r="K366" i="4" s="1"/>
  <c r="L368" i="4" s="1"/>
  <c r="K523" i="4"/>
  <c r="K521" i="4" s="1"/>
  <c r="L523" i="4" s="1"/>
  <c r="G18" i="4"/>
  <c r="K566" i="4"/>
  <c r="G28" i="4"/>
  <c r="K500" i="4"/>
  <c r="K498" i="4" s="1"/>
  <c r="L500" i="4" s="1"/>
  <c r="K358" i="4"/>
  <c r="K356" i="4" s="1"/>
  <c r="L358" i="4" s="1"/>
  <c r="G16" i="1"/>
  <c r="I389" i="4" l="1"/>
  <c r="K391" i="4"/>
  <c r="K389" i="4" s="1"/>
  <c r="L391" i="4" s="1"/>
  <c r="I488" i="4"/>
  <c r="K490" i="4"/>
  <c r="I183" i="4"/>
  <c r="I181" i="4" s="1"/>
  <c r="G181" i="4"/>
  <c r="K150" i="4"/>
  <c r="K148" i="4" s="1"/>
  <c r="L150" i="4" s="1"/>
  <c r="K203" i="4"/>
  <c r="K201" i="4" s="1"/>
  <c r="L203" i="4" s="1"/>
  <c r="I18" i="4"/>
  <c r="G16" i="4"/>
  <c r="K137" i="4"/>
  <c r="K135" i="4" s="1"/>
  <c r="L137" i="4" s="1"/>
  <c r="K71" i="4"/>
  <c r="K69" i="4" s="1"/>
  <c r="L71" i="4" s="1"/>
  <c r="G26" i="4"/>
  <c r="I28" i="4"/>
  <c r="K434" i="4"/>
  <c r="K432" i="4" s="1"/>
  <c r="L434" i="4" s="1"/>
  <c r="G36" i="4"/>
  <c r="K61" i="4"/>
  <c r="K59" i="4" s="1"/>
  <c r="L61" i="4" s="1"/>
  <c r="K480" i="4"/>
  <c r="K478" i="4" s="1"/>
  <c r="L480" i="4" s="1"/>
  <c r="K127" i="4"/>
  <c r="K125" i="4" s="1"/>
  <c r="L127" i="4" s="1"/>
  <c r="K533" i="4"/>
  <c r="K531" i="4" s="1"/>
  <c r="L533" i="4" s="1"/>
  <c r="K193" i="4"/>
  <c r="K191" i="4" s="1"/>
  <c r="L193" i="4" s="1"/>
  <c r="I16" i="1"/>
  <c r="G14" i="1"/>
  <c r="K117" i="4" l="1"/>
  <c r="K115" i="4" s="1"/>
  <c r="L117" i="4" s="1"/>
  <c r="K302" i="4"/>
  <c r="K300" i="4" s="1"/>
  <c r="L302" i="4" s="1"/>
  <c r="K292" i="4"/>
  <c r="K290" i="4" s="1"/>
  <c r="L292" i="4" s="1"/>
  <c r="K183" i="4"/>
  <c r="K181" i="4" s="1"/>
  <c r="L183" i="4" s="1"/>
  <c r="K226" i="4"/>
  <c r="K224" i="4" s="1"/>
  <c r="L226" i="4" s="1"/>
  <c r="I16" i="4"/>
  <c r="K18" i="4"/>
  <c r="K16" i="4" s="1"/>
  <c r="L18" i="4" s="1"/>
  <c r="K325" i="4"/>
  <c r="K323" i="4" s="1"/>
  <c r="L325" i="4" s="1"/>
  <c r="K424" i="4"/>
  <c r="K422" i="4" s="1"/>
  <c r="L424" i="4" s="1"/>
  <c r="K216" i="4"/>
  <c r="K214" i="4" s="1"/>
  <c r="L216" i="4" s="1"/>
  <c r="K28" i="4"/>
  <c r="K26" i="4" s="1"/>
  <c r="L28" i="4" s="1"/>
  <c r="I26" i="4"/>
  <c r="K492" i="4"/>
  <c r="K488" i="4" s="1"/>
  <c r="L490" i="4" s="1"/>
  <c r="K414" i="4"/>
  <c r="K412" i="4" s="1"/>
  <c r="L414" i="4" s="1"/>
  <c r="K546" i="4"/>
  <c r="K544" i="4" s="1"/>
  <c r="L546" i="4" s="1"/>
  <c r="K556" i="4"/>
  <c r="K554" i="4" s="1"/>
  <c r="L556" i="4" s="1"/>
  <c r="K568" i="4"/>
  <c r="K564" i="4" s="1"/>
  <c r="L566" i="4" s="1"/>
  <c r="K38" i="4"/>
  <c r="K36" i="4" s="1"/>
  <c r="L38" i="4" s="1"/>
  <c r="I36" i="4"/>
  <c r="K513" i="4"/>
  <c r="K511" i="4" s="1"/>
  <c r="L513" i="4" s="1"/>
  <c r="K249" i="4"/>
  <c r="K247" i="4" s="1"/>
  <c r="L249" i="4" s="1"/>
  <c r="K94" i="4"/>
  <c r="K92" i="4" s="1"/>
  <c r="L94" i="4" s="1"/>
  <c r="K236" i="4"/>
  <c r="K234" i="4" s="1"/>
  <c r="L236" i="4" s="1"/>
  <c r="K170" i="4"/>
  <c r="K168" i="4" s="1"/>
  <c r="L170" i="4" s="1"/>
  <c r="K348" i="4"/>
  <c r="K346" i="4" s="1"/>
  <c r="L348" i="4" s="1"/>
  <c r="K259" i="4"/>
  <c r="K257" i="4" s="1"/>
  <c r="L259" i="4" s="1"/>
  <c r="K269" i="4"/>
  <c r="K267" i="4" s="1"/>
  <c r="L269" i="4" s="1"/>
  <c r="K104" i="4"/>
  <c r="K102" i="4" s="1"/>
  <c r="L104" i="4" s="1"/>
  <c r="K282" i="4"/>
  <c r="K280" i="4" s="1"/>
  <c r="L282" i="4" s="1"/>
  <c r="K51" i="4"/>
  <c r="K49" i="4" s="1"/>
  <c r="L51" i="4" s="1"/>
  <c r="K457" i="4"/>
  <c r="K455" i="4" s="1"/>
  <c r="L457" i="4" s="1"/>
  <c r="K335" i="4"/>
  <c r="K333" i="4" s="1"/>
  <c r="L335" i="4" s="1"/>
  <c r="K160" i="4"/>
  <c r="K158" i="4" s="1"/>
  <c r="L160" i="4" s="1"/>
  <c r="K84" i="4"/>
  <c r="K82" i="4" s="1"/>
  <c r="L84" i="4" s="1"/>
  <c r="K447" i="4"/>
  <c r="K445" i="4" s="1"/>
  <c r="L447" i="4" s="1"/>
  <c r="G44" i="1"/>
  <c r="I14" i="1"/>
  <c r="K16" i="1"/>
  <c r="K14" i="1" s="1"/>
  <c r="L16" i="1" s="1"/>
  <c r="K381" i="4" l="1"/>
  <c r="K379" i="4" s="1"/>
  <c r="L379" i="4" s="1"/>
  <c r="K315" i="4"/>
  <c r="K313" i="4" s="1"/>
  <c r="L315" i="4" s="1"/>
  <c r="I44" i="1"/>
  <c r="K46" i="1"/>
  <c r="K44" i="1" s="1"/>
  <c r="L46" i="1" s="1"/>
  <c r="G36" i="1" l="1"/>
  <c r="I36" i="1" s="1"/>
  <c r="K36" i="1" s="1"/>
  <c r="G30" i="1"/>
  <c r="I30" i="1" s="1"/>
  <c r="K30" i="1" s="1"/>
  <c r="J38" i="1" l="1"/>
  <c r="J32" i="1"/>
  <c r="J26" i="1"/>
  <c r="J20" i="1"/>
  <c r="H38" i="1"/>
  <c r="H32" i="1"/>
  <c r="H26" i="1"/>
  <c r="F38" i="1"/>
  <c r="F32" i="1"/>
  <c r="F26" i="1"/>
  <c r="E38" i="1" l="1"/>
  <c r="E32" i="1" l="1"/>
  <c r="E26" i="1"/>
  <c r="E20" i="1"/>
  <c r="G34" i="1" l="1"/>
  <c r="G20" i="1" l="1"/>
  <c r="G38" i="1"/>
  <c r="I34" i="1"/>
  <c r="G32" i="1"/>
  <c r="G26" i="1" l="1"/>
  <c r="K28" i="1"/>
  <c r="I38" i="1"/>
  <c r="K40" i="1"/>
  <c r="K38" i="1" s="1"/>
  <c r="L40" i="1" s="1"/>
  <c r="I32" i="1"/>
  <c r="K34" i="1"/>
  <c r="K32" i="1" s="1"/>
  <c r="L34" i="1" s="1"/>
  <c r="I20" i="1"/>
  <c r="K20" i="1"/>
  <c r="L22" i="1" s="1"/>
  <c r="I26" i="1" l="1"/>
  <c r="K26" i="1"/>
  <c r="L28" i="1" s="1"/>
</calcChain>
</file>

<file path=xl/sharedStrings.xml><?xml version="1.0" encoding="utf-8"?>
<sst xmlns="http://schemas.openxmlformats.org/spreadsheetml/2006/main" count="2160" uniqueCount="102">
  <si>
    <t>SUBDIRECCIÓN SERVICIOS AL CLIENTE</t>
  </si>
  <si>
    <t>NÚMERO</t>
  </si>
  <si>
    <t xml:space="preserve">INDICADOR </t>
  </si>
  <si>
    <t>FORMULA</t>
  </si>
  <si>
    <t>Operandos</t>
  </si>
  <si>
    <t>Operandos  Estimados Meta</t>
  </si>
  <si>
    <t>Oct.</t>
  </si>
  <si>
    <t>Acum Oct.</t>
  </si>
  <si>
    <t>Nov.</t>
  </si>
  <si>
    <t>Acum Nov.</t>
  </si>
  <si>
    <t>Dic.</t>
  </si>
  <si>
    <t>Cumplimiento
2025</t>
  </si>
  <si>
    <t>% Cumplimiento de Meta</t>
  </si>
  <si>
    <t>3.5.1.24</t>
  </si>
  <si>
    <r>
      <t xml:space="preserve">1) </t>
    </r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</si>
  <si>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</si>
  <si>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</si>
  <si>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 xml:space="preserve">Valor indicador=   </t>
  </si>
  <si>
    <t xml:space="preserve">Operando 1=   </t>
  </si>
  <si>
    <t>N° Total de Beneficios Previsionales de las áreas Particulares, Públicos y SSS que se finiquitan en el año t)*100</t>
  </si>
  <si>
    <t xml:space="preserve">Operando 2=    </t>
  </si>
  <si>
    <t>1.3.1.4</t>
  </si>
  <si>
    <r>
      <rPr>
        <b/>
        <sz val="8"/>
        <color theme="1"/>
        <rFont val="Arial Narrow"/>
        <family val="2"/>
      </rPr>
      <t xml:space="preserve">2) </t>
    </r>
    <r>
      <rPr>
        <b/>
        <u/>
        <sz val="8"/>
        <color theme="1"/>
        <rFont val="Arial Narrow"/>
        <family val="2"/>
      </rPr>
      <t xml:space="preserve">Calidad/Producto
</t>
    </r>
    <r>
      <rPr>
        <sz val="8"/>
        <color theme="1"/>
        <rFont val="Arial Narrow"/>
        <family val="2"/>
      </rPr>
      <t>Porcentaje de personas atendidas con tiempo de espera menor a 25 minutos en el año t.</t>
    </r>
  </si>
  <si>
    <t>(Número de personas atendidas con tiempo de espera menor a 25 minutos en el año t / Total de personas atendidas en el año t)*100</t>
  </si>
  <si>
    <t xml:space="preserve">(Número de personas atendidas con tiempo de espera menor a 25 minutos en el año t </t>
  </si>
  <si>
    <t>Total de personas atendidas en el año t)*100</t>
  </si>
  <si>
    <t>1.3.1.118</t>
  </si>
  <si>
    <r>
      <rPr>
        <b/>
        <sz val="8"/>
        <color theme="1"/>
        <rFont val="Arial Narrow"/>
        <family val="2"/>
      </rPr>
      <t xml:space="preserve">3) </t>
    </r>
    <r>
      <rPr>
        <b/>
        <u/>
        <sz val="8"/>
        <color theme="1"/>
        <rFont val="Arial Narrow"/>
        <family val="2"/>
      </rPr>
      <t xml:space="preserve">Eficacia/Proceso
</t>
    </r>
    <r>
      <rPr>
        <sz val="8"/>
        <color theme="1"/>
        <rFont val="Arial Narrow"/>
        <family val="2"/>
      </rPr>
      <t>Porcentaje de actividades cumplidas del plan para la aplicación de la encuesta de Medición de Satisfacción Usuaria [MESU] en el año t</t>
    </r>
  </si>
  <si>
    <t>(Sumatoria de actividades cumplidas del plan para la aplicación de la encuesta de Medición de Satisfacción Usuaria [MESU] en el año t / Número total de actividades definidas en el plan   para la aplicación de la encuesta de Medición de Satisfacción Usuaria [MESU]) *100</t>
  </si>
  <si>
    <t>(Sumatoria de actividades cumplidas del plan para la aplicación de la encuesta de Medición de Satisfacción Usuaria [MESU] en el año t</t>
  </si>
  <si>
    <t>Número total de actividades definidas en el plan   para la aplicación de la encuesta de Medición de Satisfacción Usuaria [MESU]) *100</t>
  </si>
  <si>
    <t>INDICADOR NUEVO 5.3.1.6.2</t>
  </si>
  <si>
    <r>
      <rPr>
        <b/>
        <sz val="8"/>
        <color theme="1"/>
        <rFont val="Arial Narrow"/>
        <family val="2"/>
      </rPr>
      <t xml:space="preserve">4) </t>
    </r>
    <r>
      <rPr>
        <b/>
        <u/>
        <sz val="8"/>
        <color theme="1"/>
        <rFont val="Arial Narrow"/>
        <family val="2"/>
      </rPr>
      <t xml:space="preserve">Calidad/Producto
</t>
    </r>
    <r>
      <rPr>
        <sz val="8"/>
        <color theme="1"/>
        <rFont val="Arial Narrow"/>
        <family val="2"/>
      </rPr>
      <t>Porcentaje de funcionarias/os que participan en el plan Anual de Formación y Capacitación en el año t</t>
    </r>
  </si>
  <si>
    <t>(Número de funcionarias/os que participan en las actividades establecidas en el Plan Anual de Formación y Capacitación en el año t / Nº total de funcionarias/os convocados a participar en las actividades del plan Anual de Formación y Capacitación en el año t) *100</t>
  </si>
  <si>
    <t>(Número de funcionarias/os que participan en las actividades establecidas en el Plan Anual de Formación y Capacitación en el año t</t>
  </si>
  <si>
    <t>Nº total de funcionarias/os convocados a participar en las actividades del plan Anual de Formación y Capacitación en el año t) *100</t>
  </si>
  <si>
    <t>5.1.3.4.2</t>
  </si>
  <si>
    <r>
      <rPr>
        <b/>
        <sz val="8"/>
        <rFont val="Arial Narrow"/>
        <family val="2"/>
      </rPr>
      <t xml:space="preserve">5) </t>
    </r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 los Subtítulos 22 y 29, dentro de los plazos establecidos (Subdirección de Servicios al Cliente)</t>
    </r>
  </si>
  <si>
    <t>(Sumatoria de hitos de control cumplidos de ejecución presupuestaria a nivel de los Subtítulos 22 y 29, dentro de los plazos establecidos / N° total de hitos de control definidos de ejecución presupuestaria a nivel de los Subtítulos 22 y 29) *100</t>
  </si>
  <si>
    <t>Gasto ejecutado de los subtítulos 22 y 29 al mes de noviembre del año t</t>
  </si>
  <si>
    <t>(Presupuesto vigente al mes de noviembre de los subtítulos 22 y 29 en el año t) *100</t>
  </si>
  <si>
    <t>5.1.3.80</t>
  </si>
  <si>
    <r>
      <rPr>
        <b/>
        <sz val="8"/>
        <rFont val="Arial Narrow"/>
        <family val="2"/>
      </rPr>
      <t xml:space="preserve">6) </t>
    </r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 los Subtítulos 22 y 29, dentro de los plazos establecidos (TIC Chileatiende)</t>
    </r>
  </si>
  <si>
    <t>5.4.1.77</t>
  </si>
  <si>
    <r>
      <rPr>
        <b/>
        <sz val="8"/>
        <color theme="1"/>
        <rFont val="Arial Narrow"/>
        <family val="2"/>
      </rPr>
      <t xml:space="preserve">7) </t>
    </r>
    <r>
      <rPr>
        <b/>
        <u/>
        <sz val="8"/>
        <color theme="1"/>
        <rFont val="Arial Narrow"/>
        <family val="2"/>
      </rPr>
      <t xml:space="preserve">Eficacia/Proceso
</t>
    </r>
    <r>
      <rPr>
        <sz val="8"/>
        <color theme="1"/>
        <rFont val="Arial Narrow"/>
        <family val="2"/>
      </rPr>
      <t>Porcentaje de Reportes Trimestrales de riesgos enviados oportunamente al Depto. Gestión Integral de Riesgos en el año t (Subdirección de Servicios al Cliente)</t>
    </r>
  </si>
  <si>
    <t>(Número de Reportes Trimestrales de riesgos enviados oportunamente al Depto. Gestión Integral de Riesgos en el año t / Número de Reportes Trimestrales de riesgos planificados enviados al Depto. Gestión Integral de Riesgos en el año t) *100</t>
  </si>
  <si>
    <t>(Número de Reportes Trimestrales de riesgos enviados oportunamente al Depto. Gestión Integral de Riesgos en el año t</t>
  </si>
  <si>
    <t>Número de Reportes Trimestrales de riesgos planificados enviados al Depto. Gestión Integral de Riesgos en el año t) *100</t>
  </si>
  <si>
    <t>PLANTILLA SIG COMPROMISOS INSTITUCIONALES</t>
  </si>
  <si>
    <t>DEPARTAMENTO DE PLANIFICACION  Y DESARROLLO</t>
  </si>
  <si>
    <t>SUBDEPARTAMENTO GESTIÓN DE INDICADORES</t>
  </si>
  <si>
    <t>INSTITUCIONALES</t>
  </si>
  <si>
    <t xml:space="preserve">Fecha: </t>
  </si>
  <si>
    <t>Elaborado por: Analista de Gestión</t>
  </si>
  <si>
    <t>Revisado por: Jefa Subdepartamento Gestión de Indicadores Institucionales</t>
  </si>
  <si>
    <t>Aprobado por: Jefa Departamento Compromisos Institucionales</t>
  </si>
  <si>
    <t>CONVENIO DE DESEMPEÑO COLECTIVO - AÑO 2025</t>
  </si>
  <si>
    <t>TOTAL PAIS</t>
  </si>
  <si>
    <t>Proyectado 2025</t>
  </si>
  <si>
    <t>1.3.1.4-15 INDICADOR HIJO</t>
  </si>
  <si>
    <r>
      <t xml:space="preserve">Calidad/Producto
</t>
    </r>
    <r>
      <rPr>
        <sz val="8"/>
        <color theme="1"/>
        <rFont val="Arial Narrow"/>
        <family val="2"/>
      </rPr>
      <t xml:space="preserve">Porcentaje de personas atendidas con tiempo de espera menor a 25 minutos en el año t
</t>
    </r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</si>
  <si>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</si>
  <si>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</si>
  <si>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Operando 2=</t>
  </si>
  <si>
    <t>Mujeres</t>
  </si>
  <si>
    <t>Hombres</t>
  </si>
  <si>
    <t>DIRECCIÓN REGIONAL - REGIÓN ARICA Y PARINACOTA</t>
  </si>
  <si>
    <t>DIRECCIÓN REGIONAL - REGIÓN TARAPACA</t>
  </si>
  <si>
    <t>1.3.1.4-1 INDICADOR HIJO</t>
  </si>
  <si>
    <r>
      <t xml:space="preserve">Calidad/Producto
</t>
    </r>
    <r>
      <rPr>
        <sz val="8"/>
        <rFont val="Arial Narrow"/>
        <family val="2"/>
      </rPr>
      <t xml:space="preserve">Porcentaje de personas atendidas con tiempo de espera menor a 25 minutos en el año t
</t>
    </r>
  </si>
  <si>
    <t>DIRECCIÓN REGIONAL - REGIÓN ANTOFAGASTA</t>
  </si>
  <si>
    <t>1.3.1.4-2 INDICADOR HIJO</t>
  </si>
  <si>
    <t>DIRECCIÓN REGIONAL - REGIÓN ATACAMA</t>
  </si>
  <si>
    <t>1.3.1.4-3 INDICADOR HIJO</t>
  </si>
  <si>
    <t>DIRECCIÓN REGIONAL - REGIÓN COQUIMBO</t>
  </si>
  <si>
    <t>1.3.1.4-4 INDICADOR HIJO</t>
  </si>
  <si>
    <t>DIRECCIÓN REGIONAL - REGIÓN VALPARAÍSO</t>
  </si>
  <si>
    <t>1.3.1.4-5 INDICADOR HIJO</t>
  </si>
  <si>
    <t>DIRECCIÓN REGIONAL - REGIÓN DEL LIBERTADOR BERNARDO O´HIGGINS</t>
  </si>
  <si>
    <t>1.3.1.4-6 INDICADOR HIJO</t>
  </si>
  <si>
    <r>
      <t xml:space="preserve">Calidad/Producto
</t>
    </r>
    <r>
      <rPr>
        <sz val="8"/>
        <color theme="1"/>
        <rFont val="Arial Narrow"/>
        <family val="2"/>
      </rPr>
      <t xml:space="preserve">Porcentaje de personas atendidas con tiempo de espera menor a 25 minutos en el año t.
</t>
    </r>
  </si>
  <si>
    <t xml:space="preserve">DIRECCIÓN REGIONAL - REGIÓN DEL MAULE </t>
  </si>
  <si>
    <t>1.3.1.4-7 INDICADOR HIJO</t>
  </si>
  <si>
    <r>
      <t xml:space="preserve">Calidad/Producto
</t>
    </r>
    <r>
      <rPr>
        <sz val="8"/>
        <rFont val="Arial Narrow"/>
        <family val="2"/>
      </rPr>
      <t xml:space="preserve">Porcentaje de personas atendidas con tiempo de espera menor a 25 minutos en el año t.
</t>
    </r>
  </si>
  <si>
    <t>DIRECCIÓN REGIONAL - REGIÓN DE ÑUBLE</t>
  </si>
  <si>
    <t>1.3.1.4-16 INDICADOR HIJO</t>
  </si>
  <si>
    <r>
      <rPr>
        <b/>
        <u/>
        <sz val="8"/>
        <rFont val="Arial Narrow"/>
        <family val="2"/>
      </rPr>
      <t>Calidad/Producto</t>
    </r>
    <r>
      <rPr>
        <b/>
        <sz val="8"/>
        <rFont val="Arial Narrow"/>
        <family val="2"/>
      </rPr>
      <t xml:space="preserve">
</t>
    </r>
    <r>
      <rPr>
        <sz val="8"/>
        <rFont val="Arial Narrow"/>
        <family val="2"/>
      </rPr>
      <t xml:space="preserve">Porcentaje de personas atendidas con tiempo de espera menor a 25 minutos en el año t.
</t>
    </r>
  </si>
  <si>
    <t>DIRECCIÓN REGIONAL - REGIÓN DEL BIOBIO</t>
  </si>
  <si>
    <t>1.3.1.4-8 INDICADOR HIJO</t>
  </si>
  <si>
    <t>DIRECCIÓN REGIONAL - REGIÓN DE LA ARAUCANÍA</t>
  </si>
  <si>
    <t>1.3.1.4-9 INDICADOR HIJO</t>
  </si>
  <si>
    <t>DIRECCIÓN REGIONAL - REGIÓN DE LOS RÍOS</t>
  </si>
  <si>
    <t>1.3.1.4-14 INDICADOR HIJO</t>
  </si>
  <si>
    <t>DIRECCIÓN REGIONAL - REGIÓN DE LOS LAGOS</t>
  </si>
  <si>
    <t>1.3.1.4-10 INDICADOR HIJO</t>
  </si>
  <si>
    <t>DIRECCIÓN REGIONAL - REGIÓN DE AISÉN DEL GENERAL CARLOS IBAÑEZ DEL CAMPO</t>
  </si>
  <si>
    <t>1.3.1.4-11 INDICADOR HIJO</t>
  </si>
  <si>
    <t>DIRECCIÓN REGIONAL - REGIÓN DE MAGALLANES Y LA ANTÁRTICA CHILENA</t>
  </si>
  <si>
    <t>1.3.1.4-12 INDICADOR HIJO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</si>
  <si>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 xml:space="preserve">Porcentaje de personas atendidas con tiempo de espera menor a 25 minutos en el año t
</t>
    </r>
  </si>
  <si>
    <t>DIRECCIÓN REGIONAL - REGIÓN DE METROPOLITANA</t>
  </si>
  <si>
    <t>1.3.1.4-13 INDICADOR HIJO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</si>
</sst>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#,##0.0"/>
    <numFmt numFmtId="167" formatCode="_-* #,##0_-;\-* #,##0_-;_-* &quot;-&quot;??_-;_-@_-"/>
    <numFmt numFmtId="168" formatCode="#,##0_ ;[Red]\-#,##0\ 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sz val="10"/>
      <name val="Arial Narrow"/>
      <family val="2"/>
    </font>
    <font>
      <b/>
      <sz val="12"/>
      <color indexed="12"/>
      <name val="Arial Narrow"/>
      <family val="2"/>
    </font>
    <font>
      <sz val="8"/>
      <color rgb="FFFF0000"/>
      <name val="Arial Narrow"/>
      <family val="2"/>
    </font>
    <font>
      <sz val="10"/>
      <name val="Arial"/>
      <family val="2"/>
    </font>
    <font>
      <sz val="12"/>
      <name val="Arial Narrow"/>
      <family val="2"/>
    </font>
    <font>
      <b/>
      <u/>
      <sz val="8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16"/>
      <name val="Arial Narrow"/>
      <family val="2"/>
    </font>
    <font>
      <u/>
      <sz val="8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</borders>
  <cellStyleXfs count="13">
    <xf numFmtId="0" fontId="0" fillId="0" borderId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277">
    <xf numFmtId="0" fontId="0" fillId="0" borderId="0" xfId="0"/>
    <xf numFmtId="0" fontId="7" fillId="0" borderId="0" xfId="0" applyFont="1" applyAlignment="1">
      <alignment horizontal="center"/>
    </xf>
    <xf numFmtId="0" fontId="7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3" fontId="11" fillId="0" borderId="0" xfId="0" applyNumberFormat="1" applyFont="1" applyAlignment="1">
      <alignment horizontal="center"/>
    </xf>
    <xf numFmtId="0" fontId="11" fillId="0" borderId="4" xfId="0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14" fillId="0" borderId="5" xfId="0" applyFont="1" applyBorder="1" applyAlignment="1">
      <alignment horizontal="left" vertical="center" wrapText="1"/>
    </xf>
    <xf numFmtId="0" fontId="14" fillId="2" borderId="6" xfId="0" applyFont="1" applyFill="1" applyBorder="1" applyAlignment="1">
      <alignment horizontal="left" vertical="center" wrapText="1"/>
    </xf>
    <xf numFmtId="9" fontId="14" fillId="0" borderId="5" xfId="4" applyFont="1" applyBorder="1" applyAlignment="1">
      <alignment vertical="center"/>
    </xf>
    <xf numFmtId="10" fontId="14" fillId="6" borderId="8" xfId="4" applyNumberFormat="1" applyFont="1" applyFill="1" applyBorder="1" applyAlignment="1" applyProtection="1">
      <alignment horizontal="right" vertical="center"/>
    </xf>
    <xf numFmtId="10" fontId="14" fillId="2" borderId="7" xfId="4" applyNumberFormat="1" applyFont="1" applyFill="1" applyBorder="1" applyAlignment="1" applyProtection="1">
      <alignment vertical="center"/>
    </xf>
    <xf numFmtId="9" fontId="14" fillId="0" borderId="8" xfId="4" applyFont="1" applyBorder="1" applyAlignment="1">
      <alignment vertical="center"/>
    </xf>
    <xf numFmtId="0" fontId="14" fillId="0" borderId="8" xfId="0" applyFont="1" applyBorder="1" applyAlignment="1">
      <alignment horizontal="left" vertical="center" wrapText="1"/>
    </xf>
    <xf numFmtId="0" fontId="14" fillId="2" borderId="7" xfId="0" applyFont="1" applyFill="1" applyBorder="1" applyAlignment="1">
      <alignment horizontal="left" vertical="center" wrapText="1"/>
    </xf>
    <xf numFmtId="3" fontId="14" fillId="7" borderId="8" xfId="0" applyNumberFormat="1" applyFont="1" applyFill="1" applyBorder="1" applyAlignment="1">
      <alignment horizontal="right" vertical="center" wrapText="1"/>
    </xf>
    <xf numFmtId="3" fontId="14" fillId="3" borderId="8" xfId="0" applyNumberFormat="1" applyFont="1" applyFill="1" applyBorder="1" applyAlignment="1">
      <alignment horizontal="right" vertical="center" wrapText="1"/>
    </xf>
    <xf numFmtId="3" fontId="14" fillId="2" borderId="8" xfId="0" applyNumberFormat="1" applyFont="1" applyFill="1" applyBorder="1" applyAlignment="1">
      <alignment horizontal="right" vertical="center" wrapText="1"/>
    </xf>
    <xf numFmtId="10" fontId="14" fillId="0" borderId="8" xfId="4" applyNumberFormat="1" applyFont="1" applyBorder="1" applyAlignment="1">
      <alignment horizontal="center" vertical="center"/>
    </xf>
    <xf numFmtId="3" fontId="14" fillId="0" borderId="8" xfId="0" applyNumberFormat="1" applyFont="1" applyBorder="1" applyAlignment="1">
      <alignment horizontal="left" vertical="center" wrapText="1"/>
    </xf>
    <xf numFmtId="3" fontId="14" fillId="2" borderId="7" xfId="0" applyNumberFormat="1" applyFont="1" applyFill="1" applyBorder="1" applyAlignment="1">
      <alignment horizontal="left" vertical="center" wrapText="1"/>
    </xf>
    <xf numFmtId="3" fontId="14" fillId="3" borderId="10" xfId="0" applyNumberFormat="1" applyFont="1" applyFill="1" applyBorder="1" applyAlignment="1">
      <alignment horizontal="right" vertical="center" wrapText="1"/>
    </xf>
    <xf numFmtId="9" fontId="14" fillId="0" borderId="10" xfId="4" applyFont="1" applyBorder="1" applyAlignment="1">
      <alignment vertical="center"/>
    </xf>
    <xf numFmtId="9" fontId="14" fillId="0" borderId="5" xfId="4" applyFont="1" applyFill="1" applyBorder="1" applyAlignment="1">
      <alignment vertical="center"/>
    </xf>
    <xf numFmtId="9" fontId="14" fillId="0" borderId="8" xfId="4" applyFont="1" applyFill="1" applyBorder="1" applyAlignment="1">
      <alignment vertical="center"/>
    </xf>
    <xf numFmtId="10" fontId="14" fillId="0" borderId="8" xfId="4" applyNumberFormat="1" applyFont="1" applyFill="1" applyBorder="1" applyAlignment="1">
      <alignment horizontal="center" vertical="center"/>
    </xf>
    <xf numFmtId="9" fontId="14" fillId="0" borderId="10" xfId="4" applyFont="1" applyFill="1" applyBorder="1" applyAlignment="1">
      <alignment vertical="center"/>
    </xf>
    <xf numFmtId="10" fontId="14" fillId="3" borderId="8" xfId="4" applyNumberFormat="1" applyFont="1" applyFill="1" applyBorder="1" applyAlignment="1" applyProtection="1">
      <alignment horizontal="right" vertical="center"/>
    </xf>
    <xf numFmtId="10" fontId="13" fillId="8" borderId="8" xfId="4" applyNumberFormat="1" applyFont="1" applyFill="1" applyBorder="1" applyAlignment="1" applyProtection="1">
      <alignment horizontal="right" vertical="center"/>
    </xf>
    <xf numFmtId="0" fontId="5" fillId="0" borderId="5" xfId="0" applyFont="1" applyBorder="1" applyAlignment="1">
      <alignment horizontal="left" vertical="center" wrapText="1"/>
    </xf>
    <xf numFmtId="10" fontId="4" fillId="8" borderId="8" xfId="4" applyNumberFormat="1" applyFont="1" applyFill="1" applyBorder="1" applyAlignment="1" applyProtection="1">
      <alignment horizontal="right" vertical="center"/>
    </xf>
    <xf numFmtId="0" fontId="5" fillId="0" borderId="8" xfId="0" applyFont="1" applyBorder="1" applyAlignment="1">
      <alignment horizontal="left" vertical="center" wrapText="1"/>
    </xf>
    <xf numFmtId="3" fontId="5" fillId="7" borderId="8" xfId="0" applyNumberFormat="1" applyFont="1" applyFill="1" applyBorder="1" applyAlignment="1">
      <alignment horizontal="right" vertical="center" wrapText="1"/>
    </xf>
    <xf numFmtId="3" fontId="5" fillId="0" borderId="8" xfId="0" applyNumberFormat="1" applyFont="1" applyBorder="1" applyAlignment="1">
      <alignment horizontal="left" vertical="center" wrapText="1"/>
    </xf>
    <xf numFmtId="3" fontId="5" fillId="7" borderId="10" xfId="0" applyNumberFormat="1" applyFont="1" applyFill="1" applyBorder="1" applyAlignment="1">
      <alignment horizontal="right" vertical="center" wrapText="1"/>
    </xf>
    <xf numFmtId="3" fontId="5" fillId="6" borderId="8" xfId="0" applyNumberFormat="1" applyFont="1" applyFill="1" applyBorder="1" applyAlignment="1">
      <alignment horizontal="right" vertical="center" wrapText="1"/>
    </xf>
    <xf numFmtId="3" fontId="5" fillId="2" borderId="8" xfId="0" applyNumberFormat="1" applyFont="1" applyFill="1" applyBorder="1" applyAlignment="1">
      <alignment horizontal="right" vertical="center" wrapText="1"/>
    </xf>
    <xf numFmtId="3" fontId="5" fillId="2" borderId="7" xfId="0" applyNumberFormat="1" applyFont="1" applyFill="1" applyBorder="1" applyAlignment="1">
      <alignment horizontal="left" vertical="center" wrapText="1"/>
    </xf>
    <xf numFmtId="3" fontId="5" fillId="6" borderId="10" xfId="0" applyNumberFormat="1" applyFont="1" applyFill="1" applyBorder="1" applyAlignment="1">
      <alignment horizontal="right" vertical="center" wrapText="1"/>
    </xf>
    <xf numFmtId="3" fontId="5" fillId="2" borderId="9" xfId="0" applyNumberFormat="1" applyFont="1" applyFill="1" applyBorder="1" applyAlignment="1">
      <alignment horizontal="right" vertical="center" wrapText="1"/>
    </xf>
    <xf numFmtId="166" fontId="14" fillId="3" borderId="8" xfId="0" applyNumberFormat="1" applyFont="1" applyFill="1" applyBorder="1" applyAlignment="1">
      <alignment horizontal="right" vertical="center" wrapText="1"/>
    </xf>
    <xf numFmtId="166" fontId="14" fillId="2" borderId="8" xfId="0" applyNumberFormat="1" applyFont="1" applyFill="1" applyBorder="1" applyAlignment="1">
      <alignment horizontal="right" vertical="center" wrapText="1"/>
    </xf>
    <xf numFmtId="10" fontId="5" fillId="0" borderId="8" xfId="4" applyNumberFormat="1" applyFont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 wrapText="1"/>
    </xf>
    <xf numFmtId="10" fontId="5" fillId="2" borderId="8" xfId="4" applyNumberFormat="1" applyFont="1" applyFill="1" applyBorder="1" applyAlignment="1">
      <alignment vertical="center"/>
    </xf>
    <xf numFmtId="10" fontId="5" fillId="3" borderId="8" xfId="4" applyNumberFormat="1" applyFont="1" applyFill="1" applyBorder="1" applyAlignment="1">
      <alignment vertical="center"/>
    </xf>
    <xf numFmtId="0" fontId="5" fillId="2" borderId="8" xfId="0" applyFont="1" applyFill="1" applyBorder="1" applyAlignment="1">
      <alignment horizontal="left" vertical="center" wrapText="1"/>
    </xf>
    <xf numFmtId="3" fontId="5" fillId="2" borderId="8" xfId="0" applyNumberFormat="1" applyFont="1" applyFill="1" applyBorder="1" applyAlignment="1">
      <alignment horizontal="left" vertical="center" wrapText="1"/>
    </xf>
    <xf numFmtId="10" fontId="14" fillId="0" borderId="5" xfId="4" applyNumberFormat="1" applyFont="1" applyBorder="1" applyAlignment="1">
      <alignment vertical="center"/>
    </xf>
    <xf numFmtId="10" fontId="14" fillId="0" borderId="8" xfId="4" applyNumberFormat="1" applyFont="1" applyBorder="1" applyAlignment="1">
      <alignment vertical="center"/>
    </xf>
    <xf numFmtId="10" fontId="14" fillId="0" borderId="10" xfId="4" applyNumberFormat="1" applyFont="1" applyBorder="1" applyAlignment="1">
      <alignment vertical="center"/>
    </xf>
    <xf numFmtId="10" fontId="4" fillId="0" borderId="8" xfId="4" applyNumberFormat="1" applyFont="1" applyFill="1" applyBorder="1" applyAlignment="1" applyProtection="1">
      <alignment horizontal="right" vertical="center"/>
    </xf>
    <xf numFmtId="10" fontId="5" fillId="0" borderId="5" xfId="4" applyNumberFormat="1" applyFont="1" applyBorder="1" applyAlignment="1">
      <alignment vertical="center"/>
    </xf>
    <xf numFmtId="10" fontId="5" fillId="0" borderId="8" xfId="4" applyNumberFormat="1" applyFont="1" applyBorder="1" applyAlignment="1">
      <alignment vertical="center"/>
    </xf>
    <xf numFmtId="10" fontId="5" fillId="0" borderId="10" xfId="4" applyNumberFormat="1" applyFont="1" applyBorder="1" applyAlignment="1">
      <alignment vertical="center"/>
    </xf>
    <xf numFmtId="0" fontId="14" fillId="0" borderId="0" xfId="0" applyFont="1" applyProtection="1">
      <protection locked="0"/>
    </xf>
    <xf numFmtId="9" fontId="5" fillId="0" borderId="0" xfId="4" applyFont="1" applyFill="1" applyBorder="1" applyAlignment="1">
      <alignment horizontal="center" vertical="center"/>
    </xf>
    <xf numFmtId="9" fontId="5" fillId="10" borderId="8" xfId="4" applyFont="1" applyFill="1" applyBorder="1" applyAlignment="1">
      <alignment horizontal="center" vertical="center"/>
    </xf>
    <xf numFmtId="10" fontId="14" fillId="0" borderId="5" xfId="4" applyNumberFormat="1" applyFont="1" applyBorder="1" applyAlignment="1">
      <alignment horizontal="center" vertical="center"/>
    </xf>
    <xf numFmtId="10" fontId="14" fillId="0" borderId="10" xfId="4" applyNumberFormat="1" applyFont="1" applyBorder="1" applyAlignment="1">
      <alignment horizontal="center" vertical="center"/>
    </xf>
    <xf numFmtId="10" fontId="14" fillId="5" borderId="5" xfId="4" applyNumberFormat="1" applyFont="1" applyFill="1" applyBorder="1" applyAlignment="1">
      <alignment horizontal="center" vertical="center"/>
    </xf>
    <xf numFmtId="10" fontId="14" fillId="5" borderId="8" xfId="4" applyNumberFormat="1" applyFont="1" applyFill="1" applyBorder="1" applyAlignment="1">
      <alignment horizontal="center" vertical="center"/>
    </xf>
    <xf numFmtId="10" fontId="14" fillId="5" borderId="10" xfId="4" applyNumberFormat="1" applyFont="1" applyFill="1" applyBorder="1" applyAlignment="1">
      <alignment horizontal="center" vertical="center"/>
    </xf>
    <xf numFmtId="9" fontId="19" fillId="0" borderId="0" xfId="4" applyFont="1" applyFill="1" applyBorder="1" applyAlignment="1">
      <alignment horizontal="center" vertical="center"/>
    </xf>
    <xf numFmtId="9" fontId="20" fillId="0" borderId="0" xfId="4" applyFont="1" applyFill="1" applyBorder="1" applyAlignment="1">
      <alignment horizontal="center" vertical="center"/>
    </xf>
    <xf numFmtId="2" fontId="5" fillId="2" borderId="8" xfId="4" applyNumberFormat="1" applyFont="1" applyFill="1" applyBorder="1" applyAlignment="1">
      <alignment vertical="center"/>
    </xf>
    <xf numFmtId="2" fontId="5" fillId="3" borderId="8" xfId="4" applyNumberFormat="1" applyFont="1" applyFill="1" applyBorder="1" applyAlignment="1">
      <alignment vertical="center"/>
    </xf>
    <xf numFmtId="0" fontId="16" fillId="0" borderId="0" xfId="2" applyFont="1"/>
    <xf numFmtId="0" fontId="18" fillId="0" borderId="0" xfId="2" applyFont="1"/>
    <xf numFmtId="0" fontId="18" fillId="0" borderId="22" xfId="2" applyFont="1" applyBorder="1"/>
    <xf numFmtId="0" fontId="17" fillId="0" borderId="0" xfId="2" applyFont="1" applyAlignment="1">
      <alignment horizontal="left"/>
    </xf>
    <xf numFmtId="167" fontId="19" fillId="0" borderId="0" xfId="12" applyNumberFormat="1" applyFont="1" applyFill="1" applyBorder="1" applyAlignment="1">
      <alignment horizontal="right"/>
    </xf>
    <xf numFmtId="0" fontId="14" fillId="0" borderId="0" xfId="2" applyFont="1"/>
    <xf numFmtId="0" fontId="14" fillId="0" borderId="5" xfId="2" applyFont="1" applyBorder="1" applyAlignment="1">
      <alignment horizontal="left" vertical="center" wrapText="1"/>
    </xf>
    <xf numFmtId="0" fontId="5" fillId="0" borderId="5" xfId="2" applyFont="1" applyBorder="1" applyAlignment="1">
      <alignment horizontal="left" vertical="center" wrapText="1"/>
    </xf>
    <xf numFmtId="0" fontId="5" fillId="2" borderId="5" xfId="2" applyFont="1" applyFill="1" applyBorder="1" applyAlignment="1">
      <alignment horizontal="left" vertical="center" wrapText="1"/>
    </xf>
    <xf numFmtId="0" fontId="14" fillId="0" borderId="8" xfId="2" applyFont="1" applyBorder="1" applyAlignment="1">
      <alignment horizontal="left" vertical="center" wrapText="1"/>
    </xf>
    <xf numFmtId="10" fontId="14" fillId="0" borderId="0" xfId="2" applyNumberFormat="1" applyFont="1"/>
    <xf numFmtId="0" fontId="5" fillId="0" borderId="8" xfId="2" applyFont="1" applyBorder="1" applyAlignment="1">
      <alignment horizontal="left" vertical="center" wrapText="1"/>
    </xf>
    <xf numFmtId="0" fontId="5" fillId="2" borderId="8" xfId="2" applyFont="1" applyFill="1" applyBorder="1" applyAlignment="1">
      <alignment horizontal="left" vertical="center" wrapText="1"/>
    </xf>
    <xf numFmtId="3" fontId="14" fillId="7" borderId="0" xfId="2" applyNumberFormat="1" applyFont="1" applyFill="1" applyAlignment="1">
      <alignment vertical="center" wrapText="1"/>
    </xf>
    <xf numFmtId="3" fontId="5" fillId="3" borderId="8" xfId="2" applyNumberFormat="1" applyFont="1" applyFill="1" applyBorder="1" applyAlignment="1">
      <alignment horizontal="right" vertical="center" wrapText="1"/>
    </xf>
    <xf numFmtId="3" fontId="5" fillId="2" borderId="8" xfId="2" applyNumberFormat="1" applyFont="1" applyFill="1" applyBorder="1" applyAlignment="1">
      <alignment horizontal="right" vertical="center" wrapText="1"/>
    </xf>
    <xf numFmtId="3" fontId="5" fillId="0" borderId="8" xfId="2" applyNumberFormat="1" applyFont="1" applyBorder="1" applyAlignment="1">
      <alignment horizontal="left" vertical="center" wrapText="1"/>
    </xf>
    <xf numFmtId="3" fontId="5" fillId="2" borderId="7" xfId="2" applyNumberFormat="1" applyFont="1" applyFill="1" applyBorder="1" applyAlignment="1">
      <alignment horizontal="left" vertical="center" wrapText="1"/>
    </xf>
    <xf numFmtId="3" fontId="5" fillId="2" borderId="8" xfId="2" applyNumberFormat="1" applyFont="1" applyFill="1" applyBorder="1" applyAlignment="1">
      <alignment horizontal="left" vertical="center" wrapText="1"/>
    </xf>
    <xf numFmtId="3" fontId="14" fillId="7" borderId="10" xfId="2" applyNumberFormat="1" applyFont="1" applyFill="1" applyBorder="1" applyAlignment="1">
      <alignment horizontal="right" vertical="center" wrapText="1"/>
    </xf>
    <xf numFmtId="3" fontId="5" fillId="3" borderId="10" xfId="2" applyNumberFormat="1" applyFont="1" applyFill="1" applyBorder="1" applyAlignment="1">
      <alignment horizontal="right" vertical="center" wrapText="1"/>
    </xf>
    <xf numFmtId="3" fontId="5" fillId="2" borderId="9" xfId="2" applyNumberFormat="1" applyFont="1" applyFill="1" applyBorder="1" applyAlignment="1">
      <alignment horizontal="right" vertical="center" wrapText="1"/>
    </xf>
    <xf numFmtId="0" fontId="2" fillId="0" borderId="0" xfId="2"/>
    <xf numFmtId="168" fontId="14" fillId="0" borderId="0" xfId="2" applyNumberFormat="1" applyFont="1"/>
    <xf numFmtId="0" fontId="7" fillId="0" borderId="0" xfId="2" applyFont="1"/>
    <xf numFmtId="0" fontId="3" fillId="0" borderId="0" xfId="2" applyFont="1" applyAlignment="1">
      <alignment horizontal="left"/>
    </xf>
    <xf numFmtId="167" fontId="20" fillId="0" borderId="0" xfId="12" applyNumberFormat="1" applyFont="1" applyFill="1" applyBorder="1" applyAlignment="1">
      <alignment horizontal="right"/>
    </xf>
    <xf numFmtId="167" fontId="7" fillId="0" borderId="0" xfId="2" applyNumberFormat="1" applyFont="1"/>
    <xf numFmtId="0" fontId="5" fillId="0" borderId="0" xfId="2" applyFont="1"/>
    <xf numFmtId="167" fontId="18" fillId="0" borderId="0" xfId="2" applyNumberFormat="1" applyFont="1"/>
    <xf numFmtId="0" fontId="16" fillId="0" borderId="0" xfId="2" applyFont="1" applyProtection="1">
      <protection locked="0"/>
    </xf>
    <xf numFmtId="0" fontId="17" fillId="0" borderId="0" xfId="2" applyFont="1" applyProtection="1">
      <protection locked="0"/>
    </xf>
    <xf numFmtId="0" fontId="14" fillId="0" borderId="0" xfId="2" applyFont="1" applyProtection="1">
      <protection locked="0"/>
    </xf>
    <xf numFmtId="0" fontId="11" fillId="0" borderId="0" xfId="2" applyFont="1"/>
    <xf numFmtId="167" fontId="5" fillId="0" borderId="0" xfId="12" applyNumberFormat="1" applyFont="1" applyFill="1" applyBorder="1" applyAlignment="1">
      <alignment horizontal="right"/>
    </xf>
    <xf numFmtId="167" fontId="5" fillId="0" borderId="0" xfId="2" applyNumberFormat="1" applyFont="1"/>
    <xf numFmtId="0" fontId="7" fillId="0" borderId="0" xfId="2" applyFont="1" applyAlignment="1">
      <alignment vertical="center"/>
    </xf>
    <xf numFmtId="167" fontId="20" fillId="0" borderId="0" xfId="12" applyNumberFormat="1" applyFont="1" applyFill="1" applyBorder="1" applyAlignment="1">
      <alignment horizontal="right" vertical="center"/>
    </xf>
    <xf numFmtId="167" fontId="7" fillId="0" borderId="0" xfId="2" applyNumberFormat="1" applyFont="1" applyAlignment="1">
      <alignment vertical="center"/>
    </xf>
    <xf numFmtId="0" fontId="5" fillId="0" borderId="0" xfId="2" applyFont="1" applyAlignment="1">
      <alignment vertical="center"/>
    </xf>
    <xf numFmtId="0" fontId="18" fillId="0" borderId="0" xfId="2" applyFont="1" applyAlignment="1">
      <alignment horizontal="left" wrapText="1"/>
    </xf>
    <xf numFmtId="3" fontId="2" fillId="0" borderId="0" xfId="2" applyNumberFormat="1"/>
    <xf numFmtId="3" fontId="14" fillId="2" borderId="9" xfId="0" applyNumberFormat="1" applyFont="1" applyFill="1" applyBorder="1" applyAlignment="1">
      <alignment horizontal="right" vertical="center" wrapText="1"/>
    </xf>
    <xf numFmtId="0" fontId="17" fillId="0" borderId="18" xfId="2" applyFont="1" applyBorder="1" applyAlignment="1">
      <alignment horizontal="center" vertical="center" wrapText="1"/>
    </xf>
    <xf numFmtId="0" fontId="17" fillId="0" borderId="11" xfId="2" applyFont="1" applyBorder="1" applyAlignment="1">
      <alignment horizontal="center" vertical="center" wrapText="1"/>
    </xf>
    <xf numFmtId="0" fontId="17" fillId="0" borderId="1" xfId="2" applyFont="1" applyBorder="1" applyAlignment="1">
      <alignment horizontal="center" vertical="center"/>
    </xf>
    <xf numFmtId="0" fontId="16" fillId="0" borderId="15" xfId="2" applyFont="1" applyBorder="1" applyAlignment="1">
      <alignment horizontal="left" wrapText="1"/>
    </xf>
    <xf numFmtId="0" fontId="18" fillId="0" borderId="15" xfId="2" applyFont="1" applyBorder="1" applyAlignment="1">
      <alignment horizontal="left" wrapText="1"/>
    </xf>
    <xf numFmtId="0" fontId="21" fillId="0" borderId="0" xfId="2" applyFont="1" applyAlignment="1">
      <alignment horizontal="center"/>
    </xf>
    <xf numFmtId="0" fontId="22" fillId="0" borderId="0" xfId="0" applyFont="1"/>
    <xf numFmtId="1" fontId="5" fillId="5" borderId="5" xfId="0" applyNumberFormat="1" applyFont="1" applyFill="1" applyBorder="1" applyAlignment="1">
      <alignment horizontal="left" vertical="center" wrapText="1"/>
    </xf>
    <xf numFmtId="1" fontId="5" fillId="5" borderId="8" xfId="0" applyNumberFormat="1" applyFont="1" applyFill="1" applyBorder="1" applyAlignment="1">
      <alignment horizontal="left" vertical="center" wrapText="1"/>
    </xf>
    <xf numFmtId="1" fontId="5" fillId="5" borderId="10" xfId="0" applyNumberFormat="1" applyFont="1" applyFill="1" applyBorder="1" applyAlignment="1">
      <alignment horizontal="left" vertical="center" wrapText="1"/>
    </xf>
    <xf numFmtId="0" fontId="15" fillId="9" borderId="5" xfId="3" applyFont="1" applyFill="1" applyBorder="1" applyAlignment="1">
      <alignment horizontal="left" vertical="center" wrapText="1"/>
    </xf>
    <xf numFmtId="0" fontId="14" fillId="9" borderId="8" xfId="3" applyFont="1" applyFill="1" applyBorder="1" applyAlignment="1">
      <alignment horizontal="left" vertical="center"/>
    </xf>
    <xf numFmtId="0" fontId="14" fillId="9" borderId="10" xfId="3" applyFont="1" applyFill="1" applyBorder="1" applyAlignment="1">
      <alignment horizontal="left" vertical="center"/>
    </xf>
    <xf numFmtId="0" fontId="14" fillId="9" borderId="5" xfId="0" applyFont="1" applyFill="1" applyBorder="1" applyAlignment="1">
      <alignment horizontal="center" vertical="center" wrapText="1"/>
    </xf>
    <xf numFmtId="0" fontId="14" fillId="9" borderId="8" xfId="0" applyFont="1" applyFill="1" applyBorder="1" applyAlignment="1">
      <alignment horizontal="center" vertical="center" wrapText="1"/>
    </xf>
    <xf numFmtId="0" fontId="14" fillId="9" borderId="10" xfId="0" applyFont="1" applyFill="1" applyBorder="1" applyAlignment="1">
      <alignment horizontal="center" vertical="center" wrapText="1"/>
    </xf>
    <xf numFmtId="0" fontId="14" fillId="9" borderId="5" xfId="3" applyFont="1" applyFill="1" applyBorder="1" applyAlignment="1">
      <alignment horizontal="center" vertical="center" wrapText="1"/>
    </xf>
    <xf numFmtId="0" fontId="14" fillId="9" borderId="8" xfId="3" applyFont="1" applyFill="1" applyBorder="1"/>
    <xf numFmtId="0" fontId="14" fillId="9" borderId="10" xfId="3" applyFont="1" applyFill="1" applyBorder="1"/>
    <xf numFmtId="0" fontId="14" fillId="9" borderId="5" xfId="0" applyFont="1" applyFill="1" applyBorder="1" applyAlignment="1">
      <alignment horizontal="left" vertical="center" wrapText="1"/>
    </xf>
    <xf numFmtId="0" fontId="14" fillId="9" borderId="8" xfId="0" applyFont="1" applyFill="1" applyBorder="1" applyAlignment="1">
      <alignment horizontal="left" vertical="center"/>
    </xf>
    <xf numFmtId="0" fontId="14" fillId="9" borderId="10" xfId="0" applyFont="1" applyFill="1" applyBorder="1" applyAlignment="1">
      <alignment horizontal="left" vertical="center"/>
    </xf>
    <xf numFmtId="0" fontId="14" fillId="9" borderId="8" xfId="0" applyFont="1" applyFill="1" applyBorder="1"/>
    <xf numFmtId="0" fontId="14" fillId="9" borderId="10" xfId="0" applyFont="1" applyFill="1" applyBorder="1"/>
    <xf numFmtId="0" fontId="13" fillId="2" borderId="5" xfId="2" applyFont="1" applyFill="1" applyBorder="1" applyAlignment="1">
      <alignment horizontal="center" vertical="center" wrapText="1"/>
    </xf>
    <xf numFmtId="0" fontId="13" fillId="2" borderId="10" xfId="2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1" fontId="9" fillId="5" borderId="8" xfId="0" applyNumberFormat="1" applyFont="1" applyFill="1" applyBorder="1" applyAlignment="1">
      <alignment horizontal="left" vertical="center" wrapText="1"/>
    </xf>
    <xf numFmtId="1" fontId="9" fillId="5" borderId="10" xfId="0" applyNumberFormat="1" applyFont="1" applyFill="1" applyBorder="1" applyAlignment="1">
      <alignment horizontal="left" vertical="center" wrapText="1"/>
    </xf>
    <xf numFmtId="9" fontId="14" fillId="5" borderId="5" xfId="0" applyNumberFormat="1" applyFont="1" applyFill="1" applyBorder="1" applyAlignment="1">
      <alignment horizontal="left" vertical="center" wrapText="1"/>
    </xf>
    <xf numFmtId="9" fontId="14" fillId="5" borderId="8" xfId="0" applyNumberFormat="1" applyFont="1" applyFill="1" applyBorder="1" applyAlignment="1">
      <alignment horizontal="left" vertical="center" wrapText="1"/>
    </xf>
    <xf numFmtId="9" fontId="14" fillId="5" borderId="10" xfId="0" applyNumberFormat="1" applyFont="1" applyFill="1" applyBorder="1" applyAlignment="1">
      <alignment horizontal="left" vertical="center" wrapText="1"/>
    </xf>
    <xf numFmtId="0" fontId="13" fillId="2" borderId="10" xfId="0" applyFont="1" applyFill="1" applyBorder="1" applyAlignment="1">
      <alignment horizontal="center" vertical="center"/>
    </xf>
    <xf numFmtId="9" fontId="14" fillId="9" borderId="5" xfId="0" applyNumberFormat="1" applyFont="1" applyFill="1" applyBorder="1" applyAlignment="1">
      <alignment horizontal="left" vertical="center" wrapText="1"/>
    </xf>
    <xf numFmtId="9" fontId="14" fillId="9" borderId="8" xfId="0" applyNumberFormat="1" applyFont="1" applyFill="1" applyBorder="1" applyAlignment="1">
      <alignment horizontal="left" vertical="center" wrapText="1"/>
    </xf>
    <xf numFmtId="9" fontId="14" fillId="9" borderId="10" xfId="0" applyNumberFormat="1" applyFont="1" applyFill="1" applyBorder="1" applyAlignment="1">
      <alignment horizontal="left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/>
    </xf>
    <xf numFmtId="0" fontId="14" fillId="9" borderId="10" xfId="0" applyFont="1" applyFill="1" applyBorder="1" applyAlignment="1">
      <alignment horizontal="left" wrapText="1"/>
    </xf>
    <xf numFmtId="0" fontId="14" fillId="9" borderId="8" xfId="0" applyFont="1" applyFill="1" applyBorder="1" applyAlignment="1">
      <alignment horizontal="left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3" fillId="2" borderId="9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left" vertical="center" wrapText="1"/>
    </xf>
    <xf numFmtId="0" fontId="14" fillId="5" borderId="8" xfId="0" applyFont="1" applyFill="1" applyBorder="1" applyAlignment="1">
      <alignment horizontal="left" vertical="center"/>
    </xf>
    <xf numFmtId="0" fontId="14" fillId="5" borderId="10" xfId="0" applyFont="1" applyFill="1" applyBorder="1" applyAlignment="1">
      <alignment horizontal="left" vertical="center"/>
    </xf>
    <xf numFmtId="0" fontId="14" fillId="5" borderId="5" xfId="0" applyFont="1" applyFill="1" applyBorder="1" applyAlignment="1">
      <alignment horizontal="center" vertical="center" wrapText="1"/>
    </xf>
    <xf numFmtId="0" fontId="14" fillId="5" borderId="8" xfId="0" applyFont="1" applyFill="1" applyBorder="1"/>
    <xf numFmtId="0" fontId="14" fillId="5" borderId="10" xfId="0" applyFont="1" applyFill="1" applyBorder="1"/>
    <xf numFmtId="0" fontId="7" fillId="0" borderId="16" xfId="0" applyFont="1" applyBorder="1" applyAlignment="1">
      <alignment wrapText="1"/>
    </xf>
    <xf numFmtId="0" fontId="7" fillId="0" borderId="16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12" fillId="5" borderId="5" xfId="3" applyFont="1" applyFill="1" applyBorder="1" applyAlignment="1">
      <alignment horizontal="left" vertical="center" wrapText="1"/>
    </xf>
    <xf numFmtId="0" fontId="14" fillId="5" borderId="8" xfId="3" applyFont="1" applyFill="1" applyBorder="1" applyAlignment="1">
      <alignment horizontal="left" vertical="center"/>
    </xf>
    <xf numFmtId="0" fontId="14" fillId="5" borderId="10" xfId="3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left" vertical="center" wrapText="1"/>
    </xf>
    <xf numFmtId="0" fontId="5" fillId="5" borderId="8" xfId="0" applyFont="1" applyFill="1" applyBorder="1" applyAlignment="1">
      <alignment horizontal="left"/>
    </xf>
    <xf numFmtId="0" fontId="5" fillId="5" borderId="10" xfId="0" applyFont="1" applyFill="1" applyBorder="1" applyAlignment="1">
      <alignment horizontal="left"/>
    </xf>
    <xf numFmtId="0" fontId="14" fillId="5" borderId="5" xfId="3" applyFont="1" applyFill="1" applyBorder="1" applyAlignment="1">
      <alignment horizontal="center" vertical="center" wrapText="1"/>
    </xf>
    <xf numFmtId="0" fontId="14" fillId="5" borderId="8" xfId="3" applyFont="1" applyFill="1" applyBorder="1" applyAlignment="1">
      <alignment horizontal="center" vertical="center" wrapText="1"/>
    </xf>
    <xf numFmtId="0" fontId="14" fillId="5" borderId="10" xfId="3" applyFont="1" applyFill="1" applyBorder="1" applyAlignment="1">
      <alignment horizontal="center" vertical="center" wrapText="1"/>
    </xf>
    <xf numFmtId="0" fontId="15" fillId="5" borderId="5" xfId="3" applyFont="1" applyFill="1" applyBorder="1" applyAlignment="1">
      <alignment horizontal="left" vertical="center" wrapText="1"/>
    </xf>
    <xf numFmtId="0" fontId="15" fillId="5" borderId="8" xfId="3" applyFont="1" applyFill="1" applyBorder="1" applyAlignment="1">
      <alignment horizontal="left" vertical="center" wrapText="1"/>
    </xf>
    <xf numFmtId="0" fontId="15" fillId="5" borderId="10" xfId="3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3" fillId="9" borderId="5" xfId="0" applyFont="1" applyFill="1" applyBorder="1" applyAlignment="1">
      <alignment horizontal="center" vertical="center" wrapText="1"/>
    </xf>
    <xf numFmtId="0" fontId="14" fillId="9" borderId="8" xfId="0" applyFont="1" applyFill="1" applyBorder="1" applyAlignment="1">
      <alignment horizontal="center" vertical="center"/>
    </xf>
    <xf numFmtId="0" fontId="14" fillId="9" borderId="10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 wrapText="1"/>
    </xf>
    <xf numFmtId="0" fontId="12" fillId="9" borderId="8" xfId="0" applyFont="1" applyFill="1" applyBorder="1" applyAlignment="1">
      <alignment horizontal="center" vertical="center" wrapText="1"/>
    </xf>
    <xf numFmtId="0" fontId="12" fillId="9" borderId="10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5" borderId="10" xfId="0" applyFont="1" applyFill="1" applyBorder="1" applyAlignment="1">
      <alignment horizontal="center" vertical="center" wrapText="1"/>
    </xf>
    <xf numFmtId="0" fontId="13" fillId="2" borderId="10" xfId="2" applyFont="1" applyFill="1" applyBorder="1" applyAlignment="1">
      <alignment horizontal="center" vertical="center"/>
    </xf>
    <xf numFmtId="0" fontId="13" fillId="2" borderId="6" xfId="2" applyFont="1" applyFill="1" applyBorder="1" applyAlignment="1">
      <alignment horizontal="center" vertical="center" wrapText="1"/>
    </xf>
    <xf numFmtId="0" fontId="13" fillId="2" borderId="9" xfId="2" applyFont="1" applyFill="1" applyBorder="1" applyAlignment="1">
      <alignment horizontal="center" vertical="center"/>
    </xf>
    <xf numFmtId="0" fontId="16" fillId="0" borderId="20" xfId="2" applyFont="1" applyBorder="1" applyAlignment="1">
      <alignment horizontal="center"/>
    </xf>
    <xf numFmtId="0" fontId="16" fillId="0" borderId="21" xfId="2" applyFont="1" applyBorder="1" applyAlignment="1">
      <alignment horizontal="center"/>
    </xf>
    <xf numFmtId="0" fontId="16" fillId="0" borderId="22" xfId="2" applyFont="1" applyBorder="1" applyAlignment="1">
      <alignment horizontal="center"/>
    </xf>
    <xf numFmtId="0" fontId="17" fillId="0" borderId="18" xfId="2" applyFont="1" applyBorder="1" applyAlignment="1">
      <alignment horizontal="center" vertical="center" wrapText="1"/>
    </xf>
    <xf numFmtId="0" fontId="17" fillId="0" borderId="14" xfId="2" applyFont="1" applyBorder="1" applyAlignment="1">
      <alignment horizontal="center" vertical="center" wrapText="1"/>
    </xf>
    <xf numFmtId="0" fontId="17" fillId="0" borderId="11" xfId="2" applyFont="1" applyBorder="1" applyAlignment="1">
      <alignment horizontal="center" vertical="center" wrapText="1"/>
    </xf>
    <xf numFmtId="0" fontId="17" fillId="0" borderId="12" xfId="2" applyFont="1" applyBorder="1" applyAlignment="1">
      <alignment horizontal="center" vertical="center" wrapText="1"/>
    </xf>
    <xf numFmtId="0" fontId="17" fillId="0" borderId="1" xfId="2" applyFont="1" applyBorder="1" applyAlignment="1">
      <alignment horizontal="center" vertical="center" wrapText="1"/>
    </xf>
    <xf numFmtId="0" fontId="17" fillId="0" borderId="3" xfId="2" applyFont="1" applyBorder="1" applyAlignment="1">
      <alignment horizontal="center" vertical="center" wrapText="1"/>
    </xf>
    <xf numFmtId="0" fontId="14" fillId="2" borderId="10" xfId="2" applyFont="1" applyFill="1" applyBorder="1" applyAlignment="1">
      <alignment horizontal="center" vertical="center" wrapText="1"/>
    </xf>
    <xf numFmtId="0" fontId="18" fillId="0" borderId="15" xfId="2" applyFont="1" applyBorder="1" applyAlignment="1">
      <alignment horizontal="left" wrapText="1"/>
    </xf>
    <xf numFmtId="0" fontId="18" fillId="0" borderId="17" xfId="2" applyFont="1" applyBorder="1" applyAlignment="1">
      <alignment horizontal="left" wrapText="1"/>
    </xf>
    <xf numFmtId="0" fontId="17" fillId="0" borderId="0" xfId="2" applyFont="1" applyAlignment="1">
      <alignment horizontal="left"/>
    </xf>
    <xf numFmtId="0" fontId="13" fillId="2" borderId="9" xfId="2" applyFont="1" applyFill="1" applyBorder="1" applyAlignment="1">
      <alignment horizontal="center" vertical="center" wrapText="1"/>
    </xf>
    <xf numFmtId="9" fontId="14" fillId="5" borderId="8" xfId="2" applyNumberFormat="1" applyFont="1" applyFill="1" applyBorder="1" applyAlignment="1">
      <alignment horizontal="left" vertical="center" wrapText="1"/>
    </xf>
    <xf numFmtId="0" fontId="14" fillId="5" borderId="8" xfId="2" applyFont="1" applyFill="1" applyBorder="1" applyAlignment="1">
      <alignment wrapText="1"/>
    </xf>
    <xf numFmtId="0" fontId="14" fillId="5" borderId="10" xfId="2" applyFont="1" applyFill="1" applyBorder="1" applyAlignment="1">
      <alignment wrapText="1"/>
    </xf>
    <xf numFmtId="9" fontId="14" fillId="5" borderId="5" xfId="2" applyNumberFormat="1" applyFont="1" applyFill="1" applyBorder="1" applyAlignment="1">
      <alignment horizontal="left" vertical="center" wrapText="1"/>
    </xf>
    <xf numFmtId="0" fontId="13" fillId="5" borderId="5" xfId="2" applyFont="1" applyFill="1" applyBorder="1" applyAlignment="1">
      <alignment horizontal="left" vertical="center" wrapText="1"/>
    </xf>
    <xf numFmtId="0" fontId="14" fillId="5" borderId="8" xfId="2" applyFont="1" applyFill="1" applyBorder="1" applyAlignment="1">
      <alignment horizontal="left" vertical="center"/>
    </xf>
    <xf numFmtId="0" fontId="14" fillId="5" borderId="10" xfId="2" applyFont="1" applyFill="1" applyBorder="1" applyAlignment="1">
      <alignment horizontal="left" vertical="center"/>
    </xf>
    <xf numFmtId="0" fontId="14" fillId="5" borderId="5" xfId="2" applyFont="1" applyFill="1" applyBorder="1" applyAlignment="1">
      <alignment horizontal="center" vertical="center" wrapText="1"/>
    </xf>
    <xf numFmtId="0" fontId="14" fillId="5" borderId="8" xfId="2" applyFont="1" applyFill="1" applyBorder="1"/>
    <xf numFmtId="0" fontId="14" fillId="5" borderId="10" xfId="2" applyFont="1" applyFill="1" applyBorder="1"/>
    <xf numFmtId="0" fontId="3" fillId="0" borderId="0" xfId="2" applyFont="1" applyAlignment="1">
      <alignment horizontal="left"/>
    </xf>
    <xf numFmtId="9" fontId="5" fillId="5" borderId="8" xfId="2" applyNumberFormat="1" applyFont="1" applyFill="1" applyBorder="1" applyAlignment="1">
      <alignment horizontal="left" vertical="center" wrapText="1"/>
    </xf>
    <xf numFmtId="0" fontId="5" fillId="5" borderId="8" xfId="2" applyFont="1" applyFill="1" applyBorder="1" applyAlignment="1">
      <alignment wrapText="1"/>
    </xf>
    <xf numFmtId="0" fontId="5" fillId="5" borderId="10" xfId="2" applyFont="1" applyFill="1" applyBorder="1" applyAlignment="1">
      <alignment wrapText="1"/>
    </xf>
    <xf numFmtId="9" fontId="5" fillId="5" borderId="5" xfId="2" applyNumberFormat="1" applyFont="1" applyFill="1" applyBorder="1" applyAlignment="1">
      <alignment horizontal="left" vertical="center" wrapText="1"/>
    </xf>
    <xf numFmtId="0" fontId="12" fillId="4" borderId="5" xfId="2" applyFont="1" applyFill="1" applyBorder="1" applyAlignment="1">
      <alignment horizontal="left" vertical="center" wrapText="1"/>
    </xf>
    <xf numFmtId="0" fontId="5" fillId="4" borderId="8" xfId="2" applyFont="1" applyFill="1" applyBorder="1" applyAlignment="1">
      <alignment horizontal="left" vertical="center"/>
    </xf>
    <xf numFmtId="0" fontId="5" fillId="4" borderId="10" xfId="2" applyFont="1" applyFill="1" applyBorder="1" applyAlignment="1">
      <alignment horizontal="left" vertical="center"/>
    </xf>
    <xf numFmtId="0" fontId="5" fillId="4" borderId="5" xfId="2" applyFont="1" applyFill="1" applyBorder="1" applyAlignment="1">
      <alignment horizontal="center" vertical="center" wrapText="1"/>
    </xf>
    <xf numFmtId="0" fontId="5" fillId="4" borderId="8" xfId="2" applyFont="1" applyFill="1" applyBorder="1" applyAlignment="1">
      <alignment horizontal="center" vertical="center" wrapText="1"/>
    </xf>
    <xf numFmtId="0" fontId="5" fillId="4" borderId="10" xfId="2" applyFont="1" applyFill="1" applyBorder="1" applyAlignment="1">
      <alignment horizontal="center" vertical="center" wrapText="1"/>
    </xf>
    <xf numFmtId="0" fontId="15" fillId="5" borderId="5" xfId="2" applyFont="1" applyFill="1" applyBorder="1" applyAlignment="1">
      <alignment horizontal="left" vertical="center" wrapText="1"/>
    </xf>
    <xf numFmtId="9" fontId="14" fillId="5" borderId="5" xfId="2" applyNumberFormat="1" applyFont="1" applyFill="1" applyBorder="1" applyAlignment="1" applyProtection="1">
      <alignment horizontal="left" vertical="center" wrapText="1"/>
      <protection locked="0"/>
    </xf>
    <xf numFmtId="9" fontId="14" fillId="5" borderId="8" xfId="2" applyNumberFormat="1" applyFont="1" applyFill="1" applyBorder="1" applyAlignment="1" applyProtection="1">
      <alignment horizontal="left" vertical="center" wrapText="1"/>
      <protection locked="0"/>
    </xf>
    <xf numFmtId="0" fontId="14" fillId="5" borderId="10" xfId="2" applyFont="1" applyFill="1" applyBorder="1" applyAlignment="1" applyProtection="1">
      <alignment wrapText="1"/>
      <protection locked="0"/>
    </xf>
    <xf numFmtId="0" fontId="14" fillId="5" borderId="8" xfId="2" applyFont="1" applyFill="1" applyBorder="1" applyAlignment="1" applyProtection="1">
      <alignment wrapText="1"/>
      <protection locked="0"/>
    </xf>
    <xf numFmtId="0" fontId="15" fillId="5" borderId="5" xfId="2" applyFont="1" applyFill="1" applyBorder="1" applyAlignment="1" applyProtection="1">
      <alignment horizontal="left" vertical="center" wrapText="1"/>
      <protection locked="0"/>
    </xf>
    <xf numFmtId="0" fontId="14" fillId="5" borderId="8" xfId="2" applyFont="1" applyFill="1" applyBorder="1" applyAlignment="1" applyProtection="1">
      <alignment horizontal="left" vertical="center"/>
      <protection locked="0"/>
    </xf>
    <xf numFmtId="0" fontId="14" fillId="5" borderId="10" xfId="2" applyFont="1" applyFill="1" applyBorder="1" applyAlignment="1" applyProtection="1">
      <alignment horizontal="left" vertical="center"/>
      <protection locked="0"/>
    </xf>
    <xf numFmtId="0" fontId="13" fillId="5" borderId="8" xfId="2" applyFont="1" applyFill="1" applyBorder="1" applyAlignment="1">
      <alignment horizontal="left" vertical="center" wrapText="1"/>
    </xf>
    <xf numFmtId="0" fontId="13" fillId="5" borderId="10" xfId="2" applyFont="1" applyFill="1" applyBorder="1" applyAlignment="1">
      <alignment horizontal="left" vertical="center" wrapText="1"/>
    </xf>
    <xf numFmtId="0" fontId="4" fillId="5" borderId="5" xfId="2" applyFont="1" applyFill="1" applyBorder="1" applyAlignment="1">
      <alignment horizontal="left" vertical="center" wrapText="1"/>
    </xf>
    <xf numFmtId="0" fontId="5" fillId="5" borderId="8" xfId="2" applyFont="1" applyFill="1" applyBorder="1" applyAlignment="1">
      <alignment horizontal="left" vertical="center"/>
    </xf>
    <xf numFmtId="0" fontId="5" fillId="5" borderId="10" xfId="2" applyFont="1" applyFill="1" applyBorder="1" applyAlignment="1">
      <alignment horizontal="left" vertical="center"/>
    </xf>
    <xf numFmtId="0" fontId="5" fillId="5" borderId="5" xfId="2" applyFont="1" applyFill="1" applyBorder="1" applyAlignment="1">
      <alignment horizontal="center" vertical="center" wrapText="1"/>
    </xf>
    <xf numFmtId="0" fontId="5" fillId="5" borderId="8" xfId="2" applyFont="1" applyFill="1" applyBorder="1"/>
    <xf numFmtId="0" fontId="5" fillId="5" borderId="10" xfId="2" applyFont="1" applyFill="1" applyBorder="1"/>
    <xf numFmtId="0" fontId="5" fillId="4" borderId="23" xfId="2" applyFont="1" applyFill="1" applyBorder="1" applyAlignment="1">
      <alignment horizontal="left" vertical="center" wrapText="1"/>
    </xf>
    <xf numFmtId="0" fontId="12" fillId="4" borderId="19" xfId="2" applyFont="1" applyFill="1" applyBorder="1" applyAlignment="1">
      <alignment horizontal="left" vertical="center" wrapText="1"/>
    </xf>
    <xf numFmtId="0" fontId="12" fillId="4" borderId="24" xfId="2" applyFont="1" applyFill="1" applyBorder="1" applyAlignment="1">
      <alignment horizontal="left" vertical="center" wrapText="1"/>
    </xf>
    <xf numFmtId="0" fontId="5" fillId="5" borderId="8" xfId="2" applyFont="1" applyFill="1" applyBorder="1" applyAlignment="1">
      <alignment horizontal="center" vertical="center" wrapText="1"/>
    </xf>
    <xf numFmtId="0" fontId="5" fillId="5" borderId="10" xfId="2" applyFont="1" applyFill="1" applyBorder="1" applyAlignment="1">
      <alignment horizontal="center" vertical="center" wrapText="1"/>
    </xf>
    <xf numFmtId="0" fontId="3" fillId="0" borderId="0" xfId="2" applyFont="1" applyAlignment="1">
      <alignment horizontal="left" vertical="center"/>
    </xf>
    <xf numFmtId="0" fontId="5" fillId="5" borderId="8" xfId="2" applyFont="1" applyFill="1" applyBorder="1" applyAlignment="1">
      <alignment vertical="center" wrapText="1"/>
    </xf>
    <xf numFmtId="0" fontId="5" fillId="5" borderId="10" xfId="2" applyFont="1" applyFill="1" applyBorder="1" applyAlignment="1">
      <alignment vertical="center" wrapText="1"/>
    </xf>
    <xf numFmtId="0" fontId="5" fillId="5" borderId="8" xfId="2" applyFont="1" applyFill="1" applyBorder="1" applyAlignment="1">
      <alignment vertical="center"/>
    </xf>
    <xf numFmtId="0" fontId="5" fillId="5" borderId="10" xfId="2" applyFont="1" applyFill="1" applyBorder="1" applyAlignment="1">
      <alignment vertical="center"/>
    </xf>
    <xf numFmtId="0" fontId="13" fillId="4" borderId="5" xfId="2" applyFont="1" applyFill="1" applyBorder="1" applyAlignment="1">
      <alignment horizontal="center" vertical="center" wrapText="1"/>
    </xf>
    <xf numFmtId="0" fontId="14" fillId="4" borderId="8" xfId="2" applyFont="1" applyFill="1" applyBorder="1" applyAlignment="1">
      <alignment horizontal="center" vertical="center"/>
    </xf>
    <xf numFmtId="0" fontId="14" fillId="4" borderId="10" xfId="2" applyFont="1" applyFill="1" applyBorder="1" applyAlignment="1">
      <alignment horizontal="center" vertical="center"/>
    </xf>
    <xf numFmtId="0" fontId="4" fillId="4" borderId="5" xfId="2" applyFont="1" applyFill="1" applyBorder="1" applyAlignment="1">
      <alignment horizontal="center" vertical="center" wrapText="1"/>
    </xf>
    <xf numFmtId="0" fontId="5" fillId="4" borderId="8" xfId="2" applyFont="1" applyFill="1" applyBorder="1" applyAlignment="1">
      <alignment horizontal="center" vertical="center"/>
    </xf>
    <xf numFmtId="0" fontId="5" fillId="4" borderId="10" xfId="2" applyFont="1" applyFill="1" applyBorder="1" applyAlignment="1">
      <alignment horizontal="center" vertical="center"/>
    </xf>
    <xf numFmtId="0" fontId="13" fillId="4" borderId="5" xfId="2" applyFont="1" applyFill="1" applyBorder="1" applyAlignment="1" applyProtection="1">
      <alignment horizontal="center" vertical="center" wrapText="1"/>
      <protection locked="0"/>
    </xf>
    <xf numFmtId="0" fontId="14" fillId="4" borderId="8" xfId="2" applyFont="1" applyFill="1" applyBorder="1" applyAlignment="1" applyProtection="1">
      <alignment horizontal="center" vertical="center"/>
      <protection locked="0"/>
    </xf>
    <xf numFmtId="0" fontId="14" fillId="4" borderId="10" xfId="2" applyFont="1" applyFill="1" applyBorder="1" applyAlignment="1" applyProtection="1">
      <alignment horizontal="center" vertical="center"/>
      <protection locked="0"/>
    </xf>
  </cellXfs>
  <cellStyles count="13">
    <cellStyle name="Millares [0] 2" xfId="11" xr:uid="{14613ABE-5718-42DD-9E10-D8E7FF8A5E8C}"/>
    <cellStyle name="Millares 2" xfId="1" xr:uid="{00000000-0005-0000-0000-000000000000}"/>
    <cellStyle name="Millares 2 2" xfId="9" xr:uid="{C20A340A-C0DF-4709-AFFA-572B59DD2557}"/>
    <cellStyle name="Millares 4" xfId="6" xr:uid="{00000000-0005-0000-0000-000001000000}"/>
    <cellStyle name="Millares 4 2" xfId="12" xr:uid="{65C6A2F7-B0A0-46FE-A3E4-9A85B142723A}"/>
    <cellStyle name="Normal" xfId="0" builtinId="0"/>
    <cellStyle name="Normal 2" xfId="2" xr:uid="{00000000-0005-0000-0000-000003000000}"/>
    <cellStyle name="Normal 3" xfId="3" xr:uid="{00000000-0005-0000-0000-000004000000}"/>
    <cellStyle name="Normal 4" xfId="7" xr:uid="{36EEC18C-35B8-4569-BD39-A2F709178EA1}"/>
    <cellStyle name="Porcentaje" xfId="4" builtinId="5"/>
    <cellStyle name="Porcentaje 2" xfId="5" xr:uid="{00000000-0005-0000-0000-000006000000}"/>
    <cellStyle name="Porcentaje 3" xfId="10" xr:uid="{5CB62422-2F55-4342-9C03-59BE9C9E77D2}"/>
    <cellStyle name="Porcentaje 4" xfId="8" xr:uid="{2A9631D1-EA4A-4184-AB38-F89D68AE6D72}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63912B75-86CF-4D44-81FB-F6205892B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57150"/>
          <a:ext cx="3810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CAF378C5-92A1-4307-91E9-F58EA7B80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28575"/>
          <a:ext cx="3810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N54"/>
  <sheetViews>
    <sheetView showGridLines="0" tabSelected="1" topLeftCell="A8" zoomScale="120" zoomScaleNormal="120" workbookViewId="0">
      <pane xSplit="2" ySplit="5" topLeftCell="C13" activePane="bottomRight" state="frozen"/>
      <selection pane="topRight" activeCell="D8" sqref="D8"/>
      <selection pane="bottomLeft" activeCell="A13" sqref="A13"/>
      <selection pane="bottomRight" activeCell="A19" sqref="A19:A24"/>
    </sheetView>
  </sheetViews>
  <sheetFormatPr baseColWidth="10" defaultColWidth="11.42578125" defaultRowHeight="12.75" x14ac:dyDescent="0.2"/>
  <cols>
    <col min="1" max="1" width="11.42578125" style="2"/>
    <col min="2" max="3" width="26.5703125" style="2" customWidth="1"/>
    <col min="4" max="4" width="28.5703125" style="2" customWidth="1"/>
    <col min="5" max="5" width="17" style="2" customWidth="1"/>
    <col min="6" max="11" width="10.5703125" style="1" customWidth="1"/>
    <col min="12" max="12" width="16" style="1" customWidth="1"/>
    <col min="13" max="13" width="2.42578125" style="2" customWidth="1"/>
    <col min="14" max="16384" width="11.42578125" style="2"/>
  </cols>
  <sheetData>
    <row r="1" spans="1:12" s="6" customFormat="1" ht="12.75" customHeight="1" x14ac:dyDescent="0.25">
      <c r="B1" s="160"/>
      <c r="C1" s="161"/>
      <c r="D1" s="156"/>
      <c r="E1" s="156"/>
      <c r="F1" s="7"/>
      <c r="G1" s="7"/>
      <c r="H1" s="7"/>
      <c r="I1" s="7"/>
      <c r="J1" s="7"/>
      <c r="K1" s="7"/>
      <c r="L1" s="7"/>
    </row>
    <row r="2" spans="1:12" s="6" customFormat="1" ht="12.75" customHeight="1" x14ac:dyDescent="0.25">
      <c r="B2" s="162"/>
      <c r="C2" s="163"/>
      <c r="D2" s="157"/>
      <c r="E2" s="157"/>
      <c r="F2" s="7"/>
      <c r="G2" s="7"/>
      <c r="H2" s="7"/>
      <c r="I2" s="7"/>
      <c r="J2" s="7"/>
      <c r="K2" s="7"/>
      <c r="L2" s="7"/>
    </row>
    <row r="3" spans="1:12" s="6" customFormat="1" ht="15.75" customHeight="1" x14ac:dyDescent="0.25">
      <c r="B3" s="162"/>
      <c r="C3" s="163"/>
      <c r="D3" s="157"/>
      <c r="E3" s="157"/>
      <c r="F3" s="7"/>
      <c r="G3" s="7"/>
      <c r="H3" s="7"/>
      <c r="I3" s="7"/>
      <c r="J3" s="7"/>
      <c r="K3" s="7"/>
      <c r="L3" s="7"/>
    </row>
    <row r="4" spans="1:12" s="6" customFormat="1" ht="12.75" customHeight="1" x14ac:dyDescent="0.25">
      <c r="B4" s="162"/>
      <c r="C4" s="163"/>
      <c r="D4" s="157"/>
      <c r="E4" s="157"/>
      <c r="F4" s="7"/>
      <c r="G4" s="7"/>
      <c r="H4" s="7"/>
      <c r="I4" s="7"/>
      <c r="J4" s="7"/>
      <c r="K4" s="7"/>
      <c r="L4" s="7"/>
    </row>
    <row r="5" spans="1:12" s="6" customFormat="1" ht="20.25" customHeight="1" x14ac:dyDescent="0.25">
      <c r="B5" s="164"/>
      <c r="C5" s="165"/>
      <c r="D5" s="158"/>
      <c r="E5" s="158"/>
      <c r="F5" s="7"/>
      <c r="G5" s="7"/>
      <c r="H5" s="7"/>
      <c r="I5" s="7"/>
      <c r="J5" s="7"/>
      <c r="K5" s="7"/>
      <c r="L5" s="7"/>
    </row>
    <row r="6" spans="1:12" ht="15.75" customHeight="1" x14ac:dyDescent="0.2">
      <c r="B6" s="174"/>
      <c r="C6" s="175"/>
      <c r="D6" s="173"/>
      <c r="E6" s="173"/>
    </row>
    <row r="7" spans="1:12" s="6" customFormat="1" ht="16.5" customHeight="1" x14ac:dyDescent="0.25">
      <c r="F7" s="7"/>
      <c r="G7" s="7"/>
      <c r="H7" s="7"/>
      <c r="I7" s="7"/>
      <c r="J7" s="7"/>
      <c r="K7" s="7"/>
      <c r="L7" s="7"/>
    </row>
    <row r="8" spans="1:12" s="6" customFormat="1" ht="15.75" x14ac:dyDescent="0.25">
      <c r="B8" s="4"/>
      <c r="C8" s="5"/>
      <c r="F8" s="7"/>
      <c r="G8" s="7"/>
      <c r="H8" s="8"/>
      <c r="I8" s="7"/>
      <c r="J8" s="7"/>
      <c r="K8" s="7"/>
      <c r="L8" s="7"/>
    </row>
    <row r="9" spans="1:12" s="6" customFormat="1" ht="16.5" customHeight="1" x14ac:dyDescent="0.25">
      <c r="B9" s="4" t="s">
        <v>0</v>
      </c>
      <c r="C9" s="4"/>
      <c r="F9" s="7"/>
      <c r="G9" s="7"/>
      <c r="H9" s="7"/>
      <c r="I9" s="7"/>
      <c r="J9" s="7"/>
      <c r="K9" s="7"/>
      <c r="L9" s="7"/>
    </row>
    <row r="10" spans="1:12" s="6" customFormat="1" ht="16.5" thickBot="1" x14ac:dyDescent="0.3">
      <c r="B10" s="3"/>
      <c r="C10" s="3"/>
      <c r="F10" s="7"/>
      <c r="G10" s="7"/>
      <c r="H10" s="7"/>
      <c r="I10" s="7"/>
      <c r="J10" s="7"/>
      <c r="K10" s="9"/>
      <c r="L10" s="9"/>
    </row>
    <row r="11" spans="1:12" s="10" customFormat="1" ht="23.1" customHeight="1" thickTop="1" x14ac:dyDescent="0.25">
      <c r="A11" s="188" t="s">
        <v>1</v>
      </c>
      <c r="B11" s="152" t="s">
        <v>2</v>
      </c>
      <c r="C11" s="141" t="s">
        <v>3</v>
      </c>
      <c r="D11" s="141" t="s">
        <v>4</v>
      </c>
      <c r="E11" s="141" t="s">
        <v>5</v>
      </c>
      <c r="F11" s="141" t="s">
        <v>6</v>
      </c>
      <c r="G11" s="141" t="s">
        <v>7</v>
      </c>
      <c r="H11" s="152" t="s">
        <v>8</v>
      </c>
      <c r="I11" s="141" t="s">
        <v>9</v>
      </c>
      <c r="J11" s="141" t="s">
        <v>10</v>
      </c>
      <c r="K11" s="139" t="s">
        <v>11</v>
      </c>
      <c r="L11" s="141" t="s">
        <v>12</v>
      </c>
    </row>
    <row r="12" spans="1:12" s="10" customFormat="1" ht="23.1" customHeight="1" thickBot="1" x14ac:dyDescent="0.3">
      <c r="A12" s="189"/>
      <c r="B12" s="166"/>
      <c r="C12" s="142"/>
      <c r="D12" s="142"/>
      <c r="E12" s="159"/>
      <c r="F12" s="148"/>
      <c r="G12" s="148"/>
      <c r="H12" s="153"/>
      <c r="I12" s="148"/>
      <c r="J12" s="142"/>
      <c r="K12" s="140"/>
      <c r="L12" s="142"/>
    </row>
    <row r="13" spans="1:12" s="60" customFormat="1" ht="23.1" customHeight="1" thickTop="1" x14ac:dyDescent="0.25">
      <c r="A13" s="190" t="s">
        <v>13</v>
      </c>
      <c r="B13" s="167" t="s">
        <v>14</v>
      </c>
      <c r="C13" s="170" t="s">
        <v>15</v>
      </c>
      <c r="D13" s="122" t="s">
        <v>16</v>
      </c>
      <c r="E13" s="12" t="s">
        <v>17</v>
      </c>
      <c r="F13" s="34" t="s">
        <v>17</v>
      </c>
      <c r="G13" s="48" t="s">
        <v>17</v>
      </c>
      <c r="H13" s="34" t="s">
        <v>17</v>
      </c>
      <c r="I13" s="48" t="s">
        <v>17</v>
      </c>
      <c r="J13" s="34" t="s">
        <v>17</v>
      </c>
      <c r="K13" s="48" t="s">
        <v>17</v>
      </c>
      <c r="L13" s="14"/>
    </row>
    <row r="14" spans="1:12" s="60" customFormat="1" ht="23.1" customHeight="1" x14ac:dyDescent="0.25">
      <c r="A14" s="191"/>
      <c r="B14" s="168"/>
      <c r="C14" s="171"/>
      <c r="D14" s="123"/>
      <c r="E14" s="33">
        <f>IF(E16&lt;&gt;0,+E16/E18,0%)</f>
        <v>0.85</v>
      </c>
      <c r="F14" s="71">
        <f>IF(F16&lt;&gt;0,ROUND(+F16/F18,4),0%)*100</f>
        <v>94.320000000000007</v>
      </c>
      <c r="G14" s="70" t="e">
        <f t="shared" ref="G14:I14" si="0">IF(G16&lt;&gt;0,+G16/G18,0%)</f>
        <v>#REF!</v>
      </c>
      <c r="H14" s="71">
        <f>IF(H16&lt;&gt;0,ROUND(+H16/H18,4),0%)*100</f>
        <v>94.48</v>
      </c>
      <c r="I14" s="70" t="e">
        <f t="shared" si="0"/>
        <v>#REF!</v>
      </c>
      <c r="J14" s="71">
        <f>IF(J16&lt;&gt;0,ROUND(+J16/J18,4),0%)*100</f>
        <v>94.52000000000001</v>
      </c>
      <c r="K14" s="70" t="e">
        <f>IF(K16&lt;&gt;0,+K16/K18,0%)</f>
        <v>#REF!</v>
      </c>
      <c r="L14" s="17"/>
    </row>
    <row r="15" spans="1:12" s="60" customFormat="1" ht="23.1" customHeight="1" x14ac:dyDescent="0.25">
      <c r="A15" s="191"/>
      <c r="B15" s="168"/>
      <c r="C15" s="171"/>
      <c r="D15" s="124"/>
      <c r="E15" s="18" t="s">
        <v>18</v>
      </c>
      <c r="F15" s="36" t="s">
        <v>18</v>
      </c>
      <c r="G15" s="51" t="s">
        <v>18</v>
      </c>
      <c r="H15" s="36" t="s">
        <v>18</v>
      </c>
      <c r="I15" s="51" t="s">
        <v>18</v>
      </c>
      <c r="J15" s="36" t="s">
        <v>18</v>
      </c>
      <c r="K15" s="51" t="s">
        <v>18</v>
      </c>
      <c r="L15" s="17"/>
    </row>
    <row r="16" spans="1:12" s="60" customFormat="1" ht="23.1" customHeight="1" x14ac:dyDescent="0.25">
      <c r="A16" s="191"/>
      <c r="B16" s="168"/>
      <c r="C16" s="171"/>
      <c r="D16" s="122" t="s">
        <v>19</v>
      </c>
      <c r="E16" s="37">
        <v>25500</v>
      </c>
      <c r="F16" s="40">
        <v>21237</v>
      </c>
      <c r="G16" s="41" t="e">
        <f>+#REF!+F16</f>
        <v>#REF!</v>
      </c>
      <c r="H16" s="40">
        <v>23177</v>
      </c>
      <c r="I16" s="41" t="e">
        <f>+G16+H16</f>
        <v>#REF!</v>
      </c>
      <c r="J16" s="40">
        <v>24830</v>
      </c>
      <c r="K16" s="41" t="e">
        <f>+I16+J16</f>
        <v>#REF!</v>
      </c>
      <c r="L16" s="23" t="e">
        <f>+K14/E14</f>
        <v>#REF!</v>
      </c>
    </row>
    <row r="17" spans="1:12" s="60" customFormat="1" ht="23.1" customHeight="1" x14ac:dyDescent="0.25">
      <c r="A17" s="191"/>
      <c r="B17" s="168"/>
      <c r="C17" s="171"/>
      <c r="D17" s="123"/>
      <c r="E17" s="38" t="s">
        <v>20</v>
      </c>
      <c r="F17" s="38" t="s">
        <v>20</v>
      </c>
      <c r="G17" s="42" t="s">
        <v>20</v>
      </c>
      <c r="H17" s="38" t="s">
        <v>20</v>
      </c>
      <c r="I17" s="42" t="s">
        <v>20</v>
      </c>
      <c r="J17" s="38" t="s">
        <v>20</v>
      </c>
      <c r="K17" s="52" t="s">
        <v>20</v>
      </c>
      <c r="L17" s="17"/>
    </row>
    <row r="18" spans="1:12" s="60" customFormat="1" ht="23.1" customHeight="1" x14ac:dyDescent="0.25">
      <c r="A18" s="192"/>
      <c r="B18" s="169"/>
      <c r="C18" s="172"/>
      <c r="D18" s="124"/>
      <c r="E18" s="37">
        <v>30000</v>
      </c>
      <c r="F18" s="43">
        <v>22517</v>
      </c>
      <c r="G18" s="44" t="e">
        <f>+#REF!+F18</f>
        <v>#REF!</v>
      </c>
      <c r="H18" s="43">
        <v>24531</v>
      </c>
      <c r="I18" s="44" t="e">
        <f>+G18+H18</f>
        <v>#REF!</v>
      </c>
      <c r="J18" s="43">
        <v>26269</v>
      </c>
      <c r="K18" s="44" t="e">
        <f>+I18+J18</f>
        <v>#REF!</v>
      </c>
      <c r="L18" s="27"/>
    </row>
    <row r="19" spans="1:12" s="11" customFormat="1" ht="23.1" customHeight="1" x14ac:dyDescent="0.25">
      <c r="A19" s="193" t="s">
        <v>21</v>
      </c>
      <c r="B19" s="134" t="s">
        <v>22</v>
      </c>
      <c r="C19" s="128" t="s">
        <v>23</v>
      </c>
      <c r="D19" s="149" t="s">
        <v>24</v>
      </c>
      <c r="E19" s="12" t="s">
        <v>17</v>
      </c>
      <c r="F19" s="12" t="s">
        <v>17</v>
      </c>
      <c r="G19" s="13" t="s">
        <v>17</v>
      </c>
      <c r="H19" s="12" t="s">
        <v>17</v>
      </c>
      <c r="I19" s="13" t="s">
        <v>17</v>
      </c>
      <c r="J19" s="12" t="s">
        <v>17</v>
      </c>
      <c r="K19" s="13" t="s">
        <v>17</v>
      </c>
      <c r="L19" s="14"/>
    </row>
    <row r="20" spans="1:12" s="11" customFormat="1" ht="23.1" customHeight="1" x14ac:dyDescent="0.25">
      <c r="A20" s="194"/>
      <c r="B20" s="135"/>
      <c r="C20" s="137"/>
      <c r="D20" s="150"/>
      <c r="E20" s="33">
        <f>IF(E22&lt;&gt;0,+E22/E24,0%)</f>
        <v>0.93223542373042334</v>
      </c>
      <c r="F20" s="32">
        <f>IF(F22&lt;&gt;0,+F22/F24,0%)</f>
        <v>0.96397990107785114</v>
      </c>
      <c r="G20" s="16" t="e">
        <f t="shared" ref="G20" si="1">IF(G22&lt;&gt;0,+G22/G24,0%)</f>
        <v>#REF!</v>
      </c>
      <c r="H20" s="32">
        <f>IF(H22&lt;&gt;0,+H22/H24,0%)</f>
        <v>0.963894480465318</v>
      </c>
      <c r="I20" s="16" t="e">
        <f t="shared" ref="I20" si="2">IF(I22&lt;&gt;0,+I22/I24,0%)</f>
        <v>#REF!</v>
      </c>
      <c r="J20" s="32">
        <f>IF(J22&lt;&gt;0,+J22/J24,0%)</f>
        <v>0.9644334633369408</v>
      </c>
      <c r="K20" s="16" t="e">
        <f t="shared" ref="K20" si="3">IF(K22&lt;&gt;0,+K22/K24,0%)</f>
        <v>#REF!</v>
      </c>
      <c r="L20" s="17"/>
    </row>
    <row r="21" spans="1:12" s="11" customFormat="1" ht="23.1" customHeight="1" x14ac:dyDescent="0.25">
      <c r="A21" s="194"/>
      <c r="B21" s="135"/>
      <c r="C21" s="137"/>
      <c r="D21" s="154"/>
      <c r="E21" s="18" t="s">
        <v>18</v>
      </c>
      <c r="F21" s="18" t="s">
        <v>18</v>
      </c>
      <c r="G21" s="19" t="s">
        <v>18</v>
      </c>
      <c r="H21" s="18" t="s">
        <v>18</v>
      </c>
      <c r="I21" s="19" t="s">
        <v>18</v>
      </c>
      <c r="J21" s="18" t="s">
        <v>18</v>
      </c>
      <c r="K21" s="19" t="s">
        <v>18</v>
      </c>
      <c r="L21" s="17"/>
    </row>
    <row r="22" spans="1:12" s="11" customFormat="1" ht="23.1" customHeight="1" x14ac:dyDescent="0.25">
      <c r="A22" s="194"/>
      <c r="B22" s="135"/>
      <c r="C22" s="137"/>
      <c r="D22" s="150" t="s">
        <v>25</v>
      </c>
      <c r="E22" s="20">
        <v>3631772</v>
      </c>
      <c r="F22" s="21">
        <v>269737</v>
      </c>
      <c r="G22" s="41" t="e">
        <f>+#REF!+F22</f>
        <v>#REF!</v>
      </c>
      <c r="H22" s="21">
        <v>173341</v>
      </c>
      <c r="I22" s="41" t="e">
        <f>+G22+H22</f>
        <v>#REF!</v>
      </c>
      <c r="J22" s="21">
        <v>236156</v>
      </c>
      <c r="K22" s="41" t="e">
        <f>+I22+J22</f>
        <v>#REF!</v>
      </c>
      <c r="L22" s="23" t="e">
        <f>+K20/E20</f>
        <v>#REF!</v>
      </c>
    </row>
    <row r="23" spans="1:12" s="11" customFormat="1" ht="23.1" customHeight="1" x14ac:dyDescent="0.25">
      <c r="A23" s="194"/>
      <c r="B23" s="135"/>
      <c r="C23" s="137"/>
      <c r="D23" s="155"/>
      <c r="E23" s="24" t="s">
        <v>20</v>
      </c>
      <c r="F23" s="24" t="s">
        <v>20</v>
      </c>
      <c r="G23" s="42" t="s">
        <v>20</v>
      </c>
      <c r="H23" s="24" t="s">
        <v>20</v>
      </c>
      <c r="I23" s="42" t="s">
        <v>20</v>
      </c>
      <c r="J23" s="24" t="s">
        <v>20</v>
      </c>
      <c r="K23" s="42" t="s">
        <v>20</v>
      </c>
      <c r="L23" s="17"/>
    </row>
    <row r="24" spans="1:12" s="11" customFormat="1" ht="23.1" customHeight="1" x14ac:dyDescent="0.25">
      <c r="A24" s="195"/>
      <c r="B24" s="136"/>
      <c r="C24" s="138"/>
      <c r="D24" s="154"/>
      <c r="E24" s="20">
        <v>3895767</v>
      </c>
      <c r="F24" s="21">
        <v>279816</v>
      </c>
      <c r="G24" s="44" t="e">
        <f>+#REF!+F24</f>
        <v>#REF!</v>
      </c>
      <c r="H24" s="21">
        <v>179834</v>
      </c>
      <c r="I24" s="44" t="e">
        <f>+G24+H24</f>
        <v>#REF!</v>
      </c>
      <c r="J24" s="21">
        <v>244865</v>
      </c>
      <c r="K24" s="44" t="e">
        <f>+I24+J24</f>
        <v>#REF!</v>
      </c>
      <c r="L24" s="27"/>
    </row>
    <row r="25" spans="1:12" s="11" customFormat="1" ht="23.1" customHeight="1" x14ac:dyDescent="0.25">
      <c r="A25" s="196" t="s">
        <v>26</v>
      </c>
      <c r="B25" s="125" t="s">
        <v>27</v>
      </c>
      <c r="C25" s="131" t="s">
        <v>28</v>
      </c>
      <c r="D25" s="150" t="s">
        <v>29</v>
      </c>
      <c r="E25" s="12" t="s">
        <v>17</v>
      </c>
      <c r="F25" s="12" t="s">
        <v>17</v>
      </c>
      <c r="G25" s="13" t="s">
        <v>17</v>
      </c>
      <c r="H25" s="12" t="s">
        <v>17</v>
      </c>
      <c r="I25" s="13" t="s">
        <v>17</v>
      </c>
      <c r="J25" s="12" t="s">
        <v>17</v>
      </c>
      <c r="K25" s="13" t="s">
        <v>17</v>
      </c>
      <c r="L25" s="14"/>
    </row>
    <row r="26" spans="1:12" s="11" customFormat="1" ht="23.1" customHeight="1" x14ac:dyDescent="0.25">
      <c r="A26" s="197"/>
      <c r="B26" s="126"/>
      <c r="C26" s="132"/>
      <c r="D26" s="155"/>
      <c r="E26" s="33">
        <f>IF(E28&lt;&gt;0,+E28/E30,0%)</f>
        <v>1</v>
      </c>
      <c r="F26" s="32">
        <f>IF(F28&lt;&gt;0,+F28/F30,0%)</f>
        <v>0.14285714285714285</v>
      </c>
      <c r="G26" s="16" t="e">
        <f t="shared" ref="G26" si="4">IF(G28&lt;&gt;0,+G28/G30,0%)</f>
        <v>#REF!</v>
      </c>
      <c r="H26" s="32">
        <f>IF(H28&lt;&gt;0,+H28/H30,0%)</f>
        <v>0</v>
      </c>
      <c r="I26" s="16">
        <f t="shared" ref="I26" si="5">IF(I28&lt;&gt;0,+I28/I30,0%)</f>
        <v>0</v>
      </c>
      <c r="J26" s="32">
        <f>IF(J28&lt;&gt;0,+J28/J30,0%)</f>
        <v>0.14285714285714285</v>
      </c>
      <c r="K26" s="16" t="e">
        <f t="shared" ref="K26" si="6">IF(K28&lt;&gt;0,+K28/K30,0%)</f>
        <v>#REF!</v>
      </c>
      <c r="L26" s="17"/>
    </row>
    <row r="27" spans="1:12" s="11" customFormat="1" ht="23.1" customHeight="1" x14ac:dyDescent="0.25">
      <c r="A27" s="197"/>
      <c r="B27" s="126"/>
      <c r="C27" s="132"/>
      <c r="D27" s="154"/>
      <c r="E27" s="18" t="s">
        <v>18</v>
      </c>
      <c r="F27" s="18" t="s">
        <v>18</v>
      </c>
      <c r="G27" s="19" t="s">
        <v>18</v>
      </c>
      <c r="H27" s="18" t="s">
        <v>18</v>
      </c>
      <c r="I27" s="19" t="s">
        <v>18</v>
      </c>
      <c r="J27" s="18" t="s">
        <v>18</v>
      </c>
      <c r="K27" s="19" t="s">
        <v>18</v>
      </c>
      <c r="L27" s="17"/>
    </row>
    <row r="28" spans="1:12" s="11" customFormat="1" ht="23.1" customHeight="1" x14ac:dyDescent="0.25">
      <c r="A28" s="197"/>
      <c r="B28" s="126"/>
      <c r="C28" s="132"/>
      <c r="D28" s="149" t="s">
        <v>30</v>
      </c>
      <c r="E28" s="20">
        <v>7</v>
      </c>
      <c r="F28" s="21">
        <v>1</v>
      </c>
      <c r="G28" s="44" t="e">
        <f>+#REF!+F28</f>
        <v>#REF!</v>
      </c>
      <c r="H28" s="21">
        <v>0</v>
      </c>
      <c r="I28" s="22"/>
      <c r="J28" s="21">
        <v>1</v>
      </c>
      <c r="K28" s="46">
        <f>+I28+J28</f>
        <v>1</v>
      </c>
      <c r="L28" s="23" t="e">
        <f>+K26/E26</f>
        <v>#REF!</v>
      </c>
    </row>
    <row r="29" spans="1:12" s="11" customFormat="1" ht="23.1" customHeight="1" x14ac:dyDescent="0.25">
      <c r="A29" s="197"/>
      <c r="B29" s="126"/>
      <c r="C29" s="132"/>
      <c r="D29" s="150"/>
      <c r="E29" s="24" t="s">
        <v>20</v>
      </c>
      <c r="F29" s="24" t="s">
        <v>20</v>
      </c>
      <c r="G29" s="25" t="s">
        <v>20</v>
      </c>
      <c r="H29" s="24" t="s">
        <v>20</v>
      </c>
      <c r="I29" s="25" t="s">
        <v>20</v>
      </c>
      <c r="J29" s="24" t="s">
        <v>20</v>
      </c>
      <c r="K29" s="25" t="s">
        <v>20</v>
      </c>
      <c r="L29" s="17"/>
    </row>
    <row r="30" spans="1:12" s="11" customFormat="1" ht="23.1" customHeight="1" x14ac:dyDescent="0.25">
      <c r="A30" s="198"/>
      <c r="B30" s="127"/>
      <c r="C30" s="133"/>
      <c r="D30" s="154"/>
      <c r="E30" s="20">
        <v>7</v>
      </c>
      <c r="F30" s="21">
        <v>7</v>
      </c>
      <c r="G30" s="44" t="e">
        <f>+#REF!+F30</f>
        <v>#REF!</v>
      </c>
      <c r="H30" s="21">
        <v>7</v>
      </c>
      <c r="I30" s="44" t="e">
        <f>+G30+H30</f>
        <v>#REF!</v>
      </c>
      <c r="J30" s="21">
        <v>7</v>
      </c>
      <c r="K30" s="44" t="e">
        <f>+I30+J30</f>
        <v>#REF!</v>
      </c>
      <c r="L30" s="27"/>
    </row>
    <row r="31" spans="1:12" s="11" customFormat="1" ht="23.1" customHeight="1" x14ac:dyDescent="0.25">
      <c r="A31" s="193" t="s">
        <v>31</v>
      </c>
      <c r="B31" s="125" t="s">
        <v>32</v>
      </c>
      <c r="C31" s="128" t="s">
        <v>33</v>
      </c>
      <c r="D31" s="149" t="s">
        <v>34</v>
      </c>
      <c r="E31" s="12" t="s">
        <v>17</v>
      </c>
      <c r="F31" s="12" t="s">
        <v>17</v>
      </c>
      <c r="G31" s="13" t="s">
        <v>17</v>
      </c>
      <c r="H31" s="12" t="s">
        <v>17</v>
      </c>
      <c r="I31" s="13" t="s">
        <v>17</v>
      </c>
      <c r="J31" s="12" t="s">
        <v>17</v>
      </c>
      <c r="K31" s="13" t="s">
        <v>17</v>
      </c>
      <c r="L31" s="28"/>
    </row>
    <row r="32" spans="1:12" s="11" customFormat="1" ht="23.1" customHeight="1" x14ac:dyDescent="0.25">
      <c r="A32" s="194"/>
      <c r="B32" s="126"/>
      <c r="C32" s="129"/>
      <c r="D32" s="150"/>
      <c r="E32" s="33">
        <f>IF(E34&lt;&gt;0,+E34/E36,0%)</f>
        <v>0.50913190529875985</v>
      </c>
      <c r="F32" s="15">
        <f>IF(F34&lt;&gt;0,+F34/F36,0%)</f>
        <v>0</v>
      </c>
      <c r="G32" s="16" t="e">
        <f t="shared" ref="G32" si="7">IF(G34&lt;&gt;0,+G34/G36,0%)</f>
        <v>#REF!</v>
      </c>
      <c r="H32" s="15">
        <f>IF(H34&lt;&gt;0,+H34/H36,0%)</f>
        <v>0.25</v>
      </c>
      <c r="I32" s="16" t="e">
        <f t="shared" ref="I32" si="8">IF(I34&lt;&gt;0,+I34/I36,0%)</f>
        <v>#REF!</v>
      </c>
      <c r="J32" s="15">
        <f>IF(J34&lt;&gt;0,+J34/J36,0%)</f>
        <v>0</v>
      </c>
      <c r="K32" s="16" t="e">
        <f t="shared" ref="K32" si="9">IF(K34&lt;&gt;0,+K34/K36,0%)</f>
        <v>#REF!</v>
      </c>
      <c r="L32" s="29"/>
    </row>
    <row r="33" spans="1:12" s="11" customFormat="1" ht="23.1" customHeight="1" x14ac:dyDescent="0.25">
      <c r="A33" s="194"/>
      <c r="B33" s="126"/>
      <c r="C33" s="129"/>
      <c r="D33" s="151"/>
      <c r="E33" s="18" t="s">
        <v>18</v>
      </c>
      <c r="F33" s="18" t="s">
        <v>18</v>
      </c>
      <c r="G33" s="19" t="s">
        <v>18</v>
      </c>
      <c r="H33" s="18" t="s">
        <v>18</v>
      </c>
      <c r="I33" s="19" t="s">
        <v>18</v>
      </c>
      <c r="J33" s="18" t="s">
        <v>18</v>
      </c>
      <c r="K33" s="19" t="s">
        <v>18</v>
      </c>
      <c r="L33" s="29"/>
    </row>
    <row r="34" spans="1:12" s="11" customFormat="1" ht="23.1" customHeight="1" x14ac:dyDescent="0.25">
      <c r="A34" s="194"/>
      <c r="B34" s="126"/>
      <c r="C34" s="129"/>
      <c r="D34" s="149" t="s">
        <v>35</v>
      </c>
      <c r="E34" s="20">
        <v>4516</v>
      </c>
      <c r="F34" s="21">
        <v>0</v>
      </c>
      <c r="G34" s="22" t="e">
        <f>+#REF!+F34</f>
        <v>#REF!</v>
      </c>
      <c r="H34" s="21">
        <v>1</v>
      </c>
      <c r="I34" s="22" t="e">
        <f t="shared" ref="I34" si="10">+G34+H34</f>
        <v>#REF!</v>
      </c>
      <c r="J34" s="21">
        <v>0</v>
      </c>
      <c r="K34" s="22" t="e">
        <f>+I34+J34</f>
        <v>#REF!</v>
      </c>
      <c r="L34" s="30" t="e">
        <f>K32/E32</f>
        <v>#REF!</v>
      </c>
    </row>
    <row r="35" spans="1:12" s="11" customFormat="1" ht="23.1" customHeight="1" x14ac:dyDescent="0.25">
      <c r="A35" s="194"/>
      <c r="B35" s="126"/>
      <c r="C35" s="129"/>
      <c r="D35" s="150"/>
      <c r="E35" s="24" t="s">
        <v>20</v>
      </c>
      <c r="F35" s="24" t="s">
        <v>20</v>
      </c>
      <c r="G35" s="25" t="s">
        <v>20</v>
      </c>
      <c r="H35" s="24" t="s">
        <v>20</v>
      </c>
      <c r="I35" s="25" t="s">
        <v>20</v>
      </c>
      <c r="J35" s="24" t="s">
        <v>20</v>
      </c>
      <c r="K35" s="25" t="s">
        <v>20</v>
      </c>
      <c r="L35" s="29"/>
    </row>
    <row r="36" spans="1:12" s="11" customFormat="1" ht="23.1" customHeight="1" x14ac:dyDescent="0.25">
      <c r="A36" s="195"/>
      <c r="B36" s="127"/>
      <c r="C36" s="130"/>
      <c r="D36" s="151"/>
      <c r="E36" s="20">
        <v>8870</v>
      </c>
      <c r="F36" s="21">
        <v>4</v>
      </c>
      <c r="G36" s="44" t="e">
        <f>+#REF!+F36</f>
        <v>#REF!</v>
      </c>
      <c r="H36" s="21">
        <v>4</v>
      </c>
      <c r="I36" s="44" t="e">
        <f>+G36+H36</f>
        <v>#REF!</v>
      </c>
      <c r="J36" s="43">
        <v>4</v>
      </c>
      <c r="K36" s="44" t="e">
        <f>+I36+J36</f>
        <v>#REF!</v>
      </c>
      <c r="L36" s="31"/>
    </row>
    <row r="37" spans="1:12" s="11" customFormat="1" ht="23.1" customHeight="1" x14ac:dyDescent="0.25">
      <c r="A37" s="199" t="s">
        <v>36</v>
      </c>
      <c r="B37" s="176" t="s">
        <v>37</v>
      </c>
      <c r="C37" s="179" t="s">
        <v>38</v>
      </c>
      <c r="D37" s="122" t="s">
        <v>39</v>
      </c>
      <c r="E37" s="34" t="s">
        <v>17</v>
      </c>
      <c r="F37" s="12" t="s">
        <v>17</v>
      </c>
      <c r="G37" s="13" t="s">
        <v>17</v>
      </c>
      <c r="H37" s="12" t="s">
        <v>17</v>
      </c>
      <c r="I37" s="13" t="s">
        <v>17</v>
      </c>
      <c r="J37" s="12" t="s">
        <v>17</v>
      </c>
      <c r="K37" s="13" t="s">
        <v>17</v>
      </c>
      <c r="L37" s="14"/>
    </row>
    <row r="38" spans="1:12" s="11" customFormat="1" ht="23.1" customHeight="1" x14ac:dyDescent="0.25">
      <c r="A38" s="200"/>
      <c r="B38" s="177"/>
      <c r="C38" s="180"/>
      <c r="D38" s="143"/>
      <c r="E38" s="35">
        <f>IF(E40&lt;&gt;0,+E40/E42,0%)</f>
        <v>0.66666666666666663</v>
      </c>
      <c r="F38" s="32">
        <f>IF(F40&lt;&gt;0,+F40/F42,0%)</f>
        <v>0</v>
      </c>
      <c r="G38" s="16" t="e">
        <f t="shared" ref="G38" si="11">IF(G40&lt;&gt;0,+G40/G42,0%)</f>
        <v>#REF!</v>
      </c>
      <c r="H38" s="32">
        <f>IF(H40&lt;&gt;0,+H40/H42,0%)</f>
        <v>0</v>
      </c>
      <c r="I38" s="16" t="e">
        <f t="shared" ref="I38" si="12">IF(I40&lt;&gt;0,+I40/I42,0%)</f>
        <v>#REF!</v>
      </c>
      <c r="J38" s="32">
        <f>IF(J40&lt;&gt;0,+J40/J42,0%)</f>
        <v>0</v>
      </c>
      <c r="K38" s="16" t="e">
        <f t="shared" ref="K38" si="13">IF(K40&lt;&gt;0,+K40/K42,0%)</f>
        <v>#REF!</v>
      </c>
      <c r="L38" s="17"/>
    </row>
    <row r="39" spans="1:12" s="11" customFormat="1" ht="23.1" customHeight="1" x14ac:dyDescent="0.25">
      <c r="A39" s="200"/>
      <c r="B39" s="177"/>
      <c r="C39" s="180"/>
      <c r="D39" s="144"/>
      <c r="E39" s="36" t="s">
        <v>18</v>
      </c>
      <c r="F39" s="18" t="s">
        <v>18</v>
      </c>
      <c r="G39" s="19" t="s">
        <v>18</v>
      </c>
      <c r="H39" s="18" t="s">
        <v>18</v>
      </c>
      <c r="I39" s="19" t="s">
        <v>18</v>
      </c>
      <c r="J39" s="18" t="s">
        <v>18</v>
      </c>
      <c r="K39" s="19" t="s">
        <v>18</v>
      </c>
      <c r="L39" s="17"/>
    </row>
    <row r="40" spans="1:12" s="11" customFormat="1" ht="23.1" customHeight="1" x14ac:dyDescent="0.25">
      <c r="A40" s="200"/>
      <c r="B40" s="177"/>
      <c r="C40" s="180"/>
      <c r="D40" s="122" t="s">
        <v>40</v>
      </c>
      <c r="E40" s="37">
        <v>2</v>
      </c>
      <c r="F40" s="21">
        <v>0</v>
      </c>
      <c r="G40" s="22" t="e">
        <f>+#REF!+F40</f>
        <v>#REF!</v>
      </c>
      <c r="H40" s="21">
        <v>0</v>
      </c>
      <c r="I40" s="22" t="e">
        <f t="shared" ref="I40" si="14">+G40+H40</f>
        <v>#REF!</v>
      </c>
      <c r="J40" s="21">
        <v>0</v>
      </c>
      <c r="K40" s="22" t="e">
        <f t="shared" ref="K40" si="15">+I40+J40</f>
        <v>#REF!</v>
      </c>
      <c r="L40" s="23" t="e">
        <f>K38/E38</f>
        <v>#REF!</v>
      </c>
    </row>
    <row r="41" spans="1:12" s="11" customFormat="1" ht="23.1" customHeight="1" x14ac:dyDescent="0.25">
      <c r="A41" s="200"/>
      <c r="B41" s="177"/>
      <c r="C41" s="180"/>
      <c r="D41" s="123"/>
      <c r="E41" s="38" t="s">
        <v>20</v>
      </c>
      <c r="F41" s="24" t="s">
        <v>20</v>
      </c>
      <c r="G41" s="25" t="s">
        <v>20</v>
      </c>
      <c r="H41" s="24" t="s">
        <v>20</v>
      </c>
      <c r="I41" s="25" t="s">
        <v>20</v>
      </c>
      <c r="J41" s="24" t="s">
        <v>20</v>
      </c>
      <c r="K41" s="25" t="s">
        <v>20</v>
      </c>
      <c r="L41" s="17"/>
    </row>
    <row r="42" spans="1:12" s="11" customFormat="1" ht="23.1" customHeight="1" thickBot="1" x14ac:dyDescent="0.3">
      <c r="A42" s="201"/>
      <c r="B42" s="178"/>
      <c r="C42" s="181"/>
      <c r="D42" s="124"/>
      <c r="E42" s="39">
        <v>3</v>
      </c>
      <c r="F42" s="26">
        <v>3</v>
      </c>
      <c r="G42" s="114">
        <v>3</v>
      </c>
      <c r="H42" s="26">
        <v>3</v>
      </c>
      <c r="I42" s="114">
        <v>3</v>
      </c>
      <c r="J42" s="26">
        <v>3</v>
      </c>
      <c r="K42" s="44">
        <v>3</v>
      </c>
      <c r="L42" s="27"/>
    </row>
    <row r="43" spans="1:12" s="11" customFormat="1" ht="23.1" customHeight="1" thickTop="1" x14ac:dyDescent="0.25">
      <c r="A43" s="199" t="s">
        <v>41</v>
      </c>
      <c r="B43" s="176" t="s">
        <v>42</v>
      </c>
      <c r="C43" s="179" t="s">
        <v>38</v>
      </c>
      <c r="D43" s="122" t="s">
        <v>39</v>
      </c>
      <c r="E43" s="34" t="s">
        <v>17</v>
      </c>
      <c r="F43" s="12" t="s">
        <v>17</v>
      </c>
      <c r="G43" s="13" t="s">
        <v>17</v>
      </c>
      <c r="H43" s="12" t="s">
        <v>17</v>
      </c>
      <c r="I43" s="13" t="s">
        <v>17</v>
      </c>
      <c r="J43" s="12" t="s">
        <v>17</v>
      </c>
      <c r="K43" s="13" t="s">
        <v>17</v>
      </c>
      <c r="L43" s="14"/>
    </row>
    <row r="44" spans="1:12" s="11" customFormat="1" ht="23.1" customHeight="1" x14ac:dyDescent="0.25">
      <c r="A44" s="200"/>
      <c r="B44" s="177"/>
      <c r="C44" s="180"/>
      <c r="D44" s="143"/>
      <c r="E44" s="35">
        <f>IF(E46&lt;&gt;0,+E46/E48,0%)</f>
        <v>0.66666666666666663</v>
      </c>
      <c r="F44" s="32">
        <f>IF(F46&lt;&gt;0,+F46/F48,0%)</f>
        <v>0</v>
      </c>
      <c r="G44" s="16" t="e">
        <f t="shared" ref="G44" si="16">IF(G46&lt;&gt;0,+G46/G48,0%)</f>
        <v>#REF!</v>
      </c>
      <c r="H44" s="32">
        <f>IF(H46&lt;&gt;0,+H46/H48,0%)</f>
        <v>0</v>
      </c>
      <c r="I44" s="16" t="e">
        <f t="shared" ref="I44" si="17">IF(I46&lt;&gt;0,+I46/I48,0%)</f>
        <v>#REF!</v>
      </c>
      <c r="J44" s="32">
        <f>IF(J46&lt;&gt;0,+J46/J48,0%)</f>
        <v>0</v>
      </c>
      <c r="K44" s="16" t="e">
        <f t="shared" ref="K44" si="18">IF(K46&lt;&gt;0,+K46/K48,0%)</f>
        <v>#REF!</v>
      </c>
      <c r="L44" s="17"/>
    </row>
    <row r="45" spans="1:12" s="11" customFormat="1" ht="23.1" customHeight="1" thickBot="1" x14ac:dyDescent="0.3">
      <c r="A45" s="200"/>
      <c r="B45" s="177"/>
      <c r="C45" s="180"/>
      <c r="D45" s="144"/>
      <c r="E45" s="36" t="s">
        <v>18</v>
      </c>
      <c r="F45" s="18" t="s">
        <v>18</v>
      </c>
      <c r="G45" s="19" t="s">
        <v>18</v>
      </c>
      <c r="H45" s="18" t="s">
        <v>18</v>
      </c>
      <c r="I45" s="19" t="s">
        <v>18</v>
      </c>
      <c r="J45" s="18" t="s">
        <v>18</v>
      </c>
      <c r="K45" s="19" t="s">
        <v>18</v>
      </c>
      <c r="L45" s="17"/>
    </row>
    <row r="46" spans="1:12" s="11" customFormat="1" ht="23.1" customHeight="1" thickTop="1" x14ac:dyDescent="0.25">
      <c r="A46" s="200"/>
      <c r="B46" s="177"/>
      <c r="C46" s="180"/>
      <c r="D46" s="122" t="s">
        <v>40</v>
      </c>
      <c r="E46" s="37">
        <v>2</v>
      </c>
      <c r="F46" s="21">
        <v>0</v>
      </c>
      <c r="G46" s="22" t="e">
        <f>+#REF!+F46</f>
        <v>#REF!</v>
      </c>
      <c r="H46" s="21">
        <v>0</v>
      </c>
      <c r="I46" s="22" t="e">
        <f t="shared" ref="I46" si="19">+G46+H46</f>
        <v>#REF!</v>
      </c>
      <c r="J46" s="21">
        <v>0</v>
      </c>
      <c r="K46" s="22" t="e">
        <f t="shared" ref="K46" si="20">+I46+J46</f>
        <v>#REF!</v>
      </c>
      <c r="L46" s="23" t="e">
        <f>K44/E44</f>
        <v>#REF!</v>
      </c>
    </row>
    <row r="47" spans="1:12" s="11" customFormat="1" ht="23.1" customHeight="1" x14ac:dyDescent="0.25">
      <c r="A47" s="200"/>
      <c r="B47" s="177"/>
      <c r="C47" s="180"/>
      <c r="D47" s="123"/>
      <c r="E47" s="38" t="s">
        <v>20</v>
      </c>
      <c r="F47" s="24" t="s">
        <v>20</v>
      </c>
      <c r="G47" s="25" t="s">
        <v>20</v>
      </c>
      <c r="H47" s="24" t="s">
        <v>20</v>
      </c>
      <c r="I47" s="25" t="s">
        <v>20</v>
      </c>
      <c r="J47" s="24" t="s">
        <v>20</v>
      </c>
      <c r="K47" s="25" t="s">
        <v>20</v>
      </c>
      <c r="L47" s="17"/>
    </row>
    <row r="48" spans="1:12" s="11" customFormat="1" ht="23.1" customHeight="1" thickBot="1" x14ac:dyDescent="0.3">
      <c r="A48" s="201"/>
      <c r="B48" s="178"/>
      <c r="C48" s="181"/>
      <c r="D48" s="124"/>
      <c r="E48" s="39">
        <v>3</v>
      </c>
      <c r="F48" s="26">
        <v>3</v>
      </c>
      <c r="G48" s="114">
        <v>3</v>
      </c>
      <c r="H48" s="26">
        <v>3</v>
      </c>
      <c r="I48" s="114">
        <v>3</v>
      </c>
      <c r="J48" s="26">
        <v>3</v>
      </c>
      <c r="K48" s="44">
        <v>3</v>
      </c>
      <c r="L48" s="27"/>
    </row>
    <row r="49" spans="1:14" s="11" customFormat="1" ht="23.1" customHeight="1" thickTop="1" x14ac:dyDescent="0.25">
      <c r="A49" s="190" t="s">
        <v>43</v>
      </c>
      <c r="B49" s="185" t="s">
        <v>44</v>
      </c>
      <c r="C49" s="182" t="s">
        <v>45</v>
      </c>
      <c r="D49" s="145" t="s">
        <v>46</v>
      </c>
      <c r="E49" s="12" t="s">
        <v>17</v>
      </c>
      <c r="F49" s="12" t="s">
        <v>17</v>
      </c>
      <c r="G49" s="13" t="s">
        <v>17</v>
      </c>
      <c r="H49" s="12" t="s">
        <v>17</v>
      </c>
      <c r="I49" s="13" t="s">
        <v>17</v>
      </c>
      <c r="J49" s="12" t="s">
        <v>17</v>
      </c>
      <c r="K49" s="13" t="s">
        <v>17</v>
      </c>
      <c r="L49" s="14"/>
    </row>
    <row r="50" spans="1:14" s="11" customFormat="1" ht="23.1" customHeight="1" x14ac:dyDescent="0.25">
      <c r="A50" s="202"/>
      <c r="B50" s="186"/>
      <c r="C50" s="183"/>
      <c r="D50" s="146"/>
      <c r="E50" s="33">
        <f>IF(E52&lt;&gt;0,+E52/E54,0%)</f>
        <v>1</v>
      </c>
      <c r="F50" s="32">
        <f>IF(F52&lt;&gt;0,+F52/F54,0%)</f>
        <v>0.25</v>
      </c>
      <c r="G50" s="16" t="e">
        <f t="shared" ref="G50" si="21">IF(G52&lt;&gt;0,+G52/G54,0%)</f>
        <v>#REF!</v>
      </c>
      <c r="H50" s="32">
        <f>IF(H52&lt;&gt;0,+H52/H54,0%)</f>
        <v>0</v>
      </c>
      <c r="I50" s="16" t="e">
        <f t="shared" ref="I50" si="22">IF(I52&lt;&gt;0,+I52/I54,0%)</f>
        <v>#REF!</v>
      </c>
      <c r="J50" s="32">
        <f>IF(J52&lt;&gt;0,+J52/J54,0%)</f>
        <v>0</v>
      </c>
      <c r="K50" s="16" t="e">
        <f t="shared" ref="K50" si="23">IF(K52&lt;&gt;0,+K52/K54,0%)</f>
        <v>#REF!</v>
      </c>
      <c r="L50" s="17"/>
    </row>
    <row r="51" spans="1:14" s="11" customFormat="1" ht="23.1" customHeight="1" x14ac:dyDescent="0.25">
      <c r="A51" s="202"/>
      <c r="B51" s="186"/>
      <c r="C51" s="183"/>
      <c r="D51" s="147"/>
      <c r="E51" s="18" t="s">
        <v>18</v>
      </c>
      <c r="F51" s="18" t="s">
        <v>18</v>
      </c>
      <c r="G51" s="19" t="s">
        <v>18</v>
      </c>
      <c r="H51" s="18" t="s">
        <v>18</v>
      </c>
      <c r="I51" s="19" t="s">
        <v>18</v>
      </c>
      <c r="J51" s="18" t="s">
        <v>18</v>
      </c>
      <c r="K51" s="19" t="s">
        <v>18</v>
      </c>
      <c r="L51" s="17"/>
    </row>
    <row r="52" spans="1:14" s="11" customFormat="1" ht="23.1" customHeight="1" x14ac:dyDescent="0.25">
      <c r="A52" s="202"/>
      <c r="B52" s="186"/>
      <c r="C52" s="183"/>
      <c r="D52" s="145" t="s">
        <v>47</v>
      </c>
      <c r="E52" s="20">
        <v>4</v>
      </c>
      <c r="F52" s="21">
        <v>1</v>
      </c>
      <c r="G52" s="22" t="e">
        <f>+#REF!+F52</f>
        <v>#REF!</v>
      </c>
      <c r="H52" s="21">
        <v>0</v>
      </c>
      <c r="I52" s="22" t="e">
        <f t="shared" ref="I52" si="24">+G52+H52</f>
        <v>#REF!</v>
      </c>
      <c r="J52" s="45">
        <v>0</v>
      </c>
      <c r="K52" s="46" t="e">
        <f>+I52+J52</f>
        <v>#REF!</v>
      </c>
      <c r="L52" s="23" t="e">
        <f>+K50/E50</f>
        <v>#REF!</v>
      </c>
    </row>
    <row r="53" spans="1:14" s="11" customFormat="1" ht="23.1" customHeight="1" x14ac:dyDescent="0.25">
      <c r="A53" s="202"/>
      <c r="B53" s="186"/>
      <c r="C53" s="183"/>
      <c r="D53" s="146"/>
      <c r="E53" s="24" t="s">
        <v>20</v>
      </c>
      <c r="F53" s="24" t="s">
        <v>20</v>
      </c>
      <c r="G53" s="25" t="s">
        <v>20</v>
      </c>
      <c r="H53" s="24" t="s">
        <v>20</v>
      </c>
      <c r="I53" s="25" t="s">
        <v>20</v>
      </c>
      <c r="J53" s="24" t="s">
        <v>20</v>
      </c>
      <c r="K53" s="25" t="s">
        <v>20</v>
      </c>
      <c r="L53" s="17"/>
      <c r="N53" s="121"/>
    </row>
    <row r="54" spans="1:14" s="11" customFormat="1" ht="23.1" customHeight="1" x14ac:dyDescent="0.25">
      <c r="A54" s="203"/>
      <c r="B54" s="187"/>
      <c r="C54" s="184"/>
      <c r="D54" s="147"/>
      <c r="E54" s="20">
        <v>4</v>
      </c>
      <c r="F54" s="21">
        <v>4</v>
      </c>
      <c r="G54" s="44">
        <v>4</v>
      </c>
      <c r="H54" s="43">
        <v>4</v>
      </c>
      <c r="I54" s="44">
        <v>4</v>
      </c>
      <c r="J54" s="43">
        <v>4</v>
      </c>
      <c r="K54" s="44">
        <v>4</v>
      </c>
      <c r="L54" s="27"/>
    </row>
  </sheetData>
  <mergeCells count="51">
    <mergeCell ref="C49:C54"/>
    <mergeCell ref="B49:B54"/>
    <mergeCell ref="A11:A12"/>
    <mergeCell ref="A13:A18"/>
    <mergeCell ref="A19:A24"/>
    <mergeCell ref="A25:A30"/>
    <mergeCell ref="A31:A36"/>
    <mergeCell ref="A37:A42"/>
    <mergeCell ref="A43:A48"/>
    <mergeCell ref="A49:A54"/>
    <mergeCell ref="B43:B48"/>
    <mergeCell ref="C43:C48"/>
    <mergeCell ref="D52:D54"/>
    <mergeCell ref="C11:C12"/>
    <mergeCell ref="D31:D33"/>
    <mergeCell ref="D1:E5"/>
    <mergeCell ref="E11:E12"/>
    <mergeCell ref="D11:D12"/>
    <mergeCell ref="D43:D45"/>
    <mergeCell ref="B1:C5"/>
    <mergeCell ref="B11:B12"/>
    <mergeCell ref="B13:B18"/>
    <mergeCell ref="C13:C18"/>
    <mergeCell ref="D6:E6"/>
    <mergeCell ref="B6:C6"/>
    <mergeCell ref="D25:D27"/>
    <mergeCell ref="B37:B42"/>
    <mergeCell ref="C37:C42"/>
    <mergeCell ref="K11:K12"/>
    <mergeCell ref="L11:L12"/>
    <mergeCell ref="D37:D39"/>
    <mergeCell ref="D40:D42"/>
    <mergeCell ref="D49:D51"/>
    <mergeCell ref="I11:I12"/>
    <mergeCell ref="D34:D36"/>
    <mergeCell ref="F11:F12"/>
    <mergeCell ref="G11:G12"/>
    <mergeCell ref="H11:H12"/>
    <mergeCell ref="D28:D30"/>
    <mergeCell ref="D22:D24"/>
    <mergeCell ref="D46:D48"/>
    <mergeCell ref="J11:J12"/>
    <mergeCell ref="D19:D21"/>
    <mergeCell ref="D13:D15"/>
    <mergeCell ref="D16:D18"/>
    <mergeCell ref="B31:B36"/>
    <mergeCell ref="C31:C36"/>
    <mergeCell ref="C25:C30"/>
    <mergeCell ref="B25:B30"/>
    <mergeCell ref="B19:B24"/>
    <mergeCell ref="C19:C24"/>
  </mergeCells>
  <phoneticPr fontId="6" type="noConversion"/>
  <pageMargins left="0.56999999999999995" right="0.37" top="0.41" bottom="0.47" header="0" footer="0"/>
  <pageSetup scale="5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ADC21-8394-4EFF-BE38-4B49040A9617}">
  <dimension ref="A1:AX575"/>
  <sheetViews>
    <sheetView topLeftCell="A11" zoomScale="90" zoomScaleNormal="90" workbookViewId="0">
      <pane xSplit="2" ySplit="1" topLeftCell="C12" activePane="bottomRight" state="frozen"/>
      <selection pane="topRight" activeCell="D11" sqref="D11"/>
      <selection pane="bottomLeft" activeCell="A12" sqref="A12"/>
      <selection pane="bottomRight" activeCell="O18" sqref="O18"/>
    </sheetView>
  </sheetViews>
  <sheetFormatPr baseColWidth="10" defaultColWidth="11.42578125" defaultRowHeight="12.75" x14ac:dyDescent="0.2"/>
  <cols>
    <col min="1" max="1" width="11.42578125" style="94"/>
    <col min="2" max="3" width="19.85546875" style="94" customWidth="1"/>
    <col min="4" max="4" width="46.85546875" style="94" customWidth="1"/>
    <col min="5" max="5" width="51.42578125" style="94" bestFit="1" customWidth="1"/>
    <col min="6" max="7" width="13" style="94" bestFit="1" customWidth="1"/>
    <col min="8" max="16384" width="11.42578125" style="94"/>
  </cols>
  <sheetData>
    <row r="1" spans="1:50" s="72" customFormat="1" ht="15.75" customHeight="1" x14ac:dyDescent="0.25">
      <c r="B1" s="207"/>
      <c r="C1" s="210" t="s">
        <v>48</v>
      </c>
      <c r="D1" s="211"/>
      <c r="E1" s="115" t="s">
        <v>49</v>
      </c>
    </row>
    <row r="2" spans="1:50" s="72" customFormat="1" ht="15.75" customHeight="1" x14ac:dyDescent="0.25">
      <c r="B2" s="208"/>
      <c r="C2" s="212"/>
      <c r="D2" s="213"/>
      <c r="E2" s="116" t="s">
        <v>50</v>
      </c>
    </row>
    <row r="3" spans="1:50" s="72" customFormat="1" ht="15.75" customHeight="1" x14ac:dyDescent="0.25">
      <c r="B3" s="208"/>
      <c r="C3" s="212"/>
      <c r="D3" s="213"/>
      <c r="E3" s="116" t="s">
        <v>51</v>
      </c>
    </row>
    <row r="4" spans="1:50" s="72" customFormat="1" ht="12.75" customHeight="1" x14ac:dyDescent="0.25">
      <c r="B4" s="208"/>
      <c r="C4" s="212"/>
      <c r="D4" s="213"/>
      <c r="E4" s="117"/>
    </row>
    <row r="5" spans="1:50" s="72" customFormat="1" ht="13.5" customHeight="1" x14ac:dyDescent="0.25">
      <c r="B5" s="209"/>
      <c r="C5" s="214"/>
      <c r="D5" s="215"/>
      <c r="E5" s="118" t="s">
        <v>52</v>
      </c>
    </row>
    <row r="6" spans="1:50" s="73" customFormat="1" ht="13.5" customHeight="1" x14ac:dyDescent="0.2">
      <c r="B6" s="74" t="s">
        <v>53</v>
      </c>
      <c r="C6" s="217" t="s">
        <v>54</v>
      </c>
      <c r="D6" s="218"/>
      <c r="E6" s="119" t="s">
        <v>55</v>
      </c>
    </row>
    <row r="7" spans="1:50" s="72" customFormat="1" ht="15.75" x14ac:dyDescent="0.25"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</row>
    <row r="8" spans="1:50" s="72" customFormat="1" ht="15.75" x14ac:dyDescent="0.25">
      <c r="B8" s="219" t="s">
        <v>56</v>
      </c>
      <c r="C8" s="219"/>
      <c r="D8" s="219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</row>
    <row r="9" spans="1:50" s="72" customFormat="1" ht="15.75" x14ac:dyDescent="0.25">
      <c r="B9" s="75"/>
      <c r="C9" s="75"/>
      <c r="D9" s="75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</row>
    <row r="10" spans="1:50" s="72" customFormat="1" ht="15.75" x14ac:dyDescent="0.25">
      <c r="B10" s="75"/>
      <c r="C10" s="75"/>
      <c r="D10" s="75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</row>
    <row r="11" spans="1:50" s="72" customFormat="1" ht="15.75" x14ac:dyDescent="0.25">
      <c r="B11" s="219" t="s">
        <v>57</v>
      </c>
      <c r="C11" s="219"/>
      <c r="D11" s="219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</row>
    <row r="12" spans="1:50" s="72" customFormat="1" ht="16.5" thickBot="1" x14ac:dyDescent="0.3"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</row>
    <row r="13" spans="1:50" s="77" customFormat="1" ht="23.1" customHeight="1" thickTop="1" x14ac:dyDescent="0.25">
      <c r="A13" s="205" t="s">
        <v>1</v>
      </c>
      <c r="B13" s="205" t="s">
        <v>2</v>
      </c>
      <c r="C13" s="139" t="s">
        <v>3</v>
      </c>
      <c r="D13" s="139" t="s">
        <v>4</v>
      </c>
      <c r="E13" s="139" t="s">
        <v>5</v>
      </c>
      <c r="F13" s="139" t="s">
        <v>6</v>
      </c>
      <c r="G13" s="139" t="s">
        <v>7</v>
      </c>
      <c r="H13" s="205" t="s">
        <v>8</v>
      </c>
      <c r="I13" s="139" t="s">
        <v>9</v>
      </c>
      <c r="J13" s="139" t="s">
        <v>10</v>
      </c>
      <c r="K13" s="139" t="s">
        <v>58</v>
      </c>
      <c r="L13" s="139" t="s">
        <v>12</v>
      </c>
    </row>
    <row r="14" spans="1:50" s="77" customFormat="1" ht="23.1" customHeight="1" thickBot="1" x14ac:dyDescent="0.3">
      <c r="A14" s="220"/>
      <c r="B14" s="220"/>
      <c r="C14" s="140"/>
      <c r="D14" s="140"/>
      <c r="E14" s="216"/>
      <c r="F14" s="204"/>
      <c r="G14" s="204"/>
      <c r="H14" s="206"/>
      <c r="I14" s="204"/>
      <c r="J14" s="140"/>
      <c r="K14" s="140">
        <v>2018</v>
      </c>
      <c r="L14" s="140"/>
    </row>
    <row r="15" spans="1:50" s="77" customFormat="1" ht="23.1" customHeight="1" thickTop="1" x14ac:dyDescent="0.25">
      <c r="A15" s="268" t="s">
        <v>59</v>
      </c>
      <c r="B15" s="225" t="s">
        <v>60</v>
      </c>
      <c r="C15" s="228" t="s">
        <v>61</v>
      </c>
      <c r="D15" s="224" t="s">
        <v>62</v>
      </c>
      <c r="E15" s="78" t="s">
        <v>17</v>
      </c>
      <c r="F15" s="79" t="s">
        <v>17</v>
      </c>
      <c r="G15" s="80" t="s">
        <v>17</v>
      </c>
      <c r="H15" s="79" t="s">
        <v>17</v>
      </c>
      <c r="I15" s="80" t="s">
        <v>17</v>
      </c>
      <c r="J15" s="79" t="s">
        <v>17</v>
      </c>
      <c r="K15" s="80" t="s">
        <v>17</v>
      </c>
      <c r="L15" s="53"/>
    </row>
    <row r="16" spans="1:50" s="77" customFormat="1" ht="23.1" customHeight="1" x14ac:dyDescent="0.25">
      <c r="A16" s="269"/>
      <c r="B16" s="226"/>
      <c r="C16" s="229"/>
      <c r="D16" s="221"/>
      <c r="E16" s="33">
        <f>IF(E18&lt;&gt;0,+E18/E20,0%)</f>
        <v>0.93223542373042334</v>
      </c>
      <c r="F16" s="50">
        <f>IF(F18&lt;&gt;0,ROUND(+F18/F20,4),0%)</f>
        <v>0</v>
      </c>
      <c r="G16" s="49" t="e">
        <f t="shared" ref="G16" si="0">IF(G18&lt;&gt;0,+G18/G20,0%)</f>
        <v>#REF!</v>
      </c>
      <c r="H16" s="50">
        <f>IF(H18&lt;&gt;0,ROUND(+H18/H20,4),0%)</f>
        <v>0</v>
      </c>
      <c r="I16" s="49" t="e">
        <f t="shared" ref="I16" si="1">IF(I18&lt;&gt;0,+I18/I20,0%)</f>
        <v>#REF!</v>
      </c>
      <c r="J16" s="50">
        <f>IF(J18&lt;&gt;0,ROUND(+J18/J20,4),0%)</f>
        <v>0</v>
      </c>
      <c r="K16" s="49" t="e">
        <f>IF(K18&lt;&gt;0,+K18/K20,0%)</f>
        <v>#REF!</v>
      </c>
      <c r="L16" s="54"/>
      <c r="N16" s="82"/>
    </row>
    <row r="17" spans="1:14" s="77" customFormat="1" ht="23.1" customHeight="1" thickBot="1" x14ac:dyDescent="0.3">
      <c r="A17" s="269"/>
      <c r="B17" s="226"/>
      <c r="C17" s="229"/>
      <c r="D17" s="223"/>
      <c r="E17" s="81" t="s">
        <v>18</v>
      </c>
      <c r="F17" s="83" t="s">
        <v>18</v>
      </c>
      <c r="G17" s="84" t="s">
        <v>18</v>
      </c>
      <c r="H17" s="83" t="s">
        <v>18</v>
      </c>
      <c r="I17" s="84" t="s">
        <v>18</v>
      </c>
      <c r="J17" s="83" t="s">
        <v>18</v>
      </c>
      <c r="K17" s="84" t="s">
        <v>18</v>
      </c>
      <c r="L17" s="54"/>
    </row>
    <row r="18" spans="1:14" s="77" customFormat="1" ht="23.1" customHeight="1" thickTop="1" x14ac:dyDescent="0.25">
      <c r="A18" s="269"/>
      <c r="B18" s="226"/>
      <c r="C18" s="229"/>
      <c r="D18" s="221" t="s">
        <v>25</v>
      </c>
      <c r="E18" s="85">
        <v>3631772</v>
      </c>
      <c r="F18" s="86">
        <f t="shared" ref="F18" si="2">+F28+F38</f>
        <v>0</v>
      </c>
      <c r="G18" s="87" t="e">
        <f>+#REF!+F18</f>
        <v>#REF!</v>
      </c>
      <c r="H18" s="86">
        <f t="shared" ref="H18" si="3">+H28+H38</f>
        <v>0</v>
      </c>
      <c r="I18" s="87" t="e">
        <f>+G18+H18</f>
        <v>#REF!</v>
      </c>
      <c r="J18" s="86">
        <f t="shared" ref="J18" si="4">+J28+J38</f>
        <v>0</v>
      </c>
      <c r="K18" s="87" t="e">
        <f>+I18+J18</f>
        <v>#REF!</v>
      </c>
      <c r="L18" s="23" t="e">
        <f>K16/E16</f>
        <v>#REF!</v>
      </c>
    </row>
    <row r="19" spans="1:14" s="77" customFormat="1" ht="23.1" customHeight="1" x14ac:dyDescent="0.25">
      <c r="A19" s="269"/>
      <c r="B19" s="226"/>
      <c r="C19" s="229"/>
      <c r="D19" s="222"/>
      <c r="E19" s="81" t="s">
        <v>63</v>
      </c>
      <c r="F19" s="88" t="s">
        <v>20</v>
      </c>
      <c r="G19" s="90" t="s">
        <v>20</v>
      </c>
      <c r="H19" s="88" t="s">
        <v>20</v>
      </c>
      <c r="I19" s="90" t="s">
        <v>20</v>
      </c>
      <c r="J19" s="88" t="s">
        <v>20</v>
      </c>
      <c r="K19" s="90" t="s">
        <v>20</v>
      </c>
      <c r="L19" s="54"/>
    </row>
    <row r="20" spans="1:14" s="77" customFormat="1" ht="23.1" customHeight="1" thickBot="1" x14ac:dyDescent="0.3">
      <c r="A20" s="270"/>
      <c r="B20" s="227"/>
      <c r="C20" s="230"/>
      <c r="D20" s="223"/>
      <c r="E20" s="91">
        <v>3895767</v>
      </c>
      <c r="F20" s="92">
        <f t="shared" ref="F20" si="5">+F30+F40</f>
        <v>0</v>
      </c>
      <c r="G20" s="93" t="e">
        <f>+#REF!+F20</f>
        <v>#REF!</v>
      </c>
      <c r="H20" s="92">
        <f t="shared" ref="H20" si="6">+H30+H40</f>
        <v>0</v>
      </c>
      <c r="I20" s="93" t="e">
        <f>+G20+H20</f>
        <v>#REF!</v>
      </c>
      <c r="J20" s="92">
        <f t="shared" ref="J20" si="7">+J30+J40</f>
        <v>0</v>
      </c>
      <c r="K20" s="93" t="e">
        <f>+I20+J20</f>
        <v>#REF!</v>
      </c>
      <c r="L20" s="55"/>
    </row>
    <row r="21" spans="1:14" ht="13.5" thickTop="1" x14ac:dyDescent="0.2"/>
    <row r="22" spans="1:14" s="72" customFormat="1" ht="21" thickBot="1" x14ac:dyDescent="0.35">
      <c r="A22" s="120" t="s">
        <v>64</v>
      </c>
      <c r="E22" s="73"/>
      <c r="F22" s="73"/>
      <c r="G22" s="73"/>
      <c r="H22" s="73"/>
      <c r="I22" s="73"/>
      <c r="J22" s="73"/>
      <c r="K22" s="73"/>
      <c r="L22" s="73"/>
    </row>
    <row r="23" spans="1:14" s="77" customFormat="1" ht="23.1" customHeight="1" thickTop="1" x14ac:dyDescent="0.25">
      <c r="A23" s="205" t="s">
        <v>1</v>
      </c>
      <c r="B23" s="205" t="s">
        <v>2</v>
      </c>
      <c r="C23" s="139" t="s">
        <v>3</v>
      </c>
      <c r="D23" s="139" t="s">
        <v>4</v>
      </c>
      <c r="E23" s="139" t="s">
        <v>5</v>
      </c>
      <c r="F23" s="139" t="s">
        <v>6</v>
      </c>
      <c r="G23" s="139" t="s">
        <v>7</v>
      </c>
      <c r="H23" s="205" t="s">
        <v>8</v>
      </c>
      <c r="I23" s="139" t="s">
        <v>9</v>
      </c>
      <c r="J23" s="139" t="s">
        <v>10</v>
      </c>
      <c r="K23" s="139" t="s">
        <v>58</v>
      </c>
      <c r="L23" s="139" t="s">
        <v>12</v>
      </c>
    </row>
    <row r="24" spans="1:14" s="77" customFormat="1" ht="23.1" customHeight="1" thickBot="1" x14ac:dyDescent="0.3">
      <c r="A24" s="220"/>
      <c r="B24" s="220"/>
      <c r="C24" s="140"/>
      <c r="D24" s="140"/>
      <c r="E24" s="216"/>
      <c r="F24" s="204"/>
      <c r="G24" s="204"/>
      <c r="H24" s="206"/>
      <c r="I24" s="204"/>
      <c r="J24" s="140"/>
      <c r="K24" s="140">
        <v>2018</v>
      </c>
      <c r="L24" s="140"/>
    </row>
    <row r="25" spans="1:14" s="77" customFormat="1" ht="23.1" customHeight="1" thickTop="1" x14ac:dyDescent="0.25">
      <c r="A25" s="268" t="s">
        <v>59</v>
      </c>
      <c r="B25" s="225" t="s">
        <v>60</v>
      </c>
      <c r="C25" s="228" t="s">
        <v>61</v>
      </c>
      <c r="D25" s="224" t="s">
        <v>62</v>
      </c>
      <c r="E25" s="78" t="s">
        <v>17</v>
      </c>
      <c r="F25" s="79" t="s">
        <v>17</v>
      </c>
      <c r="G25" s="80" t="s">
        <v>17</v>
      </c>
      <c r="H25" s="79" t="s">
        <v>17</v>
      </c>
      <c r="I25" s="80" t="s">
        <v>17</v>
      </c>
      <c r="J25" s="79" t="s">
        <v>17</v>
      </c>
      <c r="K25" s="80" t="s">
        <v>17</v>
      </c>
      <c r="L25" s="53"/>
    </row>
    <row r="26" spans="1:14" s="77" customFormat="1" ht="23.1" customHeight="1" x14ac:dyDescent="0.25">
      <c r="A26" s="269"/>
      <c r="B26" s="226"/>
      <c r="C26" s="229"/>
      <c r="D26" s="221"/>
      <c r="E26" s="33">
        <f>IF(E28&lt;&gt;0,+E28/E30,0%)</f>
        <v>0.93281460065415001</v>
      </c>
      <c r="F26" s="50">
        <f>IF(F28&lt;&gt;0,ROUND(+F28/F30,4),0%)</f>
        <v>0</v>
      </c>
      <c r="G26" s="49" t="e">
        <f t="shared" ref="G26" si="8">IF(G28&lt;&gt;0,+G28/G30,0%)</f>
        <v>#REF!</v>
      </c>
      <c r="H26" s="50">
        <f>IF(H28&lt;&gt;0,ROUND(+H28/H30,4),0%)</f>
        <v>0</v>
      </c>
      <c r="I26" s="49" t="e">
        <f t="shared" ref="I26" si="9">IF(I28&lt;&gt;0,+I28/I30,0%)</f>
        <v>#REF!</v>
      </c>
      <c r="J26" s="50">
        <f>IF(J28&lt;&gt;0,ROUND(+J28/J30,4),0%)</f>
        <v>0</v>
      </c>
      <c r="K26" s="49" t="e">
        <f>IF(K28&lt;&gt;0,+K28/K30,0%)</f>
        <v>#REF!</v>
      </c>
      <c r="L26" s="54"/>
    </row>
    <row r="27" spans="1:14" s="77" customFormat="1" ht="23.1" customHeight="1" thickBot="1" x14ac:dyDescent="0.3">
      <c r="A27" s="269"/>
      <c r="B27" s="226"/>
      <c r="C27" s="229"/>
      <c r="D27" s="223"/>
      <c r="E27" s="81"/>
      <c r="F27" s="83" t="s">
        <v>18</v>
      </c>
      <c r="G27" s="84" t="s">
        <v>18</v>
      </c>
      <c r="H27" s="83" t="s">
        <v>18</v>
      </c>
      <c r="I27" s="84" t="s">
        <v>18</v>
      </c>
      <c r="J27" s="83" t="s">
        <v>18</v>
      </c>
      <c r="K27" s="84" t="s">
        <v>18</v>
      </c>
      <c r="L27" s="54"/>
    </row>
    <row r="28" spans="1:14" s="77" customFormat="1" ht="23.1" customHeight="1" thickTop="1" x14ac:dyDescent="0.25">
      <c r="A28" s="269"/>
      <c r="B28" s="226"/>
      <c r="C28" s="229"/>
      <c r="D28" s="221" t="s">
        <v>25</v>
      </c>
      <c r="E28" s="85">
        <v>2231397</v>
      </c>
      <c r="F28" s="86"/>
      <c r="G28" s="87" t="e">
        <f>+#REF!+F28</f>
        <v>#REF!</v>
      </c>
      <c r="H28" s="86"/>
      <c r="I28" s="87" t="e">
        <f>+G28+H28</f>
        <v>#REF!</v>
      </c>
      <c r="J28" s="86"/>
      <c r="K28" s="87" t="e">
        <f>SUM(I28:J28)</f>
        <v>#REF!</v>
      </c>
      <c r="L28" s="23" t="e">
        <f>+K26/E26</f>
        <v>#REF!</v>
      </c>
    </row>
    <row r="29" spans="1:14" s="77" customFormat="1" ht="23.1" customHeight="1" x14ac:dyDescent="0.25">
      <c r="A29" s="269"/>
      <c r="B29" s="226"/>
      <c r="C29" s="229"/>
      <c r="D29" s="222"/>
      <c r="E29" s="81" t="s">
        <v>63</v>
      </c>
      <c r="F29" s="88" t="s">
        <v>20</v>
      </c>
      <c r="G29" s="90" t="s">
        <v>20</v>
      </c>
      <c r="H29" s="88" t="s">
        <v>20</v>
      </c>
      <c r="I29" s="90" t="s">
        <v>20</v>
      </c>
      <c r="J29" s="88" t="s">
        <v>20</v>
      </c>
      <c r="K29" s="89" t="s">
        <v>20</v>
      </c>
      <c r="L29" s="54"/>
    </row>
    <row r="30" spans="1:14" s="77" customFormat="1" ht="23.1" customHeight="1" thickBot="1" x14ac:dyDescent="0.3">
      <c r="A30" s="270"/>
      <c r="B30" s="227"/>
      <c r="C30" s="230"/>
      <c r="D30" s="223"/>
      <c r="E30" s="91">
        <v>2392112</v>
      </c>
      <c r="F30" s="92"/>
      <c r="G30" s="93" t="e">
        <f>+#REF!+F30</f>
        <v>#REF!</v>
      </c>
      <c r="H30" s="92"/>
      <c r="I30" s="93" t="e">
        <f t="shared" ref="I30" si="10">+G30+H30</f>
        <v>#REF!</v>
      </c>
      <c r="J30" s="92"/>
      <c r="K30" s="93" t="e">
        <f>SUM(I30:J30)</f>
        <v>#REF!</v>
      </c>
      <c r="L30" s="55"/>
      <c r="N30" s="95"/>
    </row>
    <row r="31" spans="1:14" ht="13.5" thickTop="1" x14ac:dyDescent="0.2"/>
    <row r="32" spans="1:14" s="72" customFormat="1" ht="21" thickBot="1" x14ac:dyDescent="0.35">
      <c r="A32" s="120" t="s">
        <v>65</v>
      </c>
      <c r="E32" s="73"/>
      <c r="F32" s="73"/>
      <c r="G32" s="73"/>
      <c r="H32" s="73"/>
      <c r="I32" s="73"/>
      <c r="J32" s="73"/>
      <c r="K32" s="73"/>
      <c r="L32" s="73"/>
    </row>
    <row r="33" spans="1:50" s="77" customFormat="1" ht="23.1" customHeight="1" thickTop="1" x14ac:dyDescent="0.25">
      <c r="A33" s="205" t="s">
        <v>1</v>
      </c>
      <c r="B33" s="205" t="s">
        <v>2</v>
      </c>
      <c r="C33" s="139" t="s">
        <v>3</v>
      </c>
      <c r="D33" s="139" t="s">
        <v>4</v>
      </c>
      <c r="E33" s="139" t="s">
        <v>5</v>
      </c>
      <c r="F33" s="139" t="s">
        <v>6</v>
      </c>
      <c r="G33" s="139" t="s">
        <v>7</v>
      </c>
      <c r="H33" s="205" t="s">
        <v>8</v>
      </c>
      <c r="I33" s="139" t="s">
        <v>9</v>
      </c>
      <c r="J33" s="139" t="s">
        <v>10</v>
      </c>
      <c r="K33" s="139" t="s">
        <v>58</v>
      </c>
      <c r="L33" s="139" t="s">
        <v>12</v>
      </c>
    </row>
    <row r="34" spans="1:50" s="77" customFormat="1" ht="23.1" customHeight="1" thickBot="1" x14ac:dyDescent="0.3">
      <c r="A34" s="220"/>
      <c r="B34" s="220"/>
      <c r="C34" s="140"/>
      <c r="D34" s="140"/>
      <c r="E34" s="216"/>
      <c r="F34" s="204"/>
      <c r="G34" s="204"/>
      <c r="H34" s="206"/>
      <c r="I34" s="204"/>
      <c r="J34" s="140"/>
      <c r="K34" s="140">
        <v>2018</v>
      </c>
      <c r="L34" s="140"/>
    </row>
    <row r="35" spans="1:50" s="77" customFormat="1" ht="23.1" customHeight="1" thickTop="1" x14ac:dyDescent="0.25">
      <c r="A35" s="268" t="s">
        <v>59</v>
      </c>
      <c r="B35" s="225" t="s">
        <v>60</v>
      </c>
      <c r="C35" s="228" t="s">
        <v>61</v>
      </c>
      <c r="D35" s="224" t="s">
        <v>62</v>
      </c>
      <c r="E35" s="78" t="s">
        <v>17</v>
      </c>
      <c r="F35" s="79" t="s">
        <v>17</v>
      </c>
      <c r="G35" s="80" t="s">
        <v>17</v>
      </c>
      <c r="H35" s="79" t="s">
        <v>17</v>
      </c>
      <c r="I35" s="80" t="s">
        <v>17</v>
      </c>
      <c r="J35" s="79" t="s">
        <v>17</v>
      </c>
      <c r="K35" s="80" t="s">
        <v>17</v>
      </c>
      <c r="L35" s="53"/>
    </row>
    <row r="36" spans="1:50" s="77" customFormat="1" ht="23.1" customHeight="1" x14ac:dyDescent="0.25">
      <c r="A36" s="269"/>
      <c r="B36" s="226"/>
      <c r="C36" s="229"/>
      <c r="D36" s="221"/>
      <c r="E36" s="33">
        <f>IF(E38&lt;&gt;0,+E38/E40,0%)</f>
        <v>0.93131403147663527</v>
      </c>
      <c r="F36" s="50">
        <f>IF(F38&lt;&gt;0,ROUND(+F38/F40,4),0%)</f>
        <v>0</v>
      </c>
      <c r="G36" s="49" t="e">
        <f t="shared" ref="G36" si="11">IF(G38&lt;&gt;0,+G38/G40,0%)</f>
        <v>#REF!</v>
      </c>
      <c r="H36" s="50">
        <f>IF(H38&lt;&gt;0,ROUND(+H38/H40,4),0%)</f>
        <v>0</v>
      </c>
      <c r="I36" s="49" t="e">
        <f t="shared" ref="I36" si="12">IF(I38&lt;&gt;0,+I38/I40,0%)</f>
        <v>#REF!</v>
      </c>
      <c r="J36" s="50">
        <f>IF(J38&lt;&gt;0,ROUND(+J38/J40,4),0%)</f>
        <v>0</v>
      </c>
      <c r="K36" s="49" t="e">
        <f>IF(K38&lt;&gt;0,+K38/K40,0%)</f>
        <v>#REF!</v>
      </c>
      <c r="L36" s="54"/>
    </row>
    <row r="37" spans="1:50" s="77" customFormat="1" ht="23.1" customHeight="1" thickBot="1" x14ac:dyDescent="0.3">
      <c r="A37" s="269"/>
      <c r="B37" s="226"/>
      <c r="C37" s="229"/>
      <c r="D37" s="223"/>
      <c r="E37" s="81"/>
      <c r="F37" s="83" t="s">
        <v>18</v>
      </c>
      <c r="G37" s="84" t="s">
        <v>18</v>
      </c>
      <c r="H37" s="83" t="s">
        <v>18</v>
      </c>
      <c r="I37" s="84" t="s">
        <v>18</v>
      </c>
      <c r="J37" s="83" t="s">
        <v>18</v>
      </c>
      <c r="K37" s="84" t="s">
        <v>18</v>
      </c>
      <c r="L37" s="54"/>
    </row>
    <row r="38" spans="1:50" s="77" customFormat="1" ht="23.1" customHeight="1" thickTop="1" x14ac:dyDescent="0.25">
      <c r="A38" s="269"/>
      <c r="B38" s="226"/>
      <c r="C38" s="229"/>
      <c r="D38" s="221" t="s">
        <v>25</v>
      </c>
      <c r="E38" s="85">
        <v>1400375</v>
      </c>
      <c r="F38" s="86"/>
      <c r="G38" s="87" t="e">
        <f>+#REF!+F38</f>
        <v>#REF!</v>
      </c>
      <c r="H38" s="86"/>
      <c r="I38" s="87" t="e">
        <f>+G38+H38</f>
        <v>#REF!</v>
      </c>
      <c r="J38" s="86"/>
      <c r="K38" s="87" t="e">
        <f>SUM(I38:J38)</f>
        <v>#REF!</v>
      </c>
      <c r="L38" s="23" t="e">
        <f>+K36/E36</f>
        <v>#REF!</v>
      </c>
    </row>
    <row r="39" spans="1:50" s="77" customFormat="1" ht="23.1" customHeight="1" x14ac:dyDescent="0.25">
      <c r="A39" s="269"/>
      <c r="B39" s="226"/>
      <c r="C39" s="229"/>
      <c r="D39" s="222"/>
      <c r="E39" s="81" t="s">
        <v>63</v>
      </c>
      <c r="F39" s="88" t="s">
        <v>20</v>
      </c>
      <c r="G39" s="90" t="s">
        <v>20</v>
      </c>
      <c r="H39" s="88" t="s">
        <v>20</v>
      </c>
      <c r="I39" s="90" t="s">
        <v>20</v>
      </c>
      <c r="J39" s="88" t="s">
        <v>20</v>
      </c>
      <c r="K39" s="89" t="s">
        <v>20</v>
      </c>
      <c r="L39" s="54"/>
    </row>
    <row r="40" spans="1:50" s="77" customFormat="1" ht="23.1" customHeight="1" thickBot="1" x14ac:dyDescent="0.3">
      <c r="A40" s="270"/>
      <c r="B40" s="227"/>
      <c r="C40" s="230"/>
      <c r="D40" s="223"/>
      <c r="E40" s="91">
        <v>1503655</v>
      </c>
      <c r="F40" s="92"/>
      <c r="G40" s="93" t="e">
        <f>+#REF!+F40</f>
        <v>#REF!</v>
      </c>
      <c r="H40" s="92"/>
      <c r="I40" s="93" t="e">
        <f t="shared" ref="I40" si="13">+G40+H40</f>
        <v>#REF!</v>
      </c>
      <c r="J40" s="92"/>
      <c r="K40" s="93" t="e">
        <f>SUM(I40:J40)</f>
        <v>#REF!</v>
      </c>
      <c r="L40" s="55"/>
    </row>
    <row r="41" spans="1:50" ht="13.5" thickTop="1" x14ac:dyDescent="0.2"/>
    <row r="44" spans="1:50" s="72" customFormat="1" ht="15.75" x14ac:dyDescent="0.25">
      <c r="B44" s="219" t="s">
        <v>66</v>
      </c>
      <c r="C44" s="219"/>
      <c r="D44" s="219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</row>
    <row r="45" spans="1:50" s="72" customFormat="1" ht="16.5" thickBot="1" x14ac:dyDescent="0.3"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</row>
    <row r="46" spans="1:50" s="77" customFormat="1" ht="23.1" customHeight="1" thickTop="1" x14ac:dyDescent="0.25">
      <c r="A46" s="205" t="s">
        <v>1</v>
      </c>
      <c r="B46" s="205" t="s">
        <v>2</v>
      </c>
      <c r="C46" s="139" t="s">
        <v>3</v>
      </c>
      <c r="D46" s="139" t="s">
        <v>4</v>
      </c>
      <c r="E46" s="139" t="s">
        <v>5</v>
      </c>
      <c r="F46" s="139" t="s">
        <v>6</v>
      </c>
      <c r="G46" s="139" t="s">
        <v>7</v>
      </c>
      <c r="H46" s="205" t="s">
        <v>8</v>
      </c>
      <c r="I46" s="139" t="s">
        <v>9</v>
      </c>
      <c r="J46" s="139" t="s">
        <v>10</v>
      </c>
      <c r="K46" s="139" t="s">
        <v>58</v>
      </c>
      <c r="L46" s="139" t="s">
        <v>12</v>
      </c>
    </row>
    <row r="47" spans="1:50" s="77" customFormat="1" ht="23.1" customHeight="1" thickBot="1" x14ac:dyDescent="0.3">
      <c r="A47" s="220"/>
      <c r="B47" s="220"/>
      <c r="C47" s="140"/>
      <c r="D47" s="140"/>
      <c r="E47" s="216"/>
      <c r="F47" s="204"/>
      <c r="G47" s="204"/>
      <c r="H47" s="206"/>
      <c r="I47" s="204"/>
      <c r="J47" s="140"/>
      <c r="K47" s="140">
        <v>2018</v>
      </c>
      <c r="L47" s="140"/>
    </row>
    <row r="48" spans="1:50" s="77" customFormat="1" ht="23.1" customHeight="1" thickTop="1" x14ac:dyDescent="0.25">
      <c r="A48" s="268" t="s">
        <v>59</v>
      </c>
      <c r="B48" s="225" t="s">
        <v>60</v>
      </c>
      <c r="C48" s="228" t="s">
        <v>61</v>
      </c>
      <c r="D48" s="224" t="s">
        <v>62</v>
      </c>
      <c r="E48" s="78" t="s">
        <v>17</v>
      </c>
      <c r="F48" s="79" t="s">
        <v>17</v>
      </c>
      <c r="G48" s="80" t="s">
        <v>17</v>
      </c>
      <c r="H48" s="79" t="s">
        <v>17</v>
      </c>
      <c r="I48" s="80" t="s">
        <v>17</v>
      </c>
      <c r="J48" s="79" t="s">
        <v>17</v>
      </c>
      <c r="K48" s="80" t="s">
        <v>17</v>
      </c>
      <c r="L48" s="53"/>
    </row>
    <row r="49" spans="1:14" s="77" customFormat="1" ht="23.1" customHeight="1" x14ac:dyDescent="0.25">
      <c r="A49" s="269"/>
      <c r="B49" s="226"/>
      <c r="C49" s="229"/>
      <c r="D49" s="221"/>
      <c r="E49" s="33">
        <f>IF(E51&lt;&gt;0,+E51/E53,0%)</f>
        <v>0.91550481662167849</v>
      </c>
      <c r="F49" s="50">
        <f>IF(F51&lt;&gt;0,ROUND(+F51/F53,4),0%)</f>
        <v>0</v>
      </c>
      <c r="G49" s="49" t="e">
        <f t="shared" ref="G49" si="14">IF(G51&lt;&gt;0,+G51/G53,0%)</f>
        <v>#REF!</v>
      </c>
      <c r="H49" s="50">
        <f>IF(H51&lt;&gt;0,ROUND(+H51/H53,4),0%)</f>
        <v>0</v>
      </c>
      <c r="I49" s="49" t="e">
        <f t="shared" ref="I49" si="15">IF(I51&lt;&gt;0,+I51/I53,0%)</f>
        <v>#REF!</v>
      </c>
      <c r="J49" s="50">
        <f>IF(J51&lt;&gt;0,ROUND(+J51/J53,4),0%)</f>
        <v>0</v>
      </c>
      <c r="K49" s="49" t="e">
        <f>IF(K51&lt;&gt;0,+K51/K53,0%)</f>
        <v>#REF!</v>
      </c>
      <c r="L49" s="54"/>
      <c r="N49" s="82"/>
    </row>
    <row r="50" spans="1:14" s="77" customFormat="1" ht="23.1" customHeight="1" thickBot="1" x14ac:dyDescent="0.3">
      <c r="A50" s="269"/>
      <c r="B50" s="226"/>
      <c r="C50" s="229"/>
      <c r="D50" s="223"/>
      <c r="E50" s="81" t="s">
        <v>18</v>
      </c>
      <c r="F50" s="83" t="s">
        <v>18</v>
      </c>
      <c r="G50" s="84" t="s">
        <v>18</v>
      </c>
      <c r="H50" s="83" t="s">
        <v>18</v>
      </c>
      <c r="I50" s="84" t="s">
        <v>18</v>
      </c>
      <c r="J50" s="83" t="s">
        <v>18</v>
      </c>
      <c r="K50" s="84" t="s">
        <v>18</v>
      </c>
      <c r="L50" s="54"/>
    </row>
    <row r="51" spans="1:14" s="77" customFormat="1" ht="23.1" customHeight="1" thickTop="1" x14ac:dyDescent="0.25">
      <c r="A51" s="269"/>
      <c r="B51" s="226"/>
      <c r="C51" s="229"/>
      <c r="D51" s="221" t="s">
        <v>25</v>
      </c>
      <c r="E51" s="85">
        <v>73938</v>
      </c>
      <c r="F51" s="86">
        <f t="shared" ref="F51" si="16">+F61+F71</f>
        <v>0</v>
      </c>
      <c r="G51" s="87" t="e">
        <f>+#REF!+F51</f>
        <v>#REF!</v>
      </c>
      <c r="H51" s="86">
        <f t="shared" ref="H51" si="17">+H61+H71</f>
        <v>0</v>
      </c>
      <c r="I51" s="87" t="e">
        <f>+G51+H51</f>
        <v>#REF!</v>
      </c>
      <c r="J51" s="86">
        <f t="shared" ref="J51" si="18">+J61+J71</f>
        <v>0</v>
      </c>
      <c r="K51" s="87" t="e">
        <f>+I51+J51</f>
        <v>#REF!</v>
      </c>
      <c r="L51" s="23" t="e">
        <f>K49/E49</f>
        <v>#REF!</v>
      </c>
    </row>
    <row r="52" spans="1:14" s="77" customFormat="1" ht="23.1" customHeight="1" x14ac:dyDescent="0.25">
      <c r="A52" s="269"/>
      <c r="B52" s="226"/>
      <c r="C52" s="229"/>
      <c r="D52" s="222"/>
      <c r="E52" s="81" t="s">
        <v>63</v>
      </c>
      <c r="F52" s="88" t="s">
        <v>20</v>
      </c>
      <c r="G52" s="90" t="s">
        <v>20</v>
      </c>
      <c r="H52" s="88" t="s">
        <v>20</v>
      </c>
      <c r="I52" s="90" t="s">
        <v>20</v>
      </c>
      <c r="J52" s="88" t="s">
        <v>20</v>
      </c>
      <c r="K52" s="90" t="s">
        <v>20</v>
      </c>
      <c r="L52" s="54"/>
    </row>
    <row r="53" spans="1:14" s="77" customFormat="1" ht="23.1" customHeight="1" thickBot="1" x14ac:dyDescent="0.3">
      <c r="A53" s="270"/>
      <c r="B53" s="227"/>
      <c r="C53" s="230"/>
      <c r="D53" s="223"/>
      <c r="E53" s="91">
        <v>80762</v>
      </c>
      <c r="F53" s="92">
        <f t="shared" ref="F53" si="19">+F63+F73</f>
        <v>0</v>
      </c>
      <c r="G53" s="93" t="e">
        <f>+#REF!+F53</f>
        <v>#REF!</v>
      </c>
      <c r="H53" s="92">
        <f t="shared" ref="H53" si="20">+H63+H73</f>
        <v>0</v>
      </c>
      <c r="I53" s="93" t="e">
        <f>+G53+H53</f>
        <v>#REF!</v>
      </c>
      <c r="J53" s="92">
        <f t="shared" ref="J53" si="21">+J63+J73</f>
        <v>0</v>
      </c>
      <c r="K53" s="93" t="e">
        <f>+I53+J53</f>
        <v>#REF!</v>
      </c>
      <c r="L53" s="55"/>
    </row>
    <row r="54" spans="1:14" ht="13.5" thickTop="1" x14ac:dyDescent="0.2"/>
    <row r="55" spans="1:14" s="72" customFormat="1" ht="21" thickBot="1" x14ac:dyDescent="0.35">
      <c r="A55" s="120" t="s">
        <v>64</v>
      </c>
      <c r="E55" s="73"/>
      <c r="F55" s="73"/>
      <c r="G55" s="73"/>
      <c r="H55" s="73"/>
      <c r="I55" s="73"/>
      <c r="J55" s="73"/>
      <c r="K55" s="73"/>
      <c r="L55" s="73"/>
    </row>
    <row r="56" spans="1:14" s="77" customFormat="1" ht="23.1" customHeight="1" thickTop="1" x14ac:dyDescent="0.25">
      <c r="A56" s="205" t="s">
        <v>1</v>
      </c>
      <c r="B56" s="205" t="s">
        <v>2</v>
      </c>
      <c r="C56" s="139" t="s">
        <v>3</v>
      </c>
      <c r="D56" s="139" t="s">
        <v>4</v>
      </c>
      <c r="E56" s="139" t="s">
        <v>5</v>
      </c>
      <c r="F56" s="139" t="s">
        <v>6</v>
      </c>
      <c r="G56" s="139" t="s">
        <v>7</v>
      </c>
      <c r="H56" s="205" t="s">
        <v>8</v>
      </c>
      <c r="I56" s="139" t="s">
        <v>9</v>
      </c>
      <c r="J56" s="139" t="s">
        <v>10</v>
      </c>
      <c r="K56" s="139" t="s">
        <v>58</v>
      </c>
      <c r="L56" s="139" t="s">
        <v>12</v>
      </c>
    </row>
    <row r="57" spans="1:14" s="77" customFormat="1" ht="23.1" customHeight="1" thickBot="1" x14ac:dyDescent="0.3">
      <c r="A57" s="220"/>
      <c r="B57" s="220"/>
      <c r="C57" s="140"/>
      <c r="D57" s="140"/>
      <c r="E57" s="216"/>
      <c r="F57" s="204"/>
      <c r="G57" s="204"/>
      <c r="H57" s="206"/>
      <c r="I57" s="204"/>
      <c r="J57" s="140"/>
      <c r="K57" s="140">
        <v>2018</v>
      </c>
      <c r="L57" s="140"/>
    </row>
    <row r="58" spans="1:14" s="77" customFormat="1" ht="23.1" customHeight="1" thickTop="1" x14ac:dyDescent="0.25">
      <c r="A58" s="268" t="s">
        <v>59</v>
      </c>
      <c r="B58" s="225" t="s">
        <v>60</v>
      </c>
      <c r="C58" s="228" t="s">
        <v>61</v>
      </c>
      <c r="D58" s="224" t="s">
        <v>62</v>
      </c>
      <c r="E58" s="78" t="s">
        <v>17</v>
      </c>
      <c r="F58" s="79" t="s">
        <v>17</v>
      </c>
      <c r="G58" s="80" t="s">
        <v>17</v>
      </c>
      <c r="H58" s="79" t="s">
        <v>17</v>
      </c>
      <c r="I58" s="80" t="s">
        <v>17</v>
      </c>
      <c r="J58" s="79" t="s">
        <v>17</v>
      </c>
      <c r="K58" s="80" t="s">
        <v>17</v>
      </c>
      <c r="L58" s="53"/>
    </row>
    <row r="59" spans="1:14" s="77" customFormat="1" ht="23.1" customHeight="1" x14ac:dyDescent="0.25">
      <c r="A59" s="269"/>
      <c r="B59" s="226"/>
      <c r="C59" s="229"/>
      <c r="D59" s="221"/>
      <c r="E59" s="33">
        <f>IF(E61&lt;&gt;0,+E61/E63,0%)</f>
        <v>0.91549350624062931</v>
      </c>
      <c r="F59" s="50">
        <f>IF(F61&lt;&gt;0,ROUND(+F61/F63,4),0%)</f>
        <v>0</v>
      </c>
      <c r="G59" s="49" t="e">
        <f t="shared" ref="G59" si="22">IF(G61&lt;&gt;0,+G61/G63,0%)</f>
        <v>#REF!</v>
      </c>
      <c r="H59" s="50">
        <f>IF(H61&lt;&gt;0,ROUND(+H61/H63,4),0%)</f>
        <v>0</v>
      </c>
      <c r="I59" s="49" t="e">
        <f t="shared" ref="I59" si="23">IF(I61&lt;&gt;0,+I61/I63,0%)</f>
        <v>#REF!</v>
      </c>
      <c r="J59" s="50">
        <f>IF(J61&lt;&gt;0,ROUND(+J61/J63,4),0%)</f>
        <v>0</v>
      </c>
      <c r="K59" s="49" t="e">
        <f>IF(K61&lt;&gt;0,+K61/K63,0%)</f>
        <v>#REF!</v>
      </c>
      <c r="L59" s="54"/>
    </row>
    <row r="60" spans="1:14" s="77" customFormat="1" ht="23.1" customHeight="1" thickBot="1" x14ac:dyDescent="0.3">
      <c r="A60" s="269"/>
      <c r="B60" s="226"/>
      <c r="C60" s="229"/>
      <c r="D60" s="223"/>
      <c r="E60" s="81"/>
      <c r="F60" s="83" t="s">
        <v>18</v>
      </c>
      <c r="G60" s="84" t="s">
        <v>18</v>
      </c>
      <c r="H60" s="83" t="s">
        <v>18</v>
      </c>
      <c r="I60" s="84" t="s">
        <v>18</v>
      </c>
      <c r="J60" s="83" t="s">
        <v>18</v>
      </c>
      <c r="K60" s="84" t="s">
        <v>18</v>
      </c>
      <c r="L60" s="54"/>
    </row>
    <row r="61" spans="1:14" s="77" customFormat="1" ht="23.1" customHeight="1" thickTop="1" x14ac:dyDescent="0.25">
      <c r="A61" s="269"/>
      <c r="B61" s="226"/>
      <c r="C61" s="229"/>
      <c r="D61" s="221" t="s">
        <v>25</v>
      </c>
      <c r="E61" s="85">
        <v>47017</v>
      </c>
      <c r="F61" s="86"/>
      <c r="G61" s="87" t="e">
        <f>+#REF!+F61</f>
        <v>#REF!</v>
      </c>
      <c r="H61" s="86"/>
      <c r="I61" s="87" t="e">
        <f>+G61+H61</f>
        <v>#REF!</v>
      </c>
      <c r="J61" s="86"/>
      <c r="K61" s="87" t="e">
        <f>SUM(I61:J61)</f>
        <v>#REF!</v>
      </c>
      <c r="L61" s="23" t="e">
        <f>+K59/E59</f>
        <v>#REF!</v>
      </c>
    </row>
    <row r="62" spans="1:14" s="77" customFormat="1" ht="23.1" customHeight="1" x14ac:dyDescent="0.25">
      <c r="A62" s="269"/>
      <c r="B62" s="226"/>
      <c r="C62" s="229"/>
      <c r="D62" s="222"/>
      <c r="E62" s="81" t="s">
        <v>63</v>
      </c>
      <c r="F62" s="88" t="s">
        <v>20</v>
      </c>
      <c r="G62" s="90" t="s">
        <v>20</v>
      </c>
      <c r="H62" s="88" t="s">
        <v>20</v>
      </c>
      <c r="I62" s="90" t="s">
        <v>20</v>
      </c>
      <c r="J62" s="88" t="s">
        <v>20</v>
      </c>
      <c r="K62" s="89" t="s">
        <v>20</v>
      </c>
      <c r="L62" s="54"/>
    </row>
    <row r="63" spans="1:14" s="77" customFormat="1" ht="23.1" customHeight="1" thickBot="1" x14ac:dyDescent="0.3">
      <c r="A63" s="270"/>
      <c r="B63" s="227"/>
      <c r="C63" s="230"/>
      <c r="D63" s="223"/>
      <c r="E63" s="91">
        <v>51357</v>
      </c>
      <c r="F63" s="92"/>
      <c r="G63" s="93" t="e">
        <f>+#REF!+F63</f>
        <v>#REF!</v>
      </c>
      <c r="H63" s="92"/>
      <c r="I63" s="93" t="e">
        <f t="shared" ref="I63" si="24">+G63+H63</f>
        <v>#REF!</v>
      </c>
      <c r="J63" s="92"/>
      <c r="K63" s="93" t="e">
        <f>SUM(I63:J63)</f>
        <v>#REF!</v>
      </c>
      <c r="L63" s="55"/>
      <c r="N63" s="95"/>
    </row>
    <row r="64" spans="1:14" ht="13.5" thickTop="1" x14ac:dyDescent="0.2"/>
    <row r="65" spans="1:12" s="72" customFormat="1" ht="21" thickBot="1" x14ac:dyDescent="0.35">
      <c r="A65" s="120" t="s">
        <v>65</v>
      </c>
      <c r="E65" s="73"/>
      <c r="F65" s="73"/>
      <c r="G65" s="73"/>
      <c r="H65" s="73"/>
      <c r="I65" s="73"/>
      <c r="J65" s="73"/>
      <c r="K65" s="73"/>
      <c r="L65" s="73"/>
    </row>
    <row r="66" spans="1:12" s="77" customFormat="1" ht="23.1" customHeight="1" thickTop="1" x14ac:dyDescent="0.25">
      <c r="A66" s="205" t="s">
        <v>1</v>
      </c>
      <c r="B66" s="205" t="s">
        <v>2</v>
      </c>
      <c r="C66" s="139" t="s">
        <v>3</v>
      </c>
      <c r="D66" s="139" t="s">
        <v>4</v>
      </c>
      <c r="E66" s="139" t="s">
        <v>5</v>
      </c>
      <c r="F66" s="139" t="s">
        <v>6</v>
      </c>
      <c r="G66" s="139" t="s">
        <v>7</v>
      </c>
      <c r="H66" s="205" t="s">
        <v>8</v>
      </c>
      <c r="I66" s="139" t="s">
        <v>9</v>
      </c>
      <c r="J66" s="139" t="s">
        <v>10</v>
      </c>
      <c r="K66" s="139" t="s">
        <v>58</v>
      </c>
      <c r="L66" s="139" t="s">
        <v>12</v>
      </c>
    </row>
    <row r="67" spans="1:12" s="77" customFormat="1" ht="23.1" customHeight="1" thickBot="1" x14ac:dyDescent="0.3">
      <c r="A67" s="220"/>
      <c r="B67" s="220"/>
      <c r="C67" s="140"/>
      <c r="D67" s="140"/>
      <c r="E67" s="216"/>
      <c r="F67" s="204"/>
      <c r="G67" s="204"/>
      <c r="H67" s="206"/>
      <c r="I67" s="204"/>
      <c r="J67" s="140"/>
      <c r="K67" s="140">
        <v>2018</v>
      </c>
      <c r="L67" s="140"/>
    </row>
    <row r="68" spans="1:12" s="77" customFormat="1" ht="23.1" customHeight="1" thickTop="1" x14ac:dyDescent="0.25">
      <c r="A68" s="268" t="s">
        <v>59</v>
      </c>
      <c r="B68" s="225" t="s">
        <v>60</v>
      </c>
      <c r="C68" s="228" t="s">
        <v>61</v>
      </c>
      <c r="D68" s="224" t="s">
        <v>62</v>
      </c>
      <c r="E68" s="78" t="s">
        <v>17</v>
      </c>
      <c r="F68" s="79" t="s">
        <v>17</v>
      </c>
      <c r="G68" s="80" t="s">
        <v>17</v>
      </c>
      <c r="H68" s="79" t="s">
        <v>17</v>
      </c>
      <c r="I68" s="80" t="s">
        <v>17</v>
      </c>
      <c r="J68" s="79" t="s">
        <v>17</v>
      </c>
      <c r="K68" s="80" t="s">
        <v>17</v>
      </c>
      <c r="L68" s="53"/>
    </row>
    <row r="69" spans="1:12" s="77" customFormat="1" ht="23.1" customHeight="1" x14ac:dyDescent="0.25">
      <c r="A69" s="269"/>
      <c r="B69" s="226"/>
      <c r="C69" s="229"/>
      <c r="D69" s="221"/>
      <c r="E69" s="33">
        <f>IF(E71&lt;&gt;0,+E71/E73,0%)</f>
        <v>0.91552457065124981</v>
      </c>
      <c r="F69" s="50">
        <f>IF(F71&lt;&gt;0,ROUND(+F71/F73,4),0%)</f>
        <v>0</v>
      </c>
      <c r="G69" s="49" t="e">
        <f t="shared" ref="G69" si="25">IF(G71&lt;&gt;0,+G71/G73,0%)</f>
        <v>#REF!</v>
      </c>
      <c r="H69" s="50">
        <f>IF(H71&lt;&gt;0,ROUND(+H71/H73,4),0%)</f>
        <v>0</v>
      </c>
      <c r="I69" s="49" t="e">
        <f t="shared" ref="I69" si="26">IF(I71&lt;&gt;0,+I71/I73,0%)</f>
        <v>#REF!</v>
      </c>
      <c r="J69" s="50">
        <f>IF(J71&lt;&gt;0,ROUND(+J71/J73,4),0%)</f>
        <v>0</v>
      </c>
      <c r="K69" s="49" t="e">
        <f>IF(K71&lt;&gt;0,+K71/K73,0%)</f>
        <v>#REF!</v>
      </c>
      <c r="L69" s="54"/>
    </row>
    <row r="70" spans="1:12" s="77" customFormat="1" ht="23.1" customHeight="1" thickBot="1" x14ac:dyDescent="0.3">
      <c r="A70" s="269"/>
      <c r="B70" s="226"/>
      <c r="C70" s="229"/>
      <c r="D70" s="223"/>
      <c r="E70" s="81"/>
      <c r="F70" s="83" t="s">
        <v>18</v>
      </c>
      <c r="G70" s="84" t="s">
        <v>18</v>
      </c>
      <c r="H70" s="83" t="s">
        <v>18</v>
      </c>
      <c r="I70" s="84" t="s">
        <v>18</v>
      </c>
      <c r="J70" s="83" t="s">
        <v>18</v>
      </c>
      <c r="K70" s="84" t="s">
        <v>18</v>
      </c>
      <c r="L70" s="54"/>
    </row>
    <row r="71" spans="1:12" s="77" customFormat="1" ht="23.1" customHeight="1" thickTop="1" x14ac:dyDescent="0.25">
      <c r="A71" s="269"/>
      <c r="B71" s="226"/>
      <c r="C71" s="229"/>
      <c r="D71" s="221" t="s">
        <v>25</v>
      </c>
      <c r="E71" s="85">
        <v>26921</v>
      </c>
      <c r="F71" s="86"/>
      <c r="G71" s="87" t="e">
        <f>+#REF!+F71</f>
        <v>#REF!</v>
      </c>
      <c r="H71" s="86"/>
      <c r="I71" s="87" t="e">
        <f>+G71+H71</f>
        <v>#REF!</v>
      </c>
      <c r="J71" s="86"/>
      <c r="K71" s="87" t="e">
        <f>SUM(I71:J71)</f>
        <v>#REF!</v>
      </c>
      <c r="L71" s="23" t="e">
        <f>+K69/E69</f>
        <v>#REF!</v>
      </c>
    </row>
    <row r="72" spans="1:12" s="77" customFormat="1" ht="23.1" customHeight="1" x14ac:dyDescent="0.25">
      <c r="A72" s="269"/>
      <c r="B72" s="226"/>
      <c r="C72" s="229"/>
      <c r="D72" s="222"/>
      <c r="E72" s="81" t="s">
        <v>63</v>
      </c>
      <c r="F72" s="88" t="s">
        <v>20</v>
      </c>
      <c r="G72" s="90" t="s">
        <v>20</v>
      </c>
      <c r="H72" s="88" t="s">
        <v>20</v>
      </c>
      <c r="I72" s="90" t="s">
        <v>20</v>
      </c>
      <c r="J72" s="88" t="s">
        <v>20</v>
      </c>
      <c r="K72" s="89" t="s">
        <v>20</v>
      </c>
      <c r="L72" s="54"/>
    </row>
    <row r="73" spans="1:12" s="77" customFormat="1" ht="23.1" customHeight="1" thickBot="1" x14ac:dyDescent="0.3">
      <c r="A73" s="270"/>
      <c r="B73" s="227"/>
      <c r="C73" s="230"/>
      <c r="D73" s="223"/>
      <c r="E73" s="91">
        <v>29405</v>
      </c>
      <c r="F73" s="92"/>
      <c r="G73" s="93" t="e">
        <f>+#REF!+F73</f>
        <v>#REF!</v>
      </c>
      <c r="H73" s="92"/>
      <c r="I73" s="93" t="e">
        <f t="shared" ref="I73" si="27">+G73+H73</f>
        <v>#REF!</v>
      </c>
      <c r="J73" s="92"/>
      <c r="K73" s="93" t="e">
        <f>SUM(I73:J73)</f>
        <v>#REF!</v>
      </c>
      <c r="L73" s="55"/>
    </row>
    <row r="74" spans="1:12" ht="13.5" thickTop="1" x14ac:dyDescent="0.2"/>
    <row r="77" spans="1:12" s="96" customFormat="1" ht="15.75" x14ac:dyDescent="0.25">
      <c r="B77" s="231" t="s">
        <v>67</v>
      </c>
      <c r="C77" s="231"/>
      <c r="D77" s="231"/>
      <c r="E77" s="98"/>
      <c r="F77" s="98"/>
      <c r="G77" s="69"/>
      <c r="H77" s="98"/>
      <c r="I77" s="69"/>
      <c r="J77" s="98"/>
      <c r="K77" s="69"/>
      <c r="L77" s="99"/>
    </row>
    <row r="78" spans="1:12" s="96" customFormat="1" ht="13.5" thickBot="1" x14ac:dyDescent="0.25">
      <c r="F78" s="73"/>
      <c r="G78" s="73"/>
      <c r="H78" s="73"/>
      <c r="I78" s="73"/>
      <c r="J78" s="73"/>
    </row>
    <row r="79" spans="1:12" s="77" customFormat="1" ht="23.1" customHeight="1" thickTop="1" x14ac:dyDescent="0.25">
      <c r="A79" s="205" t="s">
        <v>1</v>
      </c>
      <c r="B79" s="205" t="s">
        <v>2</v>
      </c>
      <c r="C79" s="139" t="s">
        <v>3</v>
      </c>
      <c r="D79" s="139" t="s">
        <v>4</v>
      </c>
      <c r="E79" s="139" t="s">
        <v>5</v>
      </c>
      <c r="F79" s="139" t="s">
        <v>6</v>
      </c>
      <c r="G79" s="139" t="s">
        <v>7</v>
      </c>
      <c r="H79" s="205" t="s">
        <v>8</v>
      </c>
      <c r="I79" s="139" t="s">
        <v>9</v>
      </c>
      <c r="J79" s="139" t="s">
        <v>10</v>
      </c>
      <c r="K79" s="139" t="s">
        <v>58</v>
      </c>
      <c r="L79" s="139" t="s">
        <v>12</v>
      </c>
    </row>
    <row r="80" spans="1:12" s="77" customFormat="1" ht="23.1" customHeight="1" thickBot="1" x14ac:dyDescent="0.3">
      <c r="A80" s="220"/>
      <c r="B80" s="220"/>
      <c r="C80" s="140"/>
      <c r="D80" s="140"/>
      <c r="E80" s="216"/>
      <c r="F80" s="204"/>
      <c r="G80" s="204"/>
      <c r="H80" s="206"/>
      <c r="I80" s="204"/>
      <c r="J80" s="140"/>
      <c r="K80" s="140">
        <v>2018</v>
      </c>
      <c r="L80" s="140"/>
    </row>
    <row r="81" spans="1:14" s="100" customFormat="1" ht="23.1" customHeight="1" thickTop="1" x14ac:dyDescent="0.25">
      <c r="A81" s="271" t="s">
        <v>68</v>
      </c>
      <c r="B81" s="236" t="s">
        <v>69</v>
      </c>
      <c r="C81" s="239" t="s">
        <v>61</v>
      </c>
      <c r="D81" s="235" t="s">
        <v>62</v>
      </c>
      <c r="E81" s="79" t="s">
        <v>17</v>
      </c>
      <c r="F81" s="79" t="s">
        <v>17</v>
      </c>
      <c r="G81" s="80" t="s">
        <v>17</v>
      </c>
      <c r="H81" s="79" t="s">
        <v>17</v>
      </c>
      <c r="I81" s="80" t="s">
        <v>17</v>
      </c>
      <c r="J81" s="79" t="s">
        <v>17</v>
      </c>
      <c r="K81" s="80" t="s">
        <v>17</v>
      </c>
      <c r="L81" s="57"/>
      <c r="N81" s="77"/>
    </row>
    <row r="82" spans="1:14" s="100" customFormat="1" ht="23.1" customHeight="1" x14ac:dyDescent="0.25">
      <c r="A82" s="272"/>
      <c r="B82" s="237"/>
      <c r="C82" s="240"/>
      <c r="D82" s="232"/>
      <c r="E82" s="56">
        <f t="shared" ref="E82" si="28">IF(E84&lt;&gt;0,+E84/E86,0%)</f>
        <v>0.97888714549510603</v>
      </c>
      <c r="F82" s="50">
        <f>IF(F84&lt;&gt;0,ROUND(+F84/F86,4),0%)</f>
        <v>0</v>
      </c>
      <c r="G82" s="49" t="e">
        <f t="shared" ref="G82" si="29">IF(G84&lt;&gt;0,+G84/G86,0%)</f>
        <v>#REF!</v>
      </c>
      <c r="H82" s="50">
        <f>IF(H84&lt;&gt;0,ROUND(+H84/H86,4),0%)</f>
        <v>0</v>
      </c>
      <c r="I82" s="49" t="e">
        <f t="shared" ref="I82" si="30">IF(I84&lt;&gt;0,+I84/I86,0%)</f>
        <v>#REF!</v>
      </c>
      <c r="J82" s="50">
        <f>IF(J84&lt;&gt;0,ROUND(+J84/J86,4),0%)</f>
        <v>0</v>
      </c>
      <c r="K82" s="49" t="e">
        <f>IF(K84&lt;&gt;0,+K84/K86,0%)</f>
        <v>#REF!</v>
      </c>
      <c r="L82" s="58"/>
      <c r="N82" s="77"/>
    </row>
    <row r="83" spans="1:14" s="100" customFormat="1" ht="23.1" customHeight="1" thickBot="1" x14ac:dyDescent="0.3">
      <c r="A83" s="272"/>
      <c r="B83" s="237"/>
      <c r="C83" s="240"/>
      <c r="D83" s="234"/>
      <c r="E83" s="83" t="s">
        <v>18</v>
      </c>
      <c r="F83" s="83" t="s">
        <v>18</v>
      </c>
      <c r="G83" s="84" t="s">
        <v>18</v>
      </c>
      <c r="H83" s="83" t="s">
        <v>18</v>
      </c>
      <c r="I83" s="84" t="s">
        <v>18</v>
      </c>
      <c r="J83" s="83" t="s">
        <v>18</v>
      </c>
      <c r="K83" s="84" t="s">
        <v>18</v>
      </c>
      <c r="L83" s="58"/>
      <c r="N83" s="77"/>
    </row>
    <row r="84" spans="1:14" s="100" customFormat="1" ht="23.1" customHeight="1" thickTop="1" x14ac:dyDescent="0.25">
      <c r="A84" s="272"/>
      <c r="B84" s="237"/>
      <c r="C84" s="240"/>
      <c r="D84" s="232" t="s">
        <v>25</v>
      </c>
      <c r="E84" s="85">
        <v>91709</v>
      </c>
      <c r="F84" s="86">
        <f t="shared" ref="F84" si="31">+F94+F104</f>
        <v>0</v>
      </c>
      <c r="G84" s="87" t="e">
        <f>+#REF!+F84</f>
        <v>#REF!</v>
      </c>
      <c r="H84" s="86">
        <f t="shared" ref="H84" si="32">+H94+H104</f>
        <v>0</v>
      </c>
      <c r="I84" s="87" t="e">
        <f>+G84+H84</f>
        <v>#REF!</v>
      </c>
      <c r="J84" s="86">
        <f t="shared" ref="J84" si="33">+J94+J104</f>
        <v>0</v>
      </c>
      <c r="K84" s="87" t="e">
        <f>+I84+J84</f>
        <v>#REF!</v>
      </c>
      <c r="L84" s="47" t="e">
        <f>+K82/E82</f>
        <v>#REF!</v>
      </c>
      <c r="N84" s="77"/>
    </row>
    <row r="85" spans="1:14" s="100" customFormat="1" ht="23.1" customHeight="1" x14ac:dyDescent="0.25">
      <c r="A85" s="272"/>
      <c r="B85" s="237"/>
      <c r="C85" s="240"/>
      <c r="D85" s="233"/>
      <c r="E85" s="81" t="s">
        <v>63</v>
      </c>
      <c r="F85" s="88" t="s">
        <v>20</v>
      </c>
      <c r="G85" s="90" t="s">
        <v>20</v>
      </c>
      <c r="H85" s="88" t="s">
        <v>20</v>
      </c>
      <c r="I85" s="90" t="s">
        <v>20</v>
      </c>
      <c r="J85" s="88" t="s">
        <v>20</v>
      </c>
      <c r="K85" s="90" t="s">
        <v>20</v>
      </c>
      <c r="L85" s="58"/>
      <c r="N85" s="77"/>
    </row>
    <row r="86" spans="1:14" s="100" customFormat="1" ht="23.1" customHeight="1" thickBot="1" x14ac:dyDescent="0.3">
      <c r="A86" s="273"/>
      <c r="B86" s="238"/>
      <c r="C86" s="241"/>
      <c r="D86" s="234"/>
      <c r="E86" s="91">
        <v>93687</v>
      </c>
      <c r="F86" s="92">
        <f t="shared" ref="F86" si="34">+F96+F106</f>
        <v>0</v>
      </c>
      <c r="G86" s="93" t="e">
        <f>+#REF!+F86</f>
        <v>#REF!</v>
      </c>
      <c r="H86" s="92">
        <f t="shared" ref="H86" si="35">+H96+H106</f>
        <v>0</v>
      </c>
      <c r="I86" s="93" t="e">
        <f>+G86+H86</f>
        <v>#REF!</v>
      </c>
      <c r="J86" s="92">
        <f t="shared" ref="J86" si="36">+J96+J106</f>
        <v>0</v>
      </c>
      <c r="K86" s="93" t="e">
        <f>+I86+J86</f>
        <v>#REF!</v>
      </c>
      <c r="L86" s="59"/>
      <c r="N86" s="77"/>
    </row>
    <row r="87" spans="1:14" ht="13.5" thickTop="1" x14ac:dyDescent="0.2"/>
    <row r="88" spans="1:14" s="72" customFormat="1" ht="21" thickBot="1" x14ac:dyDescent="0.35">
      <c r="A88" s="120" t="s">
        <v>64</v>
      </c>
      <c r="E88" s="73"/>
      <c r="F88" s="73"/>
      <c r="G88" s="73"/>
      <c r="H88" s="73"/>
      <c r="I88" s="73"/>
      <c r="J88" s="73"/>
      <c r="K88" s="73"/>
      <c r="L88" s="73"/>
    </row>
    <row r="89" spans="1:14" s="77" customFormat="1" ht="23.1" customHeight="1" thickTop="1" x14ac:dyDescent="0.25">
      <c r="A89" s="205" t="s">
        <v>1</v>
      </c>
      <c r="B89" s="205" t="s">
        <v>2</v>
      </c>
      <c r="C89" s="139" t="s">
        <v>3</v>
      </c>
      <c r="D89" s="139" t="s">
        <v>4</v>
      </c>
      <c r="E89" s="139" t="s">
        <v>5</v>
      </c>
      <c r="F89" s="139" t="s">
        <v>6</v>
      </c>
      <c r="G89" s="139" t="s">
        <v>7</v>
      </c>
      <c r="H89" s="205" t="s">
        <v>8</v>
      </c>
      <c r="I89" s="139" t="s">
        <v>9</v>
      </c>
      <c r="J89" s="139" t="s">
        <v>10</v>
      </c>
      <c r="K89" s="139" t="s">
        <v>58</v>
      </c>
      <c r="L89" s="139" t="s">
        <v>12</v>
      </c>
    </row>
    <row r="90" spans="1:14" s="77" customFormat="1" ht="23.1" customHeight="1" thickBot="1" x14ac:dyDescent="0.3">
      <c r="A90" s="220"/>
      <c r="B90" s="220"/>
      <c r="C90" s="140"/>
      <c r="D90" s="140"/>
      <c r="E90" s="216"/>
      <c r="F90" s="204"/>
      <c r="G90" s="204"/>
      <c r="H90" s="206"/>
      <c r="I90" s="204"/>
      <c r="J90" s="140"/>
      <c r="K90" s="140">
        <v>2018</v>
      </c>
      <c r="L90" s="140"/>
    </row>
    <row r="91" spans="1:14" s="77" customFormat="1" ht="23.1" customHeight="1" thickTop="1" x14ac:dyDescent="0.25">
      <c r="A91" s="271" t="s">
        <v>68</v>
      </c>
      <c r="B91" s="236" t="s">
        <v>69</v>
      </c>
      <c r="C91" s="239" t="s">
        <v>61</v>
      </c>
      <c r="D91" s="235" t="s">
        <v>62</v>
      </c>
      <c r="E91" s="78" t="s">
        <v>17</v>
      </c>
      <c r="F91" s="79" t="s">
        <v>17</v>
      </c>
      <c r="G91" s="80" t="s">
        <v>17</v>
      </c>
      <c r="H91" s="79" t="s">
        <v>17</v>
      </c>
      <c r="I91" s="80" t="s">
        <v>17</v>
      </c>
      <c r="J91" s="79" t="s">
        <v>17</v>
      </c>
      <c r="K91" s="80" t="s">
        <v>17</v>
      </c>
      <c r="L91" s="53"/>
    </row>
    <row r="92" spans="1:14" s="77" customFormat="1" ht="23.1" customHeight="1" x14ac:dyDescent="0.25">
      <c r="A92" s="272"/>
      <c r="B92" s="237"/>
      <c r="C92" s="240"/>
      <c r="D92" s="232"/>
      <c r="E92" s="56">
        <f t="shared" ref="E92" si="37">IF(E94&lt;&gt;0,+E94/E96,0%)</f>
        <v>0.97888513513513509</v>
      </c>
      <c r="F92" s="50">
        <f>IF(F94&lt;&gt;0,ROUND(+F94/F96,4),0%)</f>
        <v>0</v>
      </c>
      <c r="G92" s="49" t="e">
        <f t="shared" ref="G92" si="38">IF(G94&lt;&gt;0,+G94/G96,0%)</f>
        <v>#REF!</v>
      </c>
      <c r="H92" s="50">
        <f>IF(H94&lt;&gt;0,ROUND(+H94/H96,4),0%)</f>
        <v>0</v>
      </c>
      <c r="I92" s="49" t="e">
        <f t="shared" ref="I92" si="39">IF(I94&lt;&gt;0,+I94/I96,0%)</f>
        <v>#REF!</v>
      </c>
      <c r="J92" s="50">
        <f>IF(J94&lt;&gt;0,ROUND(+J94/J96,4),0%)</f>
        <v>0</v>
      </c>
      <c r="K92" s="49" t="e">
        <f>IF(K94&lt;&gt;0,+K94/K96,0%)</f>
        <v>#REF!</v>
      </c>
      <c r="L92" s="54"/>
    </row>
    <row r="93" spans="1:14" s="77" customFormat="1" ht="23.1" customHeight="1" thickBot="1" x14ac:dyDescent="0.3">
      <c r="A93" s="272"/>
      <c r="B93" s="237"/>
      <c r="C93" s="240"/>
      <c r="D93" s="234"/>
      <c r="E93" s="81"/>
      <c r="F93" s="83" t="s">
        <v>18</v>
      </c>
      <c r="G93" s="84" t="s">
        <v>18</v>
      </c>
      <c r="H93" s="83" t="s">
        <v>18</v>
      </c>
      <c r="I93" s="84" t="s">
        <v>18</v>
      </c>
      <c r="J93" s="83" t="s">
        <v>18</v>
      </c>
      <c r="K93" s="84" t="s">
        <v>18</v>
      </c>
      <c r="L93" s="54"/>
    </row>
    <row r="94" spans="1:14" s="77" customFormat="1" ht="23.1" customHeight="1" thickTop="1" x14ac:dyDescent="0.25">
      <c r="A94" s="272"/>
      <c r="B94" s="237"/>
      <c r="C94" s="240"/>
      <c r="D94" s="232" t="s">
        <v>25</v>
      </c>
      <c r="E94" s="85">
        <v>61427</v>
      </c>
      <c r="F94" s="86"/>
      <c r="G94" s="87" t="e">
        <f>+#REF!+F94</f>
        <v>#REF!</v>
      </c>
      <c r="H94" s="86"/>
      <c r="I94" s="87" t="e">
        <f>+G94+H94</f>
        <v>#REF!</v>
      </c>
      <c r="J94" s="86"/>
      <c r="K94" s="87" t="e">
        <f>SUM(I94:J94)</f>
        <v>#REF!</v>
      </c>
      <c r="L94" s="23" t="e">
        <f>+K92/E92</f>
        <v>#REF!</v>
      </c>
    </row>
    <row r="95" spans="1:14" s="77" customFormat="1" ht="23.1" customHeight="1" x14ac:dyDescent="0.25">
      <c r="A95" s="272"/>
      <c r="B95" s="237"/>
      <c r="C95" s="240"/>
      <c r="D95" s="233"/>
      <c r="E95" s="81" t="s">
        <v>63</v>
      </c>
      <c r="F95" s="88" t="s">
        <v>20</v>
      </c>
      <c r="G95" s="90" t="s">
        <v>20</v>
      </c>
      <c r="H95" s="88" t="s">
        <v>20</v>
      </c>
      <c r="I95" s="90" t="s">
        <v>20</v>
      </c>
      <c r="J95" s="88" t="s">
        <v>20</v>
      </c>
      <c r="K95" s="89" t="s">
        <v>20</v>
      </c>
      <c r="L95" s="54"/>
    </row>
    <row r="96" spans="1:14" s="77" customFormat="1" ht="23.1" customHeight="1" thickBot="1" x14ac:dyDescent="0.3">
      <c r="A96" s="273"/>
      <c r="B96" s="238"/>
      <c r="C96" s="241"/>
      <c r="D96" s="234"/>
      <c r="E96" s="91">
        <v>62752</v>
      </c>
      <c r="F96" s="92"/>
      <c r="G96" s="93" t="e">
        <f>+#REF!+F96</f>
        <v>#REF!</v>
      </c>
      <c r="H96" s="92"/>
      <c r="I96" s="93" t="e">
        <f t="shared" ref="I96" si="40">+G96+H96</f>
        <v>#REF!</v>
      </c>
      <c r="J96" s="92"/>
      <c r="K96" s="93" t="e">
        <f>SUM(I96:J96)</f>
        <v>#REF!</v>
      </c>
      <c r="L96" s="55"/>
      <c r="N96" s="95"/>
    </row>
    <row r="97" spans="1:12" ht="13.5" thickTop="1" x14ac:dyDescent="0.2"/>
    <row r="98" spans="1:12" s="72" customFormat="1" ht="21" thickBot="1" x14ac:dyDescent="0.35">
      <c r="A98" s="120" t="s">
        <v>65</v>
      </c>
      <c r="E98" s="73"/>
      <c r="F98" s="73"/>
      <c r="G98" s="73"/>
      <c r="H98" s="73"/>
      <c r="I98" s="73"/>
      <c r="J98" s="73"/>
      <c r="K98" s="73"/>
      <c r="L98" s="73"/>
    </row>
    <row r="99" spans="1:12" s="77" customFormat="1" ht="23.1" customHeight="1" thickTop="1" x14ac:dyDescent="0.25">
      <c r="A99" s="205" t="s">
        <v>1</v>
      </c>
      <c r="B99" s="205" t="s">
        <v>2</v>
      </c>
      <c r="C99" s="139" t="s">
        <v>3</v>
      </c>
      <c r="D99" s="139" t="s">
        <v>4</v>
      </c>
      <c r="E99" s="139" t="s">
        <v>5</v>
      </c>
      <c r="F99" s="139" t="s">
        <v>6</v>
      </c>
      <c r="G99" s="139" t="s">
        <v>7</v>
      </c>
      <c r="H99" s="205" t="s">
        <v>8</v>
      </c>
      <c r="I99" s="139" t="s">
        <v>9</v>
      </c>
      <c r="J99" s="139" t="s">
        <v>10</v>
      </c>
      <c r="K99" s="139" t="s">
        <v>58</v>
      </c>
      <c r="L99" s="139" t="s">
        <v>12</v>
      </c>
    </row>
    <row r="100" spans="1:12" s="77" customFormat="1" ht="23.1" customHeight="1" thickBot="1" x14ac:dyDescent="0.3">
      <c r="A100" s="220"/>
      <c r="B100" s="220"/>
      <c r="C100" s="140"/>
      <c r="D100" s="140"/>
      <c r="E100" s="216"/>
      <c r="F100" s="204"/>
      <c r="G100" s="204"/>
      <c r="H100" s="206"/>
      <c r="I100" s="204"/>
      <c r="J100" s="140"/>
      <c r="K100" s="140">
        <v>2018</v>
      </c>
      <c r="L100" s="140"/>
    </row>
    <row r="101" spans="1:12" s="77" customFormat="1" ht="23.1" customHeight="1" thickTop="1" x14ac:dyDescent="0.25">
      <c r="A101" s="271" t="s">
        <v>68</v>
      </c>
      <c r="B101" s="236" t="s">
        <v>69</v>
      </c>
      <c r="C101" s="239" t="s">
        <v>61</v>
      </c>
      <c r="D101" s="235" t="s">
        <v>62</v>
      </c>
      <c r="E101" s="78" t="s">
        <v>17</v>
      </c>
      <c r="F101" s="79" t="s">
        <v>17</v>
      </c>
      <c r="G101" s="80" t="s">
        <v>17</v>
      </c>
      <c r="H101" s="79" t="s">
        <v>17</v>
      </c>
      <c r="I101" s="80" t="s">
        <v>17</v>
      </c>
      <c r="J101" s="79" t="s">
        <v>17</v>
      </c>
      <c r="K101" s="80" t="s">
        <v>17</v>
      </c>
      <c r="L101" s="53"/>
    </row>
    <row r="102" spans="1:12" s="77" customFormat="1" ht="23.1" customHeight="1" x14ac:dyDescent="0.25">
      <c r="A102" s="272"/>
      <c r="B102" s="237"/>
      <c r="C102" s="240"/>
      <c r="D102" s="232"/>
      <c r="E102" s="56">
        <f t="shared" ref="E102" si="41">IF(E104&lt;&gt;0,+E104/E106,0%)</f>
        <v>0.97889122353321478</v>
      </c>
      <c r="F102" s="50">
        <f>IF(F104&lt;&gt;0,ROUND(+F104/F106,4),0%)</f>
        <v>0</v>
      </c>
      <c r="G102" s="49" t="e">
        <f t="shared" ref="G102" si="42">IF(G104&lt;&gt;0,+G104/G106,0%)</f>
        <v>#REF!</v>
      </c>
      <c r="H102" s="50">
        <f>IF(H104&lt;&gt;0,ROUND(+H104/H106,4),0%)</f>
        <v>0</v>
      </c>
      <c r="I102" s="49" t="e">
        <f t="shared" ref="I102" si="43">IF(I104&lt;&gt;0,+I104/I106,0%)</f>
        <v>#REF!</v>
      </c>
      <c r="J102" s="50">
        <f>IF(J104&lt;&gt;0,ROUND(+J104/J106,4),0%)</f>
        <v>0</v>
      </c>
      <c r="K102" s="49" t="e">
        <f>IF(K104&lt;&gt;0,+K104/K106,0%)</f>
        <v>#REF!</v>
      </c>
      <c r="L102" s="54"/>
    </row>
    <row r="103" spans="1:12" s="77" customFormat="1" ht="23.1" customHeight="1" thickBot="1" x14ac:dyDescent="0.3">
      <c r="A103" s="272"/>
      <c r="B103" s="237"/>
      <c r="C103" s="240"/>
      <c r="D103" s="234"/>
      <c r="E103" s="81"/>
      <c r="F103" s="83" t="s">
        <v>18</v>
      </c>
      <c r="G103" s="84" t="s">
        <v>18</v>
      </c>
      <c r="H103" s="83" t="s">
        <v>18</v>
      </c>
      <c r="I103" s="84" t="s">
        <v>18</v>
      </c>
      <c r="J103" s="83" t="s">
        <v>18</v>
      </c>
      <c r="K103" s="84" t="s">
        <v>18</v>
      </c>
      <c r="L103" s="54"/>
    </row>
    <row r="104" spans="1:12" s="77" customFormat="1" ht="23.1" customHeight="1" thickTop="1" x14ac:dyDescent="0.25">
      <c r="A104" s="272"/>
      <c r="B104" s="237"/>
      <c r="C104" s="240"/>
      <c r="D104" s="232" t="s">
        <v>25</v>
      </c>
      <c r="E104" s="85">
        <v>30282</v>
      </c>
      <c r="F104" s="86"/>
      <c r="G104" s="87" t="e">
        <f>+#REF!+F104</f>
        <v>#REF!</v>
      </c>
      <c r="H104" s="86"/>
      <c r="I104" s="87" t="e">
        <f>+G104+H104</f>
        <v>#REF!</v>
      </c>
      <c r="J104" s="86"/>
      <c r="K104" s="87" t="e">
        <f>SUM(I104:J104)</f>
        <v>#REF!</v>
      </c>
      <c r="L104" s="23" t="e">
        <f>+K102/E102</f>
        <v>#REF!</v>
      </c>
    </row>
    <row r="105" spans="1:12" s="77" customFormat="1" ht="23.1" customHeight="1" x14ac:dyDescent="0.25">
      <c r="A105" s="272"/>
      <c r="B105" s="237"/>
      <c r="C105" s="240"/>
      <c r="D105" s="233"/>
      <c r="E105" s="81" t="s">
        <v>63</v>
      </c>
      <c r="F105" s="88" t="s">
        <v>20</v>
      </c>
      <c r="G105" s="90" t="s">
        <v>20</v>
      </c>
      <c r="H105" s="88" t="s">
        <v>20</v>
      </c>
      <c r="I105" s="90" t="s">
        <v>20</v>
      </c>
      <c r="J105" s="88" t="s">
        <v>20</v>
      </c>
      <c r="K105" s="89" t="s">
        <v>20</v>
      </c>
      <c r="L105" s="54"/>
    </row>
    <row r="106" spans="1:12" s="77" customFormat="1" ht="23.1" customHeight="1" thickBot="1" x14ac:dyDescent="0.3">
      <c r="A106" s="273"/>
      <c r="B106" s="238"/>
      <c r="C106" s="241"/>
      <c r="D106" s="234"/>
      <c r="E106" s="91">
        <v>30935</v>
      </c>
      <c r="F106" s="92"/>
      <c r="G106" s="93" t="e">
        <f>+#REF!+F106</f>
        <v>#REF!</v>
      </c>
      <c r="H106" s="92"/>
      <c r="I106" s="93" t="e">
        <f t="shared" ref="I106" si="44">+G106+H106</f>
        <v>#REF!</v>
      </c>
      <c r="J106" s="92"/>
      <c r="K106" s="93" t="e">
        <f>SUM(I106:J106)</f>
        <v>#REF!</v>
      </c>
      <c r="L106" s="55"/>
    </row>
    <row r="107" spans="1:12" ht="13.5" thickTop="1" x14ac:dyDescent="0.2"/>
    <row r="110" spans="1:12" s="72" customFormat="1" ht="15.75" x14ac:dyDescent="0.25">
      <c r="B110" s="219" t="s">
        <v>70</v>
      </c>
      <c r="C110" s="219"/>
      <c r="D110" s="219"/>
      <c r="E110" s="76"/>
      <c r="F110" s="76"/>
      <c r="G110" s="68"/>
      <c r="H110" s="76"/>
      <c r="I110" s="68"/>
      <c r="J110" s="76"/>
      <c r="K110" s="68"/>
      <c r="L110" s="101"/>
    </row>
    <row r="111" spans="1:12" s="72" customFormat="1" ht="16.5" thickBot="1" x14ac:dyDescent="0.3">
      <c r="E111" s="73"/>
      <c r="F111" s="73"/>
      <c r="G111" s="73"/>
      <c r="H111" s="73"/>
      <c r="I111" s="73"/>
      <c r="J111" s="73"/>
      <c r="K111" s="73"/>
      <c r="L111" s="73"/>
    </row>
    <row r="112" spans="1:12" s="77" customFormat="1" ht="23.1" customHeight="1" thickTop="1" x14ac:dyDescent="0.25">
      <c r="A112" s="205" t="s">
        <v>1</v>
      </c>
      <c r="B112" s="205" t="s">
        <v>2</v>
      </c>
      <c r="C112" s="139" t="s">
        <v>3</v>
      </c>
      <c r="D112" s="139" t="s">
        <v>4</v>
      </c>
      <c r="E112" s="139" t="s">
        <v>5</v>
      </c>
      <c r="F112" s="139" t="s">
        <v>6</v>
      </c>
      <c r="G112" s="139" t="s">
        <v>7</v>
      </c>
      <c r="H112" s="205" t="s">
        <v>8</v>
      </c>
      <c r="I112" s="139" t="s">
        <v>9</v>
      </c>
      <c r="J112" s="139" t="s">
        <v>10</v>
      </c>
      <c r="K112" s="139" t="s">
        <v>58</v>
      </c>
      <c r="L112" s="139" t="s">
        <v>12</v>
      </c>
    </row>
    <row r="113" spans="1:12" s="77" customFormat="1" ht="23.1" customHeight="1" thickBot="1" x14ac:dyDescent="0.3">
      <c r="A113" s="220"/>
      <c r="B113" s="220"/>
      <c r="C113" s="140"/>
      <c r="D113" s="140"/>
      <c r="E113" s="216"/>
      <c r="F113" s="204"/>
      <c r="G113" s="204"/>
      <c r="H113" s="206"/>
      <c r="I113" s="204"/>
      <c r="J113" s="140"/>
      <c r="K113" s="140">
        <v>2018</v>
      </c>
      <c r="L113" s="140"/>
    </row>
    <row r="114" spans="1:12" s="77" customFormat="1" ht="23.1" customHeight="1" thickTop="1" x14ac:dyDescent="0.25">
      <c r="A114" s="268" t="s">
        <v>71</v>
      </c>
      <c r="B114" s="242" t="s">
        <v>60</v>
      </c>
      <c r="C114" s="228" t="s">
        <v>61</v>
      </c>
      <c r="D114" s="224" t="s">
        <v>62</v>
      </c>
      <c r="E114" s="79" t="s">
        <v>17</v>
      </c>
      <c r="F114" s="79" t="s">
        <v>17</v>
      </c>
      <c r="G114" s="80" t="s">
        <v>17</v>
      </c>
      <c r="H114" s="79" t="s">
        <v>17</v>
      </c>
      <c r="I114" s="80" t="s">
        <v>17</v>
      </c>
      <c r="J114" s="79" t="s">
        <v>17</v>
      </c>
      <c r="K114" s="80" t="s">
        <v>17</v>
      </c>
      <c r="L114" s="53"/>
    </row>
    <row r="115" spans="1:12" s="77" customFormat="1" ht="23.1" customHeight="1" x14ac:dyDescent="0.25">
      <c r="A115" s="269"/>
      <c r="B115" s="226"/>
      <c r="C115" s="229"/>
      <c r="D115" s="221"/>
      <c r="E115" s="56">
        <f t="shared" ref="E115" si="45">IF(E117&lt;&gt;0,+E117/E119,0%)</f>
        <v>0.93650260909868221</v>
      </c>
      <c r="F115" s="50">
        <f>IF(F117&lt;&gt;0,ROUND(+F117/F119,4),0%)</f>
        <v>0</v>
      </c>
      <c r="G115" s="49" t="e">
        <f t="shared" ref="G115" si="46">IF(G117&lt;&gt;0,+G117/G119,0%)</f>
        <v>#REF!</v>
      </c>
      <c r="H115" s="50">
        <f>IF(H117&lt;&gt;0,ROUND(+H117/H119,4),0%)</f>
        <v>0</v>
      </c>
      <c r="I115" s="49" t="e">
        <f t="shared" ref="I115" si="47">IF(I117&lt;&gt;0,+I117/I119,0%)</f>
        <v>#REF!</v>
      </c>
      <c r="J115" s="50">
        <f>IF(J117&lt;&gt;0,ROUND(+J117/J119,4),0%)</f>
        <v>0</v>
      </c>
      <c r="K115" s="49" t="e">
        <f>IF(K117&lt;&gt;0,+K117/K119,0%)</f>
        <v>#REF!</v>
      </c>
      <c r="L115" s="54"/>
    </row>
    <row r="116" spans="1:12" s="77" customFormat="1" ht="23.1" customHeight="1" thickBot="1" x14ac:dyDescent="0.3">
      <c r="A116" s="269"/>
      <c r="B116" s="226"/>
      <c r="C116" s="229"/>
      <c r="D116" s="223"/>
      <c r="E116" s="83" t="s">
        <v>18</v>
      </c>
      <c r="F116" s="83" t="s">
        <v>18</v>
      </c>
      <c r="G116" s="84" t="s">
        <v>18</v>
      </c>
      <c r="H116" s="83" t="s">
        <v>18</v>
      </c>
      <c r="I116" s="84" t="s">
        <v>18</v>
      </c>
      <c r="J116" s="83" t="s">
        <v>18</v>
      </c>
      <c r="K116" s="84" t="s">
        <v>18</v>
      </c>
      <c r="L116" s="54"/>
    </row>
    <row r="117" spans="1:12" s="77" customFormat="1" ht="23.1" customHeight="1" thickTop="1" x14ac:dyDescent="0.25">
      <c r="A117" s="269"/>
      <c r="B117" s="226"/>
      <c r="C117" s="229"/>
      <c r="D117" s="221" t="s">
        <v>25</v>
      </c>
      <c r="E117" s="85">
        <v>117193</v>
      </c>
      <c r="F117" s="86">
        <f t="shared" ref="F117" si="48">+F127+F137</f>
        <v>0</v>
      </c>
      <c r="G117" s="87" t="e">
        <f>+#REF!+F117</f>
        <v>#REF!</v>
      </c>
      <c r="H117" s="86">
        <f t="shared" ref="H117" si="49">+H127+H137</f>
        <v>0</v>
      </c>
      <c r="I117" s="87" t="e">
        <f>+G117+H117</f>
        <v>#REF!</v>
      </c>
      <c r="J117" s="86">
        <f t="shared" ref="J117" si="50">+J127+J137</f>
        <v>0</v>
      </c>
      <c r="K117" s="87" t="e">
        <f>+I117+J117</f>
        <v>#REF!</v>
      </c>
      <c r="L117" s="23" t="e">
        <f>+K115/E115</f>
        <v>#REF!</v>
      </c>
    </row>
    <row r="118" spans="1:12" s="77" customFormat="1" ht="23.1" customHeight="1" x14ac:dyDescent="0.25">
      <c r="A118" s="269"/>
      <c r="B118" s="226"/>
      <c r="C118" s="229"/>
      <c r="D118" s="222"/>
      <c r="E118" s="81" t="s">
        <v>63</v>
      </c>
      <c r="F118" s="88" t="s">
        <v>20</v>
      </c>
      <c r="G118" s="90" t="s">
        <v>20</v>
      </c>
      <c r="H118" s="88" t="s">
        <v>20</v>
      </c>
      <c r="I118" s="90" t="s">
        <v>20</v>
      </c>
      <c r="J118" s="88" t="s">
        <v>20</v>
      </c>
      <c r="K118" s="90" t="s">
        <v>20</v>
      </c>
      <c r="L118" s="54"/>
    </row>
    <row r="119" spans="1:12" s="77" customFormat="1" ht="23.1" customHeight="1" thickBot="1" x14ac:dyDescent="0.3">
      <c r="A119" s="270"/>
      <c r="B119" s="227"/>
      <c r="C119" s="230"/>
      <c r="D119" s="223"/>
      <c r="E119" s="91">
        <v>125139</v>
      </c>
      <c r="F119" s="92">
        <f t="shared" ref="F119" si="51">+F129+F139</f>
        <v>0</v>
      </c>
      <c r="G119" s="93" t="e">
        <f>+#REF!+F119</f>
        <v>#REF!</v>
      </c>
      <c r="H119" s="92">
        <f t="shared" ref="H119" si="52">+H129+H139</f>
        <v>0</v>
      </c>
      <c r="I119" s="93" t="e">
        <f>+G119+H119</f>
        <v>#REF!</v>
      </c>
      <c r="J119" s="92">
        <f t="shared" ref="J119" si="53">+J129+J139</f>
        <v>0</v>
      </c>
      <c r="K119" s="93" t="e">
        <f>+I119+J119</f>
        <v>#REF!</v>
      </c>
      <c r="L119" s="55"/>
    </row>
    <row r="120" spans="1:12" ht="13.5" thickTop="1" x14ac:dyDescent="0.2"/>
    <row r="121" spans="1:12" s="72" customFormat="1" ht="21" thickBot="1" x14ac:dyDescent="0.35">
      <c r="A121" s="120" t="s">
        <v>64</v>
      </c>
      <c r="E121" s="73"/>
      <c r="F121" s="73"/>
      <c r="G121" s="73"/>
      <c r="H121" s="73"/>
      <c r="I121" s="73"/>
      <c r="J121" s="73"/>
      <c r="K121" s="73"/>
      <c r="L121" s="73"/>
    </row>
    <row r="122" spans="1:12" s="77" customFormat="1" ht="23.1" customHeight="1" thickTop="1" x14ac:dyDescent="0.25">
      <c r="A122" s="205" t="s">
        <v>1</v>
      </c>
      <c r="B122" s="205" t="s">
        <v>2</v>
      </c>
      <c r="C122" s="139" t="s">
        <v>3</v>
      </c>
      <c r="D122" s="139" t="s">
        <v>4</v>
      </c>
      <c r="E122" s="139" t="s">
        <v>5</v>
      </c>
      <c r="F122" s="139" t="s">
        <v>6</v>
      </c>
      <c r="G122" s="139" t="s">
        <v>7</v>
      </c>
      <c r="H122" s="205" t="s">
        <v>8</v>
      </c>
      <c r="I122" s="139" t="s">
        <v>9</v>
      </c>
      <c r="J122" s="139" t="s">
        <v>10</v>
      </c>
      <c r="K122" s="139" t="s">
        <v>58</v>
      </c>
      <c r="L122" s="139" t="s">
        <v>12</v>
      </c>
    </row>
    <row r="123" spans="1:12" s="77" customFormat="1" ht="23.1" customHeight="1" thickBot="1" x14ac:dyDescent="0.3">
      <c r="A123" s="220"/>
      <c r="B123" s="220"/>
      <c r="C123" s="140"/>
      <c r="D123" s="140"/>
      <c r="E123" s="216"/>
      <c r="F123" s="204"/>
      <c r="G123" s="204"/>
      <c r="H123" s="206"/>
      <c r="I123" s="204"/>
      <c r="J123" s="140"/>
      <c r="K123" s="140">
        <v>2018</v>
      </c>
      <c r="L123" s="140"/>
    </row>
    <row r="124" spans="1:12" s="77" customFormat="1" ht="23.1" customHeight="1" thickTop="1" x14ac:dyDescent="0.25">
      <c r="A124" s="268" t="s">
        <v>71</v>
      </c>
      <c r="B124" s="242" t="s">
        <v>60</v>
      </c>
      <c r="C124" s="228" t="s">
        <v>61</v>
      </c>
      <c r="D124" s="224" t="s">
        <v>62</v>
      </c>
      <c r="E124" s="78" t="s">
        <v>17</v>
      </c>
      <c r="F124" s="79" t="s">
        <v>17</v>
      </c>
      <c r="G124" s="80" t="s">
        <v>17</v>
      </c>
      <c r="H124" s="79" t="s">
        <v>17</v>
      </c>
      <c r="I124" s="80" t="s">
        <v>17</v>
      </c>
      <c r="J124" s="79" t="s">
        <v>17</v>
      </c>
      <c r="K124" s="80" t="s">
        <v>17</v>
      </c>
      <c r="L124" s="53"/>
    </row>
    <row r="125" spans="1:12" s="77" customFormat="1" ht="23.1" customHeight="1" x14ac:dyDescent="0.25">
      <c r="A125" s="269"/>
      <c r="B125" s="226"/>
      <c r="C125" s="229"/>
      <c r="D125" s="221"/>
      <c r="E125" s="56">
        <f t="shared" ref="E125" si="54">IF(E127&lt;&gt;0,+E127/E129,0%)</f>
        <v>0.93650585676475984</v>
      </c>
      <c r="F125" s="50">
        <f>IF(F127&lt;&gt;0,ROUND(+F127/F129,4),0%)</f>
        <v>0</v>
      </c>
      <c r="G125" s="49" t="e">
        <f t="shared" ref="G125" si="55">IF(G127&lt;&gt;0,+G127/G129,0%)</f>
        <v>#REF!</v>
      </c>
      <c r="H125" s="50">
        <f>IF(H127&lt;&gt;0,ROUND(+H127/H129,4),0%)</f>
        <v>0</v>
      </c>
      <c r="I125" s="49" t="e">
        <f t="shared" ref="I125" si="56">IF(I127&lt;&gt;0,+I127/I129,0%)</f>
        <v>#REF!</v>
      </c>
      <c r="J125" s="50">
        <f>IF(J127&lt;&gt;0,ROUND(+J127/J129,4),0%)</f>
        <v>0</v>
      </c>
      <c r="K125" s="49" t="e">
        <f>IF(K127&lt;&gt;0,+K127/K129,0%)</f>
        <v>#REF!</v>
      </c>
      <c r="L125" s="54"/>
    </row>
    <row r="126" spans="1:12" s="77" customFormat="1" ht="23.1" customHeight="1" thickBot="1" x14ac:dyDescent="0.3">
      <c r="A126" s="269"/>
      <c r="B126" s="226"/>
      <c r="C126" s="229"/>
      <c r="D126" s="223"/>
      <c r="E126" s="81"/>
      <c r="F126" s="83" t="s">
        <v>18</v>
      </c>
      <c r="G126" s="84" t="s">
        <v>18</v>
      </c>
      <c r="H126" s="83" t="s">
        <v>18</v>
      </c>
      <c r="I126" s="84" t="s">
        <v>18</v>
      </c>
      <c r="J126" s="83" t="s">
        <v>18</v>
      </c>
      <c r="K126" s="84" t="s">
        <v>18</v>
      </c>
      <c r="L126" s="54"/>
    </row>
    <row r="127" spans="1:12" s="77" customFormat="1" ht="23.1" customHeight="1" thickTop="1" x14ac:dyDescent="0.25">
      <c r="A127" s="269"/>
      <c r="B127" s="226"/>
      <c r="C127" s="229"/>
      <c r="D127" s="221" t="s">
        <v>25</v>
      </c>
      <c r="E127" s="85">
        <v>71476</v>
      </c>
      <c r="F127" s="86"/>
      <c r="G127" s="87" t="e">
        <f>+#REF!+F127</f>
        <v>#REF!</v>
      </c>
      <c r="H127" s="86"/>
      <c r="I127" s="87" t="e">
        <f>+G127+H127</f>
        <v>#REF!</v>
      </c>
      <c r="J127" s="86"/>
      <c r="K127" s="87" t="e">
        <f>SUM(I127:J127)</f>
        <v>#REF!</v>
      </c>
      <c r="L127" s="23" t="e">
        <f>+K125/E125</f>
        <v>#REF!</v>
      </c>
    </row>
    <row r="128" spans="1:12" s="77" customFormat="1" ht="23.1" customHeight="1" x14ac:dyDescent="0.25">
      <c r="A128" s="269"/>
      <c r="B128" s="226"/>
      <c r="C128" s="229"/>
      <c r="D128" s="222"/>
      <c r="E128" s="81" t="s">
        <v>63</v>
      </c>
      <c r="F128" s="88" t="s">
        <v>20</v>
      </c>
      <c r="G128" s="90" t="s">
        <v>20</v>
      </c>
      <c r="H128" s="88" t="s">
        <v>20</v>
      </c>
      <c r="I128" s="90" t="s">
        <v>20</v>
      </c>
      <c r="J128" s="88" t="s">
        <v>20</v>
      </c>
      <c r="K128" s="89" t="s">
        <v>20</v>
      </c>
      <c r="L128" s="54"/>
    </row>
    <row r="129" spans="1:14" s="77" customFormat="1" ht="23.1" customHeight="1" thickBot="1" x14ac:dyDescent="0.3">
      <c r="A129" s="270"/>
      <c r="B129" s="227"/>
      <c r="C129" s="230"/>
      <c r="D129" s="223"/>
      <c r="E129" s="91">
        <v>76322</v>
      </c>
      <c r="F129" s="92"/>
      <c r="G129" s="93" t="e">
        <f>+#REF!+F129</f>
        <v>#REF!</v>
      </c>
      <c r="H129" s="92"/>
      <c r="I129" s="93" t="e">
        <f t="shared" ref="I129" si="57">+G129+H129</f>
        <v>#REF!</v>
      </c>
      <c r="J129" s="92"/>
      <c r="K129" s="93" t="e">
        <f>SUM(I129:J129)</f>
        <v>#REF!</v>
      </c>
      <c r="L129" s="55"/>
      <c r="N129" s="95"/>
    </row>
    <row r="130" spans="1:14" ht="13.5" thickTop="1" x14ac:dyDescent="0.2"/>
    <row r="131" spans="1:14" s="72" customFormat="1" ht="21" thickBot="1" x14ac:dyDescent="0.35">
      <c r="A131" s="120" t="s">
        <v>65</v>
      </c>
      <c r="E131" s="73"/>
      <c r="F131" s="73"/>
      <c r="G131" s="73"/>
      <c r="H131" s="73"/>
      <c r="I131" s="73"/>
      <c r="J131" s="73"/>
      <c r="K131" s="73"/>
      <c r="L131" s="73"/>
    </row>
    <row r="132" spans="1:14" s="77" customFormat="1" ht="23.1" customHeight="1" thickTop="1" x14ac:dyDescent="0.25">
      <c r="A132" s="205" t="s">
        <v>1</v>
      </c>
      <c r="B132" s="205" t="s">
        <v>2</v>
      </c>
      <c r="C132" s="139" t="s">
        <v>3</v>
      </c>
      <c r="D132" s="139" t="s">
        <v>4</v>
      </c>
      <c r="E132" s="139" t="s">
        <v>5</v>
      </c>
      <c r="F132" s="139" t="s">
        <v>6</v>
      </c>
      <c r="G132" s="139" t="s">
        <v>7</v>
      </c>
      <c r="H132" s="205" t="s">
        <v>8</v>
      </c>
      <c r="I132" s="139" t="s">
        <v>9</v>
      </c>
      <c r="J132" s="139" t="s">
        <v>10</v>
      </c>
      <c r="K132" s="139" t="s">
        <v>58</v>
      </c>
      <c r="L132" s="139" t="s">
        <v>12</v>
      </c>
    </row>
    <row r="133" spans="1:14" s="77" customFormat="1" ht="23.1" customHeight="1" thickBot="1" x14ac:dyDescent="0.3">
      <c r="A133" s="220"/>
      <c r="B133" s="220"/>
      <c r="C133" s="140"/>
      <c r="D133" s="140"/>
      <c r="E133" s="216"/>
      <c r="F133" s="204"/>
      <c r="G133" s="204"/>
      <c r="H133" s="206"/>
      <c r="I133" s="204"/>
      <c r="J133" s="140"/>
      <c r="K133" s="140">
        <v>2018</v>
      </c>
      <c r="L133" s="140"/>
    </row>
    <row r="134" spans="1:14" s="77" customFormat="1" ht="23.1" customHeight="1" thickTop="1" x14ac:dyDescent="0.25">
      <c r="A134" s="268" t="s">
        <v>71</v>
      </c>
      <c r="B134" s="242" t="s">
        <v>60</v>
      </c>
      <c r="C134" s="228" t="s">
        <v>61</v>
      </c>
      <c r="D134" s="224" t="s">
        <v>62</v>
      </c>
      <c r="E134" s="78" t="s">
        <v>17</v>
      </c>
      <c r="F134" s="79" t="s">
        <v>17</v>
      </c>
      <c r="G134" s="80" t="s">
        <v>17</v>
      </c>
      <c r="H134" s="79" t="s">
        <v>17</v>
      </c>
      <c r="I134" s="80" t="s">
        <v>17</v>
      </c>
      <c r="J134" s="79" t="s">
        <v>17</v>
      </c>
      <c r="K134" s="80" t="s">
        <v>17</v>
      </c>
      <c r="L134" s="53"/>
    </row>
    <row r="135" spans="1:14" s="77" customFormat="1" ht="23.1" customHeight="1" x14ac:dyDescent="0.25">
      <c r="A135" s="269"/>
      <c r="B135" s="226"/>
      <c r="C135" s="229"/>
      <c r="D135" s="221"/>
      <c r="E135" s="56">
        <f t="shared" ref="E135" si="58">IF(E137&lt;&gt;0,+E137/E139,0%)</f>
        <v>0.93649753159759919</v>
      </c>
      <c r="F135" s="50">
        <f>IF(F137&lt;&gt;0,ROUND(+F137/F139,4),0%)</f>
        <v>0</v>
      </c>
      <c r="G135" s="49" t="e">
        <f t="shared" ref="G135" si="59">IF(G137&lt;&gt;0,+G137/G139,0%)</f>
        <v>#REF!</v>
      </c>
      <c r="H135" s="50">
        <f>IF(H137&lt;&gt;0,ROUND(+H137/H139,4),0%)</f>
        <v>0</v>
      </c>
      <c r="I135" s="49" t="e">
        <f t="shared" ref="I135" si="60">IF(I137&lt;&gt;0,+I137/I139,0%)</f>
        <v>#REF!</v>
      </c>
      <c r="J135" s="50">
        <f>IF(J137&lt;&gt;0,ROUND(+J137/J139,4),0%)</f>
        <v>0</v>
      </c>
      <c r="K135" s="49" t="e">
        <f>IF(K137&lt;&gt;0,+K137/K139,0%)</f>
        <v>#REF!</v>
      </c>
      <c r="L135" s="54"/>
    </row>
    <row r="136" spans="1:14" s="77" customFormat="1" ht="23.1" customHeight="1" thickBot="1" x14ac:dyDescent="0.3">
      <c r="A136" s="269"/>
      <c r="B136" s="226"/>
      <c r="C136" s="229"/>
      <c r="D136" s="223"/>
      <c r="E136" s="81"/>
      <c r="F136" s="83" t="s">
        <v>18</v>
      </c>
      <c r="G136" s="84" t="s">
        <v>18</v>
      </c>
      <c r="H136" s="83" t="s">
        <v>18</v>
      </c>
      <c r="I136" s="84" t="s">
        <v>18</v>
      </c>
      <c r="J136" s="83" t="s">
        <v>18</v>
      </c>
      <c r="K136" s="84" t="s">
        <v>18</v>
      </c>
      <c r="L136" s="54"/>
    </row>
    <row r="137" spans="1:14" s="77" customFormat="1" ht="23.1" customHeight="1" thickTop="1" x14ac:dyDescent="0.25">
      <c r="A137" s="269"/>
      <c r="B137" s="226"/>
      <c r="C137" s="229"/>
      <c r="D137" s="221" t="s">
        <v>25</v>
      </c>
      <c r="E137" s="85">
        <v>45717</v>
      </c>
      <c r="F137" s="86"/>
      <c r="G137" s="87" t="e">
        <f>+#REF!+F137</f>
        <v>#REF!</v>
      </c>
      <c r="H137" s="86"/>
      <c r="I137" s="87" t="e">
        <f>+G137+H137</f>
        <v>#REF!</v>
      </c>
      <c r="J137" s="86"/>
      <c r="K137" s="87" t="e">
        <f>SUM(I137:J137)</f>
        <v>#REF!</v>
      </c>
      <c r="L137" s="23" t="e">
        <f>+K135/E135</f>
        <v>#REF!</v>
      </c>
    </row>
    <row r="138" spans="1:14" s="77" customFormat="1" ht="23.1" customHeight="1" x14ac:dyDescent="0.25">
      <c r="A138" s="269"/>
      <c r="B138" s="226"/>
      <c r="C138" s="229"/>
      <c r="D138" s="222"/>
      <c r="E138" s="81" t="s">
        <v>63</v>
      </c>
      <c r="F138" s="88" t="s">
        <v>20</v>
      </c>
      <c r="G138" s="90" t="s">
        <v>20</v>
      </c>
      <c r="H138" s="88" t="s">
        <v>20</v>
      </c>
      <c r="I138" s="90" t="s">
        <v>20</v>
      </c>
      <c r="J138" s="88" t="s">
        <v>20</v>
      </c>
      <c r="K138" s="89" t="s">
        <v>20</v>
      </c>
      <c r="L138" s="54"/>
    </row>
    <row r="139" spans="1:14" s="77" customFormat="1" ht="23.1" customHeight="1" thickBot="1" x14ac:dyDescent="0.3">
      <c r="A139" s="270"/>
      <c r="B139" s="227"/>
      <c r="C139" s="230"/>
      <c r="D139" s="223"/>
      <c r="E139" s="91">
        <v>48817</v>
      </c>
      <c r="F139" s="92"/>
      <c r="G139" s="93" t="e">
        <f>+#REF!+F139</f>
        <v>#REF!</v>
      </c>
      <c r="H139" s="92"/>
      <c r="I139" s="93" t="e">
        <f t="shared" ref="I139" si="61">+G139+H139</f>
        <v>#REF!</v>
      </c>
      <c r="J139" s="92"/>
      <c r="K139" s="93" t="e">
        <f>SUM(I139:J139)</f>
        <v>#REF!</v>
      </c>
      <c r="L139" s="55"/>
    </row>
    <row r="140" spans="1:14" ht="13.5" thickTop="1" x14ac:dyDescent="0.2"/>
    <row r="143" spans="1:14" s="102" customFormat="1" ht="15.75" x14ac:dyDescent="0.25">
      <c r="B143" s="103" t="s">
        <v>72</v>
      </c>
      <c r="C143" s="103"/>
      <c r="D143" s="103"/>
      <c r="E143" s="76"/>
      <c r="F143" s="76"/>
      <c r="G143" s="68"/>
      <c r="H143" s="76"/>
      <c r="I143" s="68"/>
      <c r="J143" s="76"/>
      <c r="K143" s="68"/>
      <c r="L143" s="101"/>
    </row>
    <row r="144" spans="1:14" s="102" customFormat="1" ht="16.5" thickBot="1" x14ac:dyDescent="0.3">
      <c r="E144" s="73"/>
      <c r="F144" s="73"/>
      <c r="G144" s="73"/>
      <c r="H144" s="73"/>
      <c r="I144" s="73"/>
      <c r="J144" s="73"/>
      <c r="K144" s="73"/>
      <c r="L144" s="73"/>
    </row>
    <row r="145" spans="1:14" s="77" customFormat="1" ht="23.1" customHeight="1" thickTop="1" x14ac:dyDescent="0.25">
      <c r="A145" s="205" t="s">
        <v>1</v>
      </c>
      <c r="B145" s="205" t="s">
        <v>2</v>
      </c>
      <c r="C145" s="139" t="s">
        <v>3</v>
      </c>
      <c r="D145" s="139" t="s">
        <v>4</v>
      </c>
      <c r="E145" s="139" t="s">
        <v>5</v>
      </c>
      <c r="F145" s="139" t="s">
        <v>6</v>
      </c>
      <c r="G145" s="139" t="s">
        <v>7</v>
      </c>
      <c r="H145" s="205" t="s">
        <v>8</v>
      </c>
      <c r="I145" s="139" t="s">
        <v>9</v>
      </c>
      <c r="J145" s="139" t="s">
        <v>10</v>
      </c>
      <c r="K145" s="139" t="s">
        <v>58</v>
      </c>
      <c r="L145" s="139" t="s">
        <v>12</v>
      </c>
    </row>
    <row r="146" spans="1:14" s="77" customFormat="1" ht="23.1" customHeight="1" thickBot="1" x14ac:dyDescent="0.3">
      <c r="A146" s="220"/>
      <c r="B146" s="220"/>
      <c r="C146" s="140"/>
      <c r="D146" s="140"/>
      <c r="E146" s="216"/>
      <c r="F146" s="204"/>
      <c r="G146" s="204"/>
      <c r="H146" s="206"/>
      <c r="I146" s="204"/>
      <c r="J146" s="140"/>
      <c r="K146" s="140">
        <v>2018</v>
      </c>
      <c r="L146" s="140"/>
    </row>
    <row r="147" spans="1:14" s="104" customFormat="1" ht="23.1" customHeight="1" thickTop="1" x14ac:dyDescent="0.25">
      <c r="A147" s="274" t="s">
        <v>73</v>
      </c>
      <c r="B147" s="247" t="s">
        <v>60</v>
      </c>
      <c r="C147" s="228" t="s">
        <v>61</v>
      </c>
      <c r="D147" s="243" t="s">
        <v>62</v>
      </c>
      <c r="E147" s="79" t="s">
        <v>17</v>
      </c>
      <c r="F147" s="79" t="s">
        <v>17</v>
      </c>
      <c r="G147" s="80" t="s">
        <v>17</v>
      </c>
      <c r="H147" s="79" t="s">
        <v>17</v>
      </c>
      <c r="I147" s="80" t="s">
        <v>17</v>
      </c>
      <c r="J147" s="79" t="s">
        <v>17</v>
      </c>
      <c r="K147" s="80" t="s">
        <v>17</v>
      </c>
      <c r="L147" s="53"/>
      <c r="N147" s="77"/>
    </row>
    <row r="148" spans="1:14" s="104" customFormat="1" ht="23.1" customHeight="1" x14ac:dyDescent="0.25">
      <c r="A148" s="275"/>
      <c r="B148" s="248"/>
      <c r="C148" s="229"/>
      <c r="D148" s="244"/>
      <c r="E148" s="56">
        <f t="shared" ref="E148" si="62">IF(E150&lt;&gt;0,+E150/E152,0%)</f>
        <v>0.9800351446336848</v>
      </c>
      <c r="F148" s="50">
        <f>IF(F150&lt;&gt;0,ROUND(+F150/F152,4),0%)</f>
        <v>0</v>
      </c>
      <c r="G148" s="49" t="e">
        <f t="shared" ref="G148" si="63">IF(G150&lt;&gt;0,+G150/G152,0%)</f>
        <v>#REF!</v>
      </c>
      <c r="H148" s="50">
        <f>IF(H150&lt;&gt;0,ROUND(+H150/H152,4),0%)</f>
        <v>0</v>
      </c>
      <c r="I148" s="49" t="e">
        <f t="shared" ref="I148" si="64">IF(I150&lt;&gt;0,+I150/I152,0%)</f>
        <v>#REF!</v>
      </c>
      <c r="J148" s="50">
        <f>IF(J150&lt;&gt;0,ROUND(+J150/J152,4),0%)</f>
        <v>0</v>
      </c>
      <c r="K148" s="49" t="e">
        <f>IF(K150&lt;&gt;0,+K150/K152,0%)</f>
        <v>#REF!</v>
      </c>
      <c r="L148" s="54"/>
      <c r="N148" s="77"/>
    </row>
    <row r="149" spans="1:14" s="104" customFormat="1" ht="23.1" customHeight="1" thickBot="1" x14ac:dyDescent="0.3">
      <c r="A149" s="275"/>
      <c r="B149" s="248"/>
      <c r="C149" s="229"/>
      <c r="D149" s="245"/>
      <c r="E149" s="83" t="s">
        <v>18</v>
      </c>
      <c r="F149" s="83" t="s">
        <v>18</v>
      </c>
      <c r="G149" s="84" t="s">
        <v>18</v>
      </c>
      <c r="H149" s="83" t="s">
        <v>18</v>
      </c>
      <c r="I149" s="84" t="s">
        <v>18</v>
      </c>
      <c r="J149" s="83" t="s">
        <v>18</v>
      </c>
      <c r="K149" s="84" t="s">
        <v>18</v>
      </c>
      <c r="L149" s="54"/>
      <c r="N149" s="77"/>
    </row>
    <row r="150" spans="1:14" s="104" customFormat="1" ht="23.1" customHeight="1" thickTop="1" x14ac:dyDescent="0.25">
      <c r="A150" s="275"/>
      <c r="B150" s="248"/>
      <c r="C150" s="229"/>
      <c r="D150" s="244" t="s">
        <v>25</v>
      </c>
      <c r="E150" s="85">
        <v>72503</v>
      </c>
      <c r="F150" s="86">
        <f t="shared" ref="F150" si="65">+F160+F170</f>
        <v>0</v>
      </c>
      <c r="G150" s="87" t="e">
        <f>+#REF!+F150</f>
        <v>#REF!</v>
      </c>
      <c r="H150" s="86">
        <f t="shared" ref="H150" si="66">+H160+H170</f>
        <v>0</v>
      </c>
      <c r="I150" s="87" t="e">
        <f>+G150+H150</f>
        <v>#REF!</v>
      </c>
      <c r="J150" s="86">
        <f t="shared" ref="J150" si="67">+J160+J170</f>
        <v>0</v>
      </c>
      <c r="K150" s="87" t="e">
        <f>+I150+J150</f>
        <v>#REF!</v>
      </c>
      <c r="L150" s="23" t="e">
        <f>+K148/E148</f>
        <v>#REF!</v>
      </c>
      <c r="N150" s="77"/>
    </row>
    <row r="151" spans="1:14" s="104" customFormat="1" ht="23.1" customHeight="1" x14ac:dyDescent="0.25">
      <c r="A151" s="275"/>
      <c r="B151" s="248"/>
      <c r="C151" s="229"/>
      <c r="D151" s="246"/>
      <c r="E151" s="81" t="s">
        <v>63</v>
      </c>
      <c r="F151" s="88" t="s">
        <v>20</v>
      </c>
      <c r="G151" s="90" t="s">
        <v>20</v>
      </c>
      <c r="H151" s="88" t="s">
        <v>20</v>
      </c>
      <c r="I151" s="90" t="s">
        <v>20</v>
      </c>
      <c r="J151" s="88" t="s">
        <v>20</v>
      </c>
      <c r="K151" s="90" t="s">
        <v>20</v>
      </c>
      <c r="L151" s="54"/>
      <c r="N151" s="77"/>
    </row>
    <row r="152" spans="1:14" s="104" customFormat="1" ht="23.1" customHeight="1" thickBot="1" x14ac:dyDescent="0.3">
      <c r="A152" s="276"/>
      <c r="B152" s="249"/>
      <c r="C152" s="230"/>
      <c r="D152" s="245"/>
      <c r="E152" s="91">
        <v>73980</v>
      </c>
      <c r="F152" s="92">
        <f t="shared" ref="F152" si="68">+F162+F172</f>
        <v>0</v>
      </c>
      <c r="G152" s="93" t="e">
        <f>+#REF!+F152</f>
        <v>#REF!</v>
      </c>
      <c r="H152" s="92">
        <f t="shared" ref="H152" si="69">+H162+H172</f>
        <v>0</v>
      </c>
      <c r="I152" s="93" t="e">
        <f>+G152+H152</f>
        <v>#REF!</v>
      </c>
      <c r="J152" s="92">
        <f t="shared" ref="J152" si="70">+J162+J172</f>
        <v>0</v>
      </c>
      <c r="K152" s="93" t="e">
        <f>+I152+J152</f>
        <v>#REF!</v>
      </c>
      <c r="L152" s="55"/>
      <c r="N152" s="77"/>
    </row>
    <row r="153" spans="1:14" ht="13.5" thickTop="1" x14ac:dyDescent="0.2"/>
    <row r="154" spans="1:14" s="72" customFormat="1" ht="21" thickBot="1" x14ac:dyDescent="0.35">
      <c r="A154" s="120" t="s">
        <v>64</v>
      </c>
      <c r="E154" s="73"/>
      <c r="F154" s="73"/>
      <c r="G154" s="73"/>
      <c r="H154" s="73"/>
      <c r="I154" s="73"/>
      <c r="J154" s="73"/>
      <c r="K154" s="73"/>
      <c r="L154" s="73"/>
    </row>
    <row r="155" spans="1:14" s="77" customFormat="1" ht="23.1" customHeight="1" thickTop="1" x14ac:dyDescent="0.25">
      <c r="A155" s="205" t="s">
        <v>1</v>
      </c>
      <c r="B155" s="205" t="s">
        <v>2</v>
      </c>
      <c r="C155" s="139" t="s">
        <v>3</v>
      </c>
      <c r="D155" s="139" t="s">
        <v>4</v>
      </c>
      <c r="E155" s="139" t="s">
        <v>5</v>
      </c>
      <c r="F155" s="139" t="s">
        <v>6</v>
      </c>
      <c r="G155" s="139" t="s">
        <v>7</v>
      </c>
      <c r="H155" s="205" t="s">
        <v>8</v>
      </c>
      <c r="I155" s="139" t="s">
        <v>9</v>
      </c>
      <c r="J155" s="139" t="s">
        <v>10</v>
      </c>
      <c r="K155" s="139" t="s">
        <v>58</v>
      </c>
      <c r="L155" s="139" t="s">
        <v>12</v>
      </c>
    </row>
    <row r="156" spans="1:14" s="77" customFormat="1" ht="23.1" customHeight="1" thickBot="1" x14ac:dyDescent="0.3">
      <c r="A156" s="220"/>
      <c r="B156" s="220"/>
      <c r="C156" s="140"/>
      <c r="D156" s="140"/>
      <c r="E156" s="216"/>
      <c r="F156" s="204"/>
      <c r="G156" s="204"/>
      <c r="H156" s="206"/>
      <c r="I156" s="204"/>
      <c r="J156" s="140"/>
      <c r="K156" s="140">
        <v>2018</v>
      </c>
      <c r="L156" s="140"/>
    </row>
    <row r="157" spans="1:14" s="77" customFormat="1" ht="23.1" customHeight="1" thickTop="1" x14ac:dyDescent="0.25">
      <c r="A157" s="274" t="s">
        <v>73</v>
      </c>
      <c r="B157" s="247" t="s">
        <v>60</v>
      </c>
      <c r="C157" s="228" t="s">
        <v>61</v>
      </c>
      <c r="D157" s="243" t="s">
        <v>62</v>
      </c>
      <c r="E157" s="78" t="s">
        <v>17</v>
      </c>
      <c r="F157" s="79" t="s">
        <v>17</v>
      </c>
      <c r="G157" s="80" t="s">
        <v>17</v>
      </c>
      <c r="H157" s="79" t="s">
        <v>17</v>
      </c>
      <c r="I157" s="80" t="s">
        <v>17</v>
      </c>
      <c r="J157" s="79" t="s">
        <v>17</v>
      </c>
      <c r="K157" s="80" t="s">
        <v>17</v>
      </c>
      <c r="L157" s="53"/>
    </row>
    <row r="158" spans="1:14" s="77" customFormat="1" ht="23.1" customHeight="1" x14ac:dyDescent="0.25">
      <c r="A158" s="275"/>
      <c r="B158" s="248"/>
      <c r="C158" s="229"/>
      <c r="D158" s="244"/>
      <c r="E158" s="56">
        <f t="shared" ref="E158" si="71">IF(E160&lt;&gt;0,+E160/E162,0%)</f>
        <v>0.98002277904328017</v>
      </c>
      <c r="F158" s="50">
        <f>IF(F160&lt;&gt;0,ROUND(+F160/F162,4),0%)</f>
        <v>0</v>
      </c>
      <c r="G158" s="49" t="e">
        <f t="shared" ref="G158" si="72">IF(G160&lt;&gt;0,+G160/G162,0%)</f>
        <v>#REF!</v>
      </c>
      <c r="H158" s="50">
        <f>IF(H160&lt;&gt;0,ROUND(+H160/H162,4),0%)</f>
        <v>0</v>
      </c>
      <c r="I158" s="49" t="e">
        <f t="shared" ref="I158" si="73">IF(I160&lt;&gt;0,+I160/I162,0%)</f>
        <v>#REF!</v>
      </c>
      <c r="J158" s="50">
        <f>IF(J160&lt;&gt;0,ROUND(+J160/J162,4),0%)</f>
        <v>0</v>
      </c>
      <c r="K158" s="49" t="e">
        <f>IF(K160&lt;&gt;0,+K160/K162,0%)</f>
        <v>#REF!</v>
      </c>
      <c r="L158" s="54"/>
    </row>
    <row r="159" spans="1:14" s="77" customFormat="1" ht="23.1" customHeight="1" thickBot="1" x14ac:dyDescent="0.3">
      <c r="A159" s="275"/>
      <c r="B159" s="248"/>
      <c r="C159" s="229"/>
      <c r="D159" s="245"/>
      <c r="E159" s="81"/>
      <c r="F159" s="83" t="s">
        <v>18</v>
      </c>
      <c r="G159" s="84" t="s">
        <v>18</v>
      </c>
      <c r="H159" s="83" t="s">
        <v>18</v>
      </c>
      <c r="I159" s="84" t="s">
        <v>18</v>
      </c>
      <c r="J159" s="83" t="s">
        <v>18</v>
      </c>
      <c r="K159" s="84" t="s">
        <v>18</v>
      </c>
      <c r="L159" s="54"/>
    </row>
    <row r="160" spans="1:14" s="77" customFormat="1" ht="23.1" customHeight="1" thickTop="1" x14ac:dyDescent="0.25">
      <c r="A160" s="275"/>
      <c r="B160" s="248"/>
      <c r="C160" s="229"/>
      <c r="D160" s="244" t="s">
        <v>25</v>
      </c>
      <c r="E160" s="85">
        <v>43023</v>
      </c>
      <c r="F160" s="86"/>
      <c r="G160" s="87" t="e">
        <f>+#REF!+F160</f>
        <v>#REF!</v>
      </c>
      <c r="H160" s="86"/>
      <c r="I160" s="87" t="e">
        <f>+G160+H160</f>
        <v>#REF!</v>
      </c>
      <c r="J160" s="86"/>
      <c r="K160" s="87" t="e">
        <f>SUM(I160:J160)</f>
        <v>#REF!</v>
      </c>
      <c r="L160" s="23" t="e">
        <f>+K158/E158</f>
        <v>#REF!</v>
      </c>
    </row>
    <row r="161" spans="1:14" s="77" customFormat="1" ht="23.1" customHeight="1" x14ac:dyDescent="0.25">
      <c r="A161" s="275"/>
      <c r="B161" s="248"/>
      <c r="C161" s="229"/>
      <c r="D161" s="246"/>
      <c r="E161" s="81" t="s">
        <v>63</v>
      </c>
      <c r="F161" s="88" t="s">
        <v>20</v>
      </c>
      <c r="G161" s="90" t="s">
        <v>20</v>
      </c>
      <c r="H161" s="88" t="s">
        <v>20</v>
      </c>
      <c r="I161" s="90" t="s">
        <v>20</v>
      </c>
      <c r="J161" s="88" t="s">
        <v>20</v>
      </c>
      <c r="K161" s="89" t="s">
        <v>20</v>
      </c>
      <c r="L161" s="54"/>
    </row>
    <row r="162" spans="1:14" s="77" customFormat="1" ht="23.1" customHeight="1" thickBot="1" x14ac:dyDescent="0.3">
      <c r="A162" s="276"/>
      <c r="B162" s="249"/>
      <c r="C162" s="230"/>
      <c r="D162" s="245"/>
      <c r="E162" s="91">
        <v>43900</v>
      </c>
      <c r="F162" s="92"/>
      <c r="G162" s="93" t="e">
        <f>+#REF!+F162</f>
        <v>#REF!</v>
      </c>
      <c r="H162" s="92"/>
      <c r="I162" s="93" t="e">
        <f t="shared" ref="I162" si="74">+G162+H162</f>
        <v>#REF!</v>
      </c>
      <c r="J162" s="92"/>
      <c r="K162" s="93" t="e">
        <f>SUM(I162:J162)</f>
        <v>#REF!</v>
      </c>
      <c r="L162" s="55"/>
      <c r="N162" s="95"/>
    </row>
    <row r="163" spans="1:14" ht="13.5" thickTop="1" x14ac:dyDescent="0.2"/>
    <row r="164" spans="1:14" s="72" customFormat="1" ht="21" thickBot="1" x14ac:dyDescent="0.35">
      <c r="A164" s="120" t="s">
        <v>65</v>
      </c>
      <c r="E164" s="73"/>
      <c r="F164" s="73"/>
      <c r="G164" s="73"/>
      <c r="H164" s="73"/>
      <c r="I164" s="73"/>
      <c r="J164" s="73"/>
      <c r="K164" s="73"/>
      <c r="L164" s="73"/>
    </row>
    <row r="165" spans="1:14" s="77" customFormat="1" ht="23.1" customHeight="1" thickTop="1" x14ac:dyDescent="0.25">
      <c r="A165" s="205" t="s">
        <v>1</v>
      </c>
      <c r="B165" s="205" t="s">
        <v>2</v>
      </c>
      <c r="C165" s="139" t="s">
        <v>3</v>
      </c>
      <c r="D165" s="139" t="s">
        <v>4</v>
      </c>
      <c r="E165" s="139" t="s">
        <v>5</v>
      </c>
      <c r="F165" s="139" t="s">
        <v>6</v>
      </c>
      <c r="G165" s="139" t="s">
        <v>7</v>
      </c>
      <c r="H165" s="205" t="s">
        <v>8</v>
      </c>
      <c r="I165" s="139" t="s">
        <v>9</v>
      </c>
      <c r="J165" s="139" t="s">
        <v>10</v>
      </c>
      <c r="K165" s="139" t="s">
        <v>58</v>
      </c>
      <c r="L165" s="139" t="s">
        <v>12</v>
      </c>
    </row>
    <row r="166" spans="1:14" s="77" customFormat="1" ht="23.1" customHeight="1" thickBot="1" x14ac:dyDescent="0.3">
      <c r="A166" s="220"/>
      <c r="B166" s="220"/>
      <c r="C166" s="140"/>
      <c r="D166" s="140"/>
      <c r="E166" s="216"/>
      <c r="F166" s="204"/>
      <c r="G166" s="204"/>
      <c r="H166" s="206"/>
      <c r="I166" s="204"/>
      <c r="J166" s="140"/>
      <c r="K166" s="140">
        <v>2018</v>
      </c>
      <c r="L166" s="140"/>
    </row>
    <row r="167" spans="1:14" s="77" customFormat="1" ht="23.1" customHeight="1" thickTop="1" x14ac:dyDescent="0.25">
      <c r="A167" s="274" t="s">
        <v>73</v>
      </c>
      <c r="B167" s="247" t="s">
        <v>60</v>
      </c>
      <c r="C167" s="228" t="s">
        <v>61</v>
      </c>
      <c r="D167" s="243" t="s">
        <v>62</v>
      </c>
      <c r="E167" s="78" t="s">
        <v>17</v>
      </c>
      <c r="F167" s="79" t="s">
        <v>17</v>
      </c>
      <c r="G167" s="80" t="s">
        <v>17</v>
      </c>
      <c r="H167" s="79" t="s">
        <v>17</v>
      </c>
      <c r="I167" s="80" t="s">
        <v>17</v>
      </c>
      <c r="J167" s="79" t="s">
        <v>17</v>
      </c>
      <c r="K167" s="80" t="s">
        <v>17</v>
      </c>
      <c r="L167" s="53"/>
    </row>
    <row r="168" spans="1:14" s="77" customFormat="1" ht="23.1" customHeight="1" x14ac:dyDescent="0.25">
      <c r="A168" s="275"/>
      <c r="B168" s="248"/>
      <c r="C168" s="229"/>
      <c r="D168" s="244"/>
      <c r="E168" s="56">
        <f t="shared" ref="E168" si="75">IF(E170&lt;&gt;0,+E170/E172,0%)</f>
        <v>0.98005319148936165</v>
      </c>
      <c r="F168" s="50">
        <f>IF(F170&lt;&gt;0,ROUND(+F170/F172,4),0%)</f>
        <v>0</v>
      </c>
      <c r="G168" s="49" t="e">
        <f t="shared" ref="G168" si="76">IF(G170&lt;&gt;0,+G170/G172,0%)</f>
        <v>#REF!</v>
      </c>
      <c r="H168" s="50">
        <f>IF(H170&lt;&gt;0,ROUND(+H170/H172,4),0%)</f>
        <v>0</v>
      </c>
      <c r="I168" s="49" t="e">
        <f t="shared" ref="I168" si="77">IF(I170&lt;&gt;0,+I170/I172,0%)</f>
        <v>#REF!</v>
      </c>
      <c r="J168" s="50">
        <f>IF(J170&lt;&gt;0,ROUND(+J170/J172,4),0%)</f>
        <v>0</v>
      </c>
      <c r="K168" s="49" t="e">
        <f>IF(K170&lt;&gt;0,+K170/K172,0%)</f>
        <v>#REF!</v>
      </c>
      <c r="L168" s="54"/>
    </row>
    <row r="169" spans="1:14" s="77" customFormat="1" ht="23.1" customHeight="1" thickBot="1" x14ac:dyDescent="0.3">
      <c r="A169" s="275"/>
      <c r="B169" s="248"/>
      <c r="C169" s="229"/>
      <c r="D169" s="245"/>
      <c r="E169" s="81"/>
      <c r="F169" s="83" t="s">
        <v>18</v>
      </c>
      <c r="G169" s="84" t="s">
        <v>18</v>
      </c>
      <c r="H169" s="83" t="s">
        <v>18</v>
      </c>
      <c r="I169" s="84" t="s">
        <v>18</v>
      </c>
      <c r="J169" s="83" t="s">
        <v>18</v>
      </c>
      <c r="K169" s="84" t="s">
        <v>18</v>
      </c>
      <c r="L169" s="54"/>
    </row>
    <row r="170" spans="1:14" s="77" customFormat="1" ht="23.1" customHeight="1" thickTop="1" x14ac:dyDescent="0.25">
      <c r="A170" s="275"/>
      <c r="B170" s="248"/>
      <c r="C170" s="229"/>
      <c r="D170" s="244" t="s">
        <v>25</v>
      </c>
      <c r="E170" s="85">
        <v>29480</v>
      </c>
      <c r="F170" s="86"/>
      <c r="G170" s="87" t="e">
        <f>+#REF!+F170</f>
        <v>#REF!</v>
      </c>
      <c r="H170" s="86"/>
      <c r="I170" s="87" t="e">
        <f>+G170+H170</f>
        <v>#REF!</v>
      </c>
      <c r="J170" s="86"/>
      <c r="K170" s="87" t="e">
        <f>SUM(I170:J170)</f>
        <v>#REF!</v>
      </c>
      <c r="L170" s="23" t="e">
        <f>+K168/E168</f>
        <v>#REF!</v>
      </c>
    </row>
    <row r="171" spans="1:14" s="77" customFormat="1" ht="23.1" customHeight="1" x14ac:dyDescent="0.25">
      <c r="A171" s="275"/>
      <c r="B171" s="248"/>
      <c r="C171" s="229"/>
      <c r="D171" s="246"/>
      <c r="E171" s="81" t="s">
        <v>63</v>
      </c>
      <c r="F171" s="88" t="s">
        <v>20</v>
      </c>
      <c r="G171" s="90" t="s">
        <v>20</v>
      </c>
      <c r="H171" s="88" t="s">
        <v>20</v>
      </c>
      <c r="I171" s="90" t="s">
        <v>20</v>
      </c>
      <c r="J171" s="88" t="s">
        <v>20</v>
      </c>
      <c r="K171" s="89" t="s">
        <v>20</v>
      </c>
      <c r="L171" s="54"/>
    </row>
    <row r="172" spans="1:14" s="77" customFormat="1" ht="23.1" customHeight="1" thickBot="1" x14ac:dyDescent="0.3">
      <c r="A172" s="276"/>
      <c r="B172" s="249"/>
      <c r="C172" s="230"/>
      <c r="D172" s="245"/>
      <c r="E172" s="91">
        <v>30080</v>
      </c>
      <c r="F172" s="92"/>
      <c r="G172" s="93" t="e">
        <f>+#REF!+F172</f>
        <v>#REF!</v>
      </c>
      <c r="H172" s="92"/>
      <c r="I172" s="93" t="e">
        <f t="shared" ref="I172" si="78">+G172+H172</f>
        <v>#REF!</v>
      </c>
      <c r="J172" s="92"/>
      <c r="K172" s="93" t="e">
        <f>SUM(I172:J172)</f>
        <v>#REF!</v>
      </c>
      <c r="L172" s="55"/>
    </row>
    <row r="173" spans="1:14" ht="13.5" thickTop="1" x14ac:dyDescent="0.2"/>
    <row r="176" spans="1:14" s="72" customFormat="1" ht="15.75" x14ac:dyDescent="0.25">
      <c r="B176" s="219" t="s">
        <v>74</v>
      </c>
      <c r="C176" s="219"/>
      <c r="D176" s="219"/>
      <c r="E176" s="76"/>
      <c r="F176" s="76"/>
      <c r="G176" s="68"/>
      <c r="H176" s="76"/>
      <c r="I176" s="68"/>
      <c r="J176" s="76"/>
      <c r="K176" s="68"/>
      <c r="L176" s="101"/>
    </row>
    <row r="177" spans="1:12" s="72" customFormat="1" ht="16.5" thickBot="1" x14ac:dyDescent="0.3">
      <c r="E177" s="73"/>
      <c r="F177" s="73"/>
      <c r="G177" s="73"/>
      <c r="H177" s="73"/>
      <c r="I177" s="73"/>
      <c r="J177" s="73"/>
      <c r="K177" s="73"/>
      <c r="L177" s="73"/>
    </row>
    <row r="178" spans="1:12" s="77" customFormat="1" ht="23.1" customHeight="1" thickTop="1" x14ac:dyDescent="0.25">
      <c r="A178" s="205" t="s">
        <v>1</v>
      </c>
      <c r="B178" s="205" t="s">
        <v>2</v>
      </c>
      <c r="C178" s="139" t="s">
        <v>3</v>
      </c>
      <c r="D178" s="139" t="s">
        <v>4</v>
      </c>
      <c r="E178" s="139" t="s">
        <v>5</v>
      </c>
      <c r="F178" s="139" t="s">
        <v>6</v>
      </c>
      <c r="G178" s="139" t="s">
        <v>7</v>
      </c>
      <c r="H178" s="205" t="s">
        <v>8</v>
      </c>
      <c r="I178" s="139" t="s">
        <v>9</v>
      </c>
      <c r="J178" s="139" t="s">
        <v>10</v>
      </c>
      <c r="K178" s="139" t="s">
        <v>58</v>
      </c>
      <c r="L178" s="139" t="s">
        <v>12</v>
      </c>
    </row>
    <row r="179" spans="1:12" s="77" customFormat="1" ht="23.1" customHeight="1" thickBot="1" x14ac:dyDescent="0.3">
      <c r="A179" s="220"/>
      <c r="B179" s="220"/>
      <c r="C179" s="140"/>
      <c r="D179" s="140"/>
      <c r="E179" s="216"/>
      <c r="F179" s="204"/>
      <c r="G179" s="204"/>
      <c r="H179" s="206"/>
      <c r="I179" s="204"/>
      <c r="J179" s="140"/>
      <c r="K179" s="140">
        <v>2018</v>
      </c>
      <c r="L179" s="140"/>
    </row>
    <row r="180" spans="1:12" s="77" customFormat="1" ht="23.1" customHeight="1" thickTop="1" x14ac:dyDescent="0.25">
      <c r="A180" s="268" t="s">
        <v>75</v>
      </c>
      <c r="B180" s="225" t="s">
        <v>60</v>
      </c>
      <c r="C180" s="228" t="s">
        <v>61</v>
      </c>
      <c r="D180" s="224" t="s">
        <v>62</v>
      </c>
      <c r="E180" s="79" t="s">
        <v>17</v>
      </c>
      <c r="F180" s="79" t="s">
        <v>17</v>
      </c>
      <c r="G180" s="80" t="s">
        <v>17</v>
      </c>
      <c r="H180" s="79" t="s">
        <v>17</v>
      </c>
      <c r="I180" s="80" t="s">
        <v>17</v>
      </c>
      <c r="J180" s="79" t="s">
        <v>17</v>
      </c>
      <c r="K180" s="80" t="s">
        <v>17</v>
      </c>
      <c r="L180" s="53"/>
    </row>
    <row r="181" spans="1:12" s="77" customFormat="1" ht="23.1" customHeight="1" x14ac:dyDescent="0.25">
      <c r="A181" s="269"/>
      <c r="B181" s="250"/>
      <c r="C181" s="229"/>
      <c r="D181" s="221"/>
      <c r="E181" s="56">
        <f t="shared" ref="E181" si="79">IF(E183&lt;&gt;0,+E183/E185,0%)</f>
        <v>0.95344476054056426</v>
      </c>
      <c r="F181" s="50">
        <f>IF(F183&lt;&gt;0,ROUND(+F183/F185,4),0%)</f>
        <v>0</v>
      </c>
      <c r="G181" s="49" t="e">
        <f t="shared" ref="G181" si="80">IF(G183&lt;&gt;0,+G183/G185,0%)</f>
        <v>#REF!</v>
      </c>
      <c r="H181" s="50">
        <f>IF(H183&lt;&gt;0,ROUND(+H183/H185,4),0%)</f>
        <v>0</v>
      </c>
      <c r="I181" s="49" t="e">
        <f t="shared" ref="I181" si="81">IF(I183&lt;&gt;0,+I183/I185,0%)</f>
        <v>#REF!</v>
      </c>
      <c r="J181" s="50">
        <f>IF(J183&lt;&gt;0,ROUND(+J183/J185,4),0%)</f>
        <v>0</v>
      </c>
      <c r="K181" s="49" t="e">
        <f>IF(K183&lt;&gt;0,+K183/K185,0%)</f>
        <v>#REF!</v>
      </c>
      <c r="L181" s="54"/>
    </row>
    <row r="182" spans="1:12" s="77" customFormat="1" ht="23.1" customHeight="1" thickBot="1" x14ac:dyDescent="0.3">
      <c r="A182" s="269"/>
      <c r="B182" s="250"/>
      <c r="C182" s="229"/>
      <c r="D182" s="223"/>
      <c r="E182" s="83" t="s">
        <v>18</v>
      </c>
      <c r="F182" s="83" t="s">
        <v>18</v>
      </c>
      <c r="G182" s="84" t="s">
        <v>18</v>
      </c>
      <c r="H182" s="83" t="s">
        <v>18</v>
      </c>
      <c r="I182" s="84" t="s">
        <v>18</v>
      </c>
      <c r="J182" s="83" t="s">
        <v>18</v>
      </c>
      <c r="K182" s="84" t="s">
        <v>18</v>
      </c>
      <c r="L182" s="54"/>
    </row>
    <row r="183" spans="1:12" s="77" customFormat="1" ht="23.1" customHeight="1" thickTop="1" x14ac:dyDescent="0.25">
      <c r="A183" s="269"/>
      <c r="B183" s="250"/>
      <c r="C183" s="229"/>
      <c r="D183" s="221" t="s">
        <v>25</v>
      </c>
      <c r="E183" s="85">
        <v>238959</v>
      </c>
      <c r="F183" s="86">
        <f t="shared" ref="F183" si="82">+F193+F203</f>
        <v>0</v>
      </c>
      <c r="G183" s="87" t="e">
        <f>+#REF!+F183</f>
        <v>#REF!</v>
      </c>
      <c r="H183" s="86">
        <f t="shared" ref="H183" si="83">+H193+H203</f>
        <v>0</v>
      </c>
      <c r="I183" s="87" t="e">
        <f>+G183+H183</f>
        <v>#REF!</v>
      </c>
      <c r="J183" s="86">
        <f t="shared" ref="J183" si="84">+J193+J203</f>
        <v>0</v>
      </c>
      <c r="K183" s="87" t="e">
        <f>+I183+J183</f>
        <v>#REF!</v>
      </c>
      <c r="L183" s="23" t="e">
        <f>+K181/E181</f>
        <v>#REF!</v>
      </c>
    </row>
    <row r="184" spans="1:12" s="77" customFormat="1" ht="23.1" customHeight="1" x14ac:dyDescent="0.25">
      <c r="A184" s="269"/>
      <c r="B184" s="250"/>
      <c r="C184" s="229"/>
      <c r="D184" s="222"/>
      <c r="E184" s="81" t="s">
        <v>63</v>
      </c>
      <c r="F184" s="88" t="s">
        <v>20</v>
      </c>
      <c r="G184" s="90" t="s">
        <v>20</v>
      </c>
      <c r="H184" s="88" t="s">
        <v>20</v>
      </c>
      <c r="I184" s="90" t="s">
        <v>20</v>
      </c>
      <c r="J184" s="88" t="s">
        <v>20</v>
      </c>
      <c r="K184" s="90" t="s">
        <v>20</v>
      </c>
      <c r="L184" s="54"/>
    </row>
    <row r="185" spans="1:12" s="77" customFormat="1" ht="23.1" customHeight="1" thickBot="1" x14ac:dyDescent="0.3">
      <c r="A185" s="270"/>
      <c r="B185" s="251"/>
      <c r="C185" s="230"/>
      <c r="D185" s="223"/>
      <c r="E185" s="91">
        <v>250627</v>
      </c>
      <c r="F185" s="92">
        <f t="shared" ref="F185" si="85">+F195+F205</f>
        <v>0</v>
      </c>
      <c r="G185" s="93" t="e">
        <f>+#REF!+F185</f>
        <v>#REF!</v>
      </c>
      <c r="H185" s="92">
        <f t="shared" ref="H185" si="86">+H195+H205</f>
        <v>0</v>
      </c>
      <c r="I185" s="93" t="e">
        <f>+G185+H185</f>
        <v>#REF!</v>
      </c>
      <c r="J185" s="92">
        <f t="shared" ref="J185" si="87">+J195+J205</f>
        <v>0</v>
      </c>
      <c r="K185" s="93" t="e">
        <f>+I185+J185</f>
        <v>#REF!</v>
      </c>
      <c r="L185" s="55"/>
    </row>
    <row r="186" spans="1:12" ht="13.5" thickTop="1" x14ac:dyDescent="0.2"/>
    <row r="187" spans="1:12" s="72" customFormat="1" ht="21" thickBot="1" x14ac:dyDescent="0.35">
      <c r="A187" s="120" t="s">
        <v>64</v>
      </c>
      <c r="E187" s="73"/>
      <c r="F187" s="73"/>
      <c r="G187" s="73"/>
      <c r="H187" s="73"/>
      <c r="I187" s="73"/>
      <c r="J187" s="73"/>
      <c r="K187" s="73"/>
      <c r="L187" s="73"/>
    </row>
    <row r="188" spans="1:12" s="77" customFormat="1" ht="23.1" customHeight="1" thickTop="1" x14ac:dyDescent="0.25">
      <c r="A188" s="205" t="s">
        <v>1</v>
      </c>
      <c r="B188" s="205" t="s">
        <v>2</v>
      </c>
      <c r="C188" s="139" t="s">
        <v>3</v>
      </c>
      <c r="D188" s="139" t="s">
        <v>4</v>
      </c>
      <c r="E188" s="139" t="s">
        <v>5</v>
      </c>
      <c r="F188" s="139" t="s">
        <v>6</v>
      </c>
      <c r="G188" s="139" t="s">
        <v>7</v>
      </c>
      <c r="H188" s="205" t="s">
        <v>8</v>
      </c>
      <c r="I188" s="139" t="s">
        <v>9</v>
      </c>
      <c r="J188" s="139" t="s">
        <v>10</v>
      </c>
      <c r="K188" s="139" t="s">
        <v>58</v>
      </c>
      <c r="L188" s="139" t="s">
        <v>12</v>
      </c>
    </row>
    <row r="189" spans="1:12" s="77" customFormat="1" ht="23.1" customHeight="1" thickBot="1" x14ac:dyDescent="0.3">
      <c r="A189" s="220"/>
      <c r="B189" s="220"/>
      <c r="C189" s="140"/>
      <c r="D189" s="140"/>
      <c r="E189" s="216"/>
      <c r="F189" s="204"/>
      <c r="G189" s="204"/>
      <c r="H189" s="206"/>
      <c r="I189" s="204"/>
      <c r="J189" s="140"/>
      <c r="K189" s="140">
        <v>2018</v>
      </c>
      <c r="L189" s="140"/>
    </row>
    <row r="190" spans="1:12" s="77" customFormat="1" ht="23.1" customHeight="1" thickTop="1" x14ac:dyDescent="0.25">
      <c r="A190" s="268" t="s">
        <v>75</v>
      </c>
      <c r="B190" s="225" t="s">
        <v>60</v>
      </c>
      <c r="C190" s="228" t="s">
        <v>61</v>
      </c>
      <c r="D190" s="224" t="s">
        <v>62</v>
      </c>
      <c r="E190" s="78" t="s">
        <v>17</v>
      </c>
      <c r="F190" s="79" t="s">
        <v>17</v>
      </c>
      <c r="G190" s="80" t="s">
        <v>17</v>
      </c>
      <c r="H190" s="79" t="s">
        <v>17</v>
      </c>
      <c r="I190" s="80" t="s">
        <v>17</v>
      </c>
      <c r="J190" s="79" t="s">
        <v>17</v>
      </c>
      <c r="K190" s="80" t="s">
        <v>17</v>
      </c>
      <c r="L190" s="53"/>
    </row>
    <row r="191" spans="1:12" s="77" customFormat="1" ht="23.1" customHeight="1" x14ac:dyDescent="0.25">
      <c r="A191" s="269"/>
      <c r="B191" s="250"/>
      <c r="C191" s="229"/>
      <c r="D191" s="221"/>
      <c r="E191" s="56">
        <f t="shared" ref="E191" si="88">IF(E193&lt;&gt;0,+E193/E195,0%)</f>
        <v>0.95344371835817743</v>
      </c>
      <c r="F191" s="50">
        <f>IF(F193&lt;&gt;0,ROUND(+F193/F195,4),0%)</f>
        <v>0</v>
      </c>
      <c r="G191" s="49" t="e">
        <f t="shared" ref="G191" si="89">IF(G193&lt;&gt;0,+G193/G195,0%)</f>
        <v>#REF!</v>
      </c>
      <c r="H191" s="50">
        <f>IF(H193&lt;&gt;0,ROUND(+H193/H195,4),0%)</f>
        <v>0</v>
      </c>
      <c r="I191" s="49" t="e">
        <f t="shared" ref="I191" si="90">IF(I193&lt;&gt;0,+I193/I195,0%)</f>
        <v>#REF!</v>
      </c>
      <c r="J191" s="50">
        <f>IF(J193&lt;&gt;0,ROUND(+J193/J195,4),0%)</f>
        <v>0</v>
      </c>
      <c r="K191" s="49" t="e">
        <f>IF(K193&lt;&gt;0,+K193/K195,0%)</f>
        <v>#REF!</v>
      </c>
      <c r="L191" s="54"/>
    </row>
    <row r="192" spans="1:12" s="77" customFormat="1" ht="23.1" customHeight="1" thickBot="1" x14ac:dyDescent="0.3">
      <c r="A192" s="269"/>
      <c r="B192" s="250"/>
      <c r="C192" s="229"/>
      <c r="D192" s="223"/>
      <c r="E192" s="81"/>
      <c r="F192" s="83" t="s">
        <v>18</v>
      </c>
      <c r="G192" s="84" t="s">
        <v>18</v>
      </c>
      <c r="H192" s="83" t="s">
        <v>18</v>
      </c>
      <c r="I192" s="84" t="s">
        <v>18</v>
      </c>
      <c r="J192" s="83" t="s">
        <v>18</v>
      </c>
      <c r="K192" s="84" t="s">
        <v>18</v>
      </c>
      <c r="L192" s="54"/>
    </row>
    <row r="193" spans="1:14" s="77" customFormat="1" ht="23.1" customHeight="1" thickTop="1" x14ac:dyDescent="0.25">
      <c r="A193" s="269"/>
      <c r="B193" s="250"/>
      <c r="C193" s="229"/>
      <c r="D193" s="221" t="s">
        <v>25</v>
      </c>
      <c r="E193" s="85">
        <v>148967</v>
      </c>
      <c r="F193" s="86"/>
      <c r="G193" s="87" t="e">
        <f>+#REF!+F193</f>
        <v>#REF!</v>
      </c>
      <c r="H193" s="86"/>
      <c r="I193" s="87" t="e">
        <f>+G193+H193</f>
        <v>#REF!</v>
      </c>
      <c r="J193" s="86"/>
      <c r="K193" s="87" t="e">
        <f>SUM(I193:J193)</f>
        <v>#REF!</v>
      </c>
      <c r="L193" s="23" t="e">
        <f>+K191/E191</f>
        <v>#REF!</v>
      </c>
    </row>
    <row r="194" spans="1:14" s="77" customFormat="1" ht="23.1" customHeight="1" x14ac:dyDescent="0.25">
      <c r="A194" s="269"/>
      <c r="B194" s="250"/>
      <c r="C194" s="229"/>
      <c r="D194" s="222"/>
      <c r="E194" s="81" t="s">
        <v>63</v>
      </c>
      <c r="F194" s="88" t="s">
        <v>20</v>
      </c>
      <c r="G194" s="90" t="s">
        <v>20</v>
      </c>
      <c r="H194" s="88" t="s">
        <v>20</v>
      </c>
      <c r="I194" s="90" t="s">
        <v>20</v>
      </c>
      <c r="J194" s="88" t="s">
        <v>20</v>
      </c>
      <c r="K194" s="89" t="s">
        <v>20</v>
      </c>
      <c r="L194" s="54"/>
    </row>
    <row r="195" spans="1:14" s="77" customFormat="1" ht="23.1" customHeight="1" thickBot="1" x14ac:dyDescent="0.3">
      <c r="A195" s="270"/>
      <c r="B195" s="251"/>
      <c r="C195" s="230"/>
      <c r="D195" s="223"/>
      <c r="E195" s="91">
        <v>156241</v>
      </c>
      <c r="F195" s="92"/>
      <c r="G195" s="93" t="e">
        <f>+#REF!+F195</f>
        <v>#REF!</v>
      </c>
      <c r="H195" s="92"/>
      <c r="I195" s="93" t="e">
        <f t="shared" ref="I195" si="91">+G195+H195</f>
        <v>#REF!</v>
      </c>
      <c r="J195" s="92"/>
      <c r="K195" s="93" t="e">
        <f>SUM(I195:J195)</f>
        <v>#REF!</v>
      </c>
      <c r="L195" s="55"/>
      <c r="N195" s="95"/>
    </row>
    <row r="196" spans="1:14" ht="13.5" thickTop="1" x14ac:dyDescent="0.2"/>
    <row r="197" spans="1:14" s="72" customFormat="1" ht="21" thickBot="1" x14ac:dyDescent="0.35">
      <c r="A197" s="120" t="s">
        <v>65</v>
      </c>
      <c r="E197" s="73"/>
      <c r="F197" s="73"/>
      <c r="G197" s="73"/>
      <c r="H197" s="73"/>
      <c r="I197" s="73"/>
      <c r="J197" s="73"/>
      <c r="K197" s="73"/>
      <c r="L197" s="73"/>
    </row>
    <row r="198" spans="1:14" s="77" customFormat="1" ht="23.1" customHeight="1" thickTop="1" x14ac:dyDescent="0.25">
      <c r="A198" s="205" t="s">
        <v>1</v>
      </c>
      <c r="B198" s="205" t="s">
        <v>2</v>
      </c>
      <c r="C198" s="139" t="s">
        <v>3</v>
      </c>
      <c r="D198" s="139" t="s">
        <v>4</v>
      </c>
      <c r="E198" s="139" t="s">
        <v>5</v>
      </c>
      <c r="F198" s="139" t="s">
        <v>6</v>
      </c>
      <c r="G198" s="139" t="s">
        <v>7</v>
      </c>
      <c r="H198" s="205" t="s">
        <v>8</v>
      </c>
      <c r="I198" s="139" t="s">
        <v>9</v>
      </c>
      <c r="J198" s="139" t="s">
        <v>10</v>
      </c>
      <c r="K198" s="139" t="s">
        <v>58</v>
      </c>
      <c r="L198" s="139" t="s">
        <v>12</v>
      </c>
    </row>
    <row r="199" spans="1:14" s="77" customFormat="1" ht="23.1" customHeight="1" thickBot="1" x14ac:dyDescent="0.3">
      <c r="A199" s="220"/>
      <c r="B199" s="220"/>
      <c r="C199" s="140"/>
      <c r="D199" s="140"/>
      <c r="E199" s="216"/>
      <c r="F199" s="204"/>
      <c r="G199" s="204"/>
      <c r="H199" s="206"/>
      <c r="I199" s="204"/>
      <c r="J199" s="140"/>
      <c r="K199" s="140">
        <v>2018</v>
      </c>
      <c r="L199" s="140"/>
    </row>
    <row r="200" spans="1:14" s="77" customFormat="1" ht="23.1" customHeight="1" thickTop="1" x14ac:dyDescent="0.25">
      <c r="A200" s="268" t="s">
        <v>75</v>
      </c>
      <c r="B200" s="225" t="s">
        <v>60</v>
      </c>
      <c r="C200" s="228" t="s">
        <v>61</v>
      </c>
      <c r="D200" s="224" t="s">
        <v>62</v>
      </c>
      <c r="E200" s="78" t="s">
        <v>17</v>
      </c>
      <c r="F200" s="79" t="s">
        <v>17</v>
      </c>
      <c r="G200" s="80" t="s">
        <v>17</v>
      </c>
      <c r="H200" s="79" t="s">
        <v>17</v>
      </c>
      <c r="I200" s="80" t="s">
        <v>17</v>
      </c>
      <c r="J200" s="79" t="s">
        <v>17</v>
      </c>
      <c r="K200" s="80" t="s">
        <v>17</v>
      </c>
      <c r="L200" s="53"/>
    </row>
    <row r="201" spans="1:14" s="77" customFormat="1" ht="23.1" customHeight="1" x14ac:dyDescent="0.25">
      <c r="A201" s="269"/>
      <c r="B201" s="250"/>
      <c r="C201" s="229"/>
      <c r="D201" s="221"/>
      <c r="E201" s="56">
        <f t="shared" ref="E201" si="92">IF(E203&lt;&gt;0,+E203/E205,0%)</f>
        <v>0.95344648570762613</v>
      </c>
      <c r="F201" s="50">
        <f>IF(F203&lt;&gt;0,ROUND(+F203/F205,4),0%)</f>
        <v>0</v>
      </c>
      <c r="G201" s="49" t="e">
        <f t="shared" ref="G201" si="93">IF(G203&lt;&gt;0,+G203/G205,0%)</f>
        <v>#REF!</v>
      </c>
      <c r="H201" s="50">
        <f>IF(H203&lt;&gt;0,ROUND(+H203/H205,4),0%)</f>
        <v>0</v>
      </c>
      <c r="I201" s="49" t="e">
        <f t="shared" ref="I201" si="94">IF(I203&lt;&gt;0,+I203/I205,0%)</f>
        <v>#REF!</v>
      </c>
      <c r="J201" s="50">
        <f>IF(J203&lt;&gt;0,ROUND(+J203/J205,4),0%)</f>
        <v>0</v>
      </c>
      <c r="K201" s="49" t="e">
        <f>IF(K203&lt;&gt;0,+K203/K205,0%)</f>
        <v>#REF!</v>
      </c>
      <c r="L201" s="54"/>
    </row>
    <row r="202" spans="1:14" s="77" customFormat="1" ht="23.1" customHeight="1" thickBot="1" x14ac:dyDescent="0.3">
      <c r="A202" s="269"/>
      <c r="B202" s="250"/>
      <c r="C202" s="229"/>
      <c r="D202" s="223"/>
      <c r="E202" s="81"/>
      <c r="F202" s="83" t="s">
        <v>18</v>
      </c>
      <c r="G202" s="84" t="s">
        <v>18</v>
      </c>
      <c r="H202" s="83" t="s">
        <v>18</v>
      </c>
      <c r="I202" s="84" t="s">
        <v>18</v>
      </c>
      <c r="J202" s="83" t="s">
        <v>18</v>
      </c>
      <c r="K202" s="84" t="s">
        <v>18</v>
      </c>
      <c r="L202" s="54"/>
    </row>
    <row r="203" spans="1:14" s="77" customFormat="1" ht="23.1" customHeight="1" thickTop="1" x14ac:dyDescent="0.25">
      <c r="A203" s="269"/>
      <c r="B203" s="250"/>
      <c r="C203" s="229"/>
      <c r="D203" s="221" t="s">
        <v>25</v>
      </c>
      <c r="E203" s="85">
        <v>89992</v>
      </c>
      <c r="F203" s="86"/>
      <c r="G203" s="87" t="e">
        <f>+#REF!+F203</f>
        <v>#REF!</v>
      </c>
      <c r="H203" s="86"/>
      <c r="I203" s="87" t="e">
        <f>+G203+H203</f>
        <v>#REF!</v>
      </c>
      <c r="J203" s="86"/>
      <c r="K203" s="87" t="e">
        <f>SUM(I203:J203)</f>
        <v>#REF!</v>
      </c>
      <c r="L203" s="23" t="e">
        <f>+K201/E201</f>
        <v>#REF!</v>
      </c>
    </row>
    <row r="204" spans="1:14" s="77" customFormat="1" ht="23.1" customHeight="1" x14ac:dyDescent="0.25">
      <c r="A204" s="269"/>
      <c r="B204" s="250"/>
      <c r="C204" s="229"/>
      <c r="D204" s="222"/>
      <c r="E204" s="81" t="s">
        <v>63</v>
      </c>
      <c r="F204" s="88" t="s">
        <v>20</v>
      </c>
      <c r="G204" s="90" t="s">
        <v>20</v>
      </c>
      <c r="H204" s="88" t="s">
        <v>20</v>
      </c>
      <c r="I204" s="90" t="s">
        <v>20</v>
      </c>
      <c r="J204" s="88" t="s">
        <v>20</v>
      </c>
      <c r="K204" s="89" t="s">
        <v>20</v>
      </c>
      <c r="L204" s="54"/>
    </row>
    <row r="205" spans="1:14" s="77" customFormat="1" ht="23.1" customHeight="1" thickBot="1" x14ac:dyDescent="0.3">
      <c r="A205" s="270"/>
      <c r="B205" s="251"/>
      <c r="C205" s="230"/>
      <c r="D205" s="223"/>
      <c r="E205" s="91">
        <v>94386</v>
      </c>
      <c r="F205" s="92"/>
      <c r="G205" s="93" t="e">
        <f>+#REF!+F205</f>
        <v>#REF!</v>
      </c>
      <c r="H205" s="92"/>
      <c r="I205" s="93" t="e">
        <f t="shared" ref="I205" si="95">+G205+H205</f>
        <v>#REF!</v>
      </c>
      <c r="J205" s="92"/>
      <c r="K205" s="93" t="e">
        <f>SUM(I205:J205)</f>
        <v>#REF!</v>
      </c>
      <c r="L205" s="55"/>
    </row>
    <row r="206" spans="1:14" ht="13.5" thickTop="1" x14ac:dyDescent="0.2"/>
    <row r="209" spans="1:12" s="72" customFormat="1" ht="15.75" x14ac:dyDescent="0.25">
      <c r="B209" s="219" t="s">
        <v>76</v>
      </c>
      <c r="C209" s="219"/>
      <c r="D209" s="219"/>
      <c r="E209" s="76"/>
      <c r="F209" s="76"/>
      <c r="G209" s="68"/>
      <c r="H209" s="76"/>
      <c r="I209" s="68"/>
      <c r="J209" s="76"/>
      <c r="K209" s="68"/>
      <c r="L209" s="101"/>
    </row>
    <row r="210" spans="1:12" s="72" customFormat="1" ht="16.5" thickBot="1" x14ac:dyDescent="0.3">
      <c r="E210" s="73"/>
      <c r="F210" s="73"/>
      <c r="G210" s="73"/>
      <c r="H210" s="73"/>
      <c r="I210" s="73"/>
      <c r="J210" s="73"/>
      <c r="K210" s="73"/>
      <c r="L210" s="73"/>
    </row>
    <row r="211" spans="1:12" s="77" customFormat="1" ht="23.1" customHeight="1" thickTop="1" x14ac:dyDescent="0.25">
      <c r="A211" s="205" t="s">
        <v>1</v>
      </c>
      <c r="B211" s="205" t="s">
        <v>2</v>
      </c>
      <c r="C211" s="139" t="s">
        <v>3</v>
      </c>
      <c r="D211" s="139" t="s">
        <v>4</v>
      </c>
      <c r="E211" s="139" t="s">
        <v>5</v>
      </c>
      <c r="F211" s="139" t="s">
        <v>6</v>
      </c>
      <c r="G211" s="139" t="s">
        <v>7</v>
      </c>
      <c r="H211" s="205" t="s">
        <v>8</v>
      </c>
      <c r="I211" s="139" t="s">
        <v>9</v>
      </c>
      <c r="J211" s="139" t="s">
        <v>10</v>
      </c>
      <c r="K211" s="139" t="s">
        <v>58</v>
      </c>
      <c r="L211" s="139" t="s">
        <v>12</v>
      </c>
    </row>
    <row r="212" spans="1:12" s="77" customFormat="1" ht="23.1" customHeight="1" thickBot="1" x14ac:dyDescent="0.3">
      <c r="A212" s="220"/>
      <c r="B212" s="220"/>
      <c r="C212" s="140"/>
      <c r="D212" s="140"/>
      <c r="E212" s="216"/>
      <c r="F212" s="204"/>
      <c r="G212" s="204"/>
      <c r="H212" s="206"/>
      <c r="I212" s="204"/>
      <c r="J212" s="140"/>
      <c r="K212" s="140">
        <v>2018</v>
      </c>
      <c r="L212" s="140"/>
    </row>
    <row r="213" spans="1:12" s="77" customFormat="1" ht="23.1" customHeight="1" thickTop="1" x14ac:dyDescent="0.25">
      <c r="A213" s="268" t="s">
        <v>77</v>
      </c>
      <c r="B213" s="242" t="s">
        <v>60</v>
      </c>
      <c r="C213" s="228" t="s">
        <v>61</v>
      </c>
      <c r="D213" s="224" t="s">
        <v>62</v>
      </c>
      <c r="E213" s="79" t="s">
        <v>17</v>
      </c>
      <c r="F213" s="79" t="s">
        <v>17</v>
      </c>
      <c r="G213" s="80" t="s">
        <v>17</v>
      </c>
      <c r="H213" s="79" t="s">
        <v>17</v>
      </c>
      <c r="I213" s="80" t="s">
        <v>17</v>
      </c>
      <c r="J213" s="79" t="s">
        <v>17</v>
      </c>
      <c r="K213" s="80" t="s">
        <v>17</v>
      </c>
      <c r="L213" s="53"/>
    </row>
    <row r="214" spans="1:12" s="77" customFormat="1" ht="23.1" customHeight="1" x14ac:dyDescent="0.25">
      <c r="A214" s="269"/>
      <c r="B214" s="226"/>
      <c r="C214" s="229"/>
      <c r="D214" s="221"/>
      <c r="E214" s="56">
        <f t="shared" ref="E214" si="96">IF(E216&lt;&gt;0,+E216/E218,0%)</f>
        <v>0.91643267515601001</v>
      </c>
      <c r="F214" s="50">
        <f>IF(F216&lt;&gt;0,ROUND(+F216/F218,4),0%)</f>
        <v>0</v>
      </c>
      <c r="G214" s="49" t="e">
        <f t="shared" ref="G214" si="97">IF(G216&lt;&gt;0,+G216/G218,0%)</f>
        <v>#REF!</v>
      </c>
      <c r="H214" s="50">
        <f>IF(H216&lt;&gt;0,ROUND(+H216/H218,4),0%)</f>
        <v>0</v>
      </c>
      <c r="I214" s="49" t="e">
        <f t="shared" ref="I214" si="98">IF(I216&lt;&gt;0,+I216/I218,0%)</f>
        <v>#REF!</v>
      </c>
      <c r="J214" s="50">
        <f>IF(J216&lt;&gt;0,ROUND(+J216/J218,4),0%)</f>
        <v>0</v>
      </c>
      <c r="K214" s="49" t="e">
        <f>IF(K216&lt;&gt;0,+K216/K218,0%)</f>
        <v>#REF!</v>
      </c>
      <c r="L214" s="54"/>
    </row>
    <row r="215" spans="1:12" s="77" customFormat="1" ht="23.1" customHeight="1" thickBot="1" x14ac:dyDescent="0.3">
      <c r="A215" s="269"/>
      <c r="B215" s="226"/>
      <c r="C215" s="229"/>
      <c r="D215" s="223"/>
      <c r="E215" s="83" t="s">
        <v>18</v>
      </c>
      <c r="F215" s="83" t="s">
        <v>18</v>
      </c>
      <c r="G215" s="84" t="s">
        <v>18</v>
      </c>
      <c r="H215" s="83" t="s">
        <v>18</v>
      </c>
      <c r="I215" s="84" t="s">
        <v>18</v>
      </c>
      <c r="J215" s="83" t="s">
        <v>18</v>
      </c>
      <c r="K215" s="84" t="s">
        <v>18</v>
      </c>
      <c r="L215" s="54"/>
    </row>
    <row r="216" spans="1:12" s="77" customFormat="1" ht="23.1" customHeight="1" thickTop="1" x14ac:dyDescent="0.25">
      <c r="A216" s="269"/>
      <c r="B216" s="226"/>
      <c r="C216" s="229"/>
      <c r="D216" s="221" t="s">
        <v>25</v>
      </c>
      <c r="E216" s="85">
        <v>488586</v>
      </c>
      <c r="F216" s="86">
        <f t="shared" ref="F216" si="99">+F226+F236</f>
        <v>0</v>
      </c>
      <c r="G216" s="87" t="e">
        <f>+#REF!+F216</f>
        <v>#REF!</v>
      </c>
      <c r="H216" s="86">
        <f t="shared" ref="H216" si="100">+H226+H236</f>
        <v>0</v>
      </c>
      <c r="I216" s="87" t="e">
        <f>+G216+H216</f>
        <v>#REF!</v>
      </c>
      <c r="J216" s="86">
        <f t="shared" ref="J216" si="101">+J226+J236</f>
        <v>0</v>
      </c>
      <c r="K216" s="87" t="e">
        <f>+I216+J216</f>
        <v>#REF!</v>
      </c>
      <c r="L216" s="23" t="e">
        <f>+K214/E214</f>
        <v>#REF!</v>
      </c>
    </row>
    <row r="217" spans="1:12" s="77" customFormat="1" ht="23.1" customHeight="1" x14ac:dyDescent="0.25">
      <c r="A217" s="269"/>
      <c r="B217" s="226"/>
      <c r="C217" s="229"/>
      <c r="D217" s="222"/>
      <c r="E217" s="81" t="s">
        <v>63</v>
      </c>
      <c r="F217" s="88" t="s">
        <v>20</v>
      </c>
      <c r="G217" s="90" t="s">
        <v>20</v>
      </c>
      <c r="H217" s="88" t="s">
        <v>20</v>
      </c>
      <c r="I217" s="90" t="s">
        <v>20</v>
      </c>
      <c r="J217" s="88" t="s">
        <v>20</v>
      </c>
      <c r="K217" s="90" t="s">
        <v>20</v>
      </c>
      <c r="L217" s="54"/>
    </row>
    <row r="218" spans="1:12" s="77" customFormat="1" ht="23.1" customHeight="1" thickBot="1" x14ac:dyDescent="0.3">
      <c r="A218" s="270"/>
      <c r="B218" s="227"/>
      <c r="C218" s="230"/>
      <c r="D218" s="223"/>
      <c r="E218" s="91">
        <v>533139</v>
      </c>
      <c r="F218" s="92">
        <f t="shared" ref="F218" si="102">+F228+F238</f>
        <v>0</v>
      </c>
      <c r="G218" s="93" t="e">
        <f>+#REF!+F218</f>
        <v>#REF!</v>
      </c>
      <c r="H218" s="92">
        <f t="shared" ref="H218" si="103">+H228+H238</f>
        <v>0</v>
      </c>
      <c r="I218" s="93" t="e">
        <f>+G218+H218</f>
        <v>#REF!</v>
      </c>
      <c r="J218" s="92">
        <f t="shared" ref="J218" si="104">+J228+J238</f>
        <v>0</v>
      </c>
      <c r="K218" s="93" t="e">
        <f>+I218+J218</f>
        <v>#REF!</v>
      </c>
      <c r="L218" s="55"/>
    </row>
    <row r="219" spans="1:12" ht="13.5" thickTop="1" x14ac:dyDescent="0.2"/>
    <row r="220" spans="1:12" s="72" customFormat="1" ht="21" thickBot="1" x14ac:dyDescent="0.35">
      <c r="A220" s="120" t="s">
        <v>64</v>
      </c>
      <c r="E220" s="73"/>
      <c r="F220" s="73"/>
      <c r="G220" s="73"/>
      <c r="H220" s="73"/>
      <c r="I220" s="73"/>
      <c r="J220" s="73"/>
      <c r="K220" s="73"/>
      <c r="L220" s="73"/>
    </row>
    <row r="221" spans="1:12" s="77" customFormat="1" ht="23.1" customHeight="1" thickTop="1" x14ac:dyDescent="0.25">
      <c r="A221" s="205" t="s">
        <v>1</v>
      </c>
      <c r="B221" s="205" t="s">
        <v>2</v>
      </c>
      <c r="C221" s="139" t="s">
        <v>3</v>
      </c>
      <c r="D221" s="139" t="s">
        <v>4</v>
      </c>
      <c r="E221" s="139" t="s">
        <v>5</v>
      </c>
      <c r="F221" s="139" t="s">
        <v>6</v>
      </c>
      <c r="G221" s="139" t="s">
        <v>7</v>
      </c>
      <c r="H221" s="205" t="s">
        <v>8</v>
      </c>
      <c r="I221" s="139" t="s">
        <v>9</v>
      </c>
      <c r="J221" s="139" t="s">
        <v>10</v>
      </c>
      <c r="K221" s="139" t="s">
        <v>58</v>
      </c>
      <c r="L221" s="139" t="s">
        <v>12</v>
      </c>
    </row>
    <row r="222" spans="1:12" s="77" customFormat="1" ht="23.1" customHeight="1" thickBot="1" x14ac:dyDescent="0.3">
      <c r="A222" s="220"/>
      <c r="B222" s="220"/>
      <c r="C222" s="140"/>
      <c r="D222" s="140"/>
      <c r="E222" s="216"/>
      <c r="F222" s="204"/>
      <c r="G222" s="204"/>
      <c r="H222" s="206"/>
      <c r="I222" s="204"/>
      <c r="J222" s="140"/>
      <c r="K222" s="140">
        <v>2018</v>
      </c>
      <c r="L222" s="140"/>
    </row>
    <row r="223" spans="1:12" s="77" customFormat="1" ht="23.1" customHeight="1" thickTop="1" x14ac:dyDescent="0.25">
      <c r="A223" s="268" t="s">
        <v>77</v>
      </c>
      <c r="B223" s="242" t="s">
        <v>60</v>
      </c>
      <c r="C223" s="228" t="s">
        <v>61</v>
      </c>
      <c r="D223" s="224" t="s">
        <v>62</v>
      </c>
      <c r="E223" s="78" t="s">
        <v>17</v>
      </c>
      <c r="F223" s="79" t="s">
        <v>17</v>
      </c>
      <c r="G223" s="80" t="s">
        <v>17</v>
      </c>
      <c r="H223" s="79" t="s">
        <v>17</v>
      </c>
      <c r="I223" s="80" t="s">
        <v>17</v>
      </c>
      <c r="J223" s="79" t="s">
        <v>17</v>
      </c>
      <c r="K223" s="80" t="s">
        <v>17</v>
      </c>
      <c r="L223" s="53"/>
    </row>
    <row r="224" spans="1:12" s="77" customFormat="1" ht="23.1" customHeight="1" x14ac:dyDescent="0.25">
      <c r="A224" s="269"/>
      <c r="B224" s="226"/>
      <c r="C224" s="229"/>
      <c r="D224" s="221"/>
      <c r="E224" s="56">
        <f t="shared" ref="E224" si="105">IF(E226&lt;&gt;0,+E226/E228,0%)</f>
        <v>0.91643214270452422</v>
      </c>
      <c r="F224" s="50">
        <f>IF(F226&lt;&gt;0,ROUND(+F226/F228,4),0%)</f>
        <v>0</v>
      </c>
      <c r="G224" s="49" t="e">
        <f t="shared" ref="G224" si="106">IF(G226&lt;&gt;0,+G226/G228,0%)</f>
        <v>#REF!</v>
      </c>
      <c r="H224" s="50">
        <f>IF(H226&lt;&gt;0,ROUND(+H226/H228,4),0%)</f>
        <v>0</v>
      </c>
      <c r="I224" s="49" t="e">
        <f t="shared" ref="I224" si="107">IF(I226&lt;&gt;0,+I226/I228,0%)</f>
        <v>#REF!</v>
      </c>
      <c r="J224" s="50">
        <f>IF(J226&lt;&gt;0,ROUND(+J226/J228,4),0%)</f>
        <v>0</v>
      </c>
      <c r="K224" s="49" t="e">
        <f>IF(K226&lt;&gt;0,+K226/K228,0%)</f>
        <v>#REF!</v>
      </c>
      <c r="L224" s="54"/>
    </row>
    <row r="225" spans="1:14" s="77" customFormat="1" ht="23.1" customHeight="1" thickBot="1" x14ac:dyDescent="0.3">
      <c r="A225" s="269"/>
      <c r="B225" s="226"/>
      <c r="C225" s="229"/>
      <c r="D225" s="223"/>
      <c r="E225" s="81"/>
      <c r="F225" s="83" t="s">
        <v>18</v>
      </c>
      <c r="G225" s="84" t="s">
        <v>18</v>
      </c>
      <c r="H225" s="83" t="s">
        <v>18</v>
      </c>
      <c r="I225" s="84" t="s">
        <v>18</v>
      </c>
      <c r="J225" s="83" t="s">
        <v>18</v>
      </c>
      <c r="K225" s="84" t="s">
        <v>18</v>
      </c>
      <c r="L225" s="54"/>
    </row>
    <row r="226" spans="1:14" s="77" customFormat="1" ht="23.1" customHeight="1" thickTop="1" x14ac:dyDescent="0.25">
      <c r="A226" s="269"/>
      <c r="B226" s="226"/>
      <c r="C226" s="229"/>
      <c r="D226" s="221" t="s">
        <v>25</v>
      </c>
      <c r="E226" s="85">
        <v>300236</v>
      </c>
      <c r="F226" s="86"/>
      <c r="G226" s="87" t="e">
        <f>+#REF!+F226</f>
        <v>#REF!</v>
      </c>
      <c r="H226" s="86"/>
      <c r="I226" s="87" t="e">
        <f>+G226+H226</f>
        <v>#REF!</v>
      </c>
      <c r="J226" s="86"/>
      <c r="K226" s="87" t="e">
        <f>SUM(I226:J226)</f>
        <v>#REF!</v>
      </c>
      <c r="L226" s="23" t="e">
        <f>+K224/E224</f>
        <v>#REF!</v>
      </c>
    </row>
    <row r="227" spans="1:14" s="77" customFormat="1" ht="23.1" customHeight="1" x14ac:dyDescent="0.25">
      <c r="A227" s="269"/>
      <c r="B227" s="226"/>
      <c r="C227" s="229"/>
      <c r="D227" s="222"/>
      <c r="E227" s="81" t="s">
        <v>63</v>
      </c>
      <c r="F227" s="88" t="s">
        <v>20</v>
      </c>
      <c r="G227" s="90" t="s">
        <v>20</v>
      </c>
      <c r="H227" s="88" t="s">
        <v>20</v>
      </c>
      <c r="I227" s="90" t="s">
        <v>20</v>
      </c>
      <c r="J227" s="88" t="s">
        <v>20</v>
      </c>
      <c r="K227" s="89" t="s">
        <v>20</v>
      </c>
      <c r="L227" s="54"/>
    </row>
    <row r="228" spans="1:14" s="77" customFormat="1" ht="23.1" customHeight="1" thickBot="1" x14ac:dyDescent="0.3">
      <c r="A228" s="270"/>
      <c r="B228" s="227"/>
      <c r="C228" s="230"/>
      <c r="D228" s="223"/>
      <c r="E228" s="91">
        <v>327614</v>
      </c>
      <c r="F228" s="92"/>
      <c r="G228" s="93" t="e">
        <f>+#REF!+F228</f>
        <v>#REF!</v>
      </c>
      <c r="H228" s="92"/>
      <c r="I228" s="93" t="e">
        <f t="shared" ref="I228" si="108">+G228+H228</f>
        <v>#REF!</v>
      </c>
      <c r="J228" s="92"/>
      <c r="K228" s="93" t="e">
        <f>SUM(I228:J228)</f>
        <v>#REF!</v>
      </c>
      <c r="L228" s="55"/>
      <c r="N228" s="95"/>
    </row>
    <row r="229" spans="1:14" ht="13.5" thickTop="1" x14ac:dyDescent="0.2"/>
    <row r="230" spans="1:14" s="72" customFormat="1" ht="21" thickBot="1" x14ac:dyDescent="0.35">
      <c r="A230" s="120" t="s">
        <v>65</v>
      </c>
      <c r="E230" s="73"/>
      <c r="F230" s="73"/>
      <c r="G230" s="73"/>
      <c r="H230" s="73"/>
      <c r="I230" s="73"/>
      <c r="J230" s="73"/>
      <c r="K230" s="73"/>
      <c r="L230" s="73"/>
    </row>
    <row r="231" spans="1:14" s="77" customFormat="1" ht="23.1" customHeight="1" thickTop="1" x14ac:dyDescent="0.25">
      <c r="A231" s="205" t="s">
        <v>1</v>
      </c>
      <c r="B231" s="205" t="s">
        <v>2</v>
      </c>
      <c r="C231" s="139" t="s">
        <v>3</v>
      </c>
      <c r="D231" s="139" t="s">
        <v>4</v>
      </c>
      <c r="E231" s="139" t="s">
        <v>5</v>
      </c>
      <c r="F231" s="139" t="s">
        <v>6</v>
      </c>
      <c r="G231" s="139" t="s">
        <v>7</v>
      </c>
      <c r="H231" s="205" t="s">
        <v>8</v>
      </c>
      <c r="I231" s="139" t="s">
        <v>9</v>
      </c>
      <c r="J231" s="139" t="s">
        <v>10</v>
      </c>
      <c r="K231" s="139" t="s">
        <v>58</v>
      </c>
      <c r="L231" s="139" t="s">
        <v>12</v>
      </c>
    </row>
    <row r="232" spans="1:14" s="77" customFormat="1" ht="23.1" customHeight="1" thickBot="1" x14ac:dyDescent="0.3">
      <c r="A232" s="220"/>
      <c r="B232" s="220"/>
      <c r="C232" s="140"/>
      <c r="D232" s="140"/>
      <c r="E232" s="216"/>
      <c r="F232" s="204"/>
      <c r="G232" s="204"/>
      <c r="H232" s="206"/>
      <c r="I232" s="204"/>
      <c r="J232" s="140"/>
      <c r="K232" s="140">
        <v>2018</v>
      </c>
      <c r="L232" s="140"/>
    </row>
    <row r="233" spans="1:14" s="77" customFormat="1" ht="23.1" customHeight="1" thickTop="1" x14ac:dyDescent="0.25">
      <c r="A233" s="268" t="s">
        <v>77</v>
      </c>
      <c r="B233" s="242" t="s">
        <v>60</v>
      </c>
      <c r="C233" s="228" t="s">
        <v>61</v>
      </c>
      <c r="D233" s="224" t="s">
        <v>62</v>
      </c>
      <c r="E233" s="78" t="s">
        <v>17</v>
      </c>
      <c r="F233" s="79" t="s">
        <v>17</v>
      </c>
      <c r="G233" s="80" t="s">
        <v>17</v>
      </c>
      <c r="H233" s="79" t="s">
        <v>17</v>
      </c>
      <c r="I233" s="80" t="s">
        <v>17</v>
      </c>
      <c r="J233" s="79" t="s">
        <v>17</v>
      </c>
      <c r="K233" s="80" t="s">
        <v>17</v>
      </c>
      <c r="L233" s="53"/>
    </row>
    <row r="234" spans="1:14" s="77" customFormat="1" ht="23.1" customHeight="1" x14ac:dyDescent="0.25">
      <c r="A234" s="269"/>
      <c r="B234" s="226"/>
      <c r="C234" s="229"/>
      <c r="D234" s="221"/>
      <c r="E234" s="56">
        <f t="shared" ref="E234" si="109">IF(E236&lt;&gt;0,+E236/E238,0%)</f>
        <v>0.91643352390220167</v>
      </c>
      <c r="F234" s="50">
        <f>IF(F236&lt;&gt;0,ROUND(+F236/F238,4),0%)</f>
        <v>0</v>
      </c>
      <c r="G234" s="49" t="e">
        <f t="shared" ref="G234" si="110">IF(G236&lt;&gt;0,+G236/G238,0%)</f>
        <v>#REF!</v>
      </c>
      <c r="H234" s="50">
        <f>IF(H236&lt;&gt;0,ROUND(+H236/H238,4),0%)</f>
        <v>0</v>
      </c>
      <c r="I234" s="49" t="e">
        <f t="shared" ref="I234" si="111">IF(I236&lt;&gt;0,+I236/I238,0%)</f>
        <v>#REF!</v>
      </c>
      <c r="J234" s="50">
        <f>IF(J236&lt;&gt;0,ROUND(+J236/J238,4),0%)</f>
        <v>0</v>
      </c>
      <c r="K234" s="49" t="e">
        <f>IF(K236&lt;&gt;0,+K236/K238,0%)</f>
        <v>#REF!</v>
      </c>
      <c r="L234" s="54"/>
    </row>
    <row r="235" spans="1:14" s="77" customFormat="1" ht="23.1" customHeight="1" thickBot="1" x14ac:dyDescent="0.3">
      <c r="A235" s="269"/>
      <c r="B235" s="226"/>
      <c r="C235" s="229"/>
      <c r="D235" s="223"/>
      <c r="E235" s="81"/>
      <c r="F235" s="83" t="s">
        <v>18</v>
      </c>
      <c r="G235" s="84" t="s">
        <v>18</v>
      </c>
      <c r="H235" s="83" t="s">
        <v>18</v>
      </c>
      <c r="I235" s="84" t="s">
        <v>18</v>
      </c>
      <c r="J235" s="83" t="s">
        <v>18</v>
      </c>
      <c r="K235" s="84" t="s">
        <v>18</v>
      </c>
      <c r="L235" s="54"/>
    </row>
    <row r="236" spans="1:14" s="77" customFormat="1" ht="23.1" customHeight="1" thickTop="1" x14ac:dyDescent="0.25">
      <c r="A236" s="269"/>
      <c r="B236" s="226"/>
      <c r="C236" s="229"/>
      <c r="D236" s="221" t="s">
        <v>25</v>
      </c>
      <c r="E236" s="85">
        <v>188350</v>
      </c>
      <c r="F236" s="86"/>
      <c r="G236" s="87" t="e">
        <f>+#REF!+F236</f>
        <v>#REF!</v>
      </c>
      <c r="H236" s="86"/>
      <c r="I236" s="87" t="e">
        <f>+G236+H236</f>
        <v>#REF!</v>
      </c>
      <c r="J236" s="86"/>
      <c r="K236" s="87" t="e">
        <f>SUM(I236:J236)</f>
        <v>#REF!</v>
      </c>
      <c r="L236" s="23" t="e">
        <f>+K234/E234</f>
        <v>#REF!</v>
      </c>
    </row>
    <row r="237" spans="1:14" s="77" customFormat="1" ht="23.1" customHeight="1" x14ac:dyDescent="0.25">
      <c r="A237" s="269"/>
      <c r="B237" s="226"/>
      <c r="C237" s="229"/>
      <c r="D237" s="222"/>
      <c r="E237" s="81" t="s">
        <v>63</v>
      </c>
      <c r="F237" s="88" t="s">
        <v>20</v>
      </c>
      <c r="G237" s="90" t="s">
        <v>20</v>
      </c>
      <c r="H237" s="88" t="s">
        <v>20</v>
      </c>
      <c r="I237" s="90" t="s">
        <v>20</v>
      </c>
      <c r="J237" s="88" t="s">
        <v>20</v>
      </c>
      <c r="K237" s="89" t="s">
        <v>20</v>
      </c>
      <c r="L237" s="54"/>
    </row>
    <row r="238" spans="1:14" s="77" customFormat="1" ht="23.1" customHeight="1" thickBot="1" x14ac:dyDescent="0.3">
      <c r="A238" s="270"/>
      <c r="B238" s="227"/>
      <c r="C238" s="230"/>
      <c r="D238" s="223"/>
      <c r="E238" s="91">
        <v>205525</v>
      </c>
      <c r="F238" s="92"/>
      <c r="G238" s="93" t="e">
        <f>+#REF!+F238</f>
        <v>#REF!</v>
      </c>
      <c r="H238" s="92"/>
      <c r="I238" s="93" t="e">
        <f t="shared" ref="I238" si="112">+G238+H238</f>
        <v>#REF!</v>
      </c>
      <c r="J238" s="92"/>
      <c r="K238" s="93" t="e">
        <f>SUM(I238:J238)</f>
        <v>#REF!</v>
      </c>
      <c r="L238" s="55"/>
    </row>
    <row r="239" spans="1:14" ht="13.5" thickTop="1" x14ac:dyDescent="0.2"/>
    <row r="242" spans="1:12" s="72" customFormat="1" ht="15.75" x14ac:dyDescent="0.25">
      <c r="B242" s="219" t="s">
        <v>78</v>
      </c>
      <c r="C242" s="219"/>
      <c r="D242" s="219"/>
      <c r="E242" s="76"/>
      <c r="F242" s="76"/>
      <c r="G242" s="68"/>
      <c r="H242" s="76"/>
      <c r="I242" s="68"/>
      <c r="J242" s="76"/>
      <c r="K242" s="68"/>
      <c r="L242" s="101"/>
    </row>
    <row r="243" spans="1:12" s="72" customFormat="1" ht="16.5" thickBot="1" x14ac:dyDescent="0.3">
      <c r="E243" s="73"/>
      <c r="F243" s="73"/>
      <c r="G243" s="73"/>
      <c r="H243" s="73"/>
      <c r="I243" s="73"/>
      <c r="J243" s="73"/>
      <c r="K243" s="73"/>
      <c r="L243" s="73"/>
    </row>
    <row r="244" spans="1:12" s="77" customFormat="1" ht="23.1" customHeight="1" thickTop="1" x14ac:dyDescent="0.25">
      <c r="A244" s="205" t="s">
        <v>1</v>
      </c>
      <c r="B244" s="205" t="s">
        <v>2</v>
      </c>
      <c r="C244" s="139" t="s">
        <v>3</v>
      </c>
      <c r="D244" s="139" t="s">
        <v>4</v>
      </c>
      <c r="E244" s="139" t="s">
        <v>5</v>
      </c>
      <c r="F244" s="139" t="s">
        <v>6</v>
      </c>
      <c r="G244" s="139" t="s">
        <v>7</v>
      </c>
      <c r="H244" s="205" t="s">
        <v>8</v>
      </c>
      <c r="I244" s="139" t="s">
        <v>9</v>
      </c>
      <c r="J244" s="139" t="s">
        <v>10</v>
      </c>
      <c r="K244" s="139" t="s">
        <v>58</v>
      </c>
      <c r="L244" s="139" t="s">
        <v>12</v>
      </c>
    </row>
    <row r="245" spans="1:12" s="77" customFormat="1" ht="23.1" customHeight="1" thickBot="1" x14ac:dyDescent="0.3">
      <c r="A245" s="220"/>
      <c r="B245" s="220"/>
      <c r="C245" s="140"/>
      <c r="D245" s="140"/>
      <c r="E245" s="216"/>
      <c r="F245" s="204"/>
      <c r="G245" s="204"/>
      <c r="H245" s="206"/>
      <c r="I245" s="204"/>
      <c r="J245" s="140"/>
      <c r="K245" s="140">
        <v>2018</v>
      </c>
      <c r="L245" s="140"/>
    </row>
    <row r="246" spans="1:12" s="77" customFormat="1" ht="23.1" customHeight="1" thickTop="1" x14ac:dyDescent="0.25">
      <c r="A246" s="268" t="s">
        <v>79</v>
      </c>
      <c r="B246" s="242" t="s">
        <v>80</v>
      </c>
      <c r="C246" s="228" t="s">
        <v>61</v>
      </c>
      <c r="D246" s="224" t="s">
        <v>62</v>
      </c>
      <c r="E246" s="79" t="s">
        <v>17</v>
      </c>
      <c r="F246" s="79" t="s">
        <v>17</v>
      </c>
      <c r="G246" s="80" t="s">
        <v>17</v>
      </c>
      <c r="H246" s="79" t="s">
        <v>17</v>
      </c>
      <c r="I246" s="80" t="s">
        <v>17</v>
      </c>
      <c r="J246" s="79" t="s">
        <v>17</v>
      </c>
      <c r="K246" s="80" t="s">
        <v>17</v>
      </c>
      <c r="L246" s="53"/>
    </row>
    <row r="247" spans="1:12" s="77" customFormat="1" ht="23.1" customHeight="1" x14ac:dyDescent="0.25">
      <c r="A247" s="269"/>
      <c r="B247" s="226"/>
      <c r="C247" s="229"/>
      <c r="D247" s="221"/>
      <c r="E247" s="56">
        <f t="shared" ref="E247" si="113">IF(E249&lt;&gt;0,+E249/E251,0%)</f>
        <v>0.9701403777244112</v>
      </c>
      <c r="F247" s="50">
        <f>IF(F249&lt;&gt;0,ROUND(+F249/F251,4),0%)</f>
        <v>0</v>
      </c>
      <c r="G247" s="49" t="e">
        <f t="shared" ref="G247" si="114">IF(G249&lt;&gt;0,+G249/G251,0%)</f>
        <v>#REF!</v>
      </c>
      <c r="H247" s="50">
        <f>IF(H249&lt;&gt;0,ROUND(+H249/H251,4),0%)</f>
        <v>0</v>
      </c>
      <c r="I247" s="49" t="e">
        <f t="shared" ref="I247" si="115">IF(I249&lt;&gt;0,+I249/I251,0%)</f>
        <v>#REF!</v>
      </c>
      <c r="J247" s="50">
        <f>IF(J249&lt;&gt;0,ROUND(+J249/J251,4),0%)</f>
        <v>0</v>
      </c>
      <c r="K247" s="49" t="e">
        <f>IF(K249&lt;&gt;0,+K249/K251,0%)</f>
        <v>#REF!</v>
      </c>
      <c r="L247" s="54"/>
    </row>
    <row r="248" spans="1:12" s="77" customFormat="1" ht="23.1" customHeight="1" thickBot="1" x14ac:dyDescent="0.3">
      <c r="A248" s="269"/>
      <c r="B248" s="226"/>
      <c r="C248" s="229"/>
      <c r="D248" s="223"/>
      <c r="E248" s="83" t="s">
        <v>18</v>
      </c>
      <c r="F248" s="83" t="s">
        <v>18</v>
      </c>
      <c r="G248" s="84" t="s">
        <v>18</v>
      </c>
      <c r="H248" s="83" t="s">
        <v>18</v>
      </c>
      <c r="I248" s="84" t="s">
        <v>18</v>
      </c>
      <c r="J248" s="83" t="s">
        <v>18</v>
      </c>
      <c r="K248" s="84" t="s">
        <v>18</v>
      </c>
      <c r="L248" s="54"/>
    </row>
    <row r="249" spans="1:12" s="77" customFormat="1" ht="23.1" customHeight="1" thickTop="1" x14ac:dyDescent="0.25">
      <c r="A249" s="269"/>
      <c r="B249" s="226"/>
      <c r="C249" s="229"/>
      <c r="D249" s="221" t="s">
        <v>25</v>
      </c>
      <c r="E249" s="85">
        <v>256119</v>
      </c>
      <c r="F249" s="86">
        <f t="shared" ref="F249" si="116">+F259+F269</f>
        <v>0</v>
      </c>
      <c r="G249" s="87" t="e">
        <f>+#REF!+F249</f>
        <v>#REF!</v>
      </c>
      <c r="H249" s="86">
        <f t="shared" ref="H249" si="117">+H259+H269</f>
        <v>0</v>
      </c>
      <c r="I249" s="87" t="e">
        <f>+G249+H249</f>
        <v>#REF!</v>
      </c>
      <c r="J249" s="86">
        <f t="shared" ref="J249" si="118">+J259+J269</f>
        <v>0</v>
      </c>
      <c r="K249" s="87" t="e">
        <f>+I249+J249</f>
        <v>#REF!</v>
      </c>
      <c r="L249" s="23" t="e">
        <f>+K247/E247</f>
        <v>#REF!</v>
      </c>
    </row>
    <row r="250" spans="1:12" s="77" customFormat="1" ht="23.1" customHeight="1" x14ac:dyDescent="0.25">
      <c r="A250" s="269"/>
      <c r="B250" s="226"/>
      <c r="C250" s="229"/>
      <c r="D250" s="222"/>
      <c r="E250" s="81" t="s">
        <v>63</v>
      </c>
      <c r="F250" s="88" t="s">
        <v>20</v>
      </c>
      <c r="G250" s="90" t="s">
        <v>20</v>
      </c>
      <c r="H250" s="88" t="s">
        <v>20</v>
      </c>
      <c r="I250" s="90" t="s">
        <v>20</v>
      </c>
      <c r="J250" s="88" t="s">
        <v>20</v>
      </c>
      <c r="K250" s="90" t="s">
        <v>20</v>
      </c>
      <c r="L250" s="54"/>
    </row>
    <row r="251" spans="1:12" s="77" customFormat="1" ht="23.1" customHeight="1" thickBot="1" x14ac:dyDescent="0.3">
      <c r="A251" s="270"/>
      <c r="B251" s="227"/>
      <c r="C251" s="230"/>
      <c r="D251" s="223"/>
      <c r="E251" s="91">
        <v>264002</v>
      </c>
      <c r="F251" s="92">
        <f t="shared" ref="F251" si="119">+F261+F271</f>
        <v>0</v>
      </c>
      <c r="G251" s="93" t="e">
        <f>+#REF!+F251</f>
        <v>#REF!</v>
      </c>
      <c r="H251" s="92">
        <f t="shared" ref="H251" si="120">+H261+H271</f>
        <v>0</v>
      </c>
      <c r="I251" s="93" t="e">
        <f>+G251+H251</f>
        <v>#REF!</v>
      </c>
      <c r="J251" s="92">
        <f t="shared" ref="J251" si="121">+J261+J271</f>
        <v>0</v>
      </c>
      <c r="K251" s="93" t="e">
        <f>+I251+J251</f>
        <v>#REF!</v>
      </c>
      <c r="L251" s="55"/>
    </row>
    <row r="252" spans="1:12" ht="13.5" thickTop="1" x14ac:dyDescent="0.2"/>
    <row r="253" spans="1:12" s="72" customFormat="1" ht="21" thickBot="1" x14ac:dyDescent="0.35">
      <c r="A253" s="120" t="s">
        <v>64</v>
      </c>
      <c r="E253" s="73"/>
      <c r="F253" s="73"/>
      <c r="G253" s="73"/>
      <c r="H253" s="73"/>
      <c r="I253" s="73"/>
      <c r="J253" s="73"/>
      <c r="K253" s="73"/>
      <c r="L253" s="73"/>
    </row>
    <row r="254" spans="1:12" s="77" customFormat="1" ht="23.1" customHeight="1" thickTop="1" x14ac:dyDescent="0.25">
      <c r="A254" s="205" t="s">
        <v>1</v>
      </c>
      <c r="B254" s="205" t="s">
        <v>2</v>
      </c>
      <c r="C254" s="139" t="s">
        <v>3</v>
      </c>
      <c r="D254" s="139" t="s">
        <v>4</v>
      </c>
      <c r="E254" s="139" t="s">
        <v>5</v>
      </c>
      <c r="F254" s="139" t="s">
        <v>6</v>
      </c>
      <c r="G254" s="139" t="s">
        <v>7</v>
      </c>
      <c r="H254" s="205" t="s">
        <v>8</v>
      </c>
      <c r="I254" s="139" t="s">
        <v>9</v>
      </c>
      <c r="J254" s="139" t="s">
        <v>10</v>
      </c>
      <c r="K254" s="139" t="s">
        <v>58</v>
      </c>
      <c r="L254" s="139" t="s">
        <v>12</v>
      </c>
    </row>
    <row r="255" spans="1:12" s="77" customFormat="1" ht="23.1" customHeight="1" thickBot="1" x14ac:dyDescent="0.3">
      <c r="A255" s="220"/>
      <c r="B255" s="220"/>
      <c r="C255" s="140"/>
      <c r="D255" s="140"/>
      <c r="E255" s="216"/>
      <c r="F255" s="204"/>
      <c r="G255" s="204"/>
      <c r="H255" s="206"/>
      <c r="I255" s="204"/>
      <c r="J255" s="140"/>
      <c r="K255" s="140">
        <v>2018</v>
      </c>
      <c r="L255" s="140"/>
    </row>
    <row r="256" spans="1:12" s="77" customFormat="1" ht="23.1" customHeight="1" thickTop="1" x14ac:dyDescent="0.25">
      <c r="A256" s="268" t="s">
        <v>79</v>
      </c>
      <c r="B256" s="242" t="s">
        <v>80</v>
      </c>
      <c r="C256" s="228" t="s">
        <v>61</v>
      </c>
      <c r="D256" s="224" t="s">
        <v>62</v>
      </c>
      <c r="E256" s="78" t="s">
        <v>17</v>
      </c>
      <c r="F256" s="79" t="s">
        <v>17</v>
      </c>
      <c r="G256" s="80" t="s">
        <v>17</v>
      </c>
      <c r="H256" s="79" t="s">
        <v>17</v>
      </c>
      <c r="I256" s="80" t="s">
        <v>17</v>
      </c>
      <c r="J256" s="79" t="s">
        <v>17</v>
      </c>
      <c r="K256" s="80" t="s">
        <v>17</v>
      </c>
      <c r="L256" s="53"/>
    </row>
    <row r="257" spans="1:14" s="77" customFormat="1" ht="23.1" customHeight="1" x14ac:dyDescent="0.25">
      <c r="A257" s="269"/>
      <c r="B257" s="226"/>
      <c r="C257" s="229"/>
      <c r="D257" s="221"/>
      <c r="E257" s="56">
        <f t="shared" ref="E257" si="122">IF(E259&lt;&gt;0,+E259/E261,0%)</f>
        <v>0.97013917452989462</v>
      </c>
      <c r="F257" s="50">
        <f>IF(F259&lt;&gt;0,ROUND(+F259/F261,4),0%)</f>
        <v>0</v>
      </c>
      <c r="G257" s="49" t="e">
        <f t="shared" ref="G257" si="123">IF(G259&lt;&gt;0,+G259/G261,0%)</f>
        <v>#REF!</v>
      </c>
      <c r="H257" s="50">
        <f>IF(H259&lt;&gt;0,ROUND(+H259/H261,4),0%)</f>
        <v>0</v>
      </c>
      <c r="I257" s="49" t="e">
        <f t="shared" ref="I257" si="124">IF(I259&lt;&gt;0,+I259/I261,0%)</f>
        <v>#REF!</v>
      </c>
      <c r="J257" s="50">
        <f>IF(J259&lt;&gt;0,ROUND(+J259/J261,4),0%)</f>
        <v>0</v>
      </c>
      <c r="K257" s="49" t="e">
        <f>IF(K259&lt;&gt;0,+K259/K261,0%)</f>
        <v>#REF!</v>
      </c>
      <c r="L257" s="54"/>
    </row>
    <row r="258" spans="1:14" s="77" customFormat="1" ht="23.1" customHeight="1" thickBot="1" x14ac:dyDescent="0.3">
      <c r="A258" s="269"/>
      <c r="B258" s="226"/>
      <c r="C258" s="229"/>
      <c r="D258" s="223"/>
      <c r="E258" s="81"/>
      <c r="F258" s="83" t="s">
        <v>18</v>
      </c>
      <c r="G258" s="84" t="s">
        <v>18</v>
      </c>
      <c r="H258" s="83" t="s">
        <v>18</v>
      </c>
      <c r="I258" s="84" t="s">
        <v>18</v>
      </c>
      <c r="J258" s="83" t="s">
        <v>18</v>
      </c>
      <c r="K258" s="84" t="s">
        <v>18</v>
      </c>
      <c r="L258" s="54"/>
    </row>
    <row r="259" spans="1:14" s="77" customFormat="1" ht="23.1" customHeight="1" thickTop="1" x14ac:dyDescent="0.25">
      <c r="A259" s="269"/>
      <c r="B259" s="226"/>
      <c r="C259" s="229"/>
      <c r="D259" s="221" t="s">
        <v>25</v>
      </c>
      <c r="E259" s="85">
        <v>158025</v>
      </c>
      <c r="F259" s="86"/>
      <c r="G259" s="87" t="e">
        <f>+#REF!+F259</f>
        <v>#REF!</v>
      </c>
      <c r="H259" s="86"/>
      <c r="I259" s="87" t="e">
        <f>+G259+H259</f>
        <v>#REF!</v>
      </c>
      <c r="J259" s="86"/>
      <c r="K259" s="87" t="e">
        <f>SUM(I259:J259)</f>
        <v>#REF!</v>
      </c>
      <c r="L259" s="23" t="e">
        <f>+K257/E257</f>
        <v>#REF!</v>
      </c>
    </row>
    <row r="260" spans="1:14" s="77" customFormat="1" ht="23.1" customHeight="1" x14ac:dyDescent="0.25">
      <c r="A260" s="269"/>
      <c r="B260" s="226"/>
      <c r="C260" s="229"/>
      <c r="D260" s="222"/>
      <c r="E260" s="81" t="s">
        <v>63</v>
      </c>
      <c r="F260" s="88" t="s">
        <v>20</v>
      </c>
      <c r="G260" s="90" t="s">
        <v>20</v>
      </c>
      <c r="H260" s="88" t="s">
        <v>20</v>
      </c>
      <c r="I260" s="90" t="s">
        <v>20</v>
      </c>
      <c r="J260" s="88" t="s">
        <v>20</v>
      </c>
      <c r="K260" s="89" t="s">
        <v>20</v>
      </c>
      <c r="L260" s="54"/>
    </row>
    <row r="261" spans="1:14" s="77" customFormat="1" ht="23.1" customHeight="1" thickBot="1" x14ac:dyDescent="0.3">
      <c r="A261" s="270"/>
      <c r="B261" s="227"/>
      <c r="C261" s="230"/>
      <c r="D261" s="223"/>
      <c r="E261" s="91">
        <v>162889</v>
      </c>
      <c r="F261" s="92"/>
      <c r="G261" s="93" t="e">
        <f>+#REF!+F261</f>
        <v>#REF!</v>
      </c>
      <c r="H261" s="92"/>
      <c r="I261" s="93" t="e">
        <f t="shared" ref="I261" si="125">+G261+H261</f>
        <v>#REF!</v>
      </c>
      <c r="J261" s="92"/>
      <c r="K261" s="93" t="e">
        <f>SUM(I261:J261)</f>
        <v>#REF!</v>
      </c>
      <c r="L261" s="55"/>
      <c r="N261" s="95"/>
    </row>
    <row r="262" spans="1:14" ht="13.5" thickTop="1" x14ac:dyDescent="0.2"/>
    <row r="263" spans="1:14" s="72" customFormat="1" ht="21" thickBot="1" x14ac:dyDescent="0.35">
      <c r="A263" s="120" t="s">
        <v>65</v>
      </c>
      <c r="E263" s="73"/>
      <c r="F263" s="73"/>
      <c r="G263" s="73"/>
      <c r="H263" s="73"/>
      <c r="I263" s="73"/>
      <c r="J263" s="73"/>
      <c r="K263" s="73"/>
      <c r="L263" s="73"/>
    </row>
    <row r="264" spans="1:14" s="77" customFormat="1" ht="23.1" customHeight="1" thickTop="1" x14ac:dyDescent="0.25">
      <c r="A264" s="205" t="s">
        <v>1</v>
      </c>
      <c r="B264" s="205" t="s">
        <v>2</v>
      </c>
      <c r="C264" s="139" t="s">
        <v>3</v>
      </c>
      <c r="D264" s="139" t="s">
        <v>4</v>
      </c>
      <c r="E264" s="139" t="s">
        <v>5</v>
      </c>
      <c r="F264" s="139" t="s">
        <v>6</v>
      </c>
      <c r="G264" s="139" t="s">
        <v>7</v>
      </c>
      <c r="H264" s="205" t="s">
        <v>8</v>
      </c>
      <c r="I264" s="139" t="s">
        <v>9</v>
      </c>
      <c r="J264" s="139" t="s">
        <v>10</v>
      </c>
      <c r="K264" s="139" t="s">
        <v>58</v>
      </c>
      <c r="L264" s="139" t="s">
        <v>12</v>
      </c>
    </row>
    <row r="265" spans="1:14" s="77" customFormat="1" ht="23.1" customHeight="1" thickBot="1" x14ac:dyDescent="0.3">
      <c r="A265" s="220"/>
      <c r="B265" s="220"/>
      <c r="C265" s="140"/>
      <c r="D265" s="140"/>
      <c r="E265" s="216"/>
      <c r="F265" s="204"/>
      <c r="G265" s="204"/>
      <c r="H265" s="206"/>
      <c r="I265" s="204"/>
      <c r="J265" s="140"/>
      <c r="K265" s="140">
        <v>2018</v>
      </c>
      <c r="L265" s="140"/>
    </row>
    <row r="266" spans="1:14" s="77" customFormat="1" ht="23.1" customHeight="1" thickTop="1" x14ac:dyDescent="0.25">
      <c r="A266" s="268" t="s">
        <v>79</v>
      </c>
      <c r="B266" s="242" t="s">
        <v>80</v>
      </c>
      <c r="C266" s="228" t="s">
        <v>61</v>
      </c>
      <c r="D266" s="224" t="s">
        <v>62</v>
      </c>
      <c r="E266" s="78" t="s">
        <v>17</v>
      </c>
      <c r="F266" s="79" t="s">
        <v>17</v>
      </c>
      <c r="G266" s="80" t="s">
        <v>17</v>
      </c>
      <c r="H266" s="79" t="s">
        <v>17</v>
      </c>
      <c r="I266" s="80" t="s">
        <v>17</v>
      </c>
      <c r="J266" s="79" t="s">
        <v>17</v>
      </c>
      <c r="K266" s="80" t="s">
        <v>17</v>
      </c>
      <c r="L266" s="53"/>
    </row>
    <row r="267" spans="1:14" s="77" customFormat="1" ht="23.1" customHeight="1" x14ac:dyDescent="0.25">
      <c r="A267" s="269"/>
      <c r="B267" s="226"/>
      <c r="C267" s="229"/>
      <c r="D267" s="221"/>
      <c r="E267" s="56">
        <f t="shared" ref="E267" si="126">IF(E269&lt;&gt;0,+E269/E271,0%)</f>
        <v>0.97014231602266776</v>
      </c>
      <c r="F267" s="50">
        <f>IF(F269&lt;&gt;0,ROUND(+F269/F271,4),0%)</f>
        <v>0</v>
      </c>
      <c r="G267" s="49" t="e">
        <f t="shared" ref="G267" si="127">IF(G269&lt;&gt;0,+G269/G271,0%)</f>
        <v>#REF!</v>
      </c>
      <c r="H267" s="50">
        <f>IF(H269&lt;&gt;0,ROUND(+H269/H271,4),0%)</f>
        <v>0</v>
      </c>
      <c r="I267" s="49" t="e">
        <f t="shared" ref="I267" si="128">IF(I269&lt;&gt;0,+I269/I271,0%)</f>
        <v>#REF!</v>
      </c>
      <c r="J267" s="50">
        <f>IF(J269&lt;&gt;0,ROUND(+J269/J271,4),0%)</f>
        <v>0</v>
      </c>
      <c r="K267" s="49" t="e">
        <f>IF(K269&lt;&gt;0,+K269/K271,0%)</f>
        <v>#REF!</v>
      </c>
      <c r="L267" s="54"/>
    </row>
    <row r="268" spans="1:14" s="77" customFormat="1" ht="23.1" customHeight="1" thickBot="1" x14ac:dyDescent="0.3">
      <c r="A268" s="269"/>
      <c r="B268" s="226"/>
      <c r="C268" s="229"/>
      <c r="D268" s="223"/>
      <c r="E268" s="81"/>
      <c r="F268" s="83" t="s">
        <v>18</v>
      </c>
      <c r="G268" s="84" t="s">
        <v>18</v>
      </c>
      <c r="H268" s="83" t="s">
        <v>18</v>
      </c>
      <c r="I268" s="84" t="s">
        <v>18</v>
      </c>
      <c r="J268" s="83" t="s">
        <v>18</v>
      </c>
      <c r="K268" s="84" t="s">
        <v>18</v>
      </c>
      <c r="L268" s="54"/>
    </row>
    <row r="269" spans="1:14" s="77" customFormat="1" ht="23.1" customHeight="1" thickTop="1" x14ac:dyDescent="0.25">
      <c r="A269" s="269"/>
      <c r="B269" s="226"/>
      <c r="C269" s="229"/>
      <c r="D269" s="221" t="s">
        <v>25</v>
      </c>
      <c r="E269" s="85">
        <v>98094</v>
      </c>
      <c r="F269" s="86"/>
      <c r="G269" s="87" t="e">
        <f>+#REF!+F269</f>
        <v>#REF!</v>
      </c>
      <c r="H269" s="86"/>
      <c r="I269" s="87" t="e">
        <f>+G269+H269</f>
        <v>#REF!</v>
      </c>
      <c r="J269" s="86"/>
      <c r="K269" s="87" t="e">
        <f>SUM(I269:J269)</f>
        <v>#REF!</v>
      </c>
      <c r="L269" s="23" t="e">
        <f>+K267/E267</f>
        <v>#REF!</v>
      </c>
    </row>
    <row r="270" spans="1:14" s="77" customFormat="1" ht="23.1" customHeight="1" x14ac:dyDescent="0.25">
      <c r="A270" s="269"/>
      <c r="B270" s="226"/>
      <c r="C270" s="229"/>
      <c r="D270" s="222"/>
      <c r="E270" s="81" t="s">
        <v>63</v>
      </c>
      <c r="F270" s="88" t="s">
        <v>20</v>
      </c>
      <c r="G270" s="90" t="s">
        <v>20</v>
      </c>
      <c r="H270" s="88" t="s">
        <v>20</v>
      </c>
      <c r="I270" s="90" t="s">
        <v>20</v>
      </c>
      <c r="J270" s="88" t="s">
        <v>20</v>
      </c>
      <c r="K270" s="89" t="s">
        <v>20</v>
      </c>
      <c r="L270" s="54"/>
    </row>
    <row r="271" spans="1:14" s="77" customFormat="1" ht="23.1" customHeight="1" thickBot="1" x14ac:dyDescent="0.3">
      <c r="A271" s="270"/>
      <c r="B271" s="227"/>
      <c r="C271" s="230"/>
      <c r="D271" s="223"/>
      <c r="E271" s="91">
        <v>101113</v>
      </c>
      <c r="F271" s="92"/>
      <c r="G271" s="93" t="e">
        <f>+#REF!+F271</f>
        <v>#REF!</v>
      </c>
      <c r="H271" s="92"/>
      <c r="I271" s="93" t="e">
        <f t="shared" ref="I271" si="129">+G271+H271</f>
        <v>#REF!</v>
      </c>
      <c r="J271" s="92"/>
      <c r="K271" s="93" t="e">
        <f>SUM(I271:J271)</f>
        <v>#REF!</v>
      </c>
      <c r="L271" s="55"/>
    </row>
    <row r="272" spans="1:14" ht="13.5" thickTop="1" x14ac:dyDescent="0.2"/>
    <row r="275" spans="1:14" s="105" customFormat="1" ht="15.75" x14ac:dyDescent="0.25">
      <c r="B275" s="231" t="s">
        <v>81</v>
      </c>
      <c r="C275" s="231"/>
      <c r="D275" s="231"/>
      <c r="E275" s="98"/>
      <c r="F275" s="98"/>
      <c r="G275" s="69"/>
      <c r="H275" s="98"/>
      <c r="I275" s="69"/>
      <c r="J275" s="98"/>
      <c r="K275" s="69"/>
      <c r="L275" s="99"/>
    </row>
    <row r="276" spans="1:14" s="105" customFormat="1" ht="16.5" thickBot="1" x14ac:dyDescent="0.3">
      <c r="E276" s="96"/>
      <c r="F276" s="73"/>
      <c r="G276" s="73"/>
      <c r="H276" s="73"/>
      <c r="I276" s="73"/>
      <c r="J276" s="73"/>
      <c r="K276" s="96"/>
      <c r="L276" s="96"/>
    </row>
    <row r="277" spans="1:14" s="77" customFormat="1" ht="23.1" customHeight="1" thickTop="1" x14ac:dyDescent="0.25">
      <c r="A277" s="205" t="s">
        <v>1</v>
      </c>
      <c r="B277" s="205" t="s">
        <v>2</v>
      </c>
      <c r="C277" s="139" t="s">
        <v>3</v>
      </c>
      <c r="D277" s="139" t="s">
        <v>4</v>
      </c>
      <c r="E277" s="139" t="s">
        <v>5</v>
      </c>
      <c r="F277" s="139" t="s">
        <v>6</v>
      </c>
      <c r="G277" s="139" t="s">
        <v>7</v>
      </c>
      <c r="H277" s="205" t="s">
        <v>8</v>
      </c>
      <c r="I277" s="139" t="s">
        <v>9</v>
      </c>
      <c r="J277" s="139" t="s">
        <v>10</v>
      </c>
      <c r="K277" s="139" t="s">
        <v>58</v>
      </c>
      <c r="L277" s="139" t="s">
        <v>12</v>
      </c>
    </row>
    <row r="278" spans="1:14" s="77" customFormat="1" ht="23.1" customHeight="1" thickBot="1" x14ac:dyDescent="0.3">
      <c r="A278" s="220"/>
      <c r="B278" s="220"/>
      <c r="C278" s="140"/>
      <c r="D278" s="140"/>
      <c r="E278" s="216"/>
      <c r="F278" s="204"/>
      <c r="G278" s="204"/>
      <c r="H278" s="206"/>
      <c r="I278" s="204"/>
      <c r="J278" s="140"/>
      <c r="K278" s="140">
        <v>2018</v>
      </c>
      <c r="L278" s="140"/>
    </row>
    <row r="279" spans="1:14" s="100" customFormat="1" ht="23.1" customHeight="1" thickTop="1" x14ac:dyDescent="0.25">
      <c r="A279" s="271" t="s">
        <v>82</v>
      </c>
      <c r="B279" s="252" t="s">
        <v>83</v>
      </c>
      <c r="C279" s="255" t="s">
        <v>61</v>
      </c>
      <c r="D279" s="235" t="s">
        <v>62</v>
      </c>
      <c r="E279" s="79" t="s">
        <v>17</v>
      </c>
      <c r="F279" s="79" t="s">
        <v>17</v>
      </c>
      <c r="G279" s="80" t="s">
        <v>17</v>
      </c>
      <c r="H279" s="79" t="s">
        <v>17</v>
      </c>
      <c r="I279" s="80" t="s">
        <v>17</v>
      </c>
      <c r="J279" s="79" t="s">
        <v>17</v>
      </c>
      <c r="K279" s="80" t="s">
        <v>17</v>
      </c>
      <c r="L279" s="57"/>
      <c r="N279" s="77"/>
    </row>
    <row r="280" spans="1:14" s="100" customFormat="1" ht="23.1" customHeight="1" x14ac:dyDescent="0.25">
      <c r="A280" s="272"/>
      <c r="B280" s="253"/>
      <c r="C280" s="256"/>
      <c r="D280" s="232"/>
      <c r="E280" s="56">
        <f t="shared" ref="E280" si="130">IF(E282&lt;&gt;0,+E282/E284,0%)</f>
        <v>0.94866781628737284</v>
      </c>
      <c r="F280" s="50">
        <f>IF(F282&lt;&gt;0,ROUND(+F282/F284,4),0%)</f>
        <v>0</v>
      </c>
      <c r="G280" s="49" t="e">
        <f t="shared" ref="G280" si="131">IF(G282&lt;&gt;0,+G282/G284,0%)</f>
        <v>#REF!</v>
      </c>
      <c r="H280" s="50">
        <f>IF(H282&lt;&gt;0,ROUND(+H282/H284,4),0%)</f>
        <v>0</v>
      </c>
      <c r="I280" s="49" t="e">
        <f t="shared" ref="I280" si="132">IF(I282&lt;&gt;0,+I282/I284,0%)</f>
        <v>#REF!</v>
      </c>
      <c r="J280" s="50">
        <f>IF(J282&lt;&gt;0,ROUND(+J282/J284,4),0%)</f>
        <v>0</v>
      </c>
      <c r="K280" s="49" t="e">
        <f>IF(K282&lt;&gt;0,+K282/K284,0%)</f>
        <v>#REF!</v>
      </c>
      <c r="L280" s="58"/>
      <c r="N280" s="77"/>
    </row>
    <row r="281" spans="1:14" s="100" customFormat="1" ht="23.1" customHeight="1" thickBot="1" x14ac:dyDescent="0.3">
      <c r="A281" s="272"/>
      <c r="B281" s="253"/>
      <c r="C281" s="256"/>
      <c r="D281" s="234"/>
      <c r="E281" s="83" t="s">
        <v>18</v>
      </c>
      <c r="F281" s="83" t="s">
        <v>18</v>
      </c>
      <c r="G281" s="84" t="s">
        <v>18</v>
      </c>
      <c r="H281" s="83" t="s">
        <v>18</v>
      </c>
      <c r="I281" s="84" t="s">
        <v>18</v>
      </c>
      <c r="J281" s="83" t="s">
        <v>18</v>
      </c>
      <c r="K281" s="84" t="s">
        <v>18</v>
      </c>
      <c r="L281" s="58"/>
      <c r="N281" s="77"/>
    </row>
    <row r="282" spans="1:14" s="100" customFormat="1" ht="23.1" customHeight="1" thickTop="1" x14ac:dyDescent="0.25">
      <c r="A282" s="272"/>
      <c r="B282" s="253"/>
      <c r="C282" s="256"/>
      <c r="D282" s="232" t="s">
        <v>25</v>
      </c>
      <c r="E282" s="85">
        <v>312476</v>
      </c>
      <c r="F282" s="86">
        <f t="shared" ref="F282" si="133">+F292+F302</f>
        <v>0</v>
      </c>
      <c r="G282" s="87" t="e">
        <f>+#REF!+F282</f>
        <v>#REF!</v>
      </c>
      <c r="H282" s="86">
        <f t="shared" ref="H282" si="134">+H292+H302</f>
        <v>0</v>
      </c>
      <c r="I282" s="87" t="e">
        <f>+G282+H282</f>
        <v>#REF!</v>
      </c>
      <c r="J282" s="86">
        <f t="shared" ref="J282" si="135">+J292+J302</f>
        <v>0</v>
      </c>
      <c r="K282" s="87" t="e">
        <f>+I282+J282</f>
        <v>#REF!</v>
      </c>
      <c r="L282" s="47" t="e">
        <f>+K280/E280</f>
        <v>#REF!</v>
      </c>
      <c r="N282" s="77"/>
    </row>
    <row r="283" spans="1:14" s="100" customFormat="1" ht="23.1" customHeight="1" x14ac:dyDescent="0.25">
      <c r="A283" s="272"/>
      <c r="B283" s="253"/>
      <c r="C283" s="256"/>
      <c r="D283" s="233"/>
      <c r="E283" s="81" t="s">
        <v>63</v>
      </c>
      <c r="F283" s="88" t="s">
        <v>20</v>
      </c>
      <c r="G283" s="90" t="s">
        <v>20</v>
      </c>
      <c r="H283" s="88" t="s">
        <v>20</v>
      </c>
      <c r="I283" s="90" t="s">
        <v>20</v>
      </c>
      <c r="J283" s="88" t="s">
        <v>20</v>
      </c>
      <c r="K283" s="90" t="s">
        <v>20</v>
      </c>
      <c r="L283" s="58"/>
      <c r="N283" s="77"/>
    </row>
    <row r="284" spans="1:14" s="100" customFormat="1" ht="23.1" customHeight="1" thickBot="1" x14ac:dyDescent="0.3">
      <c r="A284" s="273"/>
      <c r="B284" s="254"/>
      <c r="C284" s="257"/>
      <c r="D284" s="234"/>
      <c r="E284" s="91">
        <v>329384</v>
      </c>
      <c r="F284" s="92">
        <f t="shared" ref="F284" si="136">+F294+F304</f>
        <v>0</v>
      </c>
      <c r="G284" s="93" t="e">
        <f>+#REF!+F284</f>
        <v>#REF!</v>
      </c>
      <c r="H284" s="92">
        <f t="shared" ref="H284" si="137">+H294+H304</f>
        <v>0</v>
      </c>
      <c r="I284" s="93" t="e">
        <f>+G284+H284</f>
        <v>#REF!</v>
      </c>
      <c r="J284" s="92">
        <f t="shared" ref="J284" si="138">+J294+J304</f>
        <v>0</v>
      </c>
      <c r="K284" s="93" t="e">
        <f>+I284+J284</f>
        <v>#REF!</v>
      </c>
      <c r="L284" s="59"/>
      <c r="N284" s="77"/>
    </row>
    <row r="285" spans="1:14" ht="13.5" thickTop="1" x14ac:dyDescent="0.2"/>
    <row r="286" spans="1:14" s="72" customFormat="1" ht="21" thickBot="1" x14ac:dyDescent="0.35">
      <c r="A286" s="120" t="s">
        <v>64</v>
      </c>
      <c r="E286" s="73"/>
      <c r="F286" s="73"/>
      <c r="G286" s="73"/>
      <c r="H286" s="73"/>
      <c r="I286" s="73"/>
      <c r="J286" s="73"/>
      <c r="K286" s="73"/>
      <c r="L286" s="73"/>
    </row>
    <row r="287" spans="1:14" s="77" customFormat="1" ht="23.1" customHeight="1" thickTop="1" x14ac:dyDescent="0.25">
      <c r="A287" s="205" t="s">
        <v>1</v>
      </c>
      <c r="B287" s="205" t="s">
        <v>2</v>
      </c>
      <c r="C287" s="139" t="s">
        <v>3</v>
      </c>
      <c r="D287" s="139" t="s">
        <v>4</v>
      </c>
      <c r="E287" s="139" t="s">
        <v>5</v>
      </c>
      <c r="F287" s="139" t="s">
        <v>6</v>
      </c>
      <c r="G287" s="139" t="s">
        <v>7</v>
      </c>
      <c r="H287" s="205" t="s">
        <v>8</v>
      </c>
      <c r="I287" s="139" t="s">
        <v>9</v>
      </c>
      <c r="J287" s="139" t="s">
        <v>10</v>
      </c>
      <c r="K287" s="139" t="s">
        <v>58</v>
      </c>
      <c r="L287" s="139" t="s">
        <v>12</v>
      </c>
    </row>
    <row r="288" spans="1:14" s="77" customFormat="1" ht="23.1" customHeight="1" thickBot="1" x14ac:dyDescent="0.3">
      <c r="A288" s="220"/>
      <c r="B288" s="220"/>
      <c r="C288" s="140"/>
      <c r="D288" s="140"/>
      <c r="E288" s="216"/>
      <c r="F288" s="204"/>
      <c r="G288" s="204"/>
      <c r="H288" s="206"/>
      <c r="I288" s="204"/>
      <c r="J288" s="140"/>
      <c r="K288" s="140">
        <v>2018</v>
      </c>
      <c r="L288" s="140"/>
    </row>
    <row r="289" spans="1:14" s="77" customFormat="1" ht="23.1" customHeight="1" thickTop="1" x14ac:dyDescent="0.25">
      <c r="A289" s="271" t="s">
        <v>82</v>
      </c>
      <c r="B289" s="252" t="s">
        <v>83</v>
      </c>
      <c r="C289" s="255" t="s">
        <v>61</v>
      </c>
      <c r="D289" s="235" t="s">
        <v>62</v>
      </c>
      <c r="E289" s="78" t="s">
        <v>17</v>
      </c>
      <c r="F289" s="79" t="s">
        <v>17</v>
      </c>
      <c r="G289" s="80" t="s">
        <v>17</v>
      </c>
      <c r="H289" s="79" t="s">
        <v>17</v>
      </c>
      <c r="I289" s="80" t="s">
        <v>17</v>
      </c>
      <c r="J289" s="79" t="s">
        <v>17</v>
      </c>
      <c r="K289" s="80" t="s">
        <v>17</v>
      </c>
      <c r="L289" s="53"/>
    </row>
    <row r="290" spans="1:14" s="77" customFormat="1" ht="23.1" customHeight="1" x14ac:dyDescent="0.25">
      <c r="A290" s="272"/>
      <c r="B290" s="253"/>
      <c r="C290" s="256"/>
      <c r="D290" s="232"/>
      <c r="E290" s="56">
        <f t="shared" ref="E290" si="139">IF(E292&lt;&gt;0,+E292/E294,0%)</f>
        <v>0.9486667253774097</v>
      </c>
      <c r="F290" s="50">
        <f>IF(F292&lt;&gt;0,ROUND(+F292/F294,4),0%)</f>
        <v>0</v>
      </c>
      <c r="G290" s="49" t="e">
        <f t="shared" ref="G290" si="140">IF(G292&lt;&gt;0,+G292/G294,0%)</f>
        <v>#REF!</v>
      </c>
      <c r="H290" s="50">
        <f>IF(H292&lt;&gt;0,ROUND(+H292/H294,4),0%)</f>
        <v>0</v>
      </c>
      <c r="I290" s="49" t="e">
        <f t="shared" ref="I290" si="141">IF(I292&lt;&gt;0,+I292/I294,0%)</f>
        <v>#REF!</v>
      </c>
      <c r="J290" s="50">
        <f>IF(J292&lt;&gt;0,ROUND(+J292/J294,4),0%)</f>
        <v>0</v>
      </c>
      <c r="K290" s="49" t="e">
        <f>IF(K292&lt;&gt;0,+K292/K294,0%)</f>
        <v>#REF!</v>
      </c>
      <c r="L290" s="54"/>
    </row>
    <row r="291" spans="1:14" s="77" customFormat="1" ht="23.1" customHeight="1" thickBot="1" x14ac:dyDescent="0.3">
      <c r="A291" s="272"/>
      <c r="B291" s="253"/>
      <c r="C291" s="256"/>
      <c r="D291" s="234"/>
      <c r="E291" s="81"/>
      <c r="F291" s="83" t="s">
        <v>18</v>
      </c>
      <c r="G291" s="84" t="s">
        <v>18</v>
      </c>
      <c r="H291" s="83" t="s">
        <v>18</v>
      </c>
      <c r="I291" s="84" t="s">
        <v>18</v>
      </c>
      <c r="J291" s="83" t="s">
        <v>18</v>
      </c>
      <c r="K291" s="84" t="s">
        <v>18</v>
      </c>
      <c r="L291" s="54"/>
    </row>
    <row r="292" spans="1:14" s="77" customFormat="1" ht="23.1" customHeight="1" thickTop="1" x14ac:dyDescent="0.25">
      <c r="A292" s="272"/>
      <c r="B292" s="253"/>
      <c r="C292" s="256"/>
      <c r="D292" s="232" t="s">
        <v>25</v>
      </c>
      <c r="E292" s="85">
        <v>204672</v>
      </c>
      <c r="F292" s="86"/>
      <c r="G292" s="87" t="e">
        <f>+#REF!+F292</f>
        <v>#REF!</v>
      </c>
      <c r="H292" s="86"/>
      <c r="I292" s="87" t="e">
        <f>+G292+H292</f>
        <v>#REF!</v>
      </c>
      <c r="J292" s="86"/>
      <c r="K292" s="87" t="e">
        <f>SUM(I292:J292)</f>
        <v>#REF!</v>
      </c>
      <c r="L292" s="23" t="e">
        <f>+K290/E290</f>
        <v>#REF!</v>
      </c>
    </row>
    <row r="293" spans="1:14" s="77" customFormat="1" ht="23.1" customHeight="1" x14ac:dyDescent="0.25">
      <c r="A293" s="272"/>
      <c r="B293" s="253"/>
      <c r="C293" s="256"/>
      <c r="D293" s="233"/>
      <c r="E293" s="81" t="s">
        <v>63</v>
      </c>
      <c r="F293" s="88" t="s">
        <v>20</v>
      </c>
      <c r="G293" s="90" t="s">
        <v>20</v>
      </c>
      <c r="H293" s="88" t="s">
        <v>20</v>
      </c>
      <c r="I293" s="90" t="s">
        <v>20</v>
      </c>
      <c r="J293" s="88" t="s">
        <v>20</v>
      </c>
      <c r="K293" s="89" t="s">
        <v>20</v>
      </c>
      <c r="L293" s="54"/>
    </row>
    <row r="294" spans="1:14" s="77" customFormat="1" ht="23.1" customHeight="1" thickBot="1" x14ac:dyDescent="0.3">
      <c r="A294" s="273"/>
      <c r="B294" s="254"/>
      <c r="C294" s="257"/>
      <c r="D294" s="234"/>
      <c r="E294" s="91">
        <v>215747</v>
      </c>
      <c r="F294" s="92"/>
      <c r="G294" s="93" t="e">
        <f>+#REF!+F294</f>
        <v>#REF!</v>
      </c>
      <c r="H294" s="92"/>
      <c r="I294" s="93" t="e">
        <f t="shared" ref="I294" si="142">+G294+H294</f>
        <v>#REF!</v>
      </c>
      <c r="J294" s="92"/>
      <c r="K294" s="93" t="e">
        <f>SUM(I294:J294)</f>
        <v>#REF!</v>
      </c>
      <c r="L294" s="55"/>
      <c r="N294" s="95"/>
    </row>
    <row r="295" spans="1:14" ht="13.5" thickTop="1" x14ac:dyDescent="0.2"/>
    <row r="296" spans="1:14" s="72" customFormat="1" ht="21" thickBot="1" x14ac:dyDescent="0.35">
      <c r="A296" s="120" t="s">
        <v>65</v>
      </c>
      <c r="E296" s="73"/>
      <c r="F296" s="73"/>
      <c r="G296" s="73"/>
      <c r="H296" s="73"/>
      <c r="I296" s="73"/>
      <c r="J296" s="73"/>
      <c r="K296" s="73"/>
      <c r="L296" s="73"/>
    </row>
    <row r="297" spans="1:14" s="77" customFormat="1" ht="23.1" customHeight="1" thickTop="1" x14ac:dyDescent="0.25">
      <c r="A297" s="205" t="s">
        <v>1</v>
      </c>
      <c r="B297" s="205" t="s">
        <v>2</v>
      </c>
      <c r="C297" s="139" t="s">
        <v>3</v>
      </c>
      <c r="D297" s="139" t="s">
        <v>4</v>
      </c>
      <c r="E297" s="139" t="s">
        <v>5</v>
      </c>
      <c r="F297" s="139" t="s">
        <v>6</v>
      </c>
      <c r="G297" s="139" t="s">
        <v>7</v>
      </c>
      <c r="H297" s="205" t="s">
        <v>8</v>
      </c>
      <c r="I297" s="139" t="s">
        <v>9</v>
      </c>
      <c r="J297" s="139" t="s">
        <v>10</v>
      </c>
      <c r="K297" s="139" t="s">
        <v>58</v>
      </c>
      <c r="L297" s="139" t="s">
        <v>12</v>
      </c>
    </row>
    <row r="298" spans="1:14" s="77" customFormat="1" ht="23.1" customHeight="1" thickBot="1" x14ac:dyDescent="0.3">
      <c r="A298" s="220"/>
      <c r="B298" s="220"/>
      <c r="C298" s="140"/>
      <c r="D298" s="140"/>
      <c r="E298" s="216"/>
      <c r="F298" s="204"/>
      <c r="G298" s="204"/>
      <c r="H298" s="206"/>
      <c r="I298" s="204"/>
      <c r="J298" s="140"/>
      <c r="K298" s="140">
        <v>2018</v>
      </c>
      <c r="L298" s="140"/>
    </row>
    <row r="299" spans="1:14" s="77" customFormat="1" ht="23.1" customHeight="1" thickTop="1" x14ac:dyDescent="0.25">
      <c r="A299" s="271" t="s">
        <v>82</v>
      </c>
      <c r="B299" s="252" t="s">
        <v>83</v>
      </c>
      <c r="C299" s="255" t="s">
        <v>61</v>
      </c>
      <c r="D299" s="235" t="s">
        <v>62</v>
      </c>
      <c r="E299" s="78" t="s">
        <v>17</v>
      </c>
      <c r="F299" s="79" t="s">
        <v>17</v>
      </c>
      <c r="G299" s="80" t="s">
        <v>17</v>
      </c>
      <c r="H299" s="79" t="s">
        <v>17</v>
      </c>
      <c r="I299" s="80" t="s">
        <v>17</v>
      </c>
      <c r="J299" s="79" t="s">
        <v>17</v>
      </c>
      <c r="K299" s="80" t="s">
        <v>17</v>
      </c>
      <c r="L299" s="53"/>
    </row>
    <row r="300" spans="1:14" s="77" customFormat="1" ht="23.1" customHeight="1" x14ac:dyDescent="0.25">
      <c r="A300" s="272"/>
      <c r="B300" s="253"/>
      <c r="C300" s="256"/>
      <c r="D300" s="232"/>
      <c r="E300" s="56">
        <f t="shared" ref="E300" si="143">IF(E302&lt;&gt;0,+E302/E304,0%)</f>
        <v>0.94866988744863023</v>
      </c>
      <c r="F300" s="50">
        <f>IF(F302&lt;&gt;0,ROUND(+F302/F304,4),0%)</f>
        <v>0</v>
      </c>
      <c r="G300" s="49" t="e">
        <f t="shared" ref="G300" si="144">IF(G302&lt;&gt;0,+G302/G304,0%)</f>
        <v>#REF!</v>
      </c>
      <c r="H300" s="50">
        <f>IF(H302&lt;&gt;0,ROUND(+H302/H304,4),0%)</f>
        <v>0</v>
      </c>
      <c r="I300" s="49" t="e">
        <f t="shared" ref="I300" si="145">IF(I302&lt;&gt;0,+I302/I304,0%)</f>
        <v>#REF!</v>
      </c>
      <c r="J300" s="50">
        <f>IF(J302&lt;&gt;0,ROUND(+J302/J304,4),0%)</f>
        <v>0</v>
      </c>
      <c r="K300" s="49" t="e">
        <f>IF(K302&lt;&gt;0,+K302/K304,0%)</f>
        <v>#REF!</v>
      </c>
      <c r="L300" s="54"/>
    </row>
    <row r="301" spans="1:14" s="77" customFormat="1" ht="23.1" customHeight="1" thickBot="1" x14ac:dyDescent="0.3">
      <c r="A301" s="272"/>
      <c r="B301" s="253"/>
      <c r="C301" s="256"/>
      <c r="D301" s="234"/>
      <c r="E301" s="81"/>
      <c r="F301" s="83" t="s">
        <v>18</v>
      </c>
      <c r="G301" s="84" t="s">
        <v>18</v>
      </c>
      <c r="H301" s="83" t="s">
        <v>18</v>
      </c>
      <c r="I301" s="84" t="s">
        <v>18</v>
      </c>
      <c r="J301" s="83" t="s">
        <v>18</v>
      </c>
      <c r="K301" s="84" t="s">
        <v>18</v>
      </c>
      <c r="L301" s="54"/>
    </row>
    <row r="302" spans="1:14" s="77" customFormat="1" ht="23.1" customHeight="1" thickTop="1" x14ac:dyDescent="0.25">
      <c r="A302" s="272"/>
      <c r="B302" s="253"/>
      <c r="C302" s="256"/>
      <c r="D302" s="232" t="s">
        <v>25</v>
      </c>
      <c r="E302" s="85">
        <v>107804</v>
      </c>
      <c r="F302" s="86"/>
      <c r="G302" s="87" t="e">
        <f>+#REF!+F302</f>
        <v>#REF!</v>
      </c>
      <c r="H302" s="86"/>
      <c r="I302" s="87" t="e">
        <f>+G302+H302</f>
        <v>#REF!</v>
      </c>
      <c r="J302" s="86"/>
      <c r="K302" s="87" t="e">
        <f>SUM(I302:J302)</f>
        <v>#REF!</v>
      </c>
      <c r="L302" s="23" t="e">
        <f>+K300/E300</f>
        <v>#REF!</v>
      </c>
    </row>
    <row r="303" spans="1:14" s="77" customFormat="1" ht="23.1" customHeight="1" x14ac:dyDescent="0.25">
      <c r="A303" s="272"/>
      <c r="B303" s="253"/>
      <c r="C303" s="256"/>
      <c r="D303" s="233"/>
      <c r="E303" s="81" t="s">
        <v>63</v>
      </c>
      <c r="F303" s="88" t="s">
        <v>20</v>
      </c>
      <c r="G303" s="90" t="s">
        <v>20</v>
      </c>
      <c r="H303" s="88" t="s">
        <v>20</v>
      </c>
      <c r="I303" s="90" t="s">
        <v>20</v>
      </c>
      <c r="J303" s="88" t="s">
        <v>20</v>
      </c>
      <c r="K303" s="89" t="s">
        <v>20</v>
      </c>
      <c r="L303" s="54"/>
    </row>
    <row r="304" spans="1:14" s="77" customFormat="1" ht="23.1" customHeight="1" thickBot="1" x14ac:dyDescent="0.3">
      <c r="A304" s="273"/>
      <c r="B304" s="254"/>
      <c r="C304" s="257"/>
      <c r="D304" s="234"/>
      <c r="E304" s="91">
        <v>113637</v>
      </c>
      <c r="F304" s="92"/>
      <c r="G304" s="93" t="e">
        <f>+#REF!+F304</f>
        <v>#REF!</v>
      </c>
      <c r="H304" s="92"/>
      <c r="I304" s="93" t="e">
        <f t="shared" ref="I304" si="146">+G304+H304</f>
        <v>#REF!</v>
      </c>
      <c r="J304" s="92"/>
      <c r="K304" s="93" t="e">
        <f>SUM(I304:J304)</f>
        <v>#REF!</v>
      </c>
      <c r="L304" s="55"/>
    </row>
    <row r="305" spans="1:14" ht="13.5" thickTop="1" x14ac:dyDescent="0.2"/>
    <row r="308" spans="1:14" s="100" customFormat="1" ht="15.75" x14ac:dyDescent="0.25">
      <c r="B308" s="231" t="s">
        <v>84</v>
      </c>
      <c r="C308" s="231"/>
      <c r="D308" s="231"/>
      <c r="E308" s="106"/>
      <c r="F308" s="106"/>
      <c r="G308" s="61"/>
      <c r="H308" s="106"/>
      <c r="I308" s="61"/>
      <c r="J308" s="106"/>
      <c r="K308" s="61"/>
      <c r="L308" s="107"/>
    </row>
    <row r="309" spans="1:14" s="100" customFormat="1" ht="16.5" thickBot="1" x14ac:dyDescent="0.3">
      <c r="B309" s="97"/>
      <c r="C309" s="97"/>
      <c r="D309" s="97"/>
      <c r="E309" s="106"/>
      <c r="F309" s="73"/>
      <c r="G309" s="73"/>
      <c r="H309" s="73"/>
      <c r="I309" s="73"/>
      <c r="J309" s="73"/>
      <c r="K309" s="61"/>
      <c r="L309" s="107"/>
    </row>
    <row r="310" spans="1:14" s="77" customFormat="1" ht="23.1" customHeight="1" thickTop="1" x14ac:dyDescent="0.25">
      <c r="A310" s="205" t="s">
        <v>1</v>
      </c>
      <c r="B310" s="205" t="s">
        <v>2</v>
      </c>
      <c r="C310" s="139" t="s">
        <v>3</v>
      </c>
      <c r="D310" s="139" t="s">
        <v>4</v>
      </c>
      <c r="E310" s="139" t="s">
        <v>5</v>
      </c>
      <c r="F310" s="139" t="s">
        <v>6</v>
      </c>
      <c r="G310" s="139" t="s">
        <v>7</v>
      </c>
      <c r="H310" s="205" t="s">
        <v>8</v>
      </c>
      <c r="I310" s="139" t="s">
        <v>9</v>
      </c>
      <c r="J310" s="139" t="s">
        <v>10</v>
      </c>
      <c r="K310" s="139" t="s">
        <v>58</v>
      </c>
      <c r="L310" s="139" t="s">
        <v>12</v>
      </c>
    </row>
    <row r="311" spans="1:14" s="77" customFormat="1" ht="23.1" customHeight="1" thickBot="1" x14ac:dyDescent="0.3">
      <c r="A311" s="220"/>
      <c r="B311" s="220"/>
      <c r="C311" s="140"/>
      <c r="D311" s="140"/>
      <c r="E311" s="216"/>
      <c r="F311" s="204"/>
      <c r="G311" s="204"/>
      <c r="H311" s="206"/>
      <c r="I311" s="204"/>
      <c r="J311" s="140"/>
      <c r="K311" s="140">
        <v>2018</v>
      </c>
      <c r="L311" s="140"/>
    </row>
    <row r="312" spans="1:14" s="100" customFormat="1" ht="23.1" customHeight="1" thickTop="1" x14ac:dyDescent="0.25">
      <c r="A312" s="271" t="s">
        <v>85</v>
      </c>
      <c r="B312" s="258" t="s">
        <v>86</v>
      </c>
      <c r="C312" s="255" t="s">
        <v>61</v>
      </c>
      <c r="D312" s="235" t="s">
        <v>62</v>
      </c>
      <c r="E312" s="79" t="s">
        <v>17</v>
      </c>
      <c r="F312" s="79" t="s">
        <v>17</v>
      </c>
      <c r="G312" s="80" t="s">
        <v>17</v>
      </c>
      <c r="H312" s="79" t="s">
        <v>17</v>
      </c>
      <c r="I312" s="80" t="s">
        <v>17</v>
      </c>
      <c r="J312" s="79" t="s">
        <v>17</v>
      </c>
      <c r="K312" s="80" t="s">
        <v>17</v>
      </c>
      <c r="L312" s="57"/>
      <c r="N312" s="77"/>
    </row>
    <row r="313" spans="1:14" s="100" customFormat="1" ht="23.1" customHeight="1" x14ac:dyDescent="0.25">
      <c r="A313" s="272"/>
      <c r="B313" s="259"/>
      <c r="C313" s="261"/>
      <c r="D313" s="232"/>
      <c r="E313" s="56">
        <f t="shared" ref="E313" si="147">IF(E315&lt;&gt;0,+E315/E317,0%)</f>
        <v>0.95459616783895218</v>
      </c>
      <c r="F313" s="50">
        <f>IF(F315&lt;&gt;0,ROUND(+F315/F317,4),0%)</f>
        <v>0</v>
      </c>
      <c r="G313" s="49" t="e">
        <f t="shared" ref="G313" si="148">IF(G315&lt;&gt;0,+G315/G317,0%)</f>
        <v>#REF!</v>
      </c>
      <c r="H313" s="50">
        <f>IF(H315&lt;&gt;0,ROUND(+H315/H317,4),0%)</f>
        <v>0</v>
      </c>
      <c r="I313" s="49" t="e">
        <f t="shared" ref="I313" si="149">IF(I315&lt;&gt;0,+I315/I317,0%)</f>
        <v>#REF!</v>
      </c>
      <c r="J313" s="50">
        <f>IF(J315&lt;&gt;0,ROUND(+J315/J317,4),0%)</f>
        <v>0</v>
      </c>
      <c r="K313" s="49" t="e">
        <f>IF(K315&lt;&gt;0,+K315/K317,0%)</f>
        <v>#REF!</v>
      </c>
      <c r="L313" s="58"/>
      <c r="N313" s="77"/>
    </row>
    <row r="314" spans="1:14" s="100" customFormat="1" ht="23.1" customHeight="1" thickBot="1" x14ac:dyDescent="0.3">
      <c r="A314" s="272"/>
      <c r="B314" s="259"/>
      <c r="C314" s="261"/>
      <c r="D314" s="234"/>
      <c r="E314" s="83" t="s">
        <v>18</v>
      </c>
      <c r="F314" s="83" t="s">
        <v>18</v>
      </c>
      <c r="G314" s="84" t="s">
        <v>18</v>
      </c>
      <c r="H314" s="83" t="s">
        <v>18</v>
      </c>
      <c r="I314" s="84" t="s">
        <v>18</v>
      </c>
      <c r="J314" s="83" t="s">
        <v>18</v>
      </c>
      <c r="K314" s="84" t="s">
        <v>18</v>
      </c>
      <c r="L314" s="58"/>
      <c r="N314" s="77"/>
    </row>
    <row r="315" spans="1:14" s="100" customFormat="1" ht="23.1" customHeight="1" thickTop="1" x14ac:dyDescent="0.25">
      <c r="A315" s="272"/>
      <c r="B315" s="259"/>
      <c r="C315" s="261"/>
      <c r="D315" s="232" t="s">
        <v>25</v>
      </c>
      <c r="E315" s="85">
        <v>118074</v>
      </c>
      <c r="F315" s="86">
        <f t="shared" ref="F315" si="150">+F325+F335</f>
        <v>0</v>
      </c>
      <c r="G315" s="87" t="e">
        <f>+#REF!+F315</f>
        <v>#REF!</v>
      </c>
      <c r="H315" s="86">
        <f t="shared" ref="H315" si="151">+H325+H335</f>
        <v>0</v>
      </c>
      <c r="I315" s="87" t="e">
        <f>+G315+H315</f>
        <v>#REF!</v>
      </c>
      <c r="J315" s="86">
        <f t="shared" ref="J315" si="152">+J325+J335</f>
        <v>0</v>
      </c>
      <c r="K315" s="87" t="e">
        <f>+I315+J315</f>
        <v>#REF!</v>
      </c>
      <c r="L315" s="47" t="e">
        <f>+K313/E313</f>
        <v>#REF!</v>
      </c>
      <c r="N315" s="77"/>
    </row>
    <row r="316" spans="1:14" s="100" customFormat="1" ht="23.1" customHeight="1" x14ac:dyDescent="0.25">
      <c r="A316" s="272"/>
      <c r="B316" s="259"/>
      <c r="C316" s="261"/>
      <c r="D316" s="233"/>
      <c r="E316" s="81" t="s">
        <v>63</v>
      </c>
      <c r="F316" s="88" t="s">
        <v>20</v>
      </c>
      <c r="G316" s="90" t="s">
        <v>20</v>
      </c>
      <c r="H316" s="88" t="s">
        <v>20</v>
      </c>
      <c r="I316" s="90" t="s">
        <v>20</v>
      </c>
      <c r="J316" s="88" t="s">
        <v>20</v>
      </c>
      <c r="K316" s="90" t="s">
        <v>20</v>
      </c>
      <c r="L316" s="58"/>
      <c r="N316" s="77"/>
    </row>
    <row r="317" spans="1:14" s="100" customFormat="1" ht="23.1" customHeight="1" thickBot="1" x14ac:dyDescent="0.3">
      <c r="A317" s="273"/>
      <c r="B317" s="260"/>
      <c r="C317" s="262"/>
      <c r="D317" s="234"/>
      <c r="E317" s="91">
        <v>123690</v>
      </c>
      <c r="F317" s="92">
        <f t="shared" ref="F317" si="153">+F327+F337</f>
        <v>0</v>
      </c>
      <c r="G317" s="93" t="e">
        <f>+#REF!+F317</f>
        <v>#REF!</v>
      </c>
      <c r="H317" s="92">
        <f t="shared" ref="H317" si="154">+H327+H337</f>
        <v>0</v>
      </c>
      <c r="I317" s="93" t="e">
        <f>+G317+H317</f>
        <v>#REF!</v>
      </c>
      <c r="J317" s="92">
        <f t="shared" ref="J317" si="155">+J327+J337</f>
        <v>0</v>
      </c>
      <c r="K317" s="93" t="e">
        <f>+I317+J317</f>
        <v>#REF!</v>
      </c>
      <c r="L317" s="58"/>
      <c r="N317" s="77"/>
    </row>
    <row r="318" spans="1:14" ht="13.5" thickTop="1" x14ac:dyDescent="0.2"/>
    <row r="319" spans="1:14" s="72" customFormat="1" ht="21" thickBot="1" x14ac:dyDescent="0.35">
      <c r="A319" s="120" t="s">
        <v>64</v>
      </c>
      <c r="E319" s="73"/>
      <c r="F319" s="73"/>
      <c r="G319" s="73"/>
      <c r="H319" s="73"/>
      <c r="I319" s="73"/>
      <c r="J319" s="73"/>
      <c r="K319" s="73"/>
      <c r="L319" s="73"/>
    </row>
    <row r="320" spans="1:14" s="77" customFormat="1" ht="23.1" customHeight="1" thickTop="1" x14ac:dyDescent="0.25">
      <c r="A320" s="205" t="s">
        <v>1</v>
      </c>
      <c r="B320" s="205" t="s">
        <v>2</v>
      </c>
      <c r="C320" s="139" t="s">
        <v>3</v>
      </c>
      <c r="D320" s="139" t="s">
        <v>4</v>
      </c>
      <c r="E320" s="139" t="s">
        <v>5</v>
      </c>
      <c r="F320" s="139" t="s">
        <v>6</v>
      </c>
      <c r="G320" s="139" t="s">
        <v>7</v>
      </c>
      <c r="H320" s="205" t="s">
        <v>8</v>
      </c>
      <c r="I320" s="139" t="s">
        <v>9</v>
      </c>
      <c r="J320" s="139" t="s">
        <v>10</v>
      </c>
      <c r="K320" s="139" t="s">
        <v>58</v>
      </c>
      <c r="L320" s="139" t="s">
        <v>12</v>
      </c>
    </row>
    <row r="321" spans="1:14" s="77" customFormat="1" ht="23.1" customHeight="1" thickBot="1" x14ac:dyDescent="0.3">
      <c r="A321" s="220"/>
      <c r="B321" s="220"/>
      <c r="C321" s="140"/>
      <c r="D321" s="140"/>
      <c r="E321" s="216"/>
      <c r="F321" s="204"/>
      <c r="G321" s="204"/>
      <c r="H321" s="206"/>
      <c r="I321" s="204"/>
      <c r="J321" s="140"/>
      <c r="K321" s="140">
        <v>2018</v>
      </c>
      <c r="L321" s="140"/>
    </row>
    <row r="322" spans="1:14" s="77" customFormat="1" ht="23.1" customHeight="1" thickTop="1" x14ac:dyDescent="0.25">
      <c r="A322" s="271" t="s">
        <v>85</v>
      </c>
      <c r="B322" s="258" t="s">
        <v>86</v>
      </c>
      <c r="C322" s="255" t="s">
        <v>61</v>
      </c>
      <c r="D322" s="235" t="s">
        <v>62</v>
      </c>
      <c r="E322" s="78" t="s">
        <v>17</v>
      </c>
      <c r="F322" s="79" t="s">
        <v>17</v>
      </c>
      <c r="G322" s="80" t="s">
        <v>17</v>
      </c>
      <c r="H322" s="79" t="s">
        <v>17</v>
      </c>
      <c r="I322" s="80" t="s">
        <v>17</v>
      </c>
      <c r="J322" s="79" t="s">
        <v>17</v>
      </c>
      <c r="K322" s="80" t="s">
        <v>17</v>
      </c>
      <c r="L322" s="53"/>
    </row>
    <row r="323" spans="1:14" s="77" customFormat="1" ht="23.1" customHeight="1" x14ac:dyDescent="0.25">
      <c r="A323" s="272"/>
      <c r="B323" s="259"/>
      <c r="C323" s="261"/>
      <c r="D323" s="232"/>
      <c r="E323" s="56">
        <f t="shared" ref="E323" si="156">IF(E325&lt;&gt;0,+E325/E327,0%)</f>
        <v>0.95460464015151514</v>
      </c>
      <c r="F323" s="50">
        <f>IF(F325&lt;&gt;0,ROUND(+F325/F327,4),0%)</f>
        <v>0</v>
      </c>
      <c r="G323" s="49" t="e">
        <f t="shared" ref="G323" si="157">IF(G325&lt;&gt;0,+G325/G327,0%)</f>
        <v>#REF!</v>
      </c>
      <c r="H323" s="50">
        <f>IF(H325&lt;&gt;0,ROUND(+H325/H327,4),0%)</f>
        <v>0</v>
      </c>
      <c r="I323" s="49" t="e">
        <f t="shared" ref="I323" si="158">IF(I325&lt;&gt;0,+I325/I327,0%)</f>
        <v>#REF!</v>
      </c>
      <c r="J323" s="50">
        <f>IF(J325&lt;&gt;0,ROUND(+J325/J327,4),0%)</f>
        <v>0</v>
      </c>
      <c r="K323" s="49" t="e">
        <f>IF(K325&lt;&gt;0,+K325/K327,0%)</f>
        <v>#REF!</v>
      </c>
      <c r="L323" s="54"/>
    </row>
    <row r="324" spans="1:14" s="77" customFormat="1" ht="23.1" customHeight="1" thickBot="1" x14ac:dyDescent="0.3">
      <c r="A324" s="272"/>
      <c r="B324" s="259"/>
      <c r="C324" s="261"/>
      <c r="D324" s="234"/>
      <c r="E324" s="81"/>
      <c r="F324" s="83" t="s">
        <v>18</v>
      </c>
      <c r="G324" s="84" t="s">
        <v>18</v>
      </c>
      <c r="H324" s="83" t="s">
        <v>18</v>
      </c>
      <c r="I324" s="84" t="s">
        <v>18</v>
      </c>
      <c r="J324" s="83" t="s">
        <v>18</v>
      </c>
      <c r="K324" s="84" t="s">
        <v>18</v>
      </c>
      <c r="L324" s="54"/>
    </row>
    <row r="325" spans="1:14" s="77" customFormat="1" ht="23.1" customHeight="1" thickTop="1" x14ac:dyDescent="0.25">
      <c r="A325" s="272"/>
      <c r="B325" s="259"/>
      <c r="C325" s="261"/>
      <c r="D325" s="232" t="s">
        <v>25</v>
      </c>
      <c r="E325" s="85">
        <v>80645</v>
      </c>
      <c r="F325" s="86"/>
      <c r="G325" s="87" t="e">
        <f>+#REF!+F325</f>
        <v>#REF!</v>
      </c>
      <c r="H325" s="86"/>
      <c r="I325" s="87" t="e">
        <f>+G325+H325</f>
        <v>#REF!</v>
      </c>
      <c r="J325" s="86"/>
      <c r="K325" s="87" t="e">
        <f>SUM(I325:J325)</f>
        <v>#REF!</v>
      </c>
      <c r="L325" s="23" t="e">
        <f>+K323/E323</f>
        <v>#REF!</v>
      </c>
    </row>
    <row r="326" spans="1:14" s="77" customFormat="1" ht="23.1" customHeight="1" x14ac:dyDescent="0.25">
      <c r="A326" s="272"/>
      <c r="B326" s="259"/>
      <c r="C326" s="261"/>
      <c r="D326" s="233"/>
      <c r="E326" s="81" t="s">
        <v>63</v>
      </c>
      <c r="F326" s="88" t="s">
        <v>20</v>
      </c>
      <c r="G326" s="90" t="s">
        <v>20</v>
      </c>
      <c r="H326" s="88" t="s">
        <v>20</v>
      </c>
      <c r="I326" s="90" t="s">
        <v>20</v>
      </c>
      <c r="J326" s="88" t="s">
        <v>20</v>
      </c>
      <c r="K326" s="89" t="s">
        <v>20</v>
      </c>
      <c r="L326" s="54"/>
    </row>
    <row r="327" spans="1:14" s="77" customFormat="1" ht="23.1" customHeight="1" thickBot="1" x14ac:dyDescent="0.3">
      <c r="A327" s="273"/>
      <c r="B327" s="260"/>
      <c r="C327" s="262"/>
      <c r="D327" s="234"/>
      <c r="E327" s="91">
        <v>84480</v>
      </c>
      <c r="F327" s="92"/>
      <c r="G327" s="93" t="e">
        <f>+#REF!+F327</f>
        <v>#REF!</v>
      </c>
      <c r="H327" s="92"/>
      <c r="I327" s="93" t="e">
        <f t="shared" ref="I327" si="159">+G327+H327</f>
        <v>#REF!</v>
      </c>
      <c r="J327" s="92"/>
      <c r="K327" s="93" t="e">
        <f>SUM(I327:J327)</f>
        <v>#REF!</v>
      </c>
      <c r="L327" s="55"/>
      <c r="N327" s="95"/>
    </row>
    <row r="328" spans="1:14" ht="13.5" thickTop="1" x14ac:dyDescent="0.2"/>
    <row r="329" spans="1:14" s="72" customFormat="1" ht="21" thickBot="1" x14ac:dyDescent="0.35">
      <c r="A329" s="120" t="s">
        <v>65</v>
      </c>
      <c r="E329" s="73"/>
      <c r="F329" s="73"/>
      <c r="G329" s="73"/>
      <c r="H329" s="73"/>
      <c r="I329" s="73"/>
      <c r="J329" s="73"/>
      <c r="K329" s="73"/>
      <c r="L329" s="73"/>
    </row>
    <row r="330" spans="1:14" s="77" customFormat="1" ht="23.1" customHeight="1" thickTop="1" x14ac:dyDescent="0.25">
      <c r="A330" s="205" t="s">
        <v>1</v>
      </c>
      <c r="B330" s="205" t="s">
        <v>2</v>
      </c>
      <c r="C330" s="139" t="s">
        <v>3</v>
      </c>
      <c r="D330" s="139" t="s">
        <v>4</v>
      </c>
      <c r="E330" s="139" t="s">
        <v>5</v>
      </c>
      <c r="F330" s="139" t="s">
        <v>6</v>
      </c>
      <c r="G330" s="139" t="s">
        <v>7</v>
      </c>
      <c r="H330" s="205" t="s">
        <v>8</v>
      </c>
      <c r="I330" s="139" t="s">
        <v>9</v>
      </c>
      <c r="J330" s="139" t="s">
        <v>10</v>
      </c>
      <c r="K330" s="139" t="s">
        <v>58</v>
      </c>
      <c r="L330" s="139" t="s">
        <v>12</v>
      </c>
    </row>
    <row r="331" spans="1:14" s="77" customFormat="1" ht="23.1" customHeight="1" thickBot="1" x14ac:dyDescent="0.3">
      <c r="A331" s="220"/>
      <c r="B331" s="220"/>
      <c r="C331" s="140"/>
      <c r="D331" s="140"/>
      <c r="E331" s="216"/>
      <c r="F331" s="204"/>
      <c r="G331" s="204"/>
      <c r="H331" s="206"/>
      <c r="I331" s="204"/>
      <c r="J331" s="140"/>
      <c r="K331" s="140">
        <v>2018</v>
      </c>
      <c r="L331" s="140"/>
    </row>
    <row r="332" spans="1:14" s="77" customFormat="1" ht="23.1" customHeight="1" thickTop="1" x14ac:dyDescent="0.25">
      <c r="A332" s="271" t="s">
        <v>85</v>
      </c>
      <c r="B332" s="258" t="s">
        <v>86</v>
      </c>
      <c r="C332" s="255" t="s">
        <v>61</v>
      </c>
      <c r="D332" s="235" t="s">
        <v>62</v>
      </c>
      <c r="E332" s="78" t="s">
        <v>17</v>
      </c>
      <c r="F332" s="79" t="s">
        <v>17</v>
      </c>
      <c r="G332" s="80" t="s">
        <v>17</v>
      </c>
      <c r="H332" s="79" t="s">
        <v>17</v>
      </c>
      <c r="I332" s="80" t="s">
        <v>17</v>
      </c>
      <c r="J332" s="79" t="s">
        <v>17</v>
      </c>
      <c r="K332" s="80" t="s">
        <v>17</v>
      </c>
      <c r="L332" s="53"/>
    </row>
    <row r="333" spans="1:14" s="77" customFormat="1" ht="23.1" customHeight="1" x14ac:dyDescent="0.25">
      <c r="A333" s="272"/>
      <c r="B333" s="259"/>
      <c r="C333" s="261"/>
      <c r="D333" s="232"/>
      <c r="E333" s="56">
        <f t="shared" ref="E333" si="160">IF(E335&lt;&gt;0,+E335/E337,0%)</f>
        <v>0.95457791379750068</v>
      </c>
      <c r="F333" s="50">
        <f>IF(F335&lt;&gt;0,ROUND(+F335/F337,4),0%)</f>
        <v>0</v>
      </c>
      <c r="G333" s="49" t="e">
        <f t="shared" ref="G333" si="161">IF(G335&lt;&gt;0,+G335/G337,0%)</f>
        <v>#REF!</v>
      </c>
      <c r="H333" s="50">
        <f>IF(H335&lt;&gt;0,ROUND(+H335/H337,4),0%)</f>
        <v>0</v>
      </c>
      <c r="I333" s="49" t="e">
        <f t="shared" ref="I333" si="162">IF(I335&lt;&gt;0,+I335/I337,0%)</f>
        <v>#REF!</v>
      </c>
      <c r="J333" s="50">
        <f>IF(J335&lt;&gt;0,ROUND(+J335/J337,4),0%)</f>
        <v>0</v>
      </c>
      <c r="K333" s="49" t="e">
        <f>IF(K335&lt;&gt;0,+K335/K337,0%)</f>
        <v>#REF!</v>
      </c>
      <c r="L333" s="54"/>
    </row>
    <row r="334" spans="1:14" s="77" customFormat="1" ht="23.1" customHeight="1" thickBot="1" x14ac:dyDescent="0.3">
      <c r="A334" s="272"/>
      <c r="B334" s="259"/>
      <c r="C334" s="261"/>
      <c r="D334" s="234"/>
      <c r="E334" s="81"/>
      <c r="F334" s="83" t="s">
        <v>18</v>
      </c>
      <c r="G334" s="84" t="s">
        <v>18</v>
      </c>
      <c r="H334" s="83" t="s">
        <v>18</v>
      </c>
      <c r="I334" s="84" t="s">
        <v>18</v>
      </c>
      <c r="J334" s="83" t="s">
        <v>18</v>
      </c>
      <c r="K334" s="84" t="s">
        <v>18</v>
      </c>
      <c r="L334" s="54"/>
    </row>
    <row r="335" spans="1:14" s="77" customFormat="1" ht="23.1" customHeight="1" thickTop="1" x14ac:dyDescent="0.25">
      <c r="A335" s="272"/>
      <c r="B335" s="259"/>
      <c r="C335" s="261"/>
      <c r="D335" s="232" t="s">
        <v>25</v>
      </c>
      <c r="E335" s="85">
        <v>37429</v>
      </c>
      <c r="F335" s="86"/>
      <c r="G335" s="87" t="e">
        <f>+#REF!+F335</f>
        <v>#REF!</v>
      </c>
      <c r="H335" s="86"/>
      <c r="I335" s="87" t="e">
        <f>+G335+H335</f>
        <v>#REF!</v>
      </c>
      <c r="J335" s="86"/>
      <c r="K335" s="87" t="e">
        <f>SUM(I335:J335)</f>
        <v>#REF!</v>
      </c>
      <c r="L335" s="23" t="e">
        <f>+K333/E333</f>
        <v>#REF!</v>
      </c>
    </row>
    <row r="336" spans="1:14" s="77" customFormat="1" ht="23.1" customHeight="1" x14ac:dyDescent="0.25">
      <c r="A336" s="272"/>
      <c r="B336" s="259"/>
      <c r="C336" s="261"/>
      <c r="D336" s="233"/>
      <c r="E336" s="81" t="s">
        <v>63</v>
      </c>
      <c r="F336" s="88" t="s">
        <v>20</v>
      </c>
      <c r="G336" s="90" t="s">
        <v>20</v>
      </c>
      <c r="H336" s="88" t="s">
        <v>20</v>
      </c>
      <c r="I336" s="90" t="s">
        <v>20</v>
      </c>
      <c r="J336" s="88" t="s">
        <v>20</v>
      </c>
      <c r="K336" s="89" t="s">
        <v>20</v>
      </c>
      <c r="L336" s="54"/>
    </row>
    <row r="337" spans="1:14" s="77" customFormat="1" ht="23.1" customHeight="1" thickBot="1" x14ac:dyDescent="0.3">
      <c r="A337" s="273"/>
      <c r="B337" s="260"/>
      <c r="C337" s="262"/>
      <c r="D337" s="234"/>
      <c r="E337" s="91">
        <v>39210</v>
      </c>
      <c r="F337" s="92"/>
      <c r="G337" s="93" t="e">
        <f>+#REF!+F337</f>
        <v>#REF!</v>
      </c>
      <c r="H337" s="92"/>
      <c r="I337" s="93" t="e">
        <f t="shared" ref="I337" si="163">+G337+H337</f>
        <v>#REF!</v>
      </c>
      <c r="J337" s="92"/>
      <c r="K337" s="93" t="e">
        <f>SUM(I337:J337)</f>
        <v>#REF!</v>
      </c>
      <c r="L337" s="55"/>
    </row>
    <row r="338" spans="1:14" ht="13.5" thickTop="1" x14ac:dyDescent="0.2"/>
    <row r="341" spans="1:14" s="105" customFormat="1" ht="15.75" x14ac:dyDescent="0.25">
      <c r="B341" s="231" t="s">
        <v>87</v>
      </c>
      <c r="C341" s="231"/>
      <c r="D341" s="231"/>
      <c r="E341" s="98"/>
      <c r="F341" s="98"/>
      <c r="G341" s="69"/>
      <c r="H341" s="98"/>
      <c r="I341" s="69"/>
      <c r="J341" s="98"/>
      <c r="K341" s="69"/>
      <c r="L341" s="99"/>
    </row>
    <row r="342" spans="1:14" s="105" customFormat="1" ht="16.5" thickBot="1" x14ac:dyDescent="0.3">
      <c r="E342" s="96"/>
      <c r="F342" s="73"/>
      <c r="G342" s="73"/>
      <c r="H342" s="73"/>
      <c r="I342" s="73"/>
      <c r="J342" s="73"/>
      <c r="K342" s="96"/>
      <c r="L342" s="96"/>
    </row>
    <row r="343" spans="1:14" s="77" customFormat="1" ht="23.1" customHeight="1" thickTop="1" x14ac:dyDescent="0.25">
      <c r="A343" s="205" t="s">
        <v>1</v>
      </c>
      <c r="B343" s="205" t="s">
        <v>2</v>
      </c>
      <c r="C343" s="139" t="s">
        <v>3</v>
      </c>
      <c r="D343" s="139" t="s">
        <v>4</v>
      </c>
      <c r="E343" s="139" t="s">
        <v>5</v>
      </c>
      <c r="F343" s="139" t="s">
        <v>6</v>
      </c>
      <c r="G343" s="139" t="s">
        <v>7</v>
      </c>
      <c r="H343" s="205" t="s">
        <v>8</v>
      </c>
      <c r="I343" s="139" t="s">
        <v>9</v>
      </c>
      <c r="J343" s="139" t="s">
        <v>10</v>
      </c>
      <c r="K343" s="139" t="s">
        <v>58</v>
      </c>
      <c r="L343" s="139" t="s">
        <v>12</v>
      </c>
    </row>
    <row r="344" spans="1:14" s="77" customFormat="1" ht="23.1" customHeight="1" thickBot="1" x14ac:dyDescent="0.3">
      <c r="A344" s="220"/>
      <c r="B344" s="220"/>
      <c r="C344" s="140"/>
      <c r="D344" s="140"/>
      <c r="E344" s="216"/>
      <c r="F344" s="204"/>
      <c r="G344" s="204"/>
      <c r="H344" s="206"/>
      <c r="I344" s="204"/>
      <c r="J344" s="140"/>
      <c r="K344" s="140">
        <v>2018</v>
      </c>
      <c r="L344" s="140"/>
    </row>
    <row r="345" spans="1:14" s="100" customFormat="1" ht="23.1" customHeight="1" thickTop="1" x14ac:dyDescent="0.25">
      <c r="A345" s="271" t="s">
        <v>88</v>
      </c>
      <c r="B345" s="252" t="s">
        <v>69</v>
      </c>
      <c r="C345" s="255" t="s">
        <v>61</v>
      </c>
      <c r="D345" s="235" t="s">
        <v>62</v>
      </c>
      <c r="E345" s="79" t="s">
        <v>17</v>
      </c>
      <c r="F345" s="79" t="s">
        <v>17</v>
      </c>
      <c r="G345" s="80" t="s">
        <v>17</v>
      </c>
      <c r="H345" s="79" t="s">
        <v>17</v>
      </c>
      <c r="I345" s="80" t="s">
        <v>17</v>
      </c>
      <c r="J345" s="79" t="s">
        <v>17</v>
      </c>
      <c r="K345" s="80" t="s">
        <v>17</v>
      </c>
      <c r="L345" s="57"/>
      <c r="N345" s="77"/>
    </row>
    <row r="346" spans="1:14" s="100" customFormat="1" ht="23.1" customHeight="1" x14ac:dyDescent="0.25">
      <c r="A346" s="272"/>
      <c r="B346" s="253"/>
      <c r="C346" s="256"/>
      <c r="D346" s="232"/>
      <c r="E346" s="56">
        <f t="shared" ref="E346" si="164">IF(E348&lt;&gt;0,+E348/E350,0%)</f>
        <v>0.92675870149769413</v>
      </c>
      <c r="F346" s="50">
        <f>IF(F348&lt;&gt;0,ROUND(+F348/F350,4),0%)</f>
        <v>0</v>
      </c>
      <c r="G346" s="49" t="e">
        <f t="shared" ref="G346" si="165">IF(G348&lt;&gt;0,+G348/G350,0%)</f>
        <v>#REF!</v>
      </c>
      <c r="H346" s="50">
        <f>IF(H348&lt;&gt;0,ROUND(+H348/H350,4),0%)</f>
        <v>0</v>
      </c>
      <c r="I346" s="49" t="e">
        <f t="shared" ref="I346" si="166">IF(I348&lt;&gt;0,+I348/I350,0%)</f>
        <v>#REF!</v>
      </c>
      <c r="J346" s="50">
        <f>IF(J348&lt;&gt;0,ROUND(+J348/J350,4),0%)</f>
        <v>0</v>
      </c>
      <c r="K346" s="49" t="e">
        <f>IF(K348&lt;&gt;0,+K348/K350,0%)</f>
        <v>#REF!</v>
      </c>
      <c r="L346" s="58"/>
      <c r="N346" s="77"/>
    </row>
    <row r="347" spans="1:14" s="100" customFormat="1" ht="23.1" customHeight="1" thickBot="1" x14ac:dyDescent="0.3">
      <c r="A347" s="272"/>
      <c r="B347" s="253"/>
      <c r="C347" s="256"/>
      <c r="D347" s="234"/>
      <c r="E347" s="83" t="s">
        <v>18</v>
      </c>
      <c r="F347" s="83" t="s">
        <v>18</v>
      </c>
      <c r="G347" s="84" t="s">
        <v>18</v>
      </c>
      <c r="H347" s="83" t="s">
        <v>18</v>
      </c>
      <c r="I347" s="84" t="s">
        <v>18</v>
      </c>
      <c r="J347" s="83" t="s">
        <v>18</v>
      </c>
      <c r="K347" s="84" t="s">
        <v>18</v>
      </c>
      <c r="L347" s="58"/>
      <c r="N347" s="77"/>
    </row>
    <row r="348" spans="1:14" s="100" customFormat="1" ht="23.1" customHeight="1" thickTop="1" x14ac:dyDescent="0.25">
      <c r="A348" s="272"/>
      <c r="B348" s="253"/>
      <c r="C348" s="256"/>
      <c r="D348" s="232" t="s">
        <v>25</v>
      </c>
      <c r="E348" s="85">
        <v>308467</v>
      </c>
      <c r="F348" s="86">
        <f t="shared" ref="F348" si="167">+F358+F368</f>
        <v>0</v>
      </c>
      <c r="G348" s="87" t="e">
        <f>+#REF!+F348</f>
        <v>#REF!</v>
      </c>
      <c r="H348" s="86">
        <f t="shared" ref="H348" si="168">+H358+H368</f>
        <v>0</v>
      </c>
      <c r="I348" s="87" t="e">
        <f>+G348+H348</f>
        <v>#REF!</v>
      </c>
      <c r="J348" s="86">
        <f t="shared" ref="J348" si="169">+J358+J368</f>
        <v>0</v>
      </c>
      <c r="K348" s="87" t="e">
        <f>+I348+J348</f>
        <v>#REF!</v>
      </c>
      <c r="L348" s="47" t="e">
        <f>+K346/E346</f>
        <v>#REF!</v>
      </c>
      <c r="N348" s="77"/>
    </row>
    <row r="349" spans="1:14" s="100" customFormat="1" ht="23.1" customHeight="1" x14ac:dyDescent="0.25">
      <c r="A349" s="272"/>
      <c r="B349" s="253"/>
      <c r="C349" s="256"/>
      <c r="D349" s="233"/>
      <c r="E349" s="81" t="s">
        <v>63</v>
      </c>
      <c r="F349" s="88" t="s">
        <v>20</v>
      </c>
      <c r="G349" s="90" t="s">
        <v>20</v>
      </c>
      <c r="H349" s="88" t="s">
        <v>20</v>
      </c>
      <c r="I349" s="90" t="s">
        <v>20</v>
      </c>
      <c r="J349" s="88" t="s">
        <v>20</v>
      </c>
      <c r="K349" s="90" t="s">
        <v>20</v>
      </c>
      <c r="L349" s="58"/>
      <c r="N349" s="77"/>
    </row>
    <row r="350" spans="1:14" s="100" customFormat="1" ht="23.1" customHeight="1" thickBot="1" x14ac:dyDescent="0.3">
      <c r="A350" s="273"/>
      <c r="B350" s="254"/>
      <c r="C350" s="257"/>
      <c r="D350" s="234"/>
      <c r="E350" s="91">
        <v>332845</v>
      </c>
      <c r="F350" s="92">
        <f t="shared" ref="F350" si="170">+F360+F370</f>
        <v>0</v>
      </c>
      <c r="G350" s="93" t="e">
        <f>+#REF!+F350</f>
        <v>#REF!</v>
      </c>
      <c r="H350" s="92">
        <f t="shared" ref="H350" si="171">+H360+H370</f>
        <v>0</v>
      </c>
      <c r="I350" s="93" t="e">
        <f>+G350+H350</f>
        <v>#REF!</v>
      </c>
      <c r="J350" s="92">
        <f t="shared" ref="J350" si="172">+J360+J370</f>
        <v>0</v>
      </c>
      <c r="K350" s="93" t="e">
        <f>+I350+J350</f>
        <v>#REF!</v>
      </c>
      <c r="L350" s="59"/>
      <c r="N350" s="77"/>
    </row>
    <row r="351" spans="1:14" ht="13.5" thickTop="1" x14ac:dyDescent="0.2"/>
    <row r="352" spans="1:14" s="72" customFormat="1" ht="21" thickBot="1" x14ac:dyDescent="0.35">
      <c r="A352" s="120" t="s">
        <v>64</v>
      </c>
      <c r="E352" s="73"/>
      <c r="F352" s="73"/>
      <c r="G352" s="73"/>
      <c r="H352" s="73"/>
      <c r="I352" s="73"/>
      <c r="J352" s="73"/>
      <c r="K352" s="73"/>
      <c r="L352" s="73"/>
    </row>
    <row r="353" spans="1:14" s="77" customFormat="1" ht="23.1" customHeight="1" thickTop="1" x14ac:dyDescent="0.25">
      <c r="A353" s="205" t="s">
        <v>1</v>
      </c>
      <c r="B353" s="205" t="s">
        <v>2</v>
      </c>
      <c r="C353" s="139" t="s">
        <v>3</v>
      </c>
      <c r="D353" s="139" t="s">
        <v>4</v>
      </c>
      <c r="E353" s="139" t="s">
        <v>5</v>
      </c>
      <c r="F353" s="139" t="s">
        <v>6</v>
      </c>
      <c r="G353" s="139" t="s">
        <v>7</v>
      </c>
      <c r="H353" s="205" t="s">
        <v>8</v>
      </c>
      <c r="I353" s="139" t="s">
        <v>9</v>
      </c>
      <c r="J353" s="139" t="s">
        <v>10</v>
      </c>
      <c r="K353" s="139" t="s">
        <v>58</v>
      </c>
      <c r="L353" s="139" t="s">
        <v>12</v>
      </c>
    </row>
    <row r="354" spans="1:14" s="77" customFormat="1" ht="23.1" customHeight="1" thickBot="1" x14ac:dyDescent="0.3">
      <c r="A354" s="220"/>
      <c r="B354" s="220"/>
      <c r="C354" s="140"/>
      <c r="D354" s="140"/>
      <c r="E354" s="216"/>
      <c r="F354" s="204"/>
      <c r="G354" s="204"/>
      <c r="H354" s="206"/>
      <c r="I354" s="204"/>
      <c r="J354" s="140"/>
      <c r="K354" s="140">
        <v>2018</v>
      </c>
      <c r="L354" s="140"/>
    </row>
    <row r="355" spans="1:14" s="77" customFormat="1" ht="23.1" customHeight="1" thickTop="1" x14ac:dyDescent="0.25">
      <c r="A355" s="271" t="s">
        <v>88</v>
      </c>
      <c r="B355" s="252" t="s">
        <v>69</v>
      </c>
      <c r="C355" s="255" t="s">
        <v>61</v>
      </c>
      <c r="D355" s="235" t="s">
        <v>62</v>
      </c>
      <c r="E355" s="78" t="s">
        <v>17</v>
      </c>
      <c r="F355" s="79" t="s">
        <v>17</v>
      </c>
      <c r="G355" s="80" t="s">
        <v>17</v>
      </c>
      <c r="H355" s="79" t="s">
        <v>17</v>
      </c>
      <c r="I355" s="80" t="s">
        <v>17</v>
      </c>
      <c r="J355" s="79" t="s">
        <v>17</v>
      </c>
      <c r="K355" s="80" t="s">
        <v>17</v>
      </c>
      <c r="L355" s="53"/>
    </row>
    <row r="356" spans="1:14" s="77" customFormat="1" ht="23.1" customHeight="1" x14ac:dyDescent="0.25">
      <c r="A356" s="272"/>
      <c r="B356" s="253"/>
      <c r="C356" s="256"/>
      <c r="D356" s="232"/>
      <c r="E356" s="56">
        <f t="shared" ref="E356" si="173">IF(E358&lt;&gt;0,+E358/E360,0%)</f>
        <v>0.92675934295754681</v>
      </c>
      <c r="F356" s="50">
        <f>IF(F358&lt;&gt;0,ROUND(+F358/F360,4),0%)</f>
        <v>0</v>
      </c>
      <c r="G356" s="49" t="e">
        <f t="shared" ref="G356" si="174">IF(G358&lt;&gt;0,+G358/G360,0%)</f>
        <v>#REF!</v>
      </c>
      <c r="H356" s="50">
        <f>IF(H358&lt;&gt;0,ROUND(+H358/H360,4),0%)</f>
        <v>0</v>
      </c>
      <c r="I356" s="49" t="e">
        <f t="shared" ref="I356" si="175">IF(I358&lt;&gt;0,+I358/I360,0%)</f>
        <v>#REF!</v>
      </c>
      <c r="J356" s="50">
        <f>IF(J358&lt;&gt;0,ROUND(+J358/J360,4),0%)</f>
        <v>0</v>
      </c>
      <c r="K356" s="49" t="e">
        <f>IF(K358&lt;&gt;0,+K358/K360,0%)</f>
        <v>#REF!</v>
      </c>
      <c r="L356" s="54"/>
    </row>
    <row r="357" spans="1:14" s="77" customFormat="1" ht="23.1" customHeight="1" thickBot="1" x14ac:dyDescent="0.3">
      <c r="A357" s="272"/>
      <c r="B357" s="253"/>
      <c r="C357" s="256"/>
      <c r="D357" s="234"/>
      <c r="E357" s="81"/>
      <c r="F357" s="83" t="s">
        <v>18</v>
      </c>
      <c r="G357" s="84" t="s">
        <v>18</v>
      </c>
      <c r="H357" s="83" t="s">
        <v>18</v>
      </c>
      <c r="I357" s="84" t="s">
        <v>18</v>
      </c>
      <c r="J357" s="83" t="s">
        <v>18</v>
      </c>
      <c r="K357" s="84" t="s">
        <v>18</v>
      </c>
      <c r="L357" s="54"/>
    </row>
    <row r="358" spans="1:14" s="77" customFormat="1" ht="23.1" customHeight="1" thickTop="1" x14ac:dyDescent="0.25">
      <c r="A358" s="272"/>
      <c r="B358" s="253"/>
      <c r="C358" s="256"/>
      <c r="D358" s="232" t="s">
        <v>25</v>
      </c>
      <c r="E358" s="85">
        <v>173266</v>
      </c>
      <c r="F358" s="86"/>
      <c r="G358" s="87" t="e">
        <f>+#REF!+F358</f>
        <v>#REF!</v>
      </c>
      <c r="H358" s="86"/>
      <c r="I358" s="87" t="e">
        <f>+G358+H358</f>
        <v>#REF!</v>
      </c>
      <c r="J358" s="86"/>
      <c r="K358" s="87" t="e">
        <f>SUM(I358:J358)</f>
        <v>#REF!</v>
      </c>
      <c r="L358" s="23" t="e">
        <f>+K356/E356</f>
        <v>#REF!</v>
      </c>
    </row>
    <row r="359" spans="1:14" s="77" customFormat="1" ht="23.1" customHeight="1" x14ac:dyDescent="0.25">
      <c r="A359" s="272"/>
      <c r="B359" s="253"/>
      <c r="C359" s="256"/>
      <c r="D359" s="233"/>
      <c r="E359" s="81" t="s">
        <v>63</v>
      </c>
      <c r="F359" s="88" t="s">
        <v>20</v>
      </c>
      <c r="G359" s="90" t="s">
        <v>20</v>
      </c>
      <c r="H359" s="88" t="s">
        <v>20</v>
      </c>
      <c r="I359" s="90" t="s">
        <v>20</v>
      </c>
      <c r="J359" s="88" t="s">
        <v>20</v>
      </c>
      <c r="K359" s="89" t="s">
        <v>20</v>
      </c>
      <c r="L359" s="54"/>
    </row>
    <row r="360" spans="1:14" s="77" customFormat="1" ht="23.1" customHeight="1" thickBot="1" x14ac:dyDescent="0.3">
      <c r="A360" s="273"/>
      <c r="B360" s="254"/>
      <c r="C360" s="257"/>
      <c r="D360" s="234"/>
      <c r="E360" s="91">
        <v>186959</v>
      </c>
      <c r="F360" s="92"/>
      <c r="G360" s="93" t="e">
        <f>+#REF!+F360</f>
        <v>#REF!</v>
      </c>
      <c r="H360" s="92"/>
      <c r="I360" s="93" t="e">
        <f t="shared" ref="I360" si="176">+G360+H360</f>
        <v>#REF!</v>
      </c>
      <c r="J360" s="92"/>
      <c r="K360" s="93" t="e">
        <f>SUM(I360:J360)</f>
        <v>#REF!</v>
      </c>
      <c r="L360" s="55"/>
      <c r="N360" s="95"/>
    </row>
    <row r="361" spans="1:14" ht="13.5" thickTop="1" x14ac:dyDescent="0.2"/>
    <row r="362" spans="1:14" s="72" customFormat="1" ht="21" thickBot="1" x14ac:dyDescent="0.35">
      <c r="A362" s="120" t="s">
        <v>65</v>
      </c>
      <c r="E362" s="73"/>
      <c r="F362" s="73"/>
      <c r="G362" s="73"/>
      <c r="H362" s="73"/>
      <c r="I362" s="73"/>
      <c r="J362" s="73"/>
      <c r="K362" s="73"/>
      <c r="L362" s="73"/>
    </row>
    <row r="363" spans="1:14" s="77" customFormat="1" ht="23.1" customHeight="1" thickTop="1" x14ac:dyDescent="0.25">
      <c r="A363" s="205" t="s">
        <v>1</v>
      </c>
      <c r="B363" s="205" t="s">
        <v>2</v>
      </c>
      <c r="C363" s="139" t="s">
        <v>3</v>
      </c>
      <c r="D363" s="139" t="s">
        <v>4</v>
      </c>
      <c r="E363" s="139" t="s">
        <v>5</v>
      </c>
      <c r="F363" s="139" t="s">
        <v>6</v>
      </c>
      <c r="G363" s="139" t="s">
        <v>7</v>
      </c>
      <c r="H363" s="205" t="s">
        <v>8</v>
      </c>
      <c r="I363" s="139" t="s">
        <v>9</v>
      </c>
      <c r="J363" s="139" t="s">
        <v>10</v>
      </c>
      <c r="K363" s="139" t="s">
        <v>58</v>
      </c>
      <c r="L363" s="139" t="s">
        <v>12</v>
      </c>
    </row>
    <row r="364" spans="1:14" s="77" customFormat="1" ht="23.1" customHeight="1" thickBot="1" x14ac:dyDescent="0.3">
      <c r="A364" s="220"/>
      <c r="B364" s="220"/>
      <c r="C364" s="140"/>
      <c r="D364" s="140"/>
      <c r="E364" s="216"/>
      <c r="F364" s="204"/>
      <c r="G364" s="204"/>
      <c r="H364" s="206"/>
      <c r="I364" s="204"/>
      <c r="J364" s="140"/>
      <c r="K364" s="140">
        <v>2018</v>
      </c>
      <c r="L364" s="140"/>
    </row>
    <row r="365" spans="1:14" s="77" customFormat="1" ht="23.1" customHeight="1" thickTop="1" x14ac:dyDescent="0.25">
      <c r="A365" s="271" t="s">
        <v>88</v>
      </c>
      <c r="B365" s="252" t="s">
        <v>69</v>
      </c>
      <c r="C365" s="255" t="s">
        <v>61</v>
      </c>
      <c r="D365" s="235" t="s">
        <v>62</v>
      </c>
      <c r="E365" s="78" t="s">
        <v>17</v>
      </c>
      <c r="F365" s="79" t="s">
        <v>17</v>
      </c>
      <c r="G365" s="80" t="s">
        <v>17</v>
      </c>
      <c r="H365" s="79" t="s">
        <v>17</v>
      </c>
      <c r="I365" s="80" t="s">
        <v>17</v>
      </c>
      <c r="J365" s="79" t="s">
        <v>17</v>
      </c>
      <c r="K365" s="80" t="s">
        <v>17</v>
      </c>
      <c r="L365" s="53"/>
    </row>
    <row r="366" spans="1:14" s="77" customFormat="1" ht="23.1" customHeight="1" x14ac:dyDescent="0.25">
      <c r="A366" s="272"/>
      <c r="B366" s="253"/>
      <c r="C366" s="256"/>
      <c r="D366" s="232"/>
      <c r="E366" s="56">
        <f t="shared" ref="E366" si="177">IF(E368&lt;&gt;0,+E368/E370,0%)</f>
        <v>0.92675787944011079</v>
      </c>
      <c r="F366" s="50">
        <f>IF(F368&lt;&gt;0,ROUND(+F368/F370,4),0%)</f>
        <v>0</v>
      </c>
      <c r="G366" s="49" t="e">
        <f t="shared" ref="G366" si="178">IF(G368&lt;&gt;0,+G368/G370,0%)</f>
        <v>#REF!</v>
      </c>
      <c r="H366" s="50">
        <f>IF(H368&lt;&gt;0,ROUND(+H368/H370,4),0%)</f>
        <v>0</v>
      </c>
      <c r="I366" s="49" t="e">
        <f t="shared" ref="I366" si="179">IF(I368&lt;&gt;0,+I368/I370,0%)</f>
        <v>#REF!</v>
      </c>
      <c r="J366" s="50">
        <f>IF(J368&lt;&gt;0,ROUND(+J368/J370,4),0%)</f>
        <v>0</v>
      </c>
      <c r="K366" s="49" t="e">
        <f>IF(K368&lt;&gt;0,+K368/K370,0%)</f>
        <v>#REF!</v>
      </c>
      <c r="L366" s="54"/>
    </row>
    <row r="367" spans="1:14" s="77" customFormat="1" ht="23.1" customHeight="1" thickBot="1" x14ac:dyDescent="0.3">
      <c r="A367" s="272"/>
      <c r="B367" s="253"/>
      <c r="C367" s="256"/>
      <c r="D367" s="234"/>
      <c r="E367" s="81"/>
      <c r="F367" s="83" t="s">
        <v>18</v>
      </c>
      <c r="G367" s="84" t="s">
        <v>18</v>
      </c>
      <c r="H367" s="83" t="s">
        <v>18</v>
      </c>
      <c r="I367" s="84" t="s">
        <v>18</v>
      </c>
      <c r="J367" s="83" t="s">
        <v>18</v>
      </c>
      <c r="K367" s="84" t="s">
        <v>18</v>
      </c>
      <c r="L367" s="54"/>
    </row>
    <row r="368" spans="1:14" s="77" customFormat="1" ht="23.1" customHeight="1" thickTop="1" x14ac:dyDescent="0.25">
      <c r="A368" s="272"/>
      <c r="B368" s="253"/>
      <c r="C368" s="256"/>
      <c r="D368" s="232" t="s">
        <v>25</v>
      </c>
      <c r="E368" s="85">
        <v>135201</v>
      </c>
      <c r="F368" s="86"/>
      <c r="G368" s="87" t="e">
        <f>+#REF!+F368</f>
        <v>#REF!</v>
      </c>
      <c r="H368" s="86"/>
      <c r="I368" s="87" t="e">
        <f>+G368+H368</f>
        <v>#REF!</v>
      </c>
      <c r="J368" s="86"/>
      <c r="K368" s="87" t="e">
        <f>SUM(I368:J368)</f>
        <v>#REF!</v>
      </c>
      <c r="L368" s="23" t="e">
        <f>+K366/E366</f>
        <v>#REF!</v>
      </c>
    </row>
    <row r="369" spans="1:14" s="77" customFormat="1" ht="23.1" customHeight="1" x14ac:dyDescent="0.25">
      <c r="A369" s="272"/>
      <c r="B369" s="253"/>
      <c r="C369" s="256"/>
      <c r="D369" s="233"/>
      <c r="E369" s="81" t="s">
        <v>63</v>
      </c>
      <c r="F369" s="88" t="s">
        <v>20</v>
      </c>
      <c r="G369" s="90" t="s">
        <v>20</v>
      </c>
      <c r="H369" s="88" t="s">
        <v>20</v>
      </c>
      <c r="I369" s="90" t="s">
        <v>20</v>
      </c>
      <c r="J369" s="88" t="s">
        <v>20</v>
      </c>
      <c r="K369" s="89" t="s">
        <v>20</v>
      </c>
      <c r="L369" s="54"/>
    </row>
    <row r="370" spans="1:14" s="77" customFormat="1" ht="23.1" customHeight="1" thickBot="1" x14ac:dyDescent="0.3">
      <c r="A370" s="273"/>
      <c r="B370" s="254"/>
      <c r="C370" s="257"/>
      <c r="D370" s="234"/>
      <c r="E370" s="91">
        <v>145886</v>
      </c>
      <c r="F370" s="92"/>
      <c r="G370" s="93" t="e">
        <f>+#REF!+F370</f>
        <v>#REF!</v>
      </c>
      <c r="H370" s="92"/>
      <c r="I370" s="93" t="e">
        <f t="shared" ref="I370" si="180">+G370+H370</f>
        <v>#REF!</v>
      </c>
      <c r="J370" s="92"/>
      <c r="K370" s="93" t="e">
        <f>SUM(I370:J370)</f>
        <v>#REF!</v>
      </c>
      <c r="L370" s="55"/>
    </row>
    <row r="371" spans="1:14" ht="13.5" thickTop="1" x14ac:dyDescent="0.2"/>
    <row r="374" spans="1:14" s="108" customFormat="1" ht="15.75" x14ac:dyDescent="0.2">
      <c r="B374" s="263" t="s">
        <v>89</v>
      </c>
      <c r="C374" s="263"/>
      <c r="D374" s="263"/>
      <c r="E374" s="109"/>
      <c r="F374" s="109"/>
      <c r="G374" s="69"/>
      <c r="H374" s="109"/>
      <c r="I374" s="69"/>
      <c r="J374" s="109"/>
      <c r="K374" s="69"/>
      <c r="L374" s="110"/>
    </row>
    <row r="375" spans="1:14" s="108" customFormat="1" ht="13.5" thickBot="1" x14ac:dyDescent="0.25">
      <c r="F375" s="73"/>
      <c r="G375" s="73"/>
      <c r="H375" s="73"/>
      <c r="I375" s="73"/>
      <c r="J375" s="73"/>
    </row>
    <row r="376" spans="1:14" s="77" customFormat="1" ht="23.1" customHeight="1" thickTop="1" x14ac:dyDescent="0.25">
      <c r="A376" s="205" t="s">
        <v>1</v>
      </c>
      <c r="B376" s="205" t="s">
        <v>2</v>
      </c>
      <c r="C376" s="139" t="s">
        <v>3</v>
      </c>
      <c r="D376" s="139" t="s">
        <v>4</v>
      </c>
      <c r="E376" s="139" t="s">
        <v>5</v>
      </c>
      <c r="F376" s="139" t="s">
        <v>6</v>
      </c>
      <c r="G376" s="139" t="s">
        <v>7</v>
      </c>
      <c r="H376" s="205" t="s">
        <v>8</v>
      </c>
      <c r="I376" s="139" t="s">
        <v>9</v>
      </c>
      <c r="J376" s="139" t="s">
        <v>10</v>
      </c>
      <c r="K376" s="139" t="s">
        <v>58</v>
      </c>
      <c r="L376" s="139" t="s">
        <v>12</v>
      </c>
    </row>
    <row r="377" spans="1:14" s="77" customFormat="1" ht="23.1" customHeight="1" thickBot="1" x14ac:dyDescent="0.3">
      <c r="A377" s="220"/>
      <c r="B377" s="220"/>
      <c r="C377" s="140"/>
      <c r="D377" s="140"/>
      <c r="E377" s="216"/>
      <c r="F377" s="204"/>
      <c r="G377" s="204"/>
      <c r="H377" s="206"/>
      <c r="I377" s="204"/>
      <c r="J377" s="140"/>
      <c r="K377" s="140">
        <v>2018</v>
      </c>
      <c r="L377" s="140"/>
    </row>
    <row r="378" spans="1:14" s="111" customFormat="1" ht="23.1" customHeight="1" thickTop="1" x14ac:dyDescent="0.25">
      <c r="A378" s="271" t="s">
        <v>90</v>
      </c>
      <c r="B378" s="252" t="s">
        <v>69</v>
      </c>
      <c r="C378" s="255" t="s">
        <v>61</v>
      </c>
      <c r="D378" s="235" t="s">
        <v>62</v>
      </c>
      <c r="E378" s="79" t="s">
        <v>17</v>
      </c>
      <c r="F378" s="79" t="s">
        <v>17</v>
      </c>
      <c r="G378" s="80" t="s">
        <v>17</v>
      </c>
      <c r="H378" s="79" t="s">
        <v>17</v>
      </c>
      <c r="I378" s="80" t="s">
        <v>17</v>
      </c>
      <c r="J378" s="79" t="s">
        <v>17</v>
      </c>
      <c r="K378" s="80" t="s">
        <v>17</v>
      </c>
      <c r="L378" s="57" t="s">
        <v>17</v>
      </c>
      <c r="N378" s="77"/>
    </row>
    <row r="379" spans="1:14" s="111" customFormat="1" ht="23.1" customHeight="1" x14ac:dyDescent="0.25">
      <c r="A379" s="272"/>
      <c r="B379" s="253"/>
      <c r="C379" s="266"/>
      <c r="D379" s="232"/>
      <c r="E379" s="56">
        <f t="shared" ref="E379" si="181">IF(E381&lt;&gt;0,+E381/E383,0%)</f>
        <v>0.96768532078202552</v>
      </c>
      <c r="F379" s="50">
        <f>IF(F381&lt;&gt;0,ROUND(+F381/F383,4),0%)</f>
        <v>0</v>
      </c>
      <c r="G379" s="49" t="e">
        <f t="shared" ref="G379" si="182">IF(G381&lt;&gt;0,+G381/G383,0%)</f>
        <v>#REF!</v>
      </c>
      <c r="H379" s="50">
        <f>IF(H381&lt;&gt;0,ROUND(+H381/H383,4),0%)</f>
        <v>0</v>
      </c>
      <c r="I379" s="49" t="e">
        <f t="shared" ref="I379" si="183">IF(I381&lt;&gt;0,+I381/I383,0%)</f>
        <v>#REF!</v>
      </c>
      <c r="J379" s="50">
        <f>IF(J381&lt;&gt;0,ROUND(+J381/J383,4),0%)</f>
        <v>0</v>
      </c>
      <c r="K379" s="49" t="e">
        <f>IF(K381&lt;&gt;0,+K381/K383,0%)</f>
        <v>#REF!</v>
      </c>
      <c r="L379" s="62" t="e">
        <f>+K379/E379</f>
        <v>#REF!</v>
      </c>
      <c r="N379" s="77"/>
    </row>
    <row r="380" spans="1:14" s="111" customFormat="1" ht="23.1" customHeight="1" thickBot="1" x14ac:dyDescent="0.3">
      <c r="A380" s="272"/>
      <c r="B380" s="253"/>
      <c r="C380" s="266"/>
      <c r="D380" s="265"/>
      <c r="E380" s="83" t="s">
        <v>18</v>
      </c>
      <c r="F380" s="83" t="s">
        <v>18</v>
      </c>
      <c r="G380" s="84" t="s">
        <v>18</v>
      </c>
      <c r="H380" s="83" t="s">
        <v>18</v>
      </c>
      <c r="I380" s="84" t="s">
        <v>18</v>
      </c>
      <c r="J380" s="83" t="s">
        <v>18</v>
      </c>
      <c r="K380" s="84" t="s">
        <v>18</v>
      </c>
      <c r="L380" s="58"/>
      <c r="N380" s="77"/>
    </row>
    <row r="381" spans="1:14" s="111" customFormat="1" ht="23.1" customHeight="1" thickTop="1" x14ac:dyDescent="0.25">
      <c r="A381" s="272"/>
      <c r="B381" s="253"/>
      <c r="C381" s="266"/>
      <c r="D381" s="232" t="s">
        <v>25</v>
      </c>
      <c r="E381" s="85">
        <v>169822</v>
      </c>
      <c r="F381" s="86">
        <f t="shared" ref="F381" si="184">+F391+F401</f>
        <v>0</v>
      </c>
      <c r="G381" s="87" t="e">
        <f>+#REF!+F381</f>
        <v>#REF!</v>
      </c>
      <c r="H381" s="86">
        <f t="shared" ref="H381" si="185">+H391+H401</f>
        <v>0</v>
      </c>
      <c r="I381" s="87" t="e">
        <f>+G381+H381</f>
        <v>#REF!</v>
      </c>
      <c r="J381" s="86">
        <f t="shared" ref="J381" si="186">+J391+J401</f>
        <v>0</v>
      </c>
      <c r="K381" s="87" t="e">
        <f>+I381+J381</f>
        <v>#REF!</v>
      </c>
      <c r="L381" s="47"/>
      <c r="N381" s="77"/>
    </row>
    <row r="382" spans="1:14" s="111" customFormat="1" ht="23.1" customHeight="1" x14ac:dyDescent="0.25">
      <c r="A382" s="272"/>
      <c r="B382" s="253"/>
      <c r="C382" s="266"/>
      <c r="D382" s="264"/>
      <c r="E382" s="81" t="s">
        <v>63</v>
      </c>
      <c r="F382" s="88" t="s">
        <v>20</v>
      </c>
      <c r="G382" s="90" t="s">
        <v>20</v>
      </c>
      <c r="H382" s="88" t="s">
        <v>20</v>
      </c>
      <c r="I382" s="90" t="s">
        <v>20</v>
      </c>
      <c r="J382" s="88" t="s">
        <v>20</v>
      </c>
      <c r="K382" s="90" t="s">
        <v>20</v>
      </c>
      <c r="L382" s="58"/>
      <c r="N382" s="77"/>
    </row>
    <row r="383" spans="1:14" s="111" customFormat="1" ht="23.1" customHeight="1" thickBot="1" x14ac:dyDescent="0.3">
      <c r="A383" s="273"/>
      <c r="B383" s="254"/>
      <c r="C383" s="267"/>
      <c r="D383" s="265"/>
      <c r="E383" s="91">
        <v>175493</v>
      </c>
      <c r="F383" s="92">
        <f t="shared" ref="F383" si="187">+F393+F403</f>
        <v>0</v>
      </c>
      <c r="G383" s="93" t="e">
        <f>+#REF!+F383</f>
        <v>#REF!</v>
      </c>
      <c r="H383" s="92">
        <f t="shared" ref="H383" si="188">+H393+H403</f>
        <v>0</v>
      </c>
      <c r="I383" s="93" t="e">
        <f>+G383+H383</f>
        <v>#REF!</v>
      </c>
      <c r="J383" s="92">
        <f t="shared" ref="J383" si="189">+J393+J403</f>
        <v>0</v>
      </c>
      <c r="K383" s="93" t="e">
        <f>+I383+J383</f>
        <v>#REF!</v>
      </c>
      <c r="L383" s="59"/>
      <c r="N383" s="77"/>
    </row>
    <row r="384" spans="1:14" ht="13.5" thickTop="1" x14ac:dyDescent="0.2"/>
    <row r="385" spans="1:14" s="72" customFormat="1" ht="21" thickBot="1" x14ac:dyDescent="0.35">
      <c r="A385" s="120" t="s">
        <v>64</v>
      </c>
      <c r="E385" s="73"/>
      <c r="F385" s="73"/>
      <c r="G385" s="73"/>
      <c r="H385" s="73"/>
      <c r="I385" s="73"/>
      <c r="J385" s="73"/>
      <c r="K385" s="73"/>
      <c r="L385" s="73"/>
    </row>
    <row r="386" spans="1:14" s="77" customFormat="1" ht="23.1" customHeight="1" thickTop="1" x14ac:dyDescent="0.25">
      <c r="A386" s="205" t="s">
        <v>1</v>
      </c>
      <c r="B386" s="205" t="s">
        <v>2</v>
      </c>
      <c r="C386" s="139" t="s">
        <v>3</v>
      </c>
      <c r="D386" s="139" t="s">
        <v>4</v>
      </c>
      <c r="E386" s="139" t="s">
        <v>5</v>
      </c>
      <c r="F386" s="139" t="s">
        <v>6</v>
      </c>
      <c r="G386" s="139" t="s">
        <v>7</v>
      </c>
      <c r="H386" s="205" t="s">
        <v>8</v>
      </c>
      <c r="I386" s="139" t="s">
        <v>9</v>
      </c>
      <c r="J386" s="139" t="s">
        <v>10</v>
      </c>
      <c r="K386" s="139" t="s">
        <v>58</v>
      </c>
      <c r="L386" s="139" t="s">
        <v>12</v>
      </c>
    </row>
    <row r="387" spans="1:14" s="77" customFormat="1" ht="23.1" customHeight="1" thickBot="1" x14ac:dyDescent="0.3">
      <c r="A387" s="220"/>
      <c r="B387" s="220"/>
      <c r="C387" s="140"/>
      <c r="D387" s="140"/>
      <c r="E387" s="216"/>
      <c r="F387" s="204"/>
      <c r="G387" s="204"/>
      <c r="H387" s="206"/>
      <c r="I387" s="204"/>
      <c r="J387" s="140"/>
      <c r="K387" s="140">
        <v>2018</v>
      </c>
      <c r="L387" s="140"/>
    </row>
    <row r="388" spans="1:14" s="77" customFormat="1" ht="23.1" customHeight="1" thickTop="1" x14ac:dyDescent="0.25">
      <c r="A388" s="271" t="s">
        <v>90</v>
      </c>
      <c r="B388" s="252" t="s">
        <v>69</v>
      </c>
      <c r="C388" s="255" t="s">
        <v>61</v>
      </c>
      <c r="D388" s="235" t="s">
        <v>62</v>
      </c>
      <c r="E388" s="78" t="s">
        <v>17</v>
      </c>
      <c r="F388" s="79" t="s">
        <v>17</v>
      </c>
      <c r="G388" s="80" t="s">
        <v>17</v>
      </c>
      <c r="H388" s="79" t="s">
        <v>17</v>
      </c>
      <c r="I388" s="80" t="s">
        <v>17</v>
      </c>
      <c r="J388" s="79" t="s">
        <v>17</v>
      </c>
      <c r="K388" s="80" t="s">
        <v>17</v>
      </c>
      <c r="L388" s="53"/>
    </row>
    <row r="389" spans="1:14" s="77" customFormat="1" ht="23.1" customHeight="1" x14ac:dyDescent="0.25">
      <c r="A389" s="272"/>
      <c r="B389" s="253"/>
      <c r="C389" s="266"/>
      <c r="D389" s="232"/>
      <c r="E389" s="56">
        <f t="shared" ref="E389" si="190">IF(E391&lt;&gt;0,+E391/E393,0%)</f>
        <v>0.96769363974169342</v>
      </c>
      <c r="F389" s="50">
        <f>IF(F391&lt;&gt;0,ROUND(+F391/F393,4),0%)</f>
        <v>0</v>
      </c>
      <c r="G389" s="49" t="e">
        <f t="shared" ref="G389" si="191">IF(G391&lt;&gt;0,+G391/G393,0%)</f>
        <v>#REF!</v>
      </c>
      <c r="H389" s="50">
        <f>IF(H391&lt;&gt;0,ROUND(+H391/H393,4),0%)</f>
        <v>0</v>
      </c>
      <c r="I389" s="49" t="e">
        <f t="shared" ref="I389" si="192">IF(I391&lt;&gt;0,+I391/I393,0%)</f>
        <v>#REF!</v>
      </c>
      <c r="J389" s="50">
        <f>IF(J391&lt;&gt;0,ROUND(+J391/J393,4),0%)</f>
        <v>0</v>
      </c>
      <c r="K389" s="49" t="e">
        <f>IF(K391&lt;&gt;0,+K391/K393,0%)</f>
        <v>#REF!</v>
      </c>
      <c r="L389" s="54"/>
    </row>
    <row r="390" spans="1:14" s="77" customFormat="1" ht="23.1" customHeight="1" thickBot="1" x14ac:dyDescent="0.3">
      <c r="A390" s="272"/>
      <c r="B390" s="253"/>
      <c r="C390" s="266"/>
      <c r="D390" s="265"/>
      <c r="E390" s="81"/>
      <c r="F390" s="83" t="s">
        <v>18</v>
      </c>
      <c r="G390" s="84" t="s">
        <v>18</v>
      </c>
      <c r="H390" s="83" t="s">
        <v>18</v>
      </c>
      <c r="I390" s="84" t="s">
        <v>18</v>
      </c>
      <c r="J390" s="83" t="s">
        <v>18</v>
      </c>
      <c r="K390" s="84" t="s">
        <v>18</v>
      </c>
      <c r="L390" s="54"/>
    </row>
    <row r="391" spans="1:14" s="77" customFormat="1" ht="23.1" customHeight="1" thickTop="1" x14ac:dyDescent="0.25">
      <c r="A391" s="272"/>
      <c r="B391" s="253"/>
      <c r="C391" s="266"/>
      <c r="D391" s="232" t="s">
        <v>25</v>
      </c>
      <c r="E391" s="85">
        <v>107294</v>
      </c>
      <c r="F391" s="86"/>
      <c r="G391" s="87" t="e">
        <f>+#REF!+F391</f>
        <v>#REF!</v>
      </c>
      <c r="H391" s="86"/>
      <c r="I391" s="87" t="e">
        <f>+G391+H391</f>
        <v>#REF!</v>
      </c>
      <c r="J391" s="86"/>
      <c r="K391" s="87" t="e">
        <f>SUM(I391:J391)</f>
        <v>#REF!</v>
      </c>
      <c r="L391" s="23" t="e">
        <f>+K389/E389</f>
        <v>#REF!</v>
      </c>
    </row>
    <row r="392" spans="1:14" s="77" customFormat="1" ht="23.1" customHeight="1" x14ac:dyDescent="0.25">
      <c r="A392" s="272"/>
      <c r="B392" s="253"/>
      <c r="C392" s="266"/>
      <c r="D392" s="264"/>
      <c r="E392" s="81" t="s">
        <v>63</v>
      </c>
      <c r="F392" s="88" t="s">
        <v>20</v>
      </c>
      <c r="G392" s="90" t="s">
        <v>20</v>
      </c>
      <c r="H392" s="88" t="s">
        <v>20</v>
      </c>
      <c r="I392" s="90" t="s">
        <v>20</v>
      </c>
      <c r="J392" s="88" t="s">
        <v>20</v>
      </c>
      <c r="K392" s="89" t="s">
        <v>20</v>
      </c>
      <c r="L392" s="54"/>
    </row>
    <row r="393" spans="1:14" s="77" customFormat="1" ht="23.1" customHeight="1" thickBot="1" x14ac:dyDescent="0.3">
      <c r="A393" s="273"/>
      <c r="B393" s="254"/>
      <c r="C393" s="267"/>
      <c r="D393" s="265"/>
      <c r="E393" s="91">
        <v>110876</v>
      </c>
      <c r="F393" s="92"/>
      <c r="G393" s="93" t="e">
        <f>+#REF!+F393</f>
        <v>#REF!</v>
      </c>
      <c r="H393" s="92"/>
      <c r="I393" s="93" t="e">
        <f t="shared" ref="I393" si="193">+G393+H393</f>
        <v>#REF!</v>
      </c>
      <c r="J393" s="92"/>
      <c r="K393" s="93" t="e">
        <f>SUM(I393:J393)</f>
        <v>#REF!</v>
      </c>
      <c r="L393" s="55"/>
      <c r="N393" s="95"/>
    </row>
    <row r="394" spans="1:14" ht="13.5" thickTop="1" x14ac:dyDescent="0.2"/>
    <row r="395" spans="1:14" s="72" customFormat="1" ht="21" thickBot="1" x14ac:dyDescent="0.35">
      <c r="A395" s="120" t="s">
        <v>65</v>
      </c>
      <c r="E395" s="73"/>
      <c r="F395" s="73"/>
      <c r="G395" s="73"/>
      <c r="H395" s="73"/>
      <c r="I395" s="73"/>
      <c r="J395" s="73"/>
      <c r="K395" s="73"/>
      <c r="L395" s="73"/>
    </row>
    <row r="396" spans="1:14" s="77" customFormat="1" ht="23.1" customHeight="1" thickTop="1" x14ac:dyDescent="0.25">
      <c r="A396" s="205" t="s">
        <v>1</v>
      </c>
      <c r="B396" s="205" t="s">
        <v>2</v>
      </c>
      <c r="C396" s="139" t="s">
        <v>3</v>
      </c>
      <c r="D396" s="139" t="s">
        <v>4</v>
      </c>
      <c r="E396" s="139" t="s">
        <v>5</v>
      </c>
      <c r="F396" s="139" t="s">
        <v>6</v>
      </c>
      <c r="G396" s="139" t="s">
        <v>7</v>
      </c>
      <c r="H396" s="205" t="s">
        <v>8</v>
      </c>
      <c r="I396" s="139" t="s">
        <v>9</v>
      </c>
      <c r="J396" s="139" t="s">
        <v>10</v>
      </c>
      <c r="K396" s="139" t="s">
        <v>58</v>
      </c>
      <c r="L396" s="139" t="s">
        <v>12</v>
      </c>
    </row>
    <row r="397" spans="1:14" s="77" customFormat="1" ht="23.1" customHeight="1" thickBot="1" x14ac:dyDescent="0.3">
      <c r="A397" s="220"/>
      <c r="B397" s="220"/>
      <c r="C397" s="140"/>
      <c r="D397" s="140"/>
      <c r="E397" s="216"/>
      <c r="F397" s="204"/>
      <c r="G397" s="204"/>
      <c r="H397" s="206"/>
      <c r="I397" s="204"/>
      <c r="J397" s="140"/>
      <c r="K397" s="140">
        <v>2018</v>
      </c>
      <c r="L397" s="140"/>
    </row>
    <row r="398" spans="1:14" s="77" customFormat="1" ht="23.1" customHeight="1" thickTop="1" x14ac:dyDescent="0.25">
      <c r="A398" s="271" t="s">
        <v>90</v>
      </c>
      <c r="B398" s="252" t="s">
        <v>69</v>
      </c>
      <c r="C398" s="255" t="s">
        <v>61</v>
      </c>
      <c r="D398" s="235" t="s">
        <v>62</v>
      </c>
      <c r="E398" s="78" t="s">
        <v>17</v>
      </c>
      <c r="F398" s="79" t="s">
        <v>17</v>
      </c>
      <c r="G398" s="80" t="s">
        <v>17</v>
      </c>
      <c r="H398" s="79" t="s">
        <v>17</v>
      </c>
      <c r="I398" s="80" t="s">
        <v>17</v>
      </c>
      <c r="J398" s="79" t="s">
        <v>17</v>
      </c>
      <c r="K398" s="80" t="s">
        <v>17</v>
      </c>
      <c r="L398" s="53"/>
    </row>
    <row r="399" spans="1:14" s="77" customFormat="1" ht="23.1" customHeight="1" x14ac:dyDescent="0.25">
      <c r="A399" s="272"/>
      <c r="B399" s="253"/>
      <c r="C399" s="266"/>
      <c r="D399" s="232"/>
      <c r="E399" s="56">
        <f t="shared" ref="E399" si="194">IF(E401&lt;&gt;0,+E401/E403,0%)</f>
        <v>0.96767104631908007</v>
      </c>
      <c r="F399" s="50">
        <f>IF(F401&lt;&gt;0,ROUND(+F401/F403,4),0%)</f>
        <v>0</v>
      </c>
      <c r="G399" s="49" t="e">
        <f t="shared" ref="G399" si="195">IF(G401&lt;&gt;0,+G401/G403,0%)</f>
        <v>#REF!</v>
      </c>
      <c r="H399" s="50">
        <f>IF(H401&lt;&gt;0,ROUND(+H401/H403,4),0%)</f>
        <v>0</v>
      </c>
      <c r="I399" s="49" t="e">
        <f t="shared" ref="I399" si="196">IF(I401&lt;&gt;0,+I401/I403,0%)</f>
        <v>#REF!</v>
      </c>
      <c r="J399" s="50">
        <f>IF(J401&lt;&gt;0,ROUND(+J401/J403,4),0%)</f>
        <v>0</v>
      </c>
      <c r="K399" s="49" t="e">
        <f>IF(K401&lt;&gt;0,+K401/K403,0%)</f>
        <v>#REF!</v>
      </c>
      <c r="L399" s="54"/>
    </row>
    <row r="400" spans="1:14" s="77" customFormat="1" ht="23.1" customHeight="1" thickBot="1" x14ac:dyDescent="0.3">
      <c r="A400" s="272"/>
      <c r="B400" s="253"/>
      <c r="C400" s="266"/>
      <c r="D400" s="265"/>
      <c r="E400" s="81"/>
      <c r="F400" s="83" t="s">
        <v>18</v>
      </c>
      <c r="G400" s="84" t="s">
        <v>18</v>
      </c>
      <c r="H400" s="83" t="s">
        <v>18</v>
      </c>
      <c r="I400" s="84" t="s">
        <v>18</v>
      </c>
      <c r="J400" s="83" t="s">
        <v>18</v>
      </c>
      <c r="K400" s="84" t="s">
        <v>18</v>
      </c>
      <c r="L400" s="54"/>
    </row>
    <row r="401" spans="1:12" s="77" customFormat="1" ht="23.1" customHeight="1" thickTop="1" x14ac:dyDescent="0.25">
      <c r="A401" s="272"/>
      <c r="B401" s="253"/>
      <c r="C401" s="266"/>
      <c r="D401" s="232" t="s">
        <v>25</v>
      </c>
      <c r="E401" s="85">
        <v>62528</v>
      </c>
      <c r="F401" s="86"/>
      <c r="G401" s="87" t="e">
        <f>+#REF!+F401</f>
        <v>#REF!</v>
      </c>
      <c r="H401" s="86"/>
      <c r="I401" s="87" t="e">
        <f>+G401+H401</f>
        <v>#REF!</v>
      </c>
      <c r="J401" s="86"/>
      <c r="K401" s="87" t="e">
        <f>SUM(I401:J401)</f>
        <v>#REF!</v>
      </c>
      <c r="L401" s="23" t="e">
        <f>+K399/E399</f>
        <v>#REF!</v>
      </c>
    </row>
    <row r="402" spans="1:12" s="77" customFormat="1" ht="23.1" customHeight="1" x14ac:dyDescent="0.25">
      <c r="A402" s="272"/>
      <c r="B402" s="253"/>
      <c r="C402" s="266"/>
      <c r="D402" s="264"/>
      <c r="E402" s="81" t="s">
        <v>63</v>
      </c>
      <c r="F402" s="88" t="s">
        <v>20</v>
      </c>
      <c r="G402" s="90" t="s">
        <v>20</v>
      </c>
      <c r="H402" s="88" t="s">
        <v>20</v>
      </c>
      <c r="I402" s="90" t="s">
        <v>20</v>
      </c>
      <c r="J402" s="88" t="s">
        <v>20</v>
      </c>
      <c r="K402" s="89" t="s">
        <v>20</v>
      </c>
      <c r="L402" s="54"/>
    </row>
    <row r="403" spans="1:12" s="77" customFormat="1" ht="23.1" customHeight="1" thickBot="1" x14ac:dyDescent="0.3">
      <c r="A403" s="273"/>
      <c r="B403" s="254"/>
      <c r="C403" s="267"/>
      <c r="D403" s="265"/>
      <c r="E403" s="91">
        <v>64617</v>
      </c>
      <c r="F403" s="92"/>
      <c r="G403" s="93" t="e">
        <f>+#REF!+F403</f>
        <v>#REF!</v>
      </c>
      <c r="H403" s="92"/>
      <c r="I403" s="93" t="e">
        <f t="shared" ref="I403" si="197">+G403+H403</f>
        <v>#REF!</v>
      </c>
      <c r="J403" s="92"/>
      <c r="K403" s="93" t="e">
        <f>SUM(I403:J403)</f>
        <v>#REF!</v>
      </c>
      <c r="L403" s="55"/>
    </row>
    <row r="404" spans="1:12" ht="13.5" thickTop="1" x14ac:dyDescent="0.2"/>
    <row r="407" spans="1:12" s="72" customFormat="1" ht="15.75" x14ac:dyDescent="0.25">
      <c r="B407" s="219" t="s">
        <v>91</v>
      </c>
      <c r="C407" s="219"/>
      <c r="D407" s="219"/>
      <c r="E407" s="76"/>
      <c r="F407" s="76"/>
      <c r="G407" s="68"/>
      <c r="H407" s="76"/>
      <c r="I407" s="68"/>
      <c r="J407" s="76"/>
      <c r="K407" s="68"/>
      <c r="L407" s="101"/>
    </row>
    <row r="408" spans="1:12" s="72" customFormat="1" ht="16.5" thickBot="1" x14ac:dyDescent="0.3">
      <c r="E408" s="73"/>
      <c r="F408" s="73"/>
      <c r="G408" s="73"/>
      <c r="H408" s="73"/>
      <c r="I408" s="73"/>
      <c r="J408" s="73"/>
      <c r="K408" s="73"/>
      <c r="L408" s="73"/>
    </row>
    <row r="409" spans="1:12" s="77" customFormat="1" ht="23.1" customHeight="1" thickTop="1" x14ac:dyDescent="0.25">
      <c r="A409" s="205" t="s">
        <v>1</v>
      </c>
      <c r="B409" s="205" t="s">
        <v>2</v>
      </c>
      <c r="C409" s="139" t="s">
        <v>3</v>
      </c>
      <c r="D409" s="139" t="s">
        <v>4</v>
      </c>
      <c r="E409" s="139" t="s">
        <v>5</v>
      </c>
      <c r="F409" s="139" t="s">
        <v>6</v>
      </c>
      <c r="G409" s="139" t="s">
        <v>7</v>
      </c>
      <c r="H409" s="205" t="s">
        <v>8</v>
      </c>
      <c r="I409" s="139" t="s">
        <v>9</v>
      </c>
      <c r="J409" s="139" t="s">
        <v>10</v>
      </c>
      <c r="K409" s="139" t="s">
        <v>58</v>
      </c>
      <c r="L409" s="139" t="s">
        <v>12</v>
      </c>
    </row>
    <row r="410" spans="1:12" s="77" customFormat="1" ht="23.1" customHeight="1" thickBot="1" x14ac:dyDescent="0.3">
      <c r="A410" s="220"/>
      <c r="B410" s="220"/>
      <c r="C410" s="140"/>
      <c r="D410" s="140"/>
      <c r="E410" s="216"/>
      <c r="F410" s="204"/>
      <c r="G410" s="204"/>
      <c r="H410" s="206"/>
      <c r="I410" s="204"/>
      <c r="J410" s="140"/>
      <c r="K410" s="140">
        <v>2018</v>
      </c>
      <c r="L410" s="140"/>
    </row>
    <row r="411" spans="1:12" s="77" customFormat="1" ht="23.1" customHeight="1" thickTop="1" x14ac:dyDescent="0.25">
      <c r="A411" s="268" t="s">
        <v>92</v>
      </c>
      <c r="B411" s="225" t="s">
        <v>60</v>
      </c>
      <c r="C411" s="228" t="s">
        <v>61</v>
      </c>
      <c r="D411" s="224" t="s">
        <v>62</v>
      </c>
      <c r="E411" s="79" t="s">
        <v>17</v>
      </c>
      <c r="F411" s="79" t="s">
        <v>17</v>
      </c>
      <c r="G411" s="80" t="s">
        <v>17</v>
      </c>
      <c r="H411" s="79" t="s">
        <v>17</v>
      </c>
      <c r="I411" s="80" t="s">
        <v>17</v>
      </c>
      <c r="J411" s="79" t="s">
        <v>17</v>
      </c>
      <c r="K411" s="80" t="s">
        <v>17</v>
      </c>
      <c r="L411" s="53"/>
    </row>
    <row r="412" spans="1:12" s="77" customFormat="1" ht="23.1" customHeight="1" x14ac:dyDescent="0.25">
      <c r="A412" s="269"/>
      <c r="B412" s="226"/>
      <c r="C412" s="229"/>
      <c r="D412" s="221"/>
      <c r="E412" s="56">
        <f t="shared" ref="E412" si="198">IF(E414&lt;&gt;0,+E414/E416,0%)</f>
        <v>0.9552693532751696</v>
      </c>
      <c r="F412" s="50">
        <f>IF(F414&lt;&gt;0,ROUND(+F414/F416,4),0%)</f>
        <v>0</v>
      </c>
      <c r="G412" s="49" t="e">
        <f t="shared" ref="G412" si="199">IF(G414&lt;&gt;0,+G414/G416,0%)</f>
        <v>#REF!</v>
      </c>
      <c r="H412" s="50">
        <f>IF(H414&lt;&gt;0,ROUND(+H414/H416,4),0%)</f>
        <v>0</v>
      </c>
      <c r="I412" s="49" t="e">
        <f t="shared" ref="I412" si="200">IF(I414&lt;&gt;0,+I414/I416,0%)</f>
        <v>#REF!</v>
      </c>
      <c r="J412" s="50">
        <f>IF(J414&lt;&gt;0,ROUND(+J414/J416,4),0%)</f>
        <v>0</v>
      </c>
      <c r="K412" s="49" t="e">
        <f>IF(K414&lt;&gt;0,+K414/K416,0%)</f>
        <v>#REF!</v>
      </c>
      <c r="L412" s="54"/>
    </row>
    <row r="413" spans="1:12" s="77" customFormat="1" ht="23.1" customHeight="1" thickBot="1" x14ac:dyDescent="0.3">
      <c r="A413" s="269"/>
      <c r="B413" s="226"/>
      <c r="C413" s="229"/>
      <c r="D413" s="223"/>
      <c r="E413" s="83" t="s">
        <v>18</v>
      </c>
      <c r="F413" s="83" t="s">
        <v>18</v>
      </c>
      <c r="G413" s="84" t="s">
        <v>18</v>
      </c>
      <c r="H413" s="83" t="s">
        <v>18</v>
      </c>
      <c r="I413" s="84" t="s">
        <v>18</v>
      </c>
      <c r="J413" s="83" t="s">
        <v>18</v>
      </c>
      <c r="K413" s="84" t="s">
        <v>18</v>
      </c>
      <c r="L413" s="54"/>
    </row>
    <row r="414" spans="1:12" s="77" customFormat="1" ht="23.1" customHeight="1" thickTop="1" x14ac:dyDescent="0.25">
      <c r="A414" s="269"/>
      <c r="B414" s="226"/>
      <c r="C414" s="229"/>
      <c r="D414" s="221" t="s">
        <v>25</v>
      </c>
      <c r="E414" s="85">
        <v>62082</v>
      </c>
      <c r="F414" s="86">
        <f t="shared" ref="F414" si="201">+F424+F434</f>
        <v>0</v>
      </c>
      <c r="G414" s="87" t="e">
        <f>+#REF!+F414</f>
        <v>#REF!</v>
      </c>
      <c r="H414" s="86">
        <f t="shared" ref="H414" si="202">+H424+H434</f>
        <v>0</v>
      </c>
      <c r="I414" s="87" t="e">
        <f>+G414+H414</f>
        <v>#REF!</v>
      </c>
      <c r="J414" s="86">
        <f t="shared" ref="J414" si="203">+J424+J434</f>
        <v>0</v>
      </c>
      <c r="K414" s="87" t="e">
        <f>+I414+J414</f>
        <v>#REF!</v>
      </c>
      <c r="L414" s="23" t="e">
        <f>+K412/E412</f>
        <v>#REF!</v>
      </c>
    </row>
    <row r="415" spans="1:12" s="77" customFormat="1" ht="23.1" customHeight="1" x14ac:dyDescent="0.25">
      <c r="A415" s="269"/>
      <c r="B415" s="226"/>
      <c r="C415" s="229"/>
      <c r="D415" s="222"/>
      <c r="E415" s="81" t="s">
        <v>63</v>
      </c>
      <c r="F415" s="88" t="s">
        <v>20</v>
      </c>
      <c r="G415" s="90" t="s">
        <v>20</v>
      </c>
      <c r="H415" s="88" t="s">
        <v>20</v>
      </c>
      <c r="I415" s="90" t="s">
        <v>20</v>
      </c>
      <c r="J415" s="88" t="s">
        <v>20</v>
      </c>
      <c r="K415" s="90" t="s">
        <v>20</v>
      </c>
      <c r="L415" s="54"/>
    </row>
    <row r="416" spans="1:12" s="77" customFormat="1" ht="23.1" customHeight="1" thickBot="1" x14ac:dyDescent="0.3">
      <c r="A416" s="270"/>
      <c r="B416" s="227"/>
      <c r="C416" s="230"/>
      <c r="D416" s="223"/>
      <c r="E416" s="91">
        <v>64989</v>
      </c>
      <c r="F416" s="92">
        <f t="shared" ref="F416" si="204">+F426+F436</f>
        <v>0</v>
      </c>
      <c r="G416" s="93" t="e">
        <f>+#REF!+F416</f>
        <v>#REF!</v>
      </c>
      <c r="H416" s="92">
        <f t="shared" ref="H416" si="205">+H426+H436</f>
        <v>0</v>
      </c>
      <c r="I416" s="93" t="e">
        <f>+G416+H416</f>
        <v>#REF!</v>
      </c>
      <c r="J416" s="92">
        <f t="shared" ref="J416" si="206">+J426+J436</f>
        <v>0</v>
      </c>
      <c r="K416" s="93" t="e">
        <f>+I416+J416</f>
        <v>#REF!</v>
      </c>
      <c r="L416" s="55"/>
    </row>
    <row r="417" spans="1:14" ht="13.5" thickTop="1" x14ac:dyDescent="0.2"/>
    <row r="418" spans="1:14" s="72" customFormat="1" ht="21" thickBot="1" x14ac:dyDescent="0.35">
      <c r="A418" s="120" t="s">
        <v>64</v>
      </c>
      <c r="E418" s="73"/>
      <c r="F418" s="73"/>
      <c r="G418" s="73"/>
      <c r="H418" s="73"/>
      <c r="I418" s="73"/>
      <c r="J418" s="73"/>
      <c r="K418" s="73"/>
      <c r="L418" s="73"/>
    </row>
    <row r="419" spans="1:14" s="77" customFormat="1" ht="23.1" customHeight="1" thickTop="1" x14ac:dyDescent="0.25">
      <c r="A419" s="205" t="s">
        <v>1</v>
      </c>
      <c r="B419" s="205" t="s">
        <v>2</v>
      </c>
      <c r="C419" s="139" t="s">
        <v>3</v>
      </c>
      <c r="D419" s="139" t="s">
        <v>4</v>
      </c>
      <c r="E419" s="139" t="s">
        <v>5</v>
      </c>
      <c r="F419" s="139" t="s">
        <v>6</v>
      </c>
      <c r="G419" s="139" t="s">
        <v>7</v>
      </c>
      <c r="H419" s="205" t="s">
        <v>8</v>
      </c>
      <c r="I419" s="139" t="s">
        <v>9</v>
      </c>
      <c r="J419" s="139" t="s">
        <v>10</v>
      </c>
      <c r="K419" s="139" t="s">
        <v>58</v>
      </c>
      <c r="L419" s="139" t="s">
        <v>12</v>
      </c>
    </row>
    <row r="420" spans="1:14" s="77" customFormat="1" ht="23.1" customHeight="1" thickBot="1" x14ac:dyDescent="0.3">
      <c r="A420" s="220"/>
      <c r="B420" s="220"/>
      <c r="C420" s="140"/>
      <c r="D420" s="140"/>
      <c r="E420" s="216"/>
      <c r="F420" s="204"/>
      <c r="G420" s="204"/>
      <c r="H420" s="206"/>
      <c r="I420" s="204"/>
      <c r="J420" s="140"/>
      <c r="K420" s="140">
        <v>2018</v>
      </c>
      <c r="L420" s="140"/>
    </row>
    <row r="421" spans="1:14" s="77" customFormat="1" ht="23.1" customHeight="1" thickTop="1" x14ac:dyDescent="0.25">
      <c r="A421" s="268" t="s">
        <v>92</v>
      </c>
      <c r="B421" s="225" t="s">
        <v>60</v>
      </c>
      <c r="C421" s="228" t="s">
        <v>61</v>
      </c>
      <c r="D421" s="224" t="s">
        <v>62</v>
      </c>
      <c r="E421" s="78" t="s">
        <v>17</v>
      </c>
      <c r="F421" s="79" t="s">
        <v>17</v>
      </c>
      <c r="G421" s="80" t="s">
        <v>17</v>
      </c>
      <c r="H421" s="79" t="s">
        <v>17</v>
      </c>
      <c r="I421" s="80" t="s">
        <v>17</v>
      </c>
      <c r="J421" s="79" t="s">
        <v>17</v>
      </c>
      <c r="K421" s="80" t="s">
        <v>17</v>
      </c>
      <c r="L421" s="53"/>
    </row>
    <row r="422" spans="1:14" s="77" customFormat="1" ht="23.1" customHeight="1" x14ac:dyDescent="0.25">
      <c r="A422" s="269"/>
      <c r="B422" s="226"/>
      <c r="C422" s="229"/>
      <c r="D422" s="221"/>
      <c r="E422" s="56">
        <f t="shared" ref="E422" si="207">IF(E424&lt;&gt;0,+E424/E426,0%)</f>
        <v>0.95525877291153727</v>
      </c>
      <c r="F422" s="50">
        <f>IF(F424&lt;&gt;0,ROUND(+F424/F426,4),0%)</f>
        <v>0</v>
      </c>
      <c r="G422" s="49" t="e">
        <f t="shared" ref="G422" si="208">IF(G424&lt;&gt;0,+G424/G426,0%)</f>
        <v>#REF!</v>
      </c>
      <c r="H422" s="50">
        <f>IF(H424&lt;&gt;0,ROUND(+H424/H426,4),0%)</f>
        <v>0</v>
      </c>
      <c r="I422" s="49" t="e">
        <f t="shared" ref="I422" si="209">IF(I424&lt;&gt;0,+I424/I426,0%)</f>
        <v>#REF!</v>
      </c>
      <c r="J422" s="50">
        <f>IF(J424&lt;&gt;0,ROUND(+J424/J426,4),0%)</f>
        <v>0</v>
      </c>
      <c r="K422" s="49" t="e">
        <f>IF(K424&lt;&gt;0,+K424/K426,0%)</f>
        <v>#REF!</v>
      </c>
      <c r="L422" s="54"/>
    </row>
    <row r="423" spans="1:14" s="77" customFormat="1" ht="23.1" customHeight="1" thickBot="1" x14ac:dyDescent="0.3">
      <c r="A423" s="269"/>
      <c r="B423" s="226"/>
      <c r="C423" s="229"/>
      <c r="D423" s="223"/>
      <c r="E423" s="81"/>
      <c r="F423" s="83" t="s">
        <v>18</v>
      </c>
      <c r="G423" s="84" t="s">
        <v>18</v>
      </c>
      <c r="H423" s="83" t="s">
        <v>18</v>
      </c>
      <c r="I423" s="84" t="s">
        <v>18</v>
      </c>
      <c r="J423" s="83" t="s">
        <v>18</v>
      </c>
      <c r="K423" s="84" t="s">
        <v>18</v>
      </c>
      <c r="L423" s="54"/>
    </row>
    <row r="424" spans="1:14" s="77" customFormat="1" ht="23.1" customHeight="1" thickTop="1" x14ac:dyDescent="0.25">
      <c r="A424" s="269"/>
      <c r="B424" s="226"/>
      <c r="C424" s="229"/>
      <c r="D424" s="221" t="s">
        <v>25</v>
      </c>
      <c r="E424" s="85">
        <v>38410</v>
      </c>
      <c r="F424" s="86"/>
      <c r="G424" s="87" t="e">
        <f>+#REF!+F424</f>
        <v>#REF!</v>
      </c>
      <c r="H424" s="86"/>
      <c r="I424" s="87" t="e">
        <f>+G424+H424</f>
        <v>#REF!</v>
      </c>
      <c r="J424" s="86"/>
      <c r="K424" s="87" t="e">
        <f>SUM(I424:J424)</f>
        <v>#REF!</v>
      </c>
      <c r="L424" s="23" t="e">
        <f>+K422/E422</f>
        <v>#REF!</v>
      </c>
    </row>
    <row r="425" spans="1:14" s="77" customFormat="1" ht="23.1" customHeight="1" x14ac:dyDescent="0.25">
      <c r="A425" s="269"/>
      <c r="B425" s="226"/>
      <c r="C425" s="229"/>
      <c r="D425" s="222"/>
      <c r="E425" s="81" t="s">
        <v>63</v>
      </c>
      <c r="F425" s="88" t="s">
        <v>20</v>
      </c>
      <c r="G425" s="90" t="s">
        <v>20</v>
      </c>
      <c r="H425" s="88" t="s">
        <v>20</v>
      </c>
      <c r="I425" s="90" t="s">
        <v>20</v>
      </c>
      <c r="J425" s="88" t="s">
        <v>20</v>
      </c>
      <c r="K425" s="89" t="s">
        <v>20</v>
      </c>
      <c r="L425" s="54"/>
    </row>
    <row r="426" spans="1:14" s="77" customFormat="1" ht="23.1" customHeight="1" thickBot="1" x14ac:dyDescent="0.3">
      <c r="A426" s="270"/>
      <c r="B426" s="227"/>
      <c r="C426" s="230"/>
      <c r="D426" s="223"/>
      <c r="E426" s="91">
        <v>40209</v>
      </c>
      <c r="F426" s="92"/>
      <c r="G426" s="93" t="e">
        <f>+#REF!+F426</f>
        <v>#REF!</v>
      </c>
      <c r="H426" s="92"/>
      <c r="I426" s="93" t="e">
        <f t="shared" ref="I426" si="210">+G426+H426</f>
        <v>#REF!</v>
      </c>
      <c r="J426" s="92"/>
      <c r="K426" s="93" t="e">
        <f>SUM(I426:J426)</f>
        <v>#REF!</v>
      </c>
      <c r="L426" s="55"/>
      <c r="N426" s="95"/>
    </row>
    <row r="427" spans="1:14" ht="13.5" thickTop="1" x14ac:dyDescent="0.2"/>
    <row r="428" spans="1:14" s="72" customFormat="1" ht="21" thickBot="1" x14ac:dyDescent="0.35">
      <c r="A428" s="120" t="s">
        <v>65</v>
      </c>
      <c r="E428" s="73"/>
      <c r="F428" s="73"/>
      <c r="G428" s="73"/>
      <c r="H428" s="73"/>
      <c r="I428" s="73"/>
      <c r="J428" s="73"/>
      <c r="K428" s="73"/>
      <c r="L428" s="73"/>
    </row>
    <row r="429" spans="1:14" s="77" customFormat="1" ht="23.1" customHeight="1" thickTop="1" x14ac:dyDescent="0.25">
      <c r="A429" s="205" t="s">
        <v>1</v>
      </c>
      <c r="B429" s="205" t="s">
        <v>2</v>
      </c>
      <c r="C429" s="139" t="s">
        <v>3</v>
      </c>
      <c r="D429" s="139" t="s">
        <v>4</v>
      </c>
      <c r="E429" s="139" t="s">
        <v>5</v>
      </c>
      <c r="F429" s="139" t="s">
        <v>6</v>
      </c>
      <c r="G429" s="139" t="s">
        <v>7</v>
      </c>
      <c r="H429" s="205" t="s">
        <v>8</v>
      </c>
      <c r="I429" s="139" t="s">
        <v>9</v>
      </c>
      <c r="J429" s="139" t="s">
        <v>10</v>
      </c>
      <c r="K429" s="139" t="s">
        <v>58</v>
      </c>
      <c r="L429" s="139" t="s">
        <v>12</v>
      </c>
    </row>
    <row r="430" spans="1:14" s="77" customFormat="1" ht="23.1" customHeight="1" thickBot="1" x14ac:dyDescent="0.3">
      <c r="A430" s="220"/>
      <c r="B430" s="220"/>
      <c r="C430" s="140"/>
      <c r="D430" s="140"/>
      <c r="E430" s="216"/>
      <c r="F430" s="204"/>
      <c r="G430" s="204"/>
      <c r="H430" s="206"/>
      <c r="I430" s="204"/>
      <c r="J430" s="140"/>
      <c r="K430" s="140">
        <v>2018</v>
      </c>
      <c r="L430" s="140"/>
    </row>
    <row r="431" spans="1:14" s="77" customFormat="1" ht="23.1" customHeight="1" thickTop="1" x14ac:dyDescent="0.25">
      <c r="A431" s="268" t="s">
        <v>92</v>
      </c>
      <c r="B431" s="225" t="s">
        <v>60</v>
      </c>
      <c r="C431" s="228" t="s">
        <v>61</v>
      </c>
      <c r="D431" s="224" t="s">
        <v>62</v>
      </c>
      <c r="E431" s="78" t="s">
        <v>17</v>
      </c>
      <c r="F431" s="79" t="s">
        <v>17</v>
      </c>
      <c r="G431" s="80" t="s">
        <v>17</v>
      </c>
      <c r="H431" s="79" t="s">
        <v>17</v>
      </c>
      <c r="I431" s="80" t="s">
        <v>17</v>
      </c>
      <c r="J431" s="79" t="s">
        <v>17</v>
      </c>
      <c r="K431" s="80" t="s">
        <v>17</v>
      </c>
      <c r="L431" s="53"/>
    </row>
    <row r="432" spans="1:14" s="77" customFormat="1" ht="23.1" customHeight="1" x14ac:dyDescent="0.25">
      <c r="A432" s="269"/>
      <c r="B432" s="226"/>
      <c r="C432" s="229"/>
      <c r="D432" s="221"/>
      <c r="E432" s="56">
        <f t="shared" ref="E432" si="211">IF(E434&lt;&gt;0,+E434/E436,0%)</f>
        <v>0.95528652138821635</v>
      </c>
      <c r="F432" s="50">
        <f>IF(F434&lt;&gt;0,ROUND(+F434/F436,4),0%)</f>
        <v>0</v>
      </c>
      <c r="G432" s="49" t="e">
        <f t="shared" ref="G432" si="212">IF(G434&lt;&gt;0,+G434/G436,0%)</f>
        <v>#REF!</v>
      </c>
      <c r="H432" s="50">
        <f>IF(H434&lt;&gt;0,ROUND(+H434/H436,4),0%)</f>
        <v>0</v>
      </c>
      <c r="I432" s="49" t="e">
        <f t="shared" ref="I432" si="213">IF(I434&lt;&gt;0,+I434/I436,0%)</f>
        <v>#REF!</v>
      </c>
      <c r="J432" s="50">
        <f>IF(J434&lt;&gt;0,ROUND(+J434/J436,4),0%)</f>
        <v>0</v>
      </c>
      <c r="K432" s="49" t="e">
        <f>IF(K434&lt;&gt;0,+K434/K436,0%)</f>
        <v>#REF!</v>
      </c>
      <c r="L432" s="54"/>
    </row>
    <row r="433" spans="1:12" s="77" customFormat="1" ht="23.1" customHeight="1" thickBot="1" x14ac:dyDescent="0.3">
      <c r="A433" s="269"/>
      <c r="B433" s="226"/>
      <c r="C433" s="229"/>
      <c r="D433" s="223"/>
      <c r="E433" s="81"/>
      <c r="F433" s="83" t="s">
        <v>18</v>
      </c>
      <c r="G433" s="84" t="s">
        <v>18</v>
      </c>
      <c r="H433" s="83" t="s">
        <v>18</v>
      </c>
      <c r="I433" s="84" t="s">
        <v>18</v>
      </c>
      <c r="J433" s="83" t="s">
        <v>18</v>
      </c>
      <c r="K433" s="84" t="s">
        <v>18</v>
      </c>
      <c r="L433" s="54"/>
    </row>
    <row r="434" spans="1:12" s="77" customFormat="1" ht="23.1" customHeight="1" thickTop="1" x14ac:dyDescent="0.25">
      <c r="A434" s="269"/>
      <c r="B434" s="226"/>
      <c r="C434" s="229"/>
      <c r="D434" s="221" t="s">
        <v>25</v>
      </c>
      <c r="E434" s="85">
        <v>23672</v>
      </c>
      <c r="F434" s="86"/>
      <c r="G434" s="87" t="e">
        <f>+#REF!+F434</f>
        <v>#REF!</v>
      </c>
      <c r="H434" s="86"/>
      <c r="I434" s="87" t="e">
        <f>+G434+H434</f>
        <v>#REF!</v>
      </c>
      <c r="J434" s="86"/>
      <c r="K434" s="87" t="e">
        <f>SUM(I434:J434)</f>
        <v>#REF!</v>
      </c>
      <c r="L434" s="23" t="e">
        <f>+K432/E432</f>
        <v>#REF!</v>
      </c>
    </row>
    <row r="435" spans="1:12" s="77" customFormat="1" ht="23.1" customHeight="1" x14ac:dyDescent="0.25">
      <c r="A435" s="269"/>
      <c r="B435" s="226"/>
      <c r="C435" s="229"/>
      <c r="D435" s="222"/>
      <c r="E435" s="81" t="s">
        <v>63</v>
      </c>
      <c r="F435" s="88" t="s">
        <v>20</v>
      </c>
      <c r="G435" s="90" t="s">
        <v>20</v>
      </c>
      <c r="H435" s="88" t="s">
        <v>20</v>
      </c>
      <c r="I435" s="90" t="s">
        <v>20</v>
      </c>
      <c r="J435" s="88" t="s">
        <v>20</v>
      </c>
      <c r="K435" s="89" t="s">
        <v>20</v>
      </c>
      <c r="L435" s="54"/>
    </row>
    <row r="436" spans="1:12" s="77" customFormat="1" ht="23.1" customHeight="1" thickBot="1" x14ac:dyDescent="0.3">
      <c r="A436" s="270"/>
      <c r="B436" s="227"/>
      <c r="C436" s="230"/>
      <c r="D436" s="223"/>
      <c r="E436" s="91">
        <v>24780</v>
      </c>
      <c r="F436" s="92"/>
      <c r="G436" s="93" t="e">
        <f>+#REF!+F436</f>
        <v>#REF!</v>
      </c>
      <c r="H436" s="92"/>
      <c r="I436" s="93" t="e">
        <f t="shared" ref="I436" si="214">+G436+H436</f>
        <v>#REF!</v>
      </c>
      <c r="J436" s="92"/>
      <c r="K436" s="93" t="e">
        <f>SUM(I436:J436)</f>
        <v>#REF!</v>
      </c>
      <c r="L436" s="55"/>
    </row>
    <row r="437" spans="1:12" ht="13.5" thickTop="1" x14ac:dyDescent="0.2"/>
    <row r="440" spans="1:12" s="73" customFormat="1" ht="15.75" x14ac:dyDescent="0.25">
      <c r="B440" s="219" t="s">
        <v>93</v>
      </c>
      <c r="C440" s="219"/>
      <c r="D440" s="219"/>
      <c r="E440" s="112"/>
    </row>
    <row r="441" spans="1:12" s="73" customFormat="1" ht="13.5" customHeight="1" thickBot="1" x14ac:dyDescent="0.25">
      <c r="C441" s="112"/>
      <c r="D441" s="112"/>
      <c r="E441" s="112"/>
    </row>
    <row r="442" spans="1:12" s="77" customFormat="1" ht="23.1" customHeight="1" thickTop="1" x14ac:dyDescent="0.25">
      <c r="A442" s="205" t="s">
        <v>1</v>
      </c>
      <c r="B442" s="205" t="s">
        <v>2</v>
      </c>
      <c r="C442" s="139" t="s">
        <v>3</v>
      </c>
      <c r="D442" s="139" t="s">
        <v>4</v>
      </c>
      <c r="E442" s="139" t="s">
        <v>5</v>
      </c>
      <c r="F442" s="139" t="s">
        <v>6</v>
      </c>
      <c r="G442" s="139" t="s">
        <v>7</v>
      </c>
      <c r="H442" s="205" t="s">
        <v>8</v>
      </c>
      <c r="I442" s="139" t="s">
        <v>9</v>
      </c>
      <c r="J442" s="139" t="s">
        <v>10</v>
      </c>
      <c r="K442" s="139" t="s">
        <v>58</v>
      </c>
      <c r="L442" s="139" t="s">
        <v>12</v>
      </c>
    </row>
    <row r="443" spans="1:12" s="77" customFormat="1" ht="23.1" customHeight="1" thickBot="1" x14ac:dyDescent="0.3">
      <c r="A443" s="220"/>
      <c r="B443" s="220"/>
      <c r="C443" s="140"/>
      <c r="D443" s="140"/>
      <c r="E443" s="216"/>
      <c r="F443" s="204"/>
      <c r="G443" s="204"/>
      <c r="H443" s="206"/>
      <c r="I443" s="204"/>
      <c r="J443" s="140"/>
      <c r="K443" s="140">
        <v>2018</v>
      </c>
      <c r="L443" s="140"/>
    </row>
    <row r="444" spans="1:12" s="77" customFormat="1" ht="23.1" customHeight="1" thickTop="1" x14ac:dyDescent="0.25">
      <c r="A444" s="268" t="s">
        <v>94</v>
      </c>
      <c r="B444" s="225" t="s">
        <v>80</v>
      </c>
      <c r="C444" s="228" t="s">
        <v>61</v>
      </c>
      <c r="D444" s="224" t="s">
        <v>62</v>
      </c>
      <c r="E444" s="79" t="s">
        <v>17</v>
      </c>
      <c r="F444" s="79" t="s">
        <v>17</v>
      </c>
      <c r="G444" s="80" t="s">
        <v>17</v>
      </c>
      <c r="H444" s="79" t="s">
        <v>17</v>
      </c>
      <c r="I444" s="80" t="s">
        <v>17</v>
      </c>
      <c r="J444" s="79" t="s">
        <v>17</v>
      </c>
      <c r="K444" s="80" t="s">
        <v>17</v>
      </c>
      <c r="L444" s="63"/>
    </row>
    <row r="445" spans="1:12" s="77" customFormat="1" ht="23.1" customHeight="1" x14ac:dyDescent="0.25">
      <c r="A445" s="269"/>
      <c r="B445" s="226"/>
      <c r="C445" s="229"/>
      <c r="D445" s="221"/>
      <c r="E445" s="56">
        <f t="shared" ref="E445" si="215">IF(E447&lt;&gt;0,+E447/E449,0%)</f>
        <v>0.96866537900736616</v>
      </c>
      <c r="F445" s="50">
        <f>IF(F447&lt;&gt;0,ROUND(+F447/F449,4),0%)</f>
        <v>0</v>
      </c>
      <c r="G445" s="49" t="e">
        <f t="shared" ref="G445" si="216">IF(G447&lt;&gt;0,+G447/G449,0%)</f>
        <v>#REF!</v>
      </c>
      <c r="H445" s="50">
        <f>IF(H447&lt;&gt;0,ROUND(+H447/H449,4),0%)</f>
        <v>0</v>
      </c>
      <c r="I445" s="49" t="e">
        <f t="shared" ref="I445" si="217">IF(I447&lt;&gt;0,+I447/I449,0%)</f>
        <v>#REF!</v>
      </c>
      <c r="J445" s="50">
        <f>IF(J447&lt;&gt;0,ROUND(+J447/J449,4),0%)</f>
        <v>0</v>
      </c>
      <c r="K445" s="49" t="e">
        <f>IF(K447&lt;&gt;0,+K447/K449,0%)</f>
        <v>#REF!</v>
      </c>
      <c r="L445" s="23"/>
    </row>
    <row r="446" spans="1:12" s="77" customFormat="1" ht="23.1" customHeight="1" thickBot="1" x14ac:dyDescent="0.3">
      <c r="A446" s="269"/>
      <c r="B446" s="226"/>
      <c r="C446" s="229"/>
      <c r="D446" s="223"/>
      <c r="E446" s="83" t="s">
        <v>18</v>
      </c>
      <c r="F446" s="83" t="s">
        <v>18</v>
      </c>
      <c r="G446" s="84" t="s">
        <v>18</v>
      </c>
      <c r="H446" s="83" t="s">
        <v>18</v>
      </c>
      <c r="I446" s="84" t="s">
        <v>18</v>
      </c>
      <c r="J446" s="83" t="s">
        <v>18</v>
      </c>
      <c r="K446" s="84" t="s">
        <v>18</v>
      </c>
      <c r="L446" s="23"/>
    </row>
    <row r="447" spans="1:12" s="77" customFormat="1" ht="23.1" customHeight="1" thickTop="1" x14ac:dyDescent="0.25">
      <c r="A447" s="269"/>
      <c r="B447" s="226"/>
      <c r="C447" s="229"/>
      <c r="D447" s="221" t="s">
        <v>25</v>
      </c>
      <c r="E447" s="85">
        <v>204617</v>
      </c>
      <c r="F447" s="86">
        <f t="shared" ref="F447" si="218">+F457+F467</f>
        <v>0</v>
      </c>
      <c r="G447" s="87" t="e">
        <f>+#REF!+F447</f>
        <v>#REF!</v>
      </c>
      <c r="H447" s="86">
        <f t="shared" ref="H447" si="219">+H457+H467</f>
        <v>0</v>
      </c>
      <c r="I447" s="87" t="e">
        <f>+G447+H447</f>
        <v>#REF!</v>
      </c>
      <c r="J447" s="86">
        <f t="shared" ref="J447" si="220">+J457+J467</f>
        <v>0</v>
      </c>
      <c r="K447" s="87" t="e">
        <f>+I447+J447</f>
        <v>#REF!</v>
      </c>
      <c r="L447" s="23" t="e">
        <f>+K445/E445</f>
        <v>#REF!</v>
      </c>
    </row>
    <row r="448" spans="1:12" s="77" customFormat="1" ht="23.1" customHeight="1" x14ac:dyDescent="0.25">
      <c r="A448" s="269"/>
      <c r="B448" s="226"/>
      <c r="C448" s="229"/>
      <c r="D448" s="222"/>
      <c r="E448" s="81" t="s">
        <v>63</v>
      </c>
      <c r="F448" s="88" t="s">
        <v>20</v>
      </c>
      <c r="G448" s="90" t="s">
        <v>20</v>
      </c>
      <c r="H448" s="88" t="s">
        <v>20</v>
      </c>
      <c r="I448" s="90" t="s">
        <v>20</v>
      </c>
      <c r="J448" s="88" t="s">
        <v>20</v>
      </c>
      <c r="K448" s="90" t="s">
        <v>20</v>
      </c>
      <c r="L448" s="23"/>
    </row>
    <row r="449" spans="1:14" s="77" customFormat="1" ht="23.1" customHeight="1" thickBot="1" x14ac:dyDescent="0.3">
      <c r="A449" s="270"/>
      <c r="B449" s="227"/>
      <c r="C449" s="230"/>
      <c r="D449" s="223"/>
      <c r="E449" s="91">
        <v>211236</v>
      </c>
      <c r="F449" s="92">
        <f t="shared" ref="F449" si="221">+F459+F469</f>
        <v>0</v>
      </c>
      <c r="G449" s="93" t="e">
        <f>+#REF!+F449</f>
        <v>#REF!</v>
      </c>
      <c r="H449" s="92">
        <f t="shared" ref="H449" si="222">+H459+H469</f>
        <v>0</v>
      </c>
      <c r="I449" s="93" t="e">
        <f>+G449+H449</f>
        <v>#REF!</v>
      </c>
      <c r="J449" s="92">
        <f t="shared" ref="J449" si="223">+J459+J469</f>
        <v>0</v>
      </c>
      <c r="K449" s="93" t="e">
        <f>+I449+J449</f>
        <v>#REF!</v>
      </c>
      <c r="L449" s="64"/>
    </row>
    <row r="450" spans="1:14" ht="13.5" thickTop="1" x14ac:dyDescent="0.2"/>
    <row r="451" spans="1:14" s="72" customFormat="1" ht="21" thickBot="1" x14ac:dyDescent="0.35">
      <c r="A451" s="120" t="s">
        <v>64</v>
      </c>
      <c r="E451" s="73"/>
      <c r="F451" s="73"/>
      <c r="G451" s="73"/>
      <c r="H451" s="73"/>
      <c r="I451" s="73"/>
      <c r="J451" s="73"/>
      <c r="K451" s="73"/>
      <c r="L451" s="73"/>
    </row>
    <row r="452" spans="1:14" s="77" customFormat="1" ht="23.1" customHeight="1" thickTop="1" x14ac:dyDescent="0.25">
      <c r="A452" s="205" t="s">
        <v>1</v>
      </c>
      <c r="B452" s="205" t="s">
        <v>2</v>
      </c>
      <c r="C452" s="139" t="s">
        <v>3</v>
      </c>
      <c r="D452" s="139" t="s">
        <v>4</v>
      </c>
      <c r="E452" s="139" t="s">
        <v>5</v>
      </c>
      <c r="F452" s="139" t="s">
        <v>6</v>
      </c>
      <c r="G452" s="139" t="s">
        <v>7</v>
      </c>
      <c r="H452" s="205" t="s">
        <v>8</v>
      </c>
      <c r="I452" s="139" t="s">
        <v>9</v>
      </c>
      <c r="J452" s="139" t="s">
        <v>10</v>
      </c>
      <c r="K452" s="139" t="s">
        <v>58</v>
      </c>
      <c r="L452" s="139" t="s">
        <v>12</v>
      </c>
    </row>
    <row r="453" spans="1:14" s="77" customFormat="1" ht="23.1" customHeight="1" thickBot="1" x14ac:dyDescent="0.3">
      <c r="A453" s="220"/>
      <c r="B453" s="220"/>
      <c r="C453" s="140"/>
      <c r="D453" s="140"/>
      <c r="E453" s="216"/>
      <c r="F453" s="204"/>
      <c r="G453" s="204"/>
      <c r="H453" s="206"/>
      <c r="I453" s="204"/>
      <c r="J453" s="140"/>
      <c r="K453" s="140">
        <v>2018</v>
      </c>
      <c r="L453" s="140"/>
    </row>
    <row r="454" spans="1:14" s="77" customFormat="1" ht="23.1" customHeight="1" thickTop="1" x14ac:dyDescent="0.25">
      <c r="A454" s="268" t="s">
        <v>94</v>
      </c>
      <c r="B454" s="225" t="s">
        <v>80</v>
      </c>
      <c r="C454" s="228" t="s">
        <v>61</v>
      </c>
      <c r="D454" s="224" t="s">
        <v>62</v>
      </c>
      <c r="E454" s="78" t="s">
        <v>17</v>
      </c>
      <c r="F454" s="79" t="s">
        <v>17</v>
      </c>
      <c r="G454" s="80" t="s">
        <v>17</v>
      </c>
      <c r="H454" s="79" t="s">
        <v>17</v>
      </c>
      <c r="I454" s="80" t="s">
        <v>17</v>
      </c>
      <c r="J454" s="79" t="s">
        <v>17</v>
      </c>
      <c r="K454" s="80" t="s">
        <v>17</v>
      </c>
      <c r="L454" s="53"/>
    </row>
    <row r="455" spans="1:14" s="77" customFormat="1" ht="23.1" customHeight="1" x14ac:dyDescent="0.25">
      <c r="A455" s="269"/>
      <c r="B455" s="226"/>
      <c r="C455" s="229"/>
      <c r="D455" s="221"/>
      <c r="E455" s="56">
        <f t="shared" ref="E455" si="224">IF(E457&lt;&gt;0,+E457/E459,0%)</f>
        <v>0.96866710121420663</v>
      </c>
      <c r="F455" s="50">
        <f>IF(F457&lt;&gt;0,ROUND(+F457/F459,4),0%)</f>
        <v>0</v>
      </c>
      <c r="G455" s="49" t="e">
        <f t="shared" ref="G455" si="225">IF(G457&lt;&gt;0,+G457/G459,0%)</f>
        <v>#REF!</v>
      </c>
      <c r="H455" s="50">
        <f>IF(H457&lt;&gt;0,ROUND(+H457/H459,4),0%)</f>
        <v>0</v>
      </c>
      <c r="I455" s="49" t="e">
        <f t="shared" ref="I455" si="226">IF(I457&lt;&gt;0,+I457/I459,0%)</f>
        <v>#REF!</v>
      </c>
      <c r="J455" s="50">
        <f>IF(J457&lt;&gt;0,ROUND(+J457/J459,4),0%)</f>
        <v>0</v>
      </c>
      <c r="K455" s="49" t="e">
        <f>IF(K457&lt;&gt;0,+K457/K459,0%)</f>
        <v>#REF!</v>
      </c>
      <c r="L455" s="54"/>
    </row>
    <row r="456" spans="1:14" s="77" customFormat="1" ht="23.1" customHeight="1" thickBot="1" x14ac:dyDescent="0.3">
      <c r="A456" s="269"/>
      <c r="B456" s="226"/>
      <c r="C456" s="229"/>
      <c r="D456" s="223"/>
      <c r="E456" s="81"/>
      <c r="F456" s="83" t="s">
        <v>18</v>
      </c>
      <c r="G456" s="84" t="s">
        <v>18</v>
      </c>
      <c r="H456" s="83" t="s">
        <v>18</v>
      </c>
      <c r="I456" s="84" t="s">
        <v>18</v>
      </c>
      <c r="J456" s="83" t="s">
        <v>18</v>
      </c>
      <c r="K456" s="84" t="s">
        <v>18</v>
      </c>
      <c r="L456" s="54"/>
    </row>
    <row r="457" spans="1:14" s="77" customFormat="1" ht="23.1" customHeight="1" thickTop="1" x14ac:dyDescent="0.25">
      <c r="A457" s="269"/>
      <c r="B457" s="226"/>
      <c r="C457" s="229"/>
      <c r="D457" s="221" t="s">
        <v>25</v>
      </c>
      <c r="E457" s="85">
        <v>127804</v>
      </c>
      <c r="F457" s="86"/>
      <c r="G457" s="87" t="e">
        <f>+#REF!+F457</f>
        <v>#REF!</v>
      </c>
      <c r="H457" s="86"/>
      <c r="I457" s="87" t="e">
        <f>+G457+H457</f>
        <v>#REF!</v>
      </c>
      <c r="J457" s="86"/>
      <c r="K457" s="87" t="e">
        <f>SUM(I457:J457)</f>
        <v>#REF!</v>
      </c>
      <c r="L457" s="23" t="e">
        <f>+K455/E455</f>
        <v>#REF!</v>
      </c>
    </row>
    <row r="458" spans="1:14" s="77" customFormat="1" ht="23.1" customHeight="1" x14ac:dyDescent="0.25">
      <c r="A458" s="269"/>
      <c r="B458" s="226"/>
      <c r="C458" s="229"/>
      <c r="D458" s="222"/>
      <c r="E458" s="81" t="s">
        <v>63</v>
      </c>
      <c r="F458" s="88" t="s">
        <v>20</v>
      </c>
      <c r="G458" s="90" t="s">
        <v>20</v>
      </c>
      <c r="H458" s="88" t="s">
        <v>20</v>
      </c>
      <c r="I458" s="90" t="s">
        <v>20</v>
      </c>
      <c r="J458" s="88" t="s">
        <v>20</v>
      </c>
      <c r="K458" s="89" t="s">
        <v>20</v>
      </c>
      <c r="L458" s="54"/>
    </row>
    <row r="459" spans="1:14" s="77" customFormat="1" ht="23.1" customHeight="1" thickBot="1" x14ac:dyDescent="0.3">
      <c r="A459" s="270"/>
      <c r="B459" s="227"/>
      <c r="C459" s="230"/>
      <c r="D459" s="223"/>
      <c r="E459" s="91">
        <v>131938</v>
      </c>
      <c r="F459" s="92"/>
      <c r="G459" s="93" t="e">
        <f>+#REF!+F459</f>
        <v>#REF!</v>
      </c>
      <c r="H459" s="92"/>
      <c r="I459" s="93" t="e">
        <f t="shared" ref="I459" si="227">+G459+H459</f>
        <v>#REF!</v>
      </c>
      <c r="J459" s="92"/>
      <c r="K459" s="93" t="e">
        <f>SUM(I459:J459)</f>
        <v>#REF!</v>
      </c>
      <c r="L459" s="55"/>
      <c r="N459" s="95"/>
    </row>
    <row r="460" spans="1:14" ht="13.5" thickTop="1" x14ac:dyDescent="0.2"/>
    <row r="461" spans="1:14" s="72" customFormat="1" ht="21" thickBot="1" x14ac:dyDescent="0.35">
      <c r="A461" s="120" t="s">
        <v>65</v>
      </c>
      <c r="E461" s="73"/>
      <c r="F461" s="73"/>
      <c r="G461" s="73"/>
      <c r="H461" s="73"/>
      <c r="I461" s="73"/>
      <c r="J461" s="73"/>
      <c r="K461" s="73"/>
      <c r="L461" s="73"/>
    </row>
    <row r="462" spans="1:14" s="77" customFormat="1" ht="23.1" customHeight="1" thickTop="1" x14ac:dyDescent="0.25">
      <c r="A462" s="205" t="s">
        <v>1</v>
      </c>
      <c r="B462" s="205" t="s">
        <v>2</v>
      </c>
      <c r="C462" s="139" t="s">
        <v>3</v>
      </c>
      <c r="D462" s="139" t="s">
        <v>4</v>
      </c>
      <c r="E462" s="139" t="s">
        <v>5</v>
      </c>
      <c r="F462" s="139" t="s">
        <v>6</v>
      </c>
      <c r="G462" s="139" t="s">
        <v>7</v>
      </c>
      <c r="H462" s="205" t="s">
        <v>8</v>
      </c>
      <c r="I462" s="139" t="s">
        <v>9</v>
      </c>
      <c r="J462" s="139" t="s">
        <v>10</v>
      </c>
      <c r="K462" s="139" t="s">
        <v>58</v>
      </c>
      <c r="L462" s="139" t="s">
        <v>12</v>
      </c>
    </row>
    <row r="463" spans="1:14" s="77" customFormat="1" ht="23.1" customHeight="1" thickBot="1" x14ac:dyDescent="0.3">
      <c r="A463" s="220"/>
      <c r="B463" s="220"/>
      <c r="C463" s="140"/>
      <c r="D463" s="140"/>
      <c r="E463" s="216"/>
      <c r="F463" s="204"/>
      <c r="G463" s="204"/>
      <c r="H463" s="206"/>
      <c r="I463" s="204"/>
      <c r="J463" s="140"/>
      <c r="K463" s="140">
        <v>2018</v>
      </c>
      <c r="L463" s="140"/>
    </row>
    <row r="464" spans="1:14" s="77" customFormat="1" ht="23.1" customHeight="1" thickTop="1" x14ac:dyDescent="0.25">
      <c r="A464" s="268" t="s">
        <v>94</v>
      </c>
      <c r="B464" s="225" t="s">
        <v>80</v>
      </c>
      <c r="C464" s="228" t="s">
        <v>61</v>
      </c>
      <c r="D464" s="224" t="s">
        <v>62</v>
      </c>
      <c r="E464" s="78" t="s">
        <v>17</v>
      </c>
      <c r="F464" s="79" t="s">
        <v>17</v>
      </c>
      <c r="G464" s="80" t="s">
        <v>17</v>
      </c>
      <c r="H464" s="79" t="s">
        <v>17</v>
      </c>
      <c r="I464" s="80" t="s">
        <v>17</v>
      </c>
      <c r="J464" s="79" t="s">
        <v>17</v>
      </c>
      <c r="K464" s="80" t="s">
        <v>17</v>
      </c>
      <c r="L464" s="53"/>
    </row>
    <row r="465" spans="1:12" s="77" customFormat="1" ht="23.1" customHeight="1" x14ac:dyDescent="0.25">
      <c r="A465" s="269"/>
      <c r="B465" s="226"/>
      <c r="C465" s="229"/>
      <c r="D465" s="221"/>
      <c r="E465" s="56">
        <f t="shared" ref="E465" si="228">IF(E467&lt;&gt;0,+E467/E469,0%)</f>
        <v>0.96866251355645794</v>
      </c>
      <c r="F465" s="50">
        <f>IF(F467&lt;&gt;0,ROUND(+F467/F469,4),0%)</f>
        <v>0</v>
      </c>
      <c r="G465" s="49" t="e">
        <f t="shared" ref="G465" si="229">IF(G467&lt;&gt;0,+G467/G469,0%)</f>
        <v>#REF!</v>
      </c>
      <c r="H465" s="50">
        <f>IF(H467&lt;&gt;0,ROUND(+H467/H469,4),0%)</f>
        <v>0</v>
      </c>
      <c r="I465" s="49" t="e">
        <f t="shared" ref="I465" si="230">IF(I467&lt;&gt;0,+I467/I469,0%)</f>
        <v>#REF!</v>
      </c>
      <c r="J465" s="50">
        <f>IF(J467&lt;&gt;0,ROUND(+J467/J469,4),0%)</f>
        <v>0</v>
      </c>
      <c r="K465" s="49" t="e">
        <f>IF(K467&lt;&gt;0,+K467/K469,0%)</f>
        <v>#REF!</v>
      </c>
      <c r="L465" s="54"/>
    </row>
    <row r="466" spans="1:12" s="77" customFormat="1" ht="23.1" customHeight="1" thickBot="1" x14ac:dyDescent="0.3">
      <c r="A466" s="269"/>
      <c r="B466" s="226"/>
      <c r="C466" s="229"/>
      <c r="D466" s="223"/>
      <c r="E466" s="81"/>
      <c r="F466" s="83" t="s">
        <v>18</v>
      </c>
      <c r="G466" s="84" t="s">
        <v>18</v>
      </c>
      <c r="H466" s="83" t="s">
        <v>18</v>
      </c>
      <c r="I466" s="84" t="s">
        <v>18</v>
      </c>
      <c r="J466" s="83" t="s">
        <v>18</v>
      </c>
      <c r="K466" s="84" t="s">
        <v>18</v>
      </c>
      <c r="L466" s="54"/>
    </row>
    <row r="467" spans="1:12" s="77" customFormat="1" ht="23.1" customHeight="1" thickTop="1" x14ac:dyDescent="0.25">
      <c r="A467" s="269"/>
      <c r="B467" s="226"/>
      <c r="C467" s="229"/>
      <c r="D467" s="221" t="s">
        <v>25</v>
      </c>
      <c r="E467" s="85">
        <v>76813</v>
      </c>
      <c r="F467" s="86"/>
      <c r="G467" s="87" t="e">
        <f>+#REF!+F467</f>
        <v>#REF!</v>
      </c>
      <c r="H467" s="86"/>
      <c r="I467" s="87" t="e">
        <f>+G467+H467</f>
        <v>#REF!</v>
      </c>
      <c r="J467" s="86"/>
      <c r="K467" s="87" t="e">
        <f>SUM(I467:J467)</f>
        <v>#REF!</v>
      </c>
      <c r="L467" s="23" t="e">
        <f>+K465/E465</f>
        <v>#REF!</v>
      </c>
    </row>
    <row r="468" spans="1:12" s="77" customFormat="1" ht="23.1" customHeight="1" x14ac:dyDescent="0.25">
      <c r="A468" s="269"/>
      <c r="B468" s="226"/>
      <c r="C468" s="229"/>
      <c r="D468" s="222"/>
      <c r="E468" s="81" t="s">
        <v>63</v>
      </c>
      <c r="F468" s="88" t="s">
        <v>20</v>
      </c>
      <c r="G468" s="90" t="s">
        <v>20</v>
      </c>
      <c r="H468" s="88" t="s">
        <v>20</v>
      </c>
      <c r="I468" s="90" t="s">
        <v>20</v>
      </c>
      <c r="J468" s="88" t="s">
        <v>20</v>
      </c>
      <c r="K468" s="89" t="s">
        <v>20</v>
      </c>
      <c r="L468" s="54"/>
    </row>
    <row r="469" spans="1:12" s="77" customFormat="1" ht="23.1" customHeight="1" thickBot="1" x14ac:dyDescent="0.3">
      <c r="A469" s="270"/>
      <c r="B469" s="227"/>
      <c r="C469" s="230"/>
      <c r="D469" s="223"/>
      <c r="E469" s="91">
        <v>79298</v>
      </c>
      <c r="F469" s="92"/>
      <c r="G469" s="93" t="e">
        <f>+#REF!+F469</f>
        <v>#REF!</v>
      </c>
      <c r="H469" s="92"/>
      <c r="I469" s="93" t="e">
        <f t="shared" ref="I469" si="231">+G469+H469</f>
        <v>#REF!</v>
      </c>
      <c r="J469" s="92"/>
      <c r="K469" s="93" t="e">
        <f>SUM(I469:J469)</f>
        <v>#REF!</v>
      </c>
      <c r="L469" s="55"/>
    </row>
    <row r="470" spans="1:12" ht="13.5" thickTop="1" x14ac:dyDescent="0.2"/>
    <row r="473" spans="1:12" s="72" customFormat="1" ht="15.75" x14ac:dyDescent="0.25">
      <c r="B473" s="219" t="s">
        <v>95</v>
      </c>
      <c r="C473" s="219"/>
      <c r="D473" s="219"/>
      <c r="E473" s="76"/>
      <c r="F473" s="76"/>
      <c r="G473" s="68"/>
      <c r="H473" s="76"/>
      <c r="I473" s="68"/>
      <c r="J473" s="76"/>
      <c r="K473" s="68"/>
      <c r="L473" s="101"/>
    </row>
    <row r="474" spans="1:12" s="72" customFormat="1" ht="16.5" thickBot="1" x14ac:dyDescent="0.3">
      <c r="E474" s="73"/>
      <c r="F474" s="73"/>
      <c r="G474" s="73"/>
      <c r="H474" s="73"/>
      <c r="I474" s="73"/>
      <c r="J474" s="73"/>
      <c r="K474" s="73"/>
      <c r="L474" s="73"/>
    </row>
    <row r="475" spans="1:12" s="77" customFormat="1" ht="23.1" customHeight="1" thickTop="1" x14ac:dyDescent="0.25">
      <c r="A475" s="205" t="s">
        <v>1</v>
      </c>
      <c r="B475" s="205" t="s">
        <v>2</v>
      </c>
      <c r="C475" s="139" t="s">
        <v>3</v>
      </c>
      <c r="D475" s="139" t="s">
        <v>4</v>
      </c>
      <c r="E475" s="139" t="s">
        <v>5</v>
      </c>
      <c r="F475" s="139" t="s">
        <v>6</v>
      </c>
      <c r="G475" s="139" t="s">
        <v>7</v>
      </c>
      <c r="H475" s="205" t="s">
        <v>8</v>
      </c>
      <c r="I475" s="139" t="s">
        <v>9</v>
      </c>
      <c r="J475" s="139" t="s">
        <v>10</v>
      </c>
      <c r="K475" s="139" t="s">
        <v>58</v>
      </c>
      <c r="L475" s="139" t="s">
        <v>12</v>
      </c>
    </row>
    <row r="476" spans="1:12" s="77" customFormat="1" ht="23.1" customHeight="1" thickBot="1" x14ac:dyDescent="0.3">
      <c r="A476" s="220"/>
      <c r="B476" s="220"/>
      <c r="C476" s="140"/>
      <c r="D476" s="140"/>
      <c r="E476" s="216"/>
      <c r="F476" s="204"/>
      <c r="G476" s="204"/>
      <c r="H476" s="206"/>
      <c r="I476" s="204"/>
      <c r="J476" s="140"/>
      <c r="K476" s="140">
        <v>2018</v>
      </c>
      <c r="L476" s="140"/>
    </row>
    <row r="477" spans="1:12" s="77" customFormat="1" ht="23.1" customHeight="1" thickTop="1" x14ac:dyDescent="0.25">
      <c r="A477" s="268" t="s">
        <v>96</v>
      </c>
      <c r="B477" s="225" t="s">
        <v>60</v>
      </c>
      <c r="C477" s="228" t="s">
        <v>61</v>
      </c>
      <c r="D477" s="224" t="s">
        <v>62</v>
      </c>
      <c r="E477" s="79" t="s">
        <v>17</v>
      </c>
      <c r="F477" s="79" t="s">
        <v>17</v>
      </c>
      <c r="G477" s="80" t="s">
        <v>17</v>
      </c>
      <c r="H477" s="79" t="s">
        <v>17</v>
      </c>
      <c r="I477" s="80" t="s">
        <v>17</v>
      </c>
      <c r="J477" s="79" t="s">
        <v>17</v>
      </c>
      <c r="K477" s="80" t="s">
        <v>17</v>
      </c>
      <c r="L477" s="65"/>
    </row>
    <row r="478" spans="1:12" s="77" customFormat="1" ht="23.1" customHeight="1" x14ac:dyDescent="0.25">
      <c r="A478" s="269"/>
      <c r="B478" s="226"/>
      <c r="C478" s="229"/>
      <c r="D478" s="221"/>
      <c r="E478" s="56">
        <f t="shared" ref="E478" si="232">IF(E480&lt;&gt;0,+E480/E482,0%)</f>
        <v>0.98003102617420867</v>
      </c>
      <c r="F478" s="50">
        <f>IF(F480&lt;&gt;0,ROUND(+F480/F482,4),0%)</f>
        <v>0</v>
      </c>
      <c r="G478" s="49" t="e">
        <f t="shared" ref="G478" si="233">IF(G480&lt;&gt;0,+G480/G482,0%)</f>
        <v>#REF!</v>
      </c>
      <c r="H478" s="50">
        <f>IF(H480&lt;&gt;0,ROUND(+H480/H482,4),0%)</f>
        <v>0</v>
      </c>
      <c r="I478" s="49" t="e">
        <f t="shared" ref="I478" si="234">IF(I480&lt;&gt;0,+I480/I482,0%)</f>
        <v>#REF!</v>
      </c>
      <c r="J478" s="50">
        <f>IF(J480&lt;&gt;0,ROUND(+J480/J482,4),0%)</f>
        <v>0</v>
      </c>
      <c r="K478" s="49" t="e">
        <f>IF(K480&lt;&gt;0,+K480/K482,0%)</f>
        <v>#REF!</v>
      </c>
      <c r="L478" s="66"/>
    </row>
    <row r="479" spans="1:12" s="77" customFormat="1" ht="23.1" customHeight="1" thickBot="1" x14ac:dyDescent="0.3">
      <c r="A479" s="269"/>
      <c r="B479" s="226"/>
      <c r="C479" s="229"/>
      <c r="D479" s="223"/>
      <c r="E479" s="83" t="s">
        <v>18</v>
      </c>
      <c r="F479" s="83" t="s">
        <v>18</v>
      </c>
      <c r="G479" s="84" t="s">
        <v>18</v>
      </c>
      <c r="H479" s="83" t="s">
        <v>18</v>
      </c>
      <c r="I479" s="84" t="s">
        <v>18</v>
      </c>
      <c r="J479" s="83" t="s">
        <v>18</v>
      </c>
      <c r="K479" s="84" t="s">
        <v>18</v>
      </c>
      <c r="L479" s="66"/>
    </row>
    <row r="480" spans="1:12" s="77" customFormat="1" ht="23.1" customHeight="1" thickTop="1" x14ac:dyDescent="0.25">
      <c r="A480" s="269"/>
      <c r="B480" s="226"/>
      <c r="C480" s="229"/>
      <c r="D480" s="221" t="s">
        <v>25</v>
      </c>
      <c r="E480" s="85">
        <v>29692</v>
      </c>
      <c r="F480" s="86">
        <f t="shared" ref="F480" si="235">+F490+F500</f>
        <v>0</v>
      </c>
      <c r="G480" s="87" t="e">
        <f>+#REF!+F480</f>
        <v>#REF!</v>
      </c>
      <c r="H480" s="86">
        <f t="shared" ref="H480" si="236">+H490+H500</f>
        <v>0</v>
      </c>
      <c r="I480" s="87" t="e">
        <f>+G480+H480</f>
        <v>#REF!</v>
      </c>
      <c r="J480" s="86">
        <f t="shared" ref="J480" si="237">+J490+J500</f>
        <v>0</v>
      </c>
      <c r="K480" s="87" t="e">
        <f>+I480+J480</f>
        <v>#REF!</v>
      </c>
      <c r="L480" s="66" t="e">
        <f>+K478/E478</f>
        <v>#REF!</v>
      </c>
    </row>
    <row r="481" spans="1:14" s="77" customFormat="1" ht="23.1" customHeight="1" x14ac:dyDescent="0.25">
      <c r="A481" s="269"/>
      <c r="B481" s="226"/>
      <c r="C481" s="229"/>
      <c r="D481" s="222"/>
      <c r="E481" s="81" t="s">
        <v>63</v>
      </c>
      <c r="F481" s="88" t="s">
        <v>20</v>
      </c>
      <c r="G481" s="90" t="s">
        <v>20</v>
      </c>
      <c r="H481" s="88" t="s">
        <v>20</v>
      </c>
      <c r="I481" s="90" t="s">
        <v>20</v>
      </c>
      <c r="J481" s="88" t="s">
        <v>20</v>
      </c>
      <c r="K481" s="90" t="s">
        <v>20</v>
      </c>
      <c r="L481" s="66"/>
    </row>
    <row r="482" spans="1:14" s="77" customFormat="1" ht="23.1" customHeight="1" thickBot="1" x14ac:dyDescent="0.3">
      <c r="A482" s="270"/>
      <c r="B482" s="227"/>
      <c r="C482" s="230"/>
      <c r="D482" s="223"/>
      <c r="E482" s="91">
        <v>30297</v>
      </c>
      <c r="F482" s="92">
        <f t="shared" ref="F482" si="238">+F492+F502</f>
        <v>0</v>
      </c>
      <c r="G482" s="93" t="e">
        <f>+#REF!+F482</f>
        <v>#REF!</v>
      </c>
      <c r="H482" s="92">
        <f t="shared" ref="H482" si="239">+H492+H502</f>
        <v>0</v>
      </c>
      <c r="I482" s="93" t="e">
        <f>+G482+H482</f>
        <v>#REF!</v>
      </c>
      <c r="J482" s="92">
        <f t="shared" ref="J482" si="240">+J492+J502</f>
        <v>0</v>
      </c>
      <c r="K482" s="93" t="e">
        <f>+I482+J482</f>
        <v>#REF!</v>
      </c>
      <c r="L482" s="67"/>
    </row>
    <row r="483" spans="1:14" ht="13.5" thickTop="1" x14ac:dyDescent="0.2"/>
    <row r="484" spans="1:14" s="72" customFormat="1" ht="21" thickBot="1" x14ac:dyDescent="0.35">
      <c r="A484" s="120" t="s">
        <v>64</v>
      </c>
      <c r="E484" s="73"/>
      <c r="F484" s="73"/>
      <c r="G484" s="73"/>
      <c r="H484" s="73"/>
      <c r="I484" s="73"/>
      <c r="J484" s="73"/>
      <c r="K484" s="73"/>
      <c r="L484" s="73"/>
    </row>
    <row r="485" spans="1:14" s="77" customFormat="1" ht="23.1" customHeight="1" thickTop="1" x14ac:dyDescent="0.25">
      <c r="A485" s="205" t="s">
        <v>1</v>
      </c>
      <c r="B485" s="205" t="s">
        <v>2</v>
      </c>
      <c r="C485" s="139" t="s">
        <v>3</v>
      </c>
      <c r="D485" s="139" t="s">
        <v>4</v>
      </c>
      <c r="E485" s="139" t="s">
        <v>5</v>
      </c>
      <c r="F485" s="139" t="s">
        <v>6</v>
      </c>
      <c r="G485" s="139" t="s">
        <v>7</v>
      </c>
      <c r="H485" s="205" t="s">
        <v>8</v>
      </c>
      <c r="I485" s="139" t="s">
        <v>9</v>
      </c>
      <c r="J485" s="139" t="s">
        <v>10</v>
      </c>
      <c r="K485" s="139" t="s">
        <v>58</v>
      </c>
      <c r="L485" s="139" t="s">
        <v>12</v>
      </c>
    </row>
    <row r="486" spans="1:14" s="77" customFormat="1" ht="23.1" customHeight="1" thickBot="1" x14ac:dyDescent="0.3">
      <c r="A486" s="220"/>
      <c r="B486" s="220"/>
      <c r="C486" s="140"/>
      <c r="D486" s="140"/>
      <c r="E486" s="216"/>
      <c r="F486" s="204"/>
      <c r="G486" s="204"/>
      <c r="H486" s="206"/>
      <c r="I486" s="204"/>
      <c r="J486" s="140"/>
      <c r="K486" s="140">
        <v>2018</v>
      </c>
      <c r="L486" s="140"/>
    </row>
    <row r="487" spans="1:14" s="77" customFormat="1" ht="23.1" customHeight="1" thickTop="1" x14ac:dyDescent="0.25">
      <c r="A487" s="268" t="s">
        <v>96</v>
      </c>
      <c r="B487" s="225" t="s">
        <v>60</v>
      </c>
      <c r="C487" s="228" t="s">
        <v>61</v>
      </c>
      <c r="D487" s="224" t="s">
        <v>62</v>
      </c>
      <c r="E487" s="78" t="s">
        <v>17</v>
      </c>
      <c r="F487" s="79" t="s">
        <v>17</v>
      </c>
      <c r="G487" s="80" t="s">
        <v>17</v>
      </c>
      <c r="H487" s="79" t="s">
        <v>17</v>
      </c>
      <c r="I487" s="80" t="s">
        <v>17</v>
      </c>
      <c r="J487" s="79" t="s">
        <v>17</v>
      </c>
      <c r="K487" s="80" t="s">
        <v>17</v>
      </c>
      <c r="L487" s="53"/>
    </row>
    <row r="488" spans="1:14" s="77" customFormat="1" ht="23.1" customHeight="1" x14ac:dyDescent="0.25">
      <c r="A488" s="269"/>
      <c r="B488" s="226"/>
      <c r="C488" s="229"/>
      <c r="D488" s="221"/>
      <c r="E488" s="56">
        <f t="shared" ref="E488" si="241">IF(E490&lt;&gt;0,+E490/E492,0%)</f>
        <v>0.98000340850991308</v>
      </c>
      <c r="F488" s="50">
        <f>IF(F490&lt;&gt;0,ROUND(+F490/F492,4),0%)</f>
        <v>0</v>
      </c>
      <c r="G488" s="49" t="e">
        <f t="shared" ref="G488" si="242">IF(G490&lt;&gt;0,+G490/G492,0%)</f>
        <v>#REF!</v>
      </c>
      <c r="H488" s="50">
        <f>IF(H490&lt;&gt;0,ROUND(+H490/H492,4),0%)</f>
        <v>0</v>
      </c>
      <c r="I488" s="49" t="e">
        <f t="shared" ref="I488" si="243">IF(I490&lt;&gt;0,+I490/I492,0%)</f>
        <v>#REF!</v>
      </c>
      <c r="J488" s="50">
        <f>IF(J490&lt;&gt;0,ROUND(+J490/J492,4),0%)</f>
        <v>0</v>
      </c>
      <c r="K488" s="49" t="e">
        <f>IF(K490&lt;&gt;0,+K490/K492,0%)</f>
        <v>#REF!</v>
      </c>
      <c r="L488" s="54"/>
    </row>
    <row r="489" spans="1:14" s="77" customFormat="1" ht="23.1" customHeight="1" thickBot="1" x14ac:dyDescent="0.3">
      <c r="A489" s="269"/>
      <c r="B489" s="226"/>
      <c r="C489" s="229"/>
      <c r="D489" s="223"/>
      <c r="E489" s="81"/>
      <c r="F489" s="83" t="s">
        <v>18</v>
      </c>
      <c r="G489" s="84" t="s">
        <v>18</v>
      </c>
      <c r="H489" s="83" t="s">
        <v>18</v>
      </c>
      <c r="I489" s="84" t="s">
        <v>18</v>
      </c>
      <c r="J489" s="83" t="s">
        <v>18</v>
      </c>
      <c r="K489" s="84" t="s">
        <v>18</v>
      </c>
      <c r="L489" s="54"/>
    </row>
    <row r="490" spans="1:14" s="77" customFormat="1" ht="23.1" customHeight="1" thickTop="1" x14ac:dyDescent="0.25">
      <c r="A490" s="269"/>
      <c r="B490" s="226"/>
      <c r="C490" s="229"/>
      <c r="D490" s="221" t="s">
        <v>25</v>
      </c>
      <c r="E490" s="85">
        <v>17251</v>
      </c>
      <c r="F490" s="86"/>
      <c r="G490" s="87" t="e">
        <f>+#REF!+F490</f>
        <v>#REF!</v>
      </c>
      <c r="H490" s="86"/>
      <c r="I490" s="87" t="e">
        <f>+G490+H490</f>
        <v>#REF!</v>
      </c>
      <c r="J490" s="86"/>
      <c r="K490" s="87" t="e">
        <f>SUM(I490:J490)</f>
        <v>#REF!</v>
      </c>
      <c r="L490" s="23" t="e">
        <f>+K488/E488</f>
        <v>#REF!</v>
      </c>
    </row>
    <row r="491" spans="1:14" s="77" customFormat="1" ht="23.1" customHeight="1" x14ac:dyDescent="0.25">
      <c r="A491" s="269"/>
      <c r="B491" s="226"/>
      <c r="C491" s="229"/>
      <c r="D491" s="222"/>
      <c r="E491" s="81" t="s">
        <v>63</v>
      </c>
      <c r="F491" s="88" t="s">
        <v>20</v>
      </c>
      <c r="G491" s="90" t="s">
        <v>20</v>
      </c>
      <c r="H491" s="88" t="s">
        <v>20</v>
      </c>
      <c r="I491" s="90" t="s">
        <v>20</v>
      </c>
      <c r="J491" s="88" t="s">
        <v>20</v>
      </c>
      <c r="K491" s="89" t="s">
        <v>20</v>
      </c>
      <c r="L491" s="54"/>
    </row>
    <row r="492" spans="1:14" s="77" customFormat="1" ht="23.1" customHeight="1" thickBot="1" x14ac:dyDescent="0.3">
      <c r="A492" s="270"/>
      <c r="B492" s="227"/>
      <c r="C492" s="230"/>
      <c r="D492" s="223"/>
      <c r="E492" s="91">
        <v>17603</v>
      </c>
      <c r="F492" s="92"/>
      <c r="G492" s="93" t="e">
        <f>+#REF!+F492</f>
        <v>#REF!</v>
      </c>
      <c r="H492" s="92"/>
      <c r="I492" s="93" t="e">
        <f t="shared" ref="I492" si="244">+G492+H492</f>
        <v>#REF!</v>
      </c>
      <c r="J492" s="92"/>
      <c r="K492" s="93" t="e">
        <f>SUM(I492:J492)</f>
        <v>#REF!</v>
      </c>
      <c r="L492" s="55"/>
      <c r="N492" s="95"/>
    </row>
    <row r="493" spans="1:14" ht="13.5" thickTop="1" x14ac:dyDescent="0.2"/>
    <row r="494" spans="1:14" s="72" customFormat="1" ht="21" thickBot="1" x14ac:dyDescent="0.35">
      <c r="A494" s="120" t="s">
        <v>65</v>
      </c>
      <c r="E494" s="73"/>
      <c r="F494" s="73"/>
      <c r="G494" s="73"/>
      <c r="H494" s="73"/>
      <c r="I494" s="73"/>
      <c r="J494" s="73"/>
      <c r="K494" s="73"/>
      <c r="L494" s="73"/>
    </row>
    <row r="495" spans="1:14" s="77" customFormat="1" ht="23.1" customHeight="1" thickTop="1" x14ac:dyDescent="0.25">
      <c r="A495" s="205" t="s">
        <v>1</v>
      </c>
      <c r="B495" s="205" t="s">
        <v>2</v>
      </c>
      <c r="C495" s="139" t="s">
        <v>3</v>
      </c>
      <c r="D495" s="139" t="s">
        <v>4</v>
      </c>
      <c r="E495" s="139" t="s">
        <v>5</v>
      </c>
      <c r="F495" s="139" t="s">
        <v>6</v>
      </c>
      <c r="G495" s="139" t="s">
        <v>7</v>
      </c>
      <c r="H495" s="205" t="s">
        <v>8</v>
      </c>
      <c r="I495" s="139" t="s">
        <v>9</v>
      </c>
      <c r="J495" s="139" t="s">
        <v>10</v>
      </c>
      <c r="K495" s="139" t="s">
        <v>58</v>
      </c>
      <c r="L495" s="139" t="s">
        <v>12</v>
      </c>
    </row>
    <row r="496" spans="1:14" s="77" customFormat="1" ht="23.1" customHeight="1" thickBot="1" x14ac:dyDescent="0.3">
      <c r="A496" s="220"/>
      <c r="B496" s="220"/>
      <c r="C496" s="140"/>
      <c r="D496" s="140"/>
      <c r="E496" s="216"/>
      <c r="F496" s="204"/>
      <c r="G496" s="204"/>
      <c r="H496" s="206"/>
      <c r="I496" s="204"/>
      <c r="J496" s="140"/>
      <c r="K496" s="140">
        <v>2018</v>
      </c>
      <c r="L496" s="140"/>
    </row>
    <row r="497" spans="1:12" s="77" customFormat="1" ht="23.1" customHeight="1" thickTop="1" x14ac:dyDescent="0.25">
      <c r="A497" s="268" t="s">
        <v>96</v>
      </c>
      <c r="B497" s="225" t="s">
        <v>60</v>
      </c>
      <c r="C497" s="228" t="s">
        <v>61</v>
      </c>
      <c r="D497" s="224" t="s">
        <v>62</v>
      </c>
      <c r="E497" s="78" t="s">
        <v>17</v>
      </c>
      <c r="F497" s="79" t="s">
        <v>17</v>
      </c>
      <c r="G497" s="80" t="s">
        <v>17</v>
      </c>
      <c r="H497" s="79" t="s">
        <v>17</v>
      </c>
      <c r="I497" s="80" t="s">
        <v>17</v>
      </c>
      <c r="J497" s="79" t="s">
        <v>17</v>
      </c>
      <c r="K497" s="80" t="s">
        <v>17</v>
      </c>
      <c r="L497" s="53"/>
    </row>
    <row r="498" spans="1:12" s="77" customFormat="1" ht="23.1" customHeight="1" x14ac:dyDescent="0.25">
      <c r="A498" s="269"/>
      <c r="B498" s="226"/>
      <c r="C498" s="229"/>
      <c r="D498" s="221"/>
      <c r="E498" s="56">
        <f t="shared" ref="E498" si="245">IF(E500&lt;&gt;0,+E500/E502,0%)</f>
        <v>0.98006932409012126</v>
      </c>
      <c r="F498" s="50">
        <f>IF(F500&lt;&gt;0,ROUND(+F500/F502,4),0%)</f>
        <v>0</v>
      </c>
      <c r="G498" s="49" t="e">
        <f t="shared" ref="G498" si="246">IF(G500&lt;&gt;0,+G500/G502,0%)</f>
        <v>#REF!</v>
      </c>
      <c r="H498" s="50">
        <f>IF(H500&lt;&gt;0,ROUND(+H500/H502,4),0%)</f>
        <v>0</v>
      </c>
      <c r="I498" s="49" t="e">
        <f t="shared" ref="I498" si="247">IF(I500&lt;&gt;0,+I500/I502,0%)</f>
        <v>#REF!</v>
      </c>
      <c r="J498" s="50">
        <f>IF(J500&lt;&gt;0,ROUND(+J500/J502,4),0%)</f>
        <v>0</v>
      </c>
      <c r="K498" s="49" t="e">
        <f>IF(K500&lt;&gt;0,+K500/K502,0%)</f>
        <v>#REF!</v>
      </c>
      <c r="L498" s="54"/>
    </row>
    <row r="499" spans="1:12" s="77" customFormat="1" ht="23.1" customHeight="1" thickBot="1" x14ac:dyDescent="0.3">
      <c r="A499" s="269"/>
      <c r="B499" s="226"/>
      <c r="C499" s="229"/>
      <c r="D499" s="223"/>
      <c r="E499" s="81"/>
      <c r="F499" s="83" t="s">
        <v>18</v>
      </c>
      <c r="G499" s="84" t="s">
        <v>18</v>
      </c>
      <c r="H499" s="83" t="s">
        <v>18</v>
      </c>
      <c r="I499" s="84" t="s">
        <v>18</v>
      </c>
      <c r="J499" s="83" t="s">
        <v>18</v>
      </c>
      <c r="K499" s="84" t="s">
        <v>18</v>
      </c>
      <c r="L499" s="54"/>
    </row>
    <row r="500" spans="1:12" s="77" customFormat="1" ht="23.1" customHeight="1" thickTop="1" x14ac:dyDescent="0.25">
      <c r="A500" s="269"/>
      <c r="B500" s="226"/>
      <c r="C500" s="229"/>
      <c r="D500" s="221" t="s">
        <v>25</v>
      </c>
      <c r="E500" s="85">
        <v>12441</v>
      </c>
      <c r="F500" s="86"/>
      <c r="G500" s="87" t="e">
        <f>+#REF!+F500</f>
        <v>#REF!</v>
      </c>
      <c r="H500" s="86"/>
      <c r="I500" s="87" t="e">
        <f>+G500+H500</f>
        <v>#REF!</v>
      </c>
      <c r="J500" s="86"/>
      <c r="K500" s="87" t="e">
        <f>SUM(I500:J500)</f>
        <v>#REF!</v>
      </c>
      <c r="L500" s="23" t="e">
        <f>+K498/E498</f>
        <v>#REF!</v>
      </c>
    </row>
    <row r="501" spans="1:12" s="77" customFormat="1" ht="23.1" customHeight="1" x14ac:dyDescent="0.25">
      <c r="A501" s="269"/>
      <c r="B501" s="226"/>
      <c r="C501" s="229"/>
      <c r="D501" s="222"/>
      <c r="E501" s="81" t="s">
        <v>63</v>
      </c>
      <c r="F501" s="88" t="s">
        <v>20</v>
      </c>
      <c r="G501" s="90" t="s">
        <v>20</v>
      </c>
      <c r="H501" s="88" t="s">
        <v>20</v>
      </c>
      <c r="I501" s="90" t="s">
        <v>20</v>
      </c>
      <c r="J501" s="88" t="s">
        <v>20</v>
      </c>
      <c r="K501" s="89" t="s">
        <v>20</v>
      </c>
      <c r="L501" s="54"/>
    </row>
    <row r="502" spans="1:12" s="77" customFormat="1" ht="23.1" customHeight="1" thickBot="1" x14ac:dyDescent="0.3">
      <c r="A502" s="270"/>
      <c r="B502" s="227"/>
      <c r="C502" s="230"/>
      <c r="D502" s="223"/>
      <c r="E502" s="91">
        <v>12694</v>
      </c>
      <c r="F502" s="92"/>
      <c r="G502" s="93" t="e">
        <f>+#REF!+F502</f>
        <v>#REF!</v>
      </c>
      <c r="H502" s="92"/>
      <c r="I502" s="93" t="e">
        <f t="shared" ref="I502" si="248">+G502+H502</f>
        <v>#REF!</v>
      </c>
      <c r="J502" s="92"/>
      <c r="K502" s="93" t="e">
        <f>SUM(I502:J502)</f>
        <v>#REF!</v>
      </c>
      <c r="L502" s="55"/>
    </row>
    <row r="503" spans="1:12" ht="13.5" thickTop="1" x14ac:dyDescent="0.2"/>
    <row r="506" spans="1:12" s="72" customFormat="1" ht="15.75" x14ac:dyDescent="0.25">
      <c r="B506" s="219" t="s">
        <v>97</v>
      </c>
      <c r="C506" s="219"/>
      <c r="D506" s="219"/>
      <c r="E506" s="76"/>
      <c r="F506" s="76"/>
      <c r="G506" s="68"/>
      <c r="H506" s="76"/>
      <c r="I506" s="68"/>
      <c r="J506" s="76"/>
      <c r="K506" s="68"/>
      <c r="L506" s="101"/>
    </row>
    <row r="507" spans="1:12" s="72" customFormat="1" ht="16.5" thickBot="1" x14ac:dyDescent="0.3">
      <c r="E507" s="73"/>
      <c r="F507" s="73"/>
      <c r="G507" s="73"/>
      <c r="H507" s="73"/>
      <c r="I507" s="73"/>
      <c r="J507" s="73"/>
      <c r="K507" s="73"/>
      <c r="L507" s="73"/>
    </row>
    <row r="508" spans="1:12" s="77" customFormat="1" ht="23.1" customHeight="1" thickTop="1" x14ac:dyDescent="0.25">
      <c r="A508" s="205" t="s">
        <v>1</v>
      </c>
      <c r="B508" s="205" t="s">
        <v>2</v>
      </c>
      <c r="C508" s="139" t="s">
        <v>3</v>
      </c>
      <c r="D508" s="139" t="s">
        <v>4</v>
      </c>
      <c r="E508" s="139" t="s">
        <v>5</v>
      </c>
      <c r="F508" s="139" t="s">
        <v>6</v>
      </c>
      <c r="G508" s="139" t="s">
        <v>7</v>
      </c>
      <c r="H508" s="205" t="s">
        <v>8</v>
      </c>
      <c r="I508" s="139" t="s">
        <v>9</v>
      </c>
      <c r="J508" s="139" t="s">
        <v>10</v>
      </c>
      <c r="K508" s="139" t="s">
        <v>58</v>
      </c>
      <c r="L508" s="139" t="s">
        <v>12</v>
      </c>
    </row>
    <row r="509" spans="1:12" s="77" customFormat="1" ht="23.1" customHeight="1" thickBot="1" x14ac:dyDescent="0.3">
      <c r="A509" s="220"/>
      <c r="B509" s="220"/>
      <c r="C509" s="140"/>
      <c r="D509" s="140"/>
      <c r="E509" s="216"/>
      <c r="F509" s="204"/>
      <c r="G509" s="204"/>
      <c r="H509" s="206"/>
      <c r="I509" s="204"/>
      <c r="J509" s="140"/>
      <c r="K509" s="140">
        <v>2018</v>
      </c>
      <c r="L509" s="140"/>
    </row>
    <row r="510" spans="1:12" s="77" customFormat="1" ht="23.1" customHeight="1" thickTop="1" x14ac:dyDescent="0.25">
      <c r="A510" s="268" t="s">
        <v>98</v>
      </c>
      <c r="B510" s="225" t="s">
        <v>99</v>
      </c>
      <c r="C510" s="228" t="s">
        <v>61</v>
      </c>
      <c r="D510" s="224" t="s">
        <v>62</v>
      </c>
      <c r="E510" s="79" t="s">
        <v>17</v>
      </c>
      <c r="F510" s="79" t="s">
        <v>17</v>
      </c>
      <c r="G510" s="80" t="s">
        <v>17</v>
      </c>
      <c r="H510" s="79" t="s">
        <v>17</v>
      </c>
      <c r="I510" s="80" t="s">
        <v>17</v>
      </c>
      <c r="J510" s="79" t="s">
        <v>17</v>
      </c>
      <c r="K510" s="80" t="s">
        <v>17</v>
      </c>
      <c r="L510" s="53"/>
    </row>
    <row r="511" spans="1:12" s="77" customFormat="1" ht="23.1" customHeight="1" x14ac:dyDescent="0.25">
      <c r="A511" s="269"/>
      <c r="B511" s="226"/>
      <c r="C511" s="229"/>
      <c r="D511" s="221"/>
      <c r="E511" s="56">
        <f t="shared" ref="E511" si="249">IF(E513&lt;&gt;0,+E513/E515,0%)</f>
        <v>0.95697055308051726</v>
      </c>
      <c r="F511" s="50">
        <f>IF(F513&lt;&gt;0,ROUND(+F513/F515,4),0%)</f>
        <v>0</v>
      </c>
      <c r="G511" s="49" t="e">
        <f t="shared" ref="G511" si="250">IF(G513&lt;&gt;0,+G513/G515,0%)</f>
        <v>#REF!</v>
      </c>
      <c r="H511" s="50">
        <f>IF(H513&lt;&gt;0,ROUND(+H513/H515,4),0%)</f>
        <v>0</v>
      </c>
      <c r="I511" s="49" t="e">
        <f t="shared" ref="I511" si="251">IF(I513&lt;&gt;0,+I513/I515,0%)</f>
        <v>#REF!</v>
      </c>
      <c r="J511" s="50">
        <f>IF(J513&lt;&gt;0,ROUND(+J513/J515,4),0%)</f>
        <v>0</v>
      </c>
      <c r="K511" s="49" t="e">
        <f>IF(K513&lt;&gt;0,+K513/K515,0%)</f>
        <v>#REF!</v>
      </c>
      <c r="L511" s="54"/>
    </row>
    <row r="512" spans="1:12" s="77" customFormat="1" ht="23.1" customHeight="1" thickBot="1" x14ac:dyDescent="0.3">
      <c r="A512" s="269"/>
      <c r="B512" s="226"/>
      <c r="C512" s="229"/>
      <c r="D512" s="223"/>
      <c r="E512" s="83" t="s">
        <v>18</v>
      </c>
      <c r="F512" s="83" t="s">
        <v>18</v>
      </c>
      <c r="G512" s="84" t="s">
        <v>18</v>
      </c>
      <c r="H512" s="83" t="s">
        <v>18</v>
      </c>
      <c r="I512" s="84" t="s">
        <v>18</v>
      </c>
      <c r="J512" s="83" t="s">
        <v>18</v>
      </c>
      <c r="K512" s="84" t="s">
        <v>18</v>
      </c>
      <c r="L512" s="54"/>
    </row>
    <row r="513" spans="1:14" s="77" customFormat="1" ht="23.1" customHeight="1" thickTop="1" x14ac:dyDescent="0.25">
      <c r="A513" s="269"/>
      <c r="B513" s="226"/>
      <c r="C513" s="229"/>
      <c r="D513" s="224" t="s">
        <v>25</v>
      </c>
      <c r="E513" s="85">
        <v>44035</v>
      </c>
      <c r="F513" s="86">
        <f t="shared" ref="F513" si="252">+F523+F533</f>
        <v>0</v>
      </c>
      <c r="G513" s="87" t="e">
        <f>+#REF!+F513</f>
        <v>#REF!</v>
      </c>
      <c r="H513" s="86">
        <f t="shared" ref="H513" si="253">+H523+H533</f>
        <v>0</v>
      </c>
      <c r="I513" s="87" t="e">
        <f>+G513+H513</f>
        <v>#REF!</v>
      </c>
      <c r="J513" s="86">
        <f t="shared" ref="J513" si="254">+J523+J533</f>
        <v>0</v>
      </c>
      <c r="K513" s="87" t="e">
        <f>+I513+J513</f>
        <v>#REF!</v>
      </c>
      <c r="L513" s="23" t="e">
        <f>+K511/E511</f>
        <v>#REF!</v>
      </c>
    </row>
    <row r="514" spans="1:14" s="77" customFormat="1" ht="23.1" customHeight="1" x14ac:dyDescent="0.25">
      <c r="A514" s="269"/>
      <c r="B514" s="226"/>
      <c r="C514" s="229"/>
      <c r="D514" s="221"/>
      <c r="E514" s="81" t="s">
        <v>63</v>
      </c>
      <c r="F514" s="88" t="s">
        <v>20</v>
      </c>
      <c r="G514" s="90" t="s">
        <v>20</v>
      </c>
      <c r="H514" s="88" t="s">
        <v>20</v>
      </c>
      <c r="I514" s="90" t="s">
        <v>20</v>
      </c>
      <c r="J514" s="88" t="s">
        <v>20</v>
      </c>
      <c r="K514" s="90" t="s">
        <v>20</v>
      </c>
      <c r="L514" s="54"/>
    </row>
    <row r="515" spans="1:14" s="77" customFormat="1" ht="23.1" customHeight="1" thickBot="1" x14ac:dyDescent="0.3">
      <c r="A515" s="270"/>
      <c r="B515" s="227"/>
      <c r="C515" s="230"/>
      <c r="D515" s="223"/>
      <c r="E515" s="91">
        <v>46015</v>
      </c>
      <c r="F515" s="92">
        <f t="shared" ref="F515" si="255">+F525+F535</f>
        <v>0</v>
      </c>
      <c r="G515" s="93" t="e">
        <f>+#REF!+F515</f>
        <v>#REF!</v>
      </c>
      <c r="H515" s="92">
        <f t="shared" ref="H515" si="256">+H525+H535</f>
        <v>0</v>
      </c>
      <c r="I515" s="93" t="e">
        <f>+G515+H515</f>
        <v>#REF!</v>
      </c>
      <c r="J515" s="92">
        <f t="shared" ref="J515" si="257">+J525+J535</f>
        <v>0</v>
      </c>
      <c r="K515" s="93" t="e">
        <f>+I515+J515</f>
        <v>#REF!</v>
      </c>
      <c r="L515" s="55"/>
    </row>
    <row r="516" spans="1:14" ht="13.5" thickTop="1" x14ac:dyDescent="0.2"/>
    <row r="517" spans="1:14" s="72" customFormat="1" ht="21" thickBot="1" x14ac:dyDescent="0.35">
      <c r="A517" s="120" t="s">
        <v>64</v>
      </c>
      <c r="E517" s="73"/>
      <c r="F517" s="73"/>
      <c r="G517" s="73"/>
      <c r="H517" s="73"/>
      <c r="I517" s="73"/>
      <c r="J517" s="73"/>
      <c r="K517" s="73"/>
      <c r="L517" s="73"/>
    </row>
    <row r="518" spans="1:14" s="77" customFormat="1" ht="23.1" customHeight="1" thickTop="1" x14ac:dyDescent="0.25">
      <c r="A518" s="205" t="s">
        <v>1</v>
      </c>
      <c r="B518" s="205" t="s">
        <v>2</v>
      </c>
      <c r="C518" s="139" t="s">
        <v>3</v>
      </c>
      <c r="D518" s="139" t="s">
        <v>4</v>
      </c>
      <c r="E518" s="139" t="s">
        <v>5</v>
      </c>
      <c r="F518" s="139" t="s">
        <v>6</v>
      </c>
      <c r="G518" s="139" t="s">
        <v>7</v>
      </c>
      <c r="H518" s="205" t="s">
        <v>8</v>
      </c>
      <c r="I518" s="139" t="s">
        <v>9</v>
      </c>
      <c r="J518" s="139" t="s">
        <v>10</v>
      </c>
      <c r="K518" s="139" t="s">
        <v>58</v>
      </c>
      <c r="L518" s="139" t="s">
        <v>12</v>
      </c>
    </row>
    <row r="519" spans="1:14" s="77" customFormat="1" ht="23.1" customHeight="1" thickBot="1" x14ac:dyDescent="0.3">
      <c r="A519" s="220"/>
      <c r="B519" s="220"/>
      <c r="C519" s="140"/>
      <c r="D519" s="140"/>
      <c r="E519" s="216"/>
      <c r="F519" s="204"/>
      <c r="G519" s="204"/>
      <c r="H519" s="206"/>
      <c r="I519" s="204"/>
      <c r="J519" s="140"/>
      <c r="K519" s="140">
        <v>2018</v>
      </c>
      <c r="L519" s="140"/>
    </row>
    <row r="520" spans="1:14" s="77" customFormat="1" ht="23.1" customHeight="1" thickTop="1" x14ac:dyDescent="0.25">
      <c r="A520" s="268" t="s">
        <v>98</v>
      </c>
      <c r="B520" s="225" t="s">
        <v>99</v>
      </c>
      <c r="C520" s="228" t="s">
        <v>61</v>
      </c>
      <c r="D520" s="224" t="s">
        <v>62</v>
      </c>
      <c r="E520" s="78" t="s">
        <v>17</v>
      </c>
      <c r="F520" s="79" t="s">
        <v>17</v>
      </c>
      <c r="G520" s="80" t="s">
        <v>17</v>
      </c>
      <c r="H520" s="79" t="s">
        <v>17</v>
      </c>
      <c r="I520" s="80" t="s">
        <v>17</v>
      </c>
      <c r="J520" s="79" t="s">
        <v>17</v>
      </c>
      <c r="K520" s="80" t="s">
        <v>17</v>
      </c>
      <c r="L520" s="53"/>
    </row>
    <row r="521" spans="1:14" s="77" customFormat="1" ht="23.1" customHeight="1" x14ac:dyDescent="0.25">
      <c r="A521" s="269"/>
      <c r="B521" s="226"/>
      <c r="C521" s="229"/>
      <c r="D521" s="221"/>
      <c r="E521" s="56">
        <f t="shared" ref="E521" si="258">IF(E523&lt;&gt;0,+E523/E525,0%)</f>
        <v>0.95697175809551971</v>
      </c>
      <c r="F521" s="50">
        <f>IF(F523&lt;&gt;0,ROUND(+F523/F525,4),0%)</f>
        <v>0</v>
      </c>
      <c r="G521" s="49" t="e">
        <f t="shared" ref="G521" si="259">IF(G523&lt;&gt;0,+G523/G525,0%)</f>
        <v>#REF!</v>
      </c>
      <c r="H521" s="50">
        <f>IF(H523&lt;&gt;0,ROUND(+H523/H525,4),0%)</f>
        <v>0</v>
      </c>
      <c r="I521" s="49" t="e">
        <f t="shared" ref="I521" si="260">IF(I523&lt;&gt;0,+I523/I525,0%)</f>
        <v>#REF!</v>
      </c>
      <c r="J521" s="50">
        <f>IF(J523&lt;&gt;0,ROUND(+J523/J525,4),0%)</f>
        <v>0</v>
      </c>
      <c r="K521" s="49" t="e">
        <f>IF(K523&lt;&gt;0,+K523/K525,0%)</f>
        <v>#REF!</v>
      </c>
      <c r="L521" s="54"/>
    </row>
    <row r="522" spans="1:14" s="77" customFormat="1" ht="23.1" customHeight="1" thickBot="1" x14ac:dyDescent="0.3">
      <c r="A522" s="269"/>
      <c r="B522" s="226"/>
      <c r="C522" s="229"/>
      <c r="D522" s="223"/>
      <c r="E522" s="81"/>
      <c r="F522" s="83" t="s">
        <v>18</v>
      </c>
      <c r="G522" s="84" t="s">
        <v>18</v>
      </c>
      <c r="H522" s="83" t="s">
        <v>18</v>
      </c>
      <c r="I522" s="84" t="s">
        <v>18</v>
      </c>
      <c r="J522" s="83" t="s">
        <v>18</v>
      </c>
      <c r="K522" s="84" t="s">
        <v>18</v>
      </c>
      <c r="L522" s="54"/>
    </row>
    <row r="523" spans="1:14" s="77" customFormat="1" ht="23.1" customHeight="1" thickTop="1" x14ac:dyDescent="0.25">
      <c r="A523" s="269"/>
      <c r="B523" s="226"/>
      <c r="C523" s="229"/>
      <c r="D523" s="224" t="s">
        <v>25</v>
      </c>
      <c r="E523" s="85">
        <v>25888</v>
      </c>
      <c r="F523" s="86"/>
      <c r="G523" s="87" t="e">
        <f>+#REF!+F523</f>
        <v>#REF!</v>
      </c>
      <c r="H523" s="86"/>
      <c r="I523" s="87" t="e">
        <f>+G523+H523</f>
        <v>#REF!</v>
      </c>
      <c r="J523" s="86"/>
      <c r="K523" s="87" t="e">
        <f>SUM(I523:J523)</f>
        <v>#REF!</v>
      </c>
      <c r="L523" s="23" t="e">
        <f>+K521/E521</f>
        <v>#REF!</v>
      </c>
    </row>
    <row r="524" spans="1:14" s="77" customFormat="1" ht="23.1" customHeight="1" x14ac:dyDescent="0.25">
      <c r="A524" s="269"/>
      <c r="B524" s="226"/>
      <c r="C524" s="229"/>
      <c r="D524" s="221"/>
      <c r="E524" s="81" t="s">
        <v>63</v>
      </c>
      <c r="F524" s="88" t="s">
        <v>20</v>
      </c>
      <c r="G524" s="90" t="s">
        <v>20</v>
      </c>
      <c r="H524" s="88" t="s">
        <v>20</v>
      </c>
      <c r="I524" s="90" t="s">
        <v>20</v>
      </c>
      <c r="J524" s="88" t="s">
        <v>20</v>
      </c>
      <c r="K524" s="89" t="s">
        <v>20</v>
      </c>
      <c r="L524" s="54"/>
    </row>
    <row r="525" spans="1:14" s="77" customFormat="1" ht="23.1" customHeight="1" thickBot="1" x14ac:dyDescent="0.3">
      <c r="A525" s="270"/>
      <c r="B525" s="227"/>
      <c r="C525" s="230"/>
      <c r="D525" s="223"/>
      <c r="E525" s="91">
        <v>27052</v>
      </c>
      <c r="F525" s="92"/>
      <c r="G525" s="93" t="e">
        <f>+#REF!+F525</f>
        <v>#REF!</v>
      </c>
      <c r="H525" s="92"/>
      <c r="I525" s="93" t="e">
        <f t="shared" ref="I525" si="261">+G525+H525</f>
        <v>#REF!</v>
      </c>
      <c r="J525" s="92"/>
      <c r="K525" s="93" t="e">
        <f>SUM(I525:J525)</f>
        <v>#REF!</v>
      </c>
      <c r="L525" s="55"/>
      <c r="N525" s="95"/>
    </row>
    <row r="526" spans="1:14" ht="13.5" thickTop="1" x14ac:dyDescent="0.2"/>
    <row r="527" spans="1:14" s="72" customFormat="1" ht="21" thickBot="1" x14ac:dyDescent="0.35">
      <c r="A527" s="120" t="s">
        <v>65</v>
      </c>
      <c r="E527" s="73"/>
      <c r="F527" s="73"/>
      <c r="G527" s="73"/>
      <c r="H527" s="73"/>
      <c r="I527" s="73"/>
      <c r="J527" s="73"/>
      <c r="K527" s="73"/>
      <c r="L527" s="73"/>
    </row>
    <row r="528" spans="1:14" s="77" customFormat="1" ht="23.1" customHeight="1" thickTop="1" x14ac:dyDescent="0.25">
      <c r="A528" s="205" t="s">
        <v>1</v>
      </c>
      <c r="B528" s="205" t="s">
        <v>2</v>
      </c>
      <c r="C528" s="139" t="s">
        <v>3</v>
      </c>
      <c r="D528" s="139" t="s">
        <v>4</v>
      </c>
      <c r="E528" s="139" t="s">
        <v>5</v>
      </c>
      <c r="F528" s="139" t="s">
        <v>6</v>
      </c>
      <c r="G528" s="139" t="s">
        <v>7</v>
      </c>
      <c r="H528" s="205" t="s">
        <v>8</v>
      </c>
      <c r="I528" s="139" t="s">
        <v>9</v>
      </c>
      <c r="J528" s="139" t="s">
        <v>10</v>
      </c>
      <c r="K528" s="139" t="s">
        <v>58</v>
      </c>
      <c r="L528" s="139" t="s">
        <v>12</v>
      </c>
    </row>
    <row r="529" spans="1:12" s="77" customFormat="1" ht="23.1" customHeight="1" thickBot="1" x14ac:dyDescent="0.3">
      <c r="A529" s="220"/>
      <c r="B529" s="220"/>
      <c r="C529" s="140"/>
      <c r="D529" s="140"/>
      <c r="E529" s="216"/>
      <c r="F529" s="204"/>
      <c r="G529" s="204"/>
      <c r="H529" s="206"/>
      <c r="I529" s="204"/>
      <c r="J529" s="140"/>
      <c r="K529" s="140">
        <v>2018</v>
      </c>
      <c r="L529" s="140"/>
    </row>
    <row r="530" spans="1:12" s="77" customFormat="1" ht="23.1" customHeight="1" thickTop="1" x14ac:dyDescent="0.25">
      <c r="A530" s="268" t="s">
        <v>98</v>
      </c>
      <c r="B530" s="225" t="s">
        <v>99</v>
      </c>
      <c r="C530" s="228" t="s">
        <v>61</v>
      </c>
      <c r="D530" s="224" t="s">
        <v>62</v>
      </c>
      <c r="E530" s="78" t="s">
        <v>17</v>
      </c>
      <c r="F530" s="79" t="s">
        <v>17</v>
      </c>
      <c r="G530" s="80" t="s">
        <v>17</v>
      </c>
      <c r="H530" s="79" t="s">
        <v>17</v>
      </c>
      <c r="I530" s="80" t="s">
        <v>17</v>
      </c>
      <c r="J530" s="79" t="s">
        <v>17</v>
      </c>
      <c r="K530" s="80" t="s">
        <v>17</v>
      </c>
      <c r="L530" s="53"/>
    </row>
    <row r="531" spans="1:12" s="77" customFormat="1" ht="23.1" customHeight="1" x14ac:dyDescent="0.25">
      <c r="A531" s="269"/>
      <c r="B531" s="226"/>
      <c r="C531" s="229"/>
      <c r="D531" s="221"/>
      <c r="E531" s="56">
        <f t="shared" ref="E531" si="262">IF(E533&lt;&gt;0,+E533/E535,0%)</f>
        <v>0.95696883404524602</v>
      </c>
      <c r="F531" s="50">
        <f>IF(F533&lt;&gt;0,ROUND(+F533/F535,4),0%)</f>
        <v>0</v>
      </c>
      <c r="G531" s="49" t="e">
        <f t="shared" ref="G531" si="263">IF(G533&lt;&gt;0,+G533/G535,0%)</f>
        <v>#REF!</v>
      </c>
      <c r="H531" s="50">
        <f>IF(H533&lt;&gt;0,ROUND(+H533/H535,4),0%)</f>
        <v>0</v>
      </c>
      <c r="I531" s="49" t="e">
        <f t="shared" ref="I531" si="264">IF(I533&lt;&gt;0,+I533/I535,0%)</f>
        <v>#REF!</v>
      </c>
      <c r="J531" s="50">
        <f>IF(J533&lt;&gt;0,ROUND(+J533/J535,4),0%)</f>
        <v>0</v>
      </c>
      <c r="K531" s="49" t="e">
        <f>IF(K533&lt;&gt;0,+K533/K535,0%)</f>
        <v>#REF!</v>
      </c>
      <c r="L531" s="54"/>
    </row>
    <row r="532" spans="1:12" s="77" customFormat="1" ht="23.1" customHeight="1" thickBot="1" x14ac:dyDescent="0.3">
      <c r="A532" s="269"/>
      <c r="B532" s="226"/>
      <c r="C532" s="229"/>
      <c r="D532" s="223"/>
      <c r="E532" s="81"/>
      <c r="F532" s="83" t="s">
        <v>18</v>
      </c>
      <c r="G532" s="84" t="s">
        <v>18</v>
      </c>
      <c r="H532" s="83" t="s">
        <v>18</v>
      </c>
      <c r="I532" s="84" t="s">
        <v>18</v>
      </c>
      <c r="J532" s="83" t="s">
        <v>18</v>
      </c>
      <c r="K532" s="84" t="s">
        <v>18</v>
      </c>
      <c r="L532" s="54"/>
    </row>
    <row r="533" spans="1:12" s="77" customFormat="1" ht="23.1" customHeight="1" thickTop="1" x14ac:dyDescent="0.25">
      <c r="A533" s="269"/>
      <c r="B533" s="226"/>
      <c r="C533" s="229"/>
      <c r="D533" s="224" t="s">
        <v>25</v>
      </c>
      <c r="E533" s="85">
        <v>18147</v>
      </c>
      <c r="F533" s="86"/>
      <c r="G533" s="87" t="e">
        <f>+#REF!+F533</f>
        <v>#REF!</v>
      </c>
      <c r="H533" s="86"/>
      <c r="I533" s="87" t="e">
        <f>+G533+H533</f>
        <v>#REF!</v>
      </c>
      <c r="J533" s="86"/>
      <c r="K533" s="87" t="e">
        <f>SUM(I533:J533)</f>
        <v>#REF!</v>
      </c>
      <c r="L533" s="23" t="e">
        <f>+K531/E531</f>
        <v>#REF!</v>
      </c>
    </row>
    <row r="534" spans="1:12" s="77" customFormat="1" ht="23.1" customHeight="1" x14ac:dyDescent="0.25">
      <c r="A534" s="269"/>
      <c r="B534" s="226"/>
      <c r="C534" s="229"/>
      <c r="D534" s="221"/>
      <c r="E534" s="81" t="s">
        <v>63</v>
      </c>
      <c r="F534" s="88" t="s">
        <v>20</v>
      </c>
      <c r="G534" s="90" t="s">
        <v>20</v>
      </c>
      <c r="H534" s="88" t="s">
        <v>20</v>
      </c>
      <c r="I534" s="90" t="s">
        <v>20</v>
      </c>
      <c r="J534" s="88" t="s">
        <v>20</v>
      </c>
      <c r="K534" s="89" t="s">
        <v>20</v>
      </c>
      <c r="L534" s="54"/>
    </row>
    <row r="535" spans="1:12" s="77" customFormat="1" ht="23.1" customHeight="1" thickBot="1" x14ac:dyDescent="0.3">
      <c r="A535" s="270"/>
      <c r="B535" s="227"/>
      <c r="C535" s="230"/>
      <c r="D535" s="223"/>
      <c r="E535" s="91">
        <v>18963</v>
      </c>
      <c r="F535" s="92"/>
      <c r="G535" s="93" t="e">
        <f>+#REF!+F535</f>
        <v>#REF!</v>
      </c>
      <c r="H535" s="92"/>
      <c r="I535" s="93" t="e">
        <f t="shared" ref="I535" si="265">+G535+H535</f>
        <v>#REF!</v>
      </c>
      <c r="J535" s="92"/>
      <c r="K535" s="93" t="e">
        <f>SUM(I535:J535)</f>
        <v>#REF!</v>
      </c>
      <c r="L535" s="55"/>
    </row>
    <row r="536" spans="1:12" ht="13.5" thickTop="1" x14ac:dyDescent="0.2">
      <c r="E536"/>
    </row>
    <row r="539" spans="1:12" s="72" customFormat="1" ht="15.75" x14ac:dyDescent="0.25">
      <c r="B539" s="219" t="s">
        <v>100</v>
      </c>
      <c r="C539" s="219"/>
      <c r="D539" s="219"/>
      <c r="E539" s="76"/>
      <c r="F539" s="76"/>
      <c r="G539" s="68"/>
      <c r="H539" s="76"/>
      <c r="I539" s="68"/>
      <c r="J539" s="76"/>
      <c r="K539" s="68"/>
      <c r="L539" s="101"/>
    </row>
    <row r="540" spans="1:12" s="72" customFormat="1" ht="16.5" thickBot="1" x14ac:dyDescent="0.3">
      <c r="E540" s="73"/>
      <c r="F540" s="73"/>
      <c r="G540" s="73"/>
      <c r="H540" s="73"/>
      <c r="I540" s="73"/>
      <c r="J540" s="73"/>
      <c r="K540" s="73"/>
      <c r="L540" s="73"/>
    </row>
    <row r="541" spans="1:12" s="77" customFormat="1" ht="23.1" customHeight="1" thickTop="1" x14ac:dyDescent="0.25">
      <c r="A541" s="205" t="s">
        <v>1</v>
      </c>
      <c r="B541" s="205" t="s">
        <v>2</v>
      </c>
      <c r="C541" s="139" t="s">
        <v>3</v>
      </c>
      <c r="D541" s="139" t="s">
        <v>4</v>
      </c>
      <c r="E541" s="139" t="s">
        <v>5</v>
      </c>
      <c r="F541" s="139" t="s">
        <v>6</v>
      </c>
      <c r="G541" s="139" t="s">
        <v>7</v>
      </c>
      <c r="H541" s="205" t="s">
        <v>8</v>
      </c>
      <c r="I541" s="139" t="s">
        <v>9</v>
      </c>
      <c r="J541" s="139" t="s">
        <v>10</v>
      </c>
      <c r="K541" s="139" t="s">
        <v>58</v>
      </c>
      <c r="L541" s="139" t="s">
        <v>12</v>
      </c>
    </row>
    <row r="542" spans="1:12" s="77" customFormat="1" ht="23.1" customHeight="1" thickBot="1" x14ac:dyDescent="0.3">
      <c r="A542" s="220"/>
      <c r="B542" s="220"/>
      <c r="C542" s="140"/>
      <c r="D542" s="140"/>
      <c r="E542" s="216"/>
      <c r="F542" s="204"/>
      <c r="G542" s="204"/>
      <c r="H542" s="206"/>
      <c r="I542" s="204"/>
      <c r="J542" s="140"/>
      <c r="K542" s="140">
        <v>2018</v>
      </c>
      <c r="L542" s="140"/>
    </row>
    <row r="543" spans="1:12" s="77" customFormat="1" ht="23.1" customHeight="1" thickTop="1" x14ac:dyDescent="0.25">
      <c r="A543" s="268" t="s">
        <v>101</v>
      </c>
      <c r="B543" s="225" t="s">
        <v>99</v>
      </c>
      <c r="C543" s="228" t="s">
        <v>61</v>
      </c>
      <c r="D543" s="224" t="s">
        <v>62</v>
      </c>
      <c r="E543" s="79" t="s">
        <v>17</v>
      </c>
      <c r="F543" s="79" t="s">
        <v>17</v>
      </c>
      <c r="G543" s="80" t="s">
        <v>17</v>
      </c>
      <c r="H543" s="79" t="s">
        <v>17</v>
      </c>
      <c r="I543" s="80" t="s">
        <v>17</v>
      </c>
      <c r="J543" s="79" t="s">
        <v>17</v>
      </c>
      <c r="K543" s="80" t="s">
        <v>17</v>
      </c>
      <c r="L543" s="53"/>
    </row>
    <row r="544" spans="1:12" s="77" customFormat="1" ht="23.1" customHeight="1" x14ac:dyDescent="0.25">
      <c r="A544" s="269"/>
      <c r="B544" s="226"/>
      <c r="C544" s="229"/>
      <c r="D544" s="221"/>
      <c r="E544" s="56">
        <f t="shared" ref="E544" si="266">IF(E546&lt;&gt;0,+E546/E548,0%)</f>
        <v>0.89919533435245014</v>
      </c>
      <c r="F544" s="50">
        <f>IF(F546&lt;&gt;0,ROUND(+F546/F548,4),0%)</f>
        <v>0</v>
      </c>
      <c r="G544" s="49" t="e">
        <f t="shared" ref="G544" si="267">IF(G546&lt;&gt;0,+G546/G548,0%)</f>
        <v>#REF!</v>
      </c>
      <c r="H544" s="50">
        <f>IF(H546&lt;&gt;0,ROUND(+H546/H548,4),0%)</f>
        <v>0</v>
      </c>
      <c r="I544" s="49" t="e">
        <f t="shared" ref="I544" si="268">IF(I546&lt;&gt;0,+I546/I548,0%)</f>
        <v>#REF!</v>
      </c>
      <c r="J544" s="50">
        <f>IF(J546&lt;&gt;0,ROUND(+J546/J548,4),0%)</f>
        <v>0</v>
      </c>
      <c r="K544" s="49" t="e">
        <f>IF(K546&lt;&gt;0,+K546/K548,0%)</f>
        <v>#REF!</v>
      </c>
      <c r="L544" s="54"/>
    </row>
    <row r="545" spans="1:14" s="77" customFormat="1" ht="23.1" customHeight="1" thickBot="1" x14ac:dyDescent="0.3">
      <c r="A545" s="269"/>
      <c r="B545" s="226"/>
      <c r="C545" s="229"/>
      <c r="D545" s="223"/>
      <c r="E545" s="83" t="s">
        <v>18</v>
      </c>
      <c r="F545" s="83" t="s">
        <v>18</v>
      </c>
      <c r="G545" s="84" t="s">
        <v>18</v>
      </c>
      <c r="H545" s="83" t="s">
        <v>18</v>
      </c>
      <c r="I545" s="84" t="s">
        <v>18</v>
      </c>
      <c r="J545" s="83" t="s">
        <v>18</v>
      </c>
      <c r="K545" s="84" t="s">
        <v>18</v>
      </c>
      <c r="L545" s="54"/>
    </row>
    <row r="546" spans="1:14" s="77" customFormat="1" ht="23.1" customHeight="1" thickTop="1" x14ac:dyDescent="0.25">
      <c r="A546" s="269"/>
      <c r="B546" s="226"/>
      <c r="C546" s="229"/>
      <c r="D546" s="224" t="s">
        <v>25</v>
      </c>
      <c r="E546" s="85">
        <v>1043500</v>
      </c>
      <c r="F546" s="86">
        <f t="shared" ref="F546" si="269">+F556+F566</f>
        <v>0</v>
      </c>
      <c r="G546" s="87" t="e">
        <f>+#REF!+F546</f>
        <v>#REF!</v>
      </c>
      <c r="H546" s="86">
        <f t="shared" ref="H546" si="270">+H556+H566</f>
        <v>0</v>
      </c>
      <c r="I546" s="87" t="e">
        <f>+G546+H546</f>
        <v>#REF!</v>
      </c>
      <c r="J546" s="86">
        <f t="shared" ref="J546" si="271">+J556+J566</f>
        <v>0</v>
      </c>
      <c r="K546" s="87" t="e">
        <f>+I546+J546</f>
        <v>#REF!</v>
      </c>
      <c r="L546" s="23" t="e">
        <f>+K544/E544</f>
        <v>#REF!</v>
      </c>
    </row>
    <row r="547" spans="1:14" s="77" customFormat="1" ht="23.1" customHeight="1" x14ac:dyDescent="0.25">
      <c r="A547" s="269"/>
      <c r="B547" s="226"/>
      <c r="C547" s="229"/>
      <c r="D547" s="221"/>
      <c r="E547" s="81" t="s">
        <v>63</v>
      </c>
      <c r="F547" s="88" t="s">
        <v>20</v>
      </c>
      <c r="G547" s="90" t="s">
        <v>20</v>
      </c>
      <c r="H547" s="88" t="s">
        <v>20</v>
      </c>
      <c r="I547" s="90" t="s">
        <v>20</v>
      </c>
      <c r="J547" s="88" t="s">
        <v>20</v>
      </c>
      <c r="K547" s="90" t="s">
        <v>20</v>
      </c>
      <c r="L547" s="54"/>
    </row>
    <row r="548" spans="1:14" s="77" customFormat="1" ht="23.1" customHeight="1" thickBot="1" x14ac:dyDescent="0.3">
      <c r="A548" s="270"/>
      <c r="B548" s="227"/>
      <c r="C548" s="230"/>
      <c r="D548" s="223"/>
      <c r="E548" s="91">
        <v>1160482</v>
      </c>
      <c r="F548" s="92">
        <f t="shared" ref="F548" si="272">+F558+F568</f>
        <v>0</v>
      </c>
      <c r="G548" s="93" t="e">
        <f>+#REF!+F548</f>
        <v>#REF!</v>
      </c>
      <c r="H548" s="92">
        <f t="shared" ref="H548" si="273">+H558+H568</f>
        <v>0</v>
      </c>
      <c r="I548" s="93" t="e">
        <f>+G548+H548</f>
        <v>#REF!</v>
      </c>
      <c r="J548" s="92">
        <f t="shared" ref="J548" si="274">+J558+J568</f>
        <v>0</v>
      </c>
      <c r="K548" s="93" t="e">
        <f>+I548+J548</f>
        <v>#REF!</v>
      </c>
      <c r="L548" s="55"/>
    </row>
    <row r="549" spans="1:14" ht="13.5" thickTop="1" x14ac:dyDescent="0.2"/>
    <row r="550" spans="1:14" s="72" customFormat="1" ht="21" thickBot="1" x14ac:dyDescent="0.35">
      <c r="A550" s="120" t="s">
        <v>64</v>
      </c>
      <c r="E550" s="73"/>
      <c r="F550" s="73"/>
      <c r="G550" s="73"/>
      <c r="H550" s="73"/>
      <c r="I550" s="73"/>
      <c r="J550" s="73"/>
      <c r="K550" s="73"/>
      <c r="L550" s="73"/>
    </row>
    <row r="551" spans="1:14" s="77" customFormat="1" ht="23.1" customHeight="1" thickTop="1" x14ac:dyDescent="0.25">
      <c r="A551" s="205" t="s">
        <v>1</v>
      </c>
      <c r="B551" s="205" t="s">
        <v>2</v>
      </c>
      <c r="C551" s="139" t="s">
        <v>3</v>
      </c>
      <c r="D551" s="139" t="s">
        <v>4</v>
      </c>
      <c r="E551" s="139" t="s">
        <v>5</v>
      </c>
      <c r="F551" s="139" t="s">
        <v>6</v>
      </c>
      <c r="G551" s="139" t="s">
        <v>7</v>
      </c>
      <c r="H551" s="205" t="s">
        <v>8</v>
      </c>
      <c r="I551" s="139" t="s">
        <v>9</v>
      </c>
      <c r="J551" s="139" t="s">
        <v>10</v>
      </c>
      <c r="K551" s="139" t="s">
        <v>58</v>
      </c>
      <c r="L551" s="139" t="s">
        <v>12</v>
      </c>
    </row>
    <row r="552" spans="1:14" s="77" customFormat="1" ht="23.1" customHeight="1" thickBot="1" x14ac:dyDescent="0.3">
      <c r="A552" s="220"/>
      <c r="B552" s="220"/>
      <c r="C552" s="140"/>
      <c r="D552" s="140"/>
      <c r="E552" s="216"/>
      <c r="F552" s="204"/>
      <c r="G552" s="204"/>
      <c r="H552" s="206"/>
      <c r="I552" s="204"/>
      <c r="J552" s="140"/>
      <c r="K552" s="140">
        <v>2018</v>
      </c>
      <c r="L552" s="140"/>
    </row>
    <row r="553" spans="1:14" s="77" customFormat="1" ht="23.1" customHeight="1" thickTop="1" x14ac:dyDescent="0.25">
      <c r="A553" s="268" t="s">
        <v>101</v>
      </c>
      <c r="B553" s="225" t="s">
        <v>99</v>
      </c>
      <c r="C553" s="228" t="s">
        <v>61</v>
      </c>
      <c r="D553" s="224" t="s">
        <v>62</v>
      </c>
      <c r="E553" s="78" t="s">
        <v>17</v>
      </c>
      <c r="F553" s="79" t="s">
        <v>17</v>
      </c>
      <c r="G553" s="80" t="s">
        <v>17</v>
      </c>
      <c r="H553" s="79" t="s">
        <v>17</v>
      </c>
      <c r="I553" s="80" t="s">
        <v>17</v>
      </c>
      <c r="J553" s="79" t="s">
        <v>17</v>
      </c>
      <c r="K553" s="80" t="s">
        <v>17</v>
      </c>
      <c r="L553" s="53"/>
    </row>
    <row r="554" spans="1:14" s="77" customFormat="1" ht="23.1" customHeight="1" x14ac:dyDescent="0.25">
      <c r="A554" s="269"/>
      <c r="B554" s="226"/>
      <c r="C554" s="229"/>
      <c r="D554" s="221"/>
      <c r="E554" s="56">
        <f t="shared" ref="E554" si="275">IF(E556&lt;&gt;0,+E556/E558,0%)</f>
        <v>0.89919603316991614</v>
      </c>
      <c r="F554" s="50">
        <f>IF(F556&lt;&gt;0,ROUND(+F556/F558,4),0%)</f>
        <v>0</v>
      </c>
      <c r="G554" s="49" t="e">
        <f t="shared" ref="G554" si="276">IF(G556&lt;&gt;0,+G556/G558,0%)</f>
        <v>#REF!</v>
      </c>
      <c r="H554" s="50">
        <f>IF(H556&lt;&gt;0,ROUND(+H556/H558,4),0%)</f>
        <v>0</v>
      </c>
      <c r="I554" s="49" t="e">
        <f t="shared" ref="I554" si="277">IF(I556&lt;&gt;0,+I556/I558,0%)</f>
        <v>#REF!</v>
      </c>
      <c r="J554" s="50">
        <f>IF(J556&lt;&gt;0,ROUND(+J556/J558,4),0%)</f>
        <v>0</v>
      </c>
      <c r="K554" s="49" t="e">
        <f>IF(K556&lt;&gt;0,+K556/K558,0%)</f>
        <v>#REF!</v>
      </c>
      <c r="L554" s="54"/>
    </row>
    <row r="555" spans="1:14" s="77" customFormat="1" ht="23.1" customHeight="1" thickBot="1" x14ac:dyDescent="0.3">
      <c r="A555" s="269"/>
      <c r="B555" s="226"/>
      <c r="C555" s="229"/>
      <c r="D555" s="223"/>
      <c r="E555" s="81"/>
      <c r="F555" s="83" t="s">
        <v>18</v>
      </c>
      <c r="G555" s="84" t="s">
        <v>18</v>
      </c>
      <c r="H555" s="83" t="s">
        <v>18</v>
      </c>
      <c r="I555" s="84" t="s">
        <v>18</v>
      </c>
      <c r="J555" s="83" t="s">
        <v>18</v>
      </c>
      <c r="K555" s="84" t="s">
        <v>18</v>
      </c>
      <c r="L555" s="54"/>
    </row>
    <row r="556" spans="1:14" s="77" customFormat="1" ht="23.1" customHeight="1" thickTop="1" x14ac:dyDescent="0.25">
      <c r="A556" s="269"/>
      <c r="B556" s="226"/>
      <c r="C556" s="229"/>
      <c r="D556" s="224" t="s">
        <v>25</v>
      </c>
      <c r="E556" s="85">
        <v>625996</v>
      </c>
      <c r="F556" s="86"/>
      <c r="G556" s="87" t="e">
        <f>+#REF!+F556</f>
        <v>#REF!</v>
      </c>
      <c r="H556" s="86"/>
      <c r="I556" s="87" t="e">
        <f>+G556+H556</f>
        <v>#REF!</v>
      </c>
      <c r="J556" s="86"/>
      <c r="K556" s="87" t="e">
        <f>SUM(I556:J556)</f>
        <v>#REF!</v>
      </c>
      <c r="L556" s="23" t="e">
        <f>+K554/E554</f>
        <v>#REF!</v>
      </c>
    </row>
    <row r="557" spans="1:14" s="77" customFormat="1" ht="23.1" customHeight="1" x14ac:dyDescent="0.25">
      <c r="A557" s="269"/>
      <c r="B557" s="226"/>
      <c r="C557" s="229"/>
      <c r="D557" s="221"/>
      <c r="E557" s="81" t="s">
        <v>63</v>
      </c>
      <c r="F557" s="88" t="s">
        <v>20</v>
      </c>
      <c r="G557" s="90" t="s">
        <v>20</v>
      </c>
      <c r="H557" s="88" t="s">
        <v>20</v>
      </c>
      <c r="I557" s="90" t="s">
        <v>20</v>
      </c>
      <c r="J557" s="88" t="s">
        <v>20</v>
      </c>
      <c r="K557" s="89" t="s">
        <v>20</v>
      </c>
      <c r="L557" s="54"/>
    </row>
    <row r="558" spans="1:14" s="77" customFormat="1" ht="23.1" customHeight="1" thickBot="1" x14ac:dyDescent="0.3">
      <c r="A558" s="270"/>
      <c r="B558" s="227"/>
      <c r="C558" s="230"/>
      <c r="D558" s="223"/>
      <c r="E558" s="91">
        <v>696173</v>
      </c>
      <c r="F558" s="92"/>
      <c r="G558" s="93" t="e">
        <f>+#REF!+F558</f>
        <v>#REF!</v>
      </c>
      <c r="H558" s="92"/>
      <c r="I558" s="93" t="e">
        <f t="shared" ref="I558" si="278">+G558+H558</f>
        <v>#REF!</v>
      </c>
      <c r="J558" s="92"/>
      <c r="K558" s="93" t="e">
        <f>SUM(I558:J558)</f>
        <v>#REF!</v>
      </c>
      <c r="L558" s="55"/>
      <c r="N558" s="95"/>
    </row>
    <row r="559" spans="1:14" ht="13.5" thickTop="1" x14ac:dyDescent="0.2"/>
    <row r="560" spans="1:14" s="72" customFormat="1" ht="21" thickBot="1" x14ac:dyDescent="0.35">
      <c r="A560" s="120" t="s">
        <v>65</v>
      </c>
      <c r="E560" s="73"/>
      <c r="F560" s="73"/>
      <c r="G560" s="73"/>
      <c r="H560" s="73"/>
      <c r="I560" s="73"/>
      <c r="J560" s="73"/>
      <c r="K560" s="73"/>
      <c r="L560" s="73"/>
    </row>
    <row r="561" spans="1:12" s="77" customFormat="1" ht="23.1" customHeight="1" thickTop="1" x14ac:dyDescent="0.25">
      <c r="A561" s="205" t="s">
        <v>1</v>
      </c>
      <c r="B561" s="205" t="s">
        <v>2</v>
      </c>
      <c r="C561" s="139" t="s">
        <v>3</v>
      </c>
      <c r="D561" s="139" t="s">
        <v>4</v>
      </c>
      <c r="E561" s="139" t="s">
        <v>5</v>
      </c>
      <c r="F561" s="139" t="s">
        <v>6</v>
      </c>
      <c r="G561" s="139" t="s">
        <v>7</v>
      </c>
      <c r="H561" s="205" t="s">
        <v>8</v>
      </c>
      <c r="I561" s="139" t="s">
        <v>9</v>
      </c>
      <c r="J561" s="139" t="s">
        <v>10</v>
      </c>
      <c r="K561" s="139" t="s">
        <v>58</v>
      </c>
      <c r="L561" s="139" t="s">
        <v>12</v>
      </c>
    </row>
    <row r="562" spans="1:12" s="77" customFormat="1" ht="23.1" customHeight="1" thickBot="1" x14ac:dyDescent="0.3">
      <c r="A562" s="220"/>
      <c r="B562" s="220"/>
      <c r="C562" s="140"/>
      <c r="D562" s="140"/>
      <c r="E562" s="216"/>
      <c r="F562" s="204"/>
      <c r="G562" s="204"/>
      <c r="H562" s="206"/>
      <c r="I562" s="204"/>
      <c r="J562" s="140"/>
      <c r="K562" s="140">
        <v>2018</v>
      </c>
      <c r="L562" s="140"/>
    </row>
    <row r="563" spans="1:12" s="77" customFormat="1" ht="23.1" customHeight="1" thickTop="1" x14ac:dyDescent="0.25">
      <c r="A563" s="268" t="s">
        <v>101</v>
      </c>
      <c r="B563" s="225" t="s">
        <v>99</v>
      </c>
      <c r="C563" s="228" t="s">
        <v>61</v>
      </c>
      <c r="D563" s="224" t="s">
        <v>62</v>
      </c>
      <c r="E563" s="78" t="s">
        <v>17</v>
      </c>
      <c r="F563" s="79" t="s">
        <v>17</v>
      </c>
      <c r="G563" s="80" t="s">
        <v>17</v>
      </c>
      <c r="H563" s="79" t="s">
        <v>17</v>
      </c>
      <c r="I563" s="80" t="s">
        <v>17</v>
      </c>
      <c r="J563" s="79" t="s">
        <v>17</v>
      </c>
      <c r="K563" s="80" t="s">
        <v>17</v>
      </c>
      <c r="L563" s="53"/>
    </row>
    <row r="564" spans="1:12" s="77" customFormat="1" ht="23.1" customHeight="1" x14ac:dyDescent="0.25">
      <c r="A564" s="269"/>
      <c r="B564" s="226"/>
      <c r="C564" s="229"/>
      <c r="D564" s="221"/>
      <c r="E564" s="56">
        <f t="shared" ref="E564" si="279">IF(E566&lt;&gt;0,+E566/E568,0%)</f>
        <v>0.89919428656347389</v>
      </c>
      <c r="F564" s="50">
        <f>IF(F566&lt;&gt;0,ROUND(+F566/F568,4),0%)</f>
        <v>0</v>
      </c>
      <c r="G564" s="49" t="e">
        <f t="shared" ref="G564" si="280">IF(G566&lt;&gt;0,+G566/G568,0%)</f>
        <v>#REF!</v>
      </c>
      <c r="H564" s="50">
        <f>IF(H566&lt;&gt;0,ROUND(+H566/H568,4),0%)</f>
        <v>0</v>
      </c>
      <c r="I564" s="49" t="e">
        <f t="shared" ref="I564" si="281">IF(I566&lt;&gt;0,+I566/I568,0%)</f>
        <v>#REF!</v>
      </c>
      <c r="J564" s="50">
        <f>IF(J566&lt;&gt;0,ROUND(+J566/J568,4),0%)</f>
        <v>0</v>
      </c>
      <c r="K564" s="49" t="e">
        <f>IF(K566&lt;&gt;0,+K566/K568,0%)</f>
        <v>#REF!</v>
      </c>
      <c r="L564" s="54"/>
    </row>
    <row r="565" spans="1:12" s="77" customFormat="1" ht="23.1" customHeight="1" thickBot="1" x14ac:dyDescent="0.3">
      <c r="A565" s="269"/>
      <c r="B565" s="226"/>
      <c r="C565" s="229"/>
      <c r="D565" s="223"/>
      <c r="E565" s="81"/>
      <c r="F565" s="83" t="s">
        <v>18</v>
      </c>
      <c r="G565" s="84" t="s">
        <v>18</v>
      </c>
      <c r="H565" s="83" t="s">
        <v>18</v>
      </c>
      <c r="I565" s="84" t="s">
        <v>18</v>
      </c>
      <c r="J565" s="83" t="s">
        <v>18</v>
      </c>
      <c r="K565" s="84" t="s">
        <v>18</v>
      </c>
      <c r="L565" s="54"/>
    </row>
    <row r="566" spans="1:12" s="77" customFormat="1" ht="23.1" customHeight="1" thickTop="1" x14ac:dyDescent="0.25">
      <c r="A566" s="269"/>
      <c r="B566" s="226"/>
      <c r="C566" s="229"/>
      <c r="D566" s="224" t="s">
        <v>25</v>
      </c>
      <c r="E566" s="85">
        <v>417504</v>
      </c>
      <c r="F566" s="86"/>
      <c r="G566" s="87" t="e">
        <f>+#REF!+F566</f>
        <v>#REF!</v>
      </c>
      <c r="H566" s="86"/>
      <c r="I566" s="87" t="e">
        <f>+G566+H566</f>
        <v>#REF!</v>
      </c>
      <c r="J566" s="86"/>
      <c r="K566" s="87" t="e">
        <f>SUM(I566:J566)</f>
        <v>#REF!</v>
      </c>
      <c r="L566" s="23" t="e">
        <f>+K564/E564</f>
        <v>#REF!</v>
      </c>
    </row>
    <row r="567" spans="1:12" s="77" customFormat="1" ht="23.1" customHeight="1" x14ac:dyDescent="0.25">
      <c r="A567" s="269"/>
      <c r="B567" s="226"/>
      <c r="C567" s="229"/>
      <c r="D567" s="221"/>
      <c r="E567" s="81" t="s">
        <v>63</v>
      </c>
      <c r="F567" s="88" t="s">
        <v>20</v>
      </c>
      <c r="G567" s="90" t="s">
        <v>20</v>
      </c>
      <c r="H567" s="88" t="s">
        <v>20</v>
      </c>
      <c r="I567" s="90" t="s">
        <v>20</v>
      </c>
      <c r="J567" s="88" t="s">
        <v>20</v>
      </c>
      <c r="K567" s="89" t="s">
        <v>20</v>
      </c>
      <c r="L567" s="54"/>
    </row>
    <row r="568" spans="1:12" s="77" customFormat="1" ht="23.1" customHeight="1" thickBot="1" x14ac:dyDescent="0.3">
      <c r="A568" s="270"/>
      <c r="B568" s="227"/>
      <c r="C568" s="230"/>
      <c r="D568" s="223"/>
      <c r="E568" s="91">
        <v>464309</v>
      </c>
      <c r="F568" s="92"/>
      <c r="G568" s="93" t="e">
        <f>+#REF!+F568</f>
        <v>#REF!</v>
      </c>
      <c r="H568" s="92"/>
      <c r="I568" s="93" t="e">
        <f t="shared" ref="I568" si="282">+G568+H568</f>
        <v>#REF!</v>
      </c>
      <c r="J568" s="92"/>
      <c r="K568" s="93" t="e">
        <f>SUM(I568:J568)</f>
        <v>#REF!</v>
      </c>
      <c r="L568" s="55"/>
    </row>
    <row r="569" spans="1:12" ht="13.5" thickTop="1" x14ac:dyDescent="0.2"/>
    <row r="573" spans="1:12" x14ac:dyDescent="0.2">
      <c r="E573" s="113"/>
    </row>
    <row r="574" spans="1:12" x14ac:dyDescent="0.2">
      <c r="E574" s="113"/>
    </row>
    <row r="575" spans="1:12" x14ac:dyDescent="0.2">
      <c r="E575" s="113"/>
    </row>
  </sheetData>
  <mergeCells count="887">
    <mergeCell ref="A553:A558"/>
    <mergeCell ref="A561:A562"/>
    <mergeCell ref="A563:A568"/>
    <mergeCell ref="A508:A509"/>
    <mergeCell ref="A510:A515"/>
    <mergeCell ref="A518:A519"/>
    <mergeCell ref="A520:A525"/>
    <mergeCell ref="A528:A529"/>
    <mergeCell ref="A530:A535"/>
    <mergeCell ref="A541:A542"/>
    <mergeCell ref="A543:A548"/>
    <mergeCell ref="A551:A552"/>
    <mergeCell ref="A454:A459"/>
    <mergeCell ref="A462:A463"/>
    <mergeCell ref="A464:A469"/>
    <mergeCell ref="A475:A476"/>
    <mergeCell ref="A477:A482"/>
    <mergeCell ref="A485:A486"/>
    <mergeCell ref="A487:A492"/>
    <mergeCell ref="A495:A496"/>
    <mergeCell ref="A497:A502"/>
    <mergeCell ref="A409:A410"/>
    <mergeCell ref="A411:A416"/>
    <mergeCell ref="A419:A420"/>
    <mergeCell ref="A421:A426"/>
    <mergeCell ref="A429:A430"/>
    <mergeCell ref="A431:A436"/>
    <mergeCell ref="A442:A443"/>
    <mergeCell ref="A444:A449"/>
    <mergeCell ref="A452:A453"/>
    <mergeCell ref="A355:A360"/>
    <mergeCell ref="A363:A364"/>
    <mergeCell ref="A365:A370"/>
    <mergeCell ref="A376:A377"/>
    <mergeCell ref="A378:A383"/>
    <mergeCell ref="A386:A387"/>
    <mergeCell ref="A388:A393"/>
    <mergeCell ref="A396:A397"/>
    <mergeCell ref="A398:A403"/>
    <mergeCell ref="A310:A311"/>
    <mergeCell ref="A312:A317"/>
    <mergeCell ref="A320:A321"/>
    <mergeCell ref="A322:A327"/>
    <mergeCell ref="A330:A331"/>
    <mergeCell ref="A332:A337"/>
    <mergeCell ref="A343:A344"/>
    <mergeCell ref="A345:A350"/>
    <mergeCell ref="A353:A354"/>
    <mergeCell ref="A256:A261"/>
    <mergeCell ref="A264:A265"/>
    <mergeCell ref="A266:A271"/>
    <mergeCell ref="A277:A278"/>
    <mergeCell ref="A279:A284"/>
    <mergeCell ref="A287:A288"/>
    <mergeCell ref="A289:A294"/>
    <mergeCell ref="A297:A298"/>
    <mergeCell ref="A299:A304"/>
    <mergeCell ref="A211:A212"/>
    <mergeCell ref="A213:A218"/>
    <mergeCell ref="A221:A222"/>
    <mergeCell ref="A223:A228"/>
    <mergeCell ref="A231:A232"/>
    <mergeCell ref="A233:A238"/>
    <mergeCell ref="A244:A245"/>
    <mergeCell ref="A246:A251"/>
    <mergeCell ref="A254:A255"/>
    <mergeCell ref="A157:A162"/>
    <mergeCell ref="A165:A166"/>
    <mergeCell ref="A167:A172"/>
    <mergeCell ref="A178:A179"/>
    <mergeCell ref="A180:A185"/>
    <mergeCell ref="A188:A189"/>
    <mergeCell ref="A190:A195"/>
    <mergeCell ref="A198:A199"/>
    <mergeCell ref="A200:A205"/>
    <mergeCell ref="A112:A113"/>
    <mergeCell ref="A114:A119"/>
    <mergeCell ref="A122:A123"/>
    <mergeCell ref="A124:A129"/>
    <mergeCell ref="A132:A133"/>
    <mergeCell ref="A134:A139"/>
    <mergeCell ref="A145:A146"/>
    <mergeCell ref="A147:A152"/>
    <mergeCell ref="A155:A156"/>
    <mergeCell ref="A58:A63"/>
    <mergeCell ref="A66:A67"/>
    <mergeCell ref="A68:A73"/>
    <mergeCell ref="A79:A80"/>
    <mergeCell ref="A81:A86"/>
    <mergeCell ref="A89:A90"/>
    <mergeCell ref="A91:A96"/>
    <mergeCell ref="A99:A100"/>
    <mergeCell ref="A101:A106"/>
    <mergeCell ref="A13:A14"/>
    <mergeCell ref="A15:A20"/>
    <mergeCell ref="A23:A24"/>
    <mergeCell ref="A25:A30"/>
    <mergeCell ref="A33:A34"/>
    <mergeCell ref="A35:A40"/>
    <mergeCell ref="A46:A47"/>
    <mergeCell ref="A48:A53"/>
    <mergeCell ref="A56:A57"/>
    <mergeCell ref="H551:H552"/>
    <mergeCell ref="I551:I552"/>
    <mergeCell ref="J551:J552"/>
    <mergeCell ref="K551:K552"/>
    <mergeCell ref="L551:L552"/>
    <mergeCell ref="D566:D568"/>
    <mergeCell ref="D563:D565"/>
    <mergeCell ref="B563:B568"/>
    <mergeCell ref="C563:C568"/>
    <mergeCell ref="G561:G562"/>
    <mergeCell ref="H561:H562"/>
    <mergeCell ref="I561:I562"/>
    <mergeCell ref="J561:J562"/>
    <mergeCell ref="K561:K562"/>
    <mergeCell ref="L561:L562"/>
    <mergeCell ref="F561:F562"/>
    <mergeCell ref="E551:E552"/>
    <mergeCell ref="B561:B562"/>
    <mergeCell ref="C561:C562"/>
    <mergeCell ref="D561:D562"/>
    <mergeCell ref="E561:E562"/>
    <mergeCell ref="B551:B552"/>
    <mergeCell ref="C551:C552"/>
    <mergeCell ref="D543:D545"/>
    <mergeCell ref="B543:B548"/>
    <mergeCell ref="C543:C548"/>
    <mergeCell ref="D551:D552"/>
    <mergeCell ref="F551:F552"/>
    <mergeCell ref="G551:G552"/>
    <mergeCell ref="D546:D548"/>
    <mergeCell ref="D553:D555"/>
    <mergeCell ref="D556:D558"/>
    <mergeCell ref="B553:B558"/>
    <mergeCell ref="C553:C558"/>
    <mergeCell ref="I528:I529"/>
    <mergeCell ref="J528:J529"/>
    <mergeCell ref="K528:K529"/>
    <mergeCell ref="L528:L529"/>
    <mergeCell ref="F528:F529"/>
    <mergeCell ref="G528:G529"/>
    <mergeCell ref="H528:H529"/>
    <mergeCell ref="D541:D542"/>
    <mergeCell ref="E541:E542"/>
    <mergeCell ref="B539:D539"/>
    <mergeCell ref="B541:B542"/>
    <mergeCell ref="C541:C542"/>
    <mergeCell ref="J541:J542"/>
    <mergeCell ref="K541:K542"/>
    <mergeCell ref="L541:L542"/>
    <mergeCell ref="F541:F542"/>
    <mergeCell ref="G541:G542"/>
    <mergeCell ref="H541:H542"/>
    <mergeCell ref="I541:I542"/>
    <mergeCell ref="D528:D529"/>
    <mergeCell ref="E528:E529"/>
    <mergeCell ref="B528:B529"/>
    <mergeCell ref="C528:C529"/>
    <mergeCell ref="D523:D525"/>
    <mergeCell ref="D520:D522"/>
    <mergeCell ref="D530:D532"/>
    <mergeCell ref="D533:D535"/>
    <mergeCell ref="B530:B535"/>
    <mergeCell ref="C530:C535"/>
    <mergeCell ref="B518:B519"/>
    <mergeCell ref="C518:C519"/>
    <mergeCell ref="B520:B525"/>
    <mergeCell ref="C520:C525"/>
    <mergeCell ref="K508:K509"/>
    <mergeCell ref="L508:L509"/>
    <mergeCell ref="F508:F509"/>
    <mergeCell ref="G508:G509"/>
    <mergeCell ref="D518:D519"/>
    <mergeCell ref="E518:E519"/>
    <mergeCell ref="K518:K519"/>
    <mergeCell ref="L518:L519"/>
    <mergeCell ref="D508:D509"/>
    <mergeCell ref="E508:E509"/>
    <mergeCell ref="D510:D512"/>
    <mergeCell ref="G518:G519"/>
    <mergeCell ref="H518:H519"/>
    <mergeCell ref="I518:I519"/>
    <mergeCell ref="J518:J519"/>
    <mergeCell ref="F518:F519"/>
    <mergeCell ref="H508:H509"/>
    <mergeCell ref="I508:I509"/>
    <mergeCell ref="J508:J509"/>
    <mergeCell ref="D500:D502"/>
    <mergeCell ref="B506:D506"/>
    <mergeCell ref="B508:B509"/>
    <mergeCell ref="C508:C509"/>
    <mergeCell ref="D497:D499"/>
    <mergeCell ref="D513:D515"/>
    <mergeCell ref="B510:B515"/>
    <mergeCell ref="C510:C515"/>
    <mergeCell ref="B495:B496"/>
    <mergeCell ref="C495:C496"/>
    <mergeCell ref="B497:B502"/>
    <mergeCell ref="C497:C502"/>
    <mergeCell ref="K485:K486"/>
    <mergeCell ref="L485:L486"/>
    <mergeCell ref="F485:F486"/>
    <mergeCell ref="G485:G486"/>
    <mergeCell ref="D495:D496"/>
    <mergeCell ref="E495:E496"/>
    <mergeCell ref="K495:K496"/>
    <mergeCell ref="L495:L496"/>
    <mergeCell ref="D485:D486"/>
    <mergeCell ref="E485:E486"/>
    <mergeCell ref="D487:D489"/>
    <mergeCell ref="G495:G496"/>
    <mergeCell ref="H495:H496"/>
    <mergeCell ref="I495:I496"/>
    <mergeCell ref="J495:J496"/>
    <mergeCell ref="F495:F496"/>
    <mergeCell ref="H485:H486"/>
    <mergeCell ref="I485:I486"/>
    <mergeCell ref="J485:J486"/>
    <mergeCell ref="D480:D482"/>
    <mergeCell ref="B485:B486"/>
    <mergeCell ref="C485:C486"/>
    <mergeCell ref="D477:D479"/>
    <mergeCell ref="B477:B482"/>
    <mergeCell ref="C477:C482"/>
    <mergeCell ref="D490:D492"/>
    <mergeCell ref="B487:B492"/>
    <mergeCell ref="C487:C492"/>
    <mergeCell ref="I462:I463"/>
    <mergeCell ref="J462:J463"/>
    <mergeCell ref="K462:K463"/>
    <mergeCell ref="L462:L463"/>
    <mergeCell ref="J475:J476"/>
    <mergeCell ref="K475:K476"/>
    <mergeCell ref="L475:L476"/>
    <mergeCell ref="F475:F476"/>
    <mergeCell ref="G475:G476"/>
    <mergeCell ref="H475:H476"/>
    <mergeCell ref="I475:I476"/>
    <mergeCell ref="B462:B463"/>
    <mergeCell ref="C462:C463"/>
    <mergeCell ref="D454:D456"/>
    <mergeCell ref="F462:F463"/>
    <mergeCell ref="G462:G463"/>
    <mergeCell ref="H462:H463"/>
    <mergeCell ref="B473:D473"/>
    <mergeCell ref="B475:B476"/>
    <mergeCell ref="C475:C476"/>
    <mergeCell ref="D464:D466"/>
    <mergeCell ref="D462:D463"/>
    <mergeCell ref="E462:E463"/>
    <mergeCell ref="D467:D469"/>
    <mergeCell ref="B464:B469"/>
    <mergeCell ref="C464:C469"/>
    <mergeCell ref="D475:D476"/>
    <mergeCell ref="E475:E476"/>
    <mergeCell ref="B452:B453"/>
    <mergeCell ref="C452:C453"/>
    <mergeCell ref="D444:D446"/>
    <mergeCell ref="B454:B459"/>
    <mergeCell ref="C454:C459"/>
    <mergeCell ref="G452:G453"/>
    <mergeCell ref="H452:H453"/>
    <mergeCell ref="I452:I453"/>
    <mergeCell ref="J452:J453"/>
    <mergeCell ref="F452:F453"/>
    <mergeCell ref="D457:D459"/>
    <mergeCell ref="H442:H443"/>
    <mergeCell ref="I442:I443"/>
    <mergeCell ref="J442:J443"/>
    <mergeCell ref="K442:K443"/>
    <mergeCell ref="L442:L443"/>
    <mergeCell ref="F442:F443"/>
    <mergeCell ref="G442:G443"/>
    <mergeCell ref="D452:D453"/>
    <mergeCell ref="E452:E453"/>
    <mergeCell ref="K452:K453"/>
    <mergeCell ref="L452:L453"/>
    <mergeCell ref="D442:D443"/>
    <mergeCell ref="E442:E443"/>
    <mergeCell ref="D434:D436"/>
    <mergeCell ref="B440:D440"/>
    <mergeCell ref="B442:B443"/>
    <mergeCell ref="C442:C443"/>
    <mergeCell ref="D431:D433"/>
    <mergeCell ref="D447:D449"/>
    <mergeCell ref="B444:B449"/>
    <mergeCell ref="C444:C449"/>
    <mergeCell ref="B429:B430"/>
    <mergeCell ref="C429:C430"/>
    <mergeCell ref="B431:B436"/>
    <mergeCell ref="C431:C436"/>
    <mergeCell ref="K419:K420"/>
    <mergeCell ref="L419:L420"/>
    <mergeCell ref="F419:F420"/>
    <mergeCell ref="G419:G420"/>
    <mergeCell ref="D429:D430"/>
    <mergeCell ref="E429:E430"/>
    <mergeCell ref="K429:K430"/>
    <mergeCell ref="L429:L430"/>
    <mergeCell ref="D419:D420"/>
    <mergeCell ref="E419:E420"/>
    <mergeCell ref="D421:D423"/>
    <mergeCell ref="G429:G430"/>
    <mergeCell ref="H429:H430"/>
    <mergeCell ref="I429:I430"/>
    <mergeCell ref="J429:J430"/>
    <mergeCell ref="F429:F430"/>
    <mergeCell ref="H419:H420"/>
    <mergeCell ref="I419:I420"/>
    <mergeCell ref="J419:J420"/>
    <mergeCell ref="D414:D416"/>
    <mergeCell ref="B419:B420"/>
    <mergeCell ref="C419:C420"/>
    <mergeCell ref="D411:D413"/>
    <mergeCell ref="B411:B416"/>
    <mergeCell ref="C411:C416"/>
    <mergeCell ref="D424:D426"/>
    <mergeCell ref="B421:B426"/>
    <mergeCell ref="C421:C426"/>
    <mergeCell ref="I396:I397"/>
    <mergeCell ref="J396:J397"/>
    <mergeCell ref="K396:K397"/>
    <mergeCell ref="L396:L397"/>
    <mergeCell ref="J409:J410"/>
    <mergeCell ref="K409:K410"/>
    <mergeCell ref="L409:L410"/>
    <mergeCell ref="F409:F410"/>
    <mergeCell ref="G409:G410"/>
    <mergeCell ref="H409:H410"/>
    <mergeCell ref="I409:I410"/>
    <mergeCell ref="B396:B397"/>
    <mergeCell ref="C396:C397"/>
    <mergeCell ref="D388:D390"/>
    <mergeCell ref="F396:F397"/>
    <mergeCell ref="G396:G397"/>
    <mergeCell ref="H396:H397"/>
    <mergeCell ref="B407:D407"/>
    <mergeCell ref="B409:B410"/>
    <mergeCell ref="C409:C410"/>
    <mergeCell ref="D398:D400"/>
    <mergeCell ref="D396:D397"/>
    <mergeCell ref="E396:E397"/>
    <mergeCell ref="D401:D403"/>
    <mergeCell ref="B398:B403"/>
    <mergeCell ref="C398:C403"/>
    <mergeCell ref="D409:D410"/>
    <mergeCell ref="E409:E410"/>
    <mergeCell ref="B386:B387"/>
    <mergeCell ref="C386:C387"/>
    <mergeCell ref="D378:D380"/>
    <mergeCell ref="B388:B393"/>
    <mergeCell ref="C388:C393"/>
    <mergeCell ref="G386:G387"/>
    <mergeCell ref="H386:H387"/>
    <mergeCell ref="I386:I387"/>
    <mergeCell ref="J386:J387"/>
    <mergeCell ref="F386:F387"/>
    <mergeCell ref="D391:D393"/>
    <mergeCell ref="H376:H377"/>
    <mergeCell ref="I376:I377"/>
    <mergeCell ref="J376:J377"/>
    <mergeCell ref="K376:K377"/>
    <mergeCell ref="L376:L377"/>
    <mergeCell ref="F376:F377"/>
    <mergeCell ref="G376:G377"/>
    <mergeCell ref="D386:D387"/>
    <mergeCell ref="E386:E387"/>
    <mergeCell ref="K386:K387"/>
    <mergeCell ref="L386:L387"/>
    <mergeCell ref="D376:D377"/>
    <mergeCell ref="E376:E377"/>
    <mergeCell ref="D368:D370"/>
    <mergeCell ref="B374:D374"/>
    <mergeCell ref="B376:B377"/>
    <mergeCell ref="C376:C377"/>
    <mergeCell ref="D365:D367"/>
    <mergeCell ref="D381:D383"/>
    <mergeCell ref="B378:B383"/>
    <mergeCell ref="C378:C383"/>
    <mergeCell ref="B363:B364"/>
    <mergeCell ref="C363:C364"/>
    <mergeCell ref="B365:B370"/>
    <mergeCell ref="C365:C370"/>
    <mergeCell ref="K353:K354"/>
    <mergeCell ref="L353:L354"/>
    <mergeCell ref="F353:F354"/>
    <mergeCell ref="G353:G354"/>
    <mergeCell ref="D363:D364"/>
    <mergeCell ref="E363:E364"/>
    <mergeCell ref="K363:K364"/>
    <mergeCell ref="L363:L364"/>
    <mergeCell ref="D353:D354"/>
    <mergeCell ref="E353:E354"/>
    <mergeCell ref="D355:D357"/>
    <mergeCell ref="G363:G364"/>
    <mergeCell ref="H363:H364"/>
    <mergeCell ref="I363:I364"/>
    <mergeCell ref="J363:J364"/>
    <mergeCell ref="F363:F364"/>
    <mergeCell ref="H353:H354"/>
    <mergeCell ref="I353:I354"/>
    <mergeCell ref="J353:J354"/>
    <mergeCell ref="D348:D350"/>
    <mergeCell ref="B353:B354"/>
    <mergeCell ref="C353:C354"/>
    <mergeCell ref="D345:D347"/>
    <mergeCell ref="B345:B350"/>
    <mergeCell ref="C345:C350"/>
    <mergeCell ref="D358:D360"/>
    <mergeCell ref="B355:B360"/>
    <mergeCell ref="C355:C360"/>
    <mergeCell ref="I330:I331"/>
    <mergeCell ref="J330:J331"/>
    <mergeCell ref="K330:K331"/>
    <mergeCell ref="L330:L331"/>
    <mergeCell ref="J343:J344"/>
    <mergeCell ref="K343:K344"/>
    <mergeCell ref="L343:L344"/>
    <mergeCell ref="F343:F344"/>
    <mergeCell ref="G343:G344"/>
    <mergeCell ref="H343:H344"/>
    <mergeCell ref="I343:I344"/>
    <mergeCell ref="B330:B331"/>
    <mergeCell ref="C330:C331"/>
    <mergeCell ref="D322:D324"/>
    <mergeCell ref="F330:F331"/>
    <mergeCell ref="G330:G331"/>
    <mergeCell ref="H330:H331"/>
    <mergeCell ref="B341:D341"/>
    <mergeCell ref="B343:B344"/>
    <mergeCell ref="C343:C344"/>
    <mergeCell ref="D332:D334"/>
    <mergeCell ref="D330:D331"/>
    <mergeCell ref="E330:E331"/>
    <mergeCell ref="D335:D337"/>
    <mergeCell ref="B332:B337"/>
    <mergeCell ref="C332:C337"/>
    <mergeCell ref="D343:D344"/>
    <mergeCell ref="E343:E344"/>
    <mergeCell ref="B320:B321"/>
    <mergeCell ref="C320:C321"/>
    <mergeCell ref="D312:D314"/>
    <mergeCell ref="B322:B327"/>
    <mergeCell ref="C322:C327"/>
    <mergeCell ref="G320:G321"/>
    <mergeCell ref="H320:H321"/>
    <mergeCell ref="I320:I321"/>
    <mergeCell ref="J320:J321"/>
    <mergeCell ref="F320:F321"/>
    <mergeCell ref="D325:D327"/>
    <mergeCell ref="H310:H311"/>
    <mergeCell ref="I310:I311"/>
    <mergeCell ref="J310:J311"/>
    <mergeCell ref="K310:K311"/>
    <mergeCell ref="L310:L311"/>
    <mergeCell ref="F310:F311"/>
    <mergeCell ref="G310:G311"/>
    <mergeCell ref="D320:D321"/>
    <mergeCell ref="E320:E321"/>
    <mergeCell ref="K320:K321"/>
    <mergeCell ref="L320:L321"/>
    <mergeCell ref="D310:D311"/>
    <mergeCell ref="E310:E311"/>
    <mergeCell ref="D302:D304"/>
    <mergeCell ref="B308:D308"/>
    <mergeCell ref="B310:B311"/>
    <mergeCell ref="C310:C311"/>
    <mergeCell ref="D299:D301"/>
    <mergeCell ref="D315:D317"/>
    <mergeCell ref="B312:B317"/>
    <mergeCell ref="C312:C317"/>
    <mergeCell ref="B297:B298"/>
    <mergeCell ref="C297:C298"/>
    <mergeCell ref="B299:B304"/>
    <mergeCell ref="C299:C304"/>
    <mergeCell ref="K287:K288"/>
    <mergeCell ref="L287:L288"/>
    <mergeCell ref="F287:F288"/>
    <mergeCell ref="G287:G288"/>
    <mergeCell ref="D297:D298"/>
    <mergeCell ref="E297:E298"/>
    <mergeCell ref="K297:K298"/>
    <mergeCell ref="L297:L298"/>
    <mergeCell ref="D287:D288"/>
    <mergeCell ref="E287:E288"/>
    <mergeCell ref="D289:D291"/>
    <mergeCell ref="G297:G298"/>
    <mergeCell ref="H297:H298"/>
    <mergeCell ref="I297:I298"/>
    <mergeCell ref="J297:J298"/>
    <mergeCell ref="F297:F298"/>
    <mergeCell ref="H287:H288"/>
    <mergeCell ref="I287:I288"/>
    <mergeCell ref="J287:J288"/>
    <mergeCell ref="D282:D284"/>
    <mergeCell ref="B287:B288"/>
    <mergeCell ref="C287:C288"/>
    <mergeCell ref="D279:D281"/>
    <mergeCell ref="B279:B284"/>
    <mergeCell ref="C279:C284"/>
    <mergeCell ref="D292:D294"/>
    <mergeCell ref="B289:B294"/>
    <mergeCell ref="C289:C294"/>
    <mergeCell ref="I264:I265"/>
    <mergeCell ref="J264:J265"/>
    <mergeCell ref="K264:K265"/>
    <mergeCell ref="L264:L265"/>
    <mergeCell ref="J277:J278"/>
    <mergeCell ref="K277:K278"/>
    <mergeCell ref="L277:L278"/>
    <mergeCell ref="F277:F278"/>
    <mergeCell ref="G277:G278"/>
    <mergeCell ref="H277:H278"/>
    <mergeCell ref="I277:I278"/>
    <mergeCell ref="B264:B265"/>
    <mergeCell ref="C264:C265"/>
    <mergeCell ref="D256:D258"/>
    <mergeCell ref="F264:F265"/>
    <mergeCell ref="G264:G265"/>
    <mergeCell ref="H264:H265"/>
    <mergeCell ref="B275:D275"/>
    <mergeCell ref="B277:B278"/>
    <mergeCell ref="C277:C278"/>
    <mergeCell ref="D266:D268"/>
    <mergeCell ref="D264:D265"/>
    <mergeCell ref="E264:E265"/>
    <mergeCell ref="D269:D271"/>
    <mergeCell ref="B266:B271"/>
    <mergeCell ref="C266:C271"/>
    <mergeCell ref="D277:D278"/>
    <mergeCell ref="E277:E278"/>
    <mergeCell ref="B254:B255"/>
    <mergeCell ref="C254:C255"/>
    <mergeCell ref="D246:D248"/>
    <mergeCell ref="B256:B261"/>
    <mergeCell ref="C256:C261"/>
    <mergeCell ref="G254:G255"/>
    <mergeCell ref="H254:H255"/>
    <mergeCell ref="I254:I255"/>
    <mergeCell ref="J254:J255"/>
    <mergeCell ref="F254:F255"/>
    <mergeCell ref="D259:D261"/>
    <mergeCell ref="H244:H245"/>
    <mergeCell ref="I244:I245"/>
    <mergeCell ref="J244:J245"/>
    <mergeCell ref="K244:K245"/>
    <mergeCell ref="L244:L245"/>
    <mergeCell ref="F244:F245"/>
    <mergeCell ref="G244:G245"/>
    <mergeCell ref="D254:D255"/>
    <mergeCell ref="E254:E255"/>
    <mergeCell ref="K254:K255"/>
    <mergeCell ref="L254:L255"/>
    <mergeCell ref="D244:D245"/>
    <mergeCell ref="E244:E245"/>
    <mergeCell ref="D236:D238"/>
    <mergeCell ref="B242:D242"/>
    <mergeCell ref="B244:B245"/>
    <mergeCell ref="C244:C245"/>
    <mergeCell ref="D233:D235"/>
    <mergeCell ref="D249:D251"/>
    <mergeCell ref="B246:B251"/>
    <mergeCell ref="C246:C251"/>
    <mergeCell ref="B231:B232"/>
    <mergeCell ref="C231:C232"/>
    <mergeCell ref="B233:B238"/>
    <mergeCell ref="C233:C238"/>
    <mergeCell ref="K221:K222"/>
    <mergeCell ref="L221:L222"/>
    <mergeCell ref="F221:F222"/>
    <mergeCell ref="G221:G222"/>
    <mergeCell ref="D231:D232"/>
    <mergeCell ref="E231:E232"/>
    <mergeCell ref="K231:K232"/>
    <mergeCell ref="L231:L232"/>
    <mergeCell ref="D221:D222"/>
    <mergeCell ref="E221:E222"/>
    <mergeCell ref="D223:D225"/>
    <mergeCell ref="G231:G232"/>
    <mergeCell ref="H231:H232"/>
    <mergeCell ref="I231:I232"/>
    <mergeCell ref="J231:J232"/>
    <mergeCell ref="F231:F232"/>
    <mergeCell ref="H221:H222"/>
    <mergeCell ref="I221:I222"/>
    <mergeCell ref="J221:J222"/>
    <mergeCell ref="D216:D218"/>
    <mergeCell ref="B221:B222"/>
    <mergeCell ref="C221:C222"/>
    <mergeCell ref="D213:D215"/>
    <mergeCell ref="B213:B218"/>
    <mergeCell ref="C213:C218"/>
    <mergeCell ref="D226:D228"/>
    <mergeCell ref="B223:B228"/>
    <mergeCell ref="C223:C228"/>
    <mergeCell ref="I198:I199"/>
    <mergeCell ref="J198:J199"/>
    <mergeCell ref="K198:K199"/>
    <mergeCell ref="L198:L199"/>
    <mergeCell ref="J211:J212"/>
    <mergeCell ref="K211:K212"/>
    <mergeCell ref="L211:L212"/>
    <mergeCell ref="F211:F212"/>
    <mergeCell ref="G211:G212"/>
    <mergeCell ref="H211:H212"/>
    <mergeCell ref="I211:I212"/>
    <mergeCell ref="B198:B199"/>
    <mergeCell ref="C198:C199"/>
    <mergeCell ref="D190:D192"/>
    <mergeCell ref="F198:F199"/>
    <mergeCell ref="G198:G199"/>
    <mergeCell ref="H198:H199"/>
    <mergeCell ref="B209:D209"/>
    <mergeCell ref="B211:B212"/>
    <mergeCell ref="C211:C212"/>
    <mergeCell ref="D200:D202"/>
    <mergeCell ref="D198:D199"/>
    <mergeCell ref="E198:E199"/>
    <mergeCell ref="D203:D205"/>
    <mergeCell ref="B200:B205"/>
    <mergeCell ref="C200:C205"/>
    <mergeCell ref="D211:D212"/>
    <mergeCell ref="E211:E212"/>
    <mergeCell ref="B188:B189"/>
    <mergeCell ref="C188:C189"/>
    <mergeCell ref="D180:D182"/>
    <mergeCell ref="B190:B195"/>
    <mergeCell ref="C190:C195"/>
    <mergeCell ref="G188:G189"/>
    <mergeCell ref="H188:H189"/>
    <mergeCell ref="I188:I189"/>
    <mergeCell ref="J188:J189"/>
    <mergeCell ref="F188:F189"/>
    <mergeCell ref="D193:D195"/>
    <mergeCell ref="H178:H179"/>
    <mergeCell ref="I178:I179"/>
    <mergeCell ref="J178:J179"/>
    <mergeCell ref="K178:K179"/>
    <mergeCell ref="L178:L179"/>
    <mergeCell ref="F178:F179"/>
    <mergeCell ref="G178:G179"/>
    <mergeCell ref="D188:D189"/>
    <mergeCell ref="E188:E189"/>
    <mergeCell ref="K188:K189"/>
    <mergeCell ref="L188:L189"/>
    <mergeCell ref="D178:D179"/>
    <mergeCell ref="E178:E179"/>
    <mergeCell ref="B176:D176"/>
    <mergeCell ref="B178:B179"/>
    <mergeCell ref="C178:C179"/>
    <mergeCell ref="D167:D169"/>
    <mergeCell ref="D183:D185"/>
    <mergeCell ref="B180:B185"/>
    <mergeCell ref="C180:C185"/>
    <mergeCell ref="B165:B166"/>
    <mergeCell ref="C165:C166"/>
    <mergeCell ref="B167:B172"/>
    <mergeCell ref="C167:C172"/>
    <mergeCell ref="G165:G166"/>
    <mergeCell ref="H165:H166"/>
    <mergeCell ref="I165:I166"/>
    <mergeCell ref="J165:J166"/>
    <mergeCell ref="F165:F166"/>
    <mergeCell ref="I155:I156"/>
    <mergeCell ref="J155:J156"/>
    <mergeCell ref="D170:D172"/>
    <mergeCell ref="L155:L156"/>
    <mergeCell ref="F155:F156"/>
    <mergeCell ref="G155:G156"/>
    <mergeCell ref="H155:H156"/>
    <mergeCell ref="D165:D166"/>
    <mergeCell ref="E165:E166"/>
    <mergeCell ref="K165:K166"/>
    <mergeCell ref="L165:L166"/>
    <mergeCell ref="D155:D156"/>
    <mergeCell ref="E155:E156"/>
    <mergeCell ref="D157:D159"/>
    <mergeCell ref="B155:B156"/>
    <mergeCell ref="C155:C156"/>
    <mergeCell ref="D147:D149"/>
    <mergeCell ref="D160:D162"/>
    <mergeCell ref="B157:B162"/>
    <mergeCell ref="C157:C162"/>
    <mergeCell ref="B145:B146"/>
    <mergeCell ref="C145:C146"/>
    <mergeCell ref="K155:K156"/>
    <mergeCell ref="B147:B152"/>
    <mergeCell ref="C147:C152"/>
    <mergeCell ref="G145:G146"/>
    <mergeCell ref="H145:H146"/>
    <mergeCell ref="I145:I146"/>
    <mergeCell ref="J145:J146"/>
    <mergeCell ref="F145:F146"/>
    <mergeCell ref="D150:D152"/>
    <mergeCell ref="L132:L133"/>
    <mergeCell ref="F132:F133"/>
    <mergeCell ref="G132:G133"/>
    <mergeCell ref="H132:H133"/>
    <mergeCell ref="D145:D146"/>
    <mergeCell ref="E145:E146"/>
    <mergeCell ref="K145:K146"/>
    <mergeCell ref="L145:L146"/>
    <mergeCell ref="D132:D133"/>
    <mergeCell ref="E132:E133"/>
    <mergeCell ref="D134:D136"/>
    <mergeCell ref="B132:B133"/>
    <mergeCell ref="C132:C133"/>
    <mergeCell ref="D124:D126"/>
    <mergeCell ref="D137:D139"/>
    <mergeCell ref="B134:B139"/>
    <mergeCell ref="C134:C139"/>
    <mergeCell ref="B122:B123"/>
    <mergeCell ref="C122:C123"/>
    <mergeCell ref="K132:K133"/>
    <mergeCell ref="B124:B129"/>
    <mergeCell ref="C124:C129"/>
    <mergeCell ref="G122:G123"/>
    <mergeCell ref="H122:H123"/>
    <mergeCell ref="I122:I123"/>
    <mergeCell ref="J122:J123"/>
    <mergeCell ref="F122:F123"/>
    <mergeCell ref="I132:I133"/>
    <mergeCell ref="J132:J133"/>
    <mergeCell ref="H112:H113"/>
    <mergeCell ref="I112:I113"/>
    <mergeCell ref="J112:J113"/>
    <mergeCell ref="D127:D129"/>
    <mergeCell ref="K112:K113"/>
    <mergeCell ref="L112:L113"/>
    <mergeCell ref="F112:F113"/>
    <mergeCell ref="G112:G113"/>
    <mergeCell ref="D122:D123"/>
    <mergeCell ref="E122:E123"/>
    <mergeCell ref="K122:K123"/>
    <mergeCell ref="L122:L123"/>
    <mergeCell ref="D112:D113"/>
    <mergeCell ref="E112:E113"/>
    <mergeCell ref="D114:D116"/>
    <mergeCell ref="D104:D106"/>
    <mergeCell ref="B110:D110"/>
    <mergeCell ref="B112:B113"/>
    <mergeCell ref="C112:C113"/>
    <mergeCell ref="D101:D103"/>
    <mergeCell ref="D117:D119"/>
    <mergeCell ref="B114:B119"/>
    <mergeCell ref="C114:C119"/>
    <mergeCell ref="B99:B100"/>
    <mergeCell ref="C99:C100"/>
    <mergeCell ref="B101:B106"/>
    <mergeCell ref="C101:C106"/>
    <mergeCell ref="K89:K90"/>
    <mergeCell ref="L89:L90"/>
    <mergeCell ref="F89:F90"/>
    <mergeCell ref="G89:G90"/>
    <mergeCell ref="D99:D100"/>
    <mergeCell ref="E99:E100"/>
    <mergeCell ref="K99:K100"/>
    <mergeCell ref="L99:L100"/>
    <mergeCell ref="D89:D90"/>
    <mergeCell ref="E89:E90"/>
    <mergeCell ref="D91:D93"/>
    <mergeCell ref="G99:G100"/>
    <mergeCell ref="H99:H100"/>
    <mergeCell ref="I99:I100"/>
    <mergeCell ref="J99:J100"/>
    <mergeCell ref="F99:F100"/>
    <mergeCell ref="H89:H90"/>
    <mergeCell ref="I89:I90"/>
    <mergeCell ref="J89:J90"/>
    <mergeCell ref="D84:D86"/>
    <mergeCell ref="B89:B90"/>
    <mergeCell ref="C89:C90"/>
    <mergeCell ref="D81:D83"/>
    <mergeCell ref="B81:B86"/>
    <mergeCell ref="C81:C86"/>
    <mergeCell ref="D94:D96"/>
    <mergeCell ref="B91:B96"/>
    <mergeCell ref="C91:C96"/>
    <mergeCell ref="I66:I67"/>
    <mergeCell ref="J66:J67"/>
    <mergeCell ref="K66:K67"/>
    <mergeCell ref="L66:L67"/>
    <mergeCell ref="J79:J80"/>
    <mergeCell ref="K79:K80"/>
    <mergeCell ref="L79:L80"/>
    <mergeCell ref="F79:F80"/>
    <mergeCell ref="G79:G80"/>
    <mergeCell ref="H79:H80"/>
    <mergeCell ref="I79:I80"/>
    <mergeCell ref="B66:B67"/>
    <mergeCell ref="C66:C67"/>
    <mergeCell ref="D58:D60"/>
    <mergeCell ref="F66:F67"/>
    <mergeCell ref="G66:G67"/>
    <mergeCell ref="H66:H67"/>
    <mergeCell ref="B77:D77"/>
    <mergeCell ref="B79:B80"/>
    <mergeCell ref="C79:C80"/>
    <mergeCell ref="D68:D70"/>
    <mergeCell ref="D66:D67"/>
    <mergeCell ref="E66:E67"/>
    <mergeCell ref="D71:D73"/>
    <mergeCell ref="B68:B73"/>
    <mergeCell ref="C68:C73"/>
    <mergeCell ref="D79:D80"/>
    <mergeCell ref="E79:E80"/>
    <mergeCell ref="B56:B57"/>
    <mergeCell ref="C56:C57"/>
    <mergeCell ref="D48:D50"/>
    <mergeCell ref="B58:B63"/>
    <mergeCell ref="C58:C63"/>
    <mergeCell ref="G56:G57"/>
    <mergeCell ref="H56:H57"/>
    <mergeCell ref="I56:I57"/>
    <mergeCell ref="J56:J57"/>
    <mergeCell ref="F56:F57"/>
    <mergeCell ref="D61:D63"/>
    <mergeCell ref="H46:H47"/>
    <mergeCell ref="I46:I47"/>
    <mergeCell ref="J46:J47"/>
    <mergeCell ref="K46:K47"/>
    <mergeCell ref="L46:L47"/>
    <mergeCell ref="F46:F47"/>
    <mergeCell ref="G46:G47"/>
    <mergeCell ref="D56:D57"/>
    <mergeCell ref="E56:E57"/>
    <mergeCell ref="K56:K57"/>
    <mergeCell ref="L56:L57"/>
    <mergeCell ref="D46:D47"/>
    <mergeCell ref="E46:E47"/>
    <mergeCell ref="D38:D40"/>
    <mergeCell ref="B44:D44"/>
    <mergeCell ref="B46:B47"/>
    <mergeCell ref="C46:C47"/>
    <mergeCell ref="D35:D37"/>
    <mergeCell ref="D51:D53"/>
    <mergeCell ref="B48:B53"/>
    <mergeCell ref="C48:C53"/>
    <mergeCell ref="B35:B40"/>
    <mergeCell ref="C35:C40"/>
    <mergeCell ref="B33:B34"/>
    <mergeCell ref="C33:C34"/>
    <mergeCell ref="D25:D27"/>
    <mergeCell ref="L23:L24"/>
    <mergeCell ref="F23:F24"/>
    <mergeCell ref="G23:G24"/>
    <mergeCell ref="H23:H24"/>
    <mergeCell ref="K23:K24"/>
    <mergeCell ref="D23:D24"/>
    <mergeCell ref="E23:E24"/>
    <mergeCell ref="G33:G34"/>
    <mergeCell ref="H33:H34"/>
    <mergeCell ref="I33:I34"/>
    <mergeCell ref="J33:J34"/>
    <mergeCell ref="K33:K34"/>
    <mergeCell ref="L33:L34"/>
    <mergeCell ref="F33:F34"/>
    <mergeCell ref="D33:D34"/>
    <mergeCell ref="E33:E34"/>
    <mergeCell ref="D18:D20"/>
    <mergeCell ref="B23:B24"/>
    <mergeCell ref="C23:C24"/>
    <mergeCell ref="D15:D17"/>
    <mergeCell ref="D28:D30"/>
    <mergeCell ref="B25:B30"/>
    <mergeCell ref="C25:C30"/>
    <mergeCell ref="I23:I24"/>
    <mergeCell ref="J23:J24"/>
    <mergeCell ref="B15:B20"/>
    <mergeCell ref="C15:C20"/>
    <mergeCell ref="G13:G14"/>
    <mergeCell ref="H13:H14"/>
    <mergeCell ref="I13:I14"/>
    <mergeCell ref="J13:J14"/>
    <mergeCell ref="K13:K14"/>
    <mergeCell ref="L13:L14"/>
    <mergeCell ref="F13:F14"/>
    <mergeCell ref="B1:B5"/>
    <mergeCell ref="C1:D5"/>
    <mergeCell ref="D13:D14"/>
    <mergeCell ref="E13:E14"/>
    <mergeCell ref="C6:D6"/>
    <mergeCell ref="B8:D8"/>
    <mergeCell ref="B11:D11"/>
    <mergeCell ref="B13:B14"/>
    <mergeCell ref="C13:C14"/>
  </mergeCells>
  <conditionalFormatting sqref="E28:E29">
    <cfRule type="expression" dxfId="3" priority="34">
      <formula>#REF!=0</formula>
    </cfRule>
  </conditionalFormatting>
  <conditionalFormatting sqref="E38:E39">
    <cfRule type="expression" dxfId="2" priority="33">
      <formula>#REF!=0</formula>
    </cfRule>
  </conditionalFormatting>
  <conditionalFormatting sqref="E61:E62">
    <cfRule type="expression" dxfId="1" priority="32">
      <formula>#REF!=0</formula>
    </cfRule>
  </conditionalFormatting>
  <conditionalFormatting sqref="E71:E72">
    <cfRule type="expression" dxfId="0" priority="31">
      <formula>#REF!=0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CDC 2025</vt:lpstr>
      <vt:lpstr>25 minutos desagregado</vt:lpstr>
      <vt:lpstr>'CDC 2025'!Área_de_impresión</vt:lpstr>
      <vt:lpstr>'CDC 2025'!Títulos_a_imprimir</vt:lpstr>
    </vt:vector>
  </TitlesOfParts>
  <Manager/>
  <Company>IPS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Operaciones</dc:title>
  <dc:subject/>
  <dc:creator>Salvador Aguilera</dc:creator>
  <cp:keywords/>
  <dc:description/>
  <cp:lastModifiedBy>Jacqueline Josette Saez Saez</cp:lastModifiedBy>
  <cp:revision/>
  <dcterms:created xsi:type="dcterms:W3CDTF">2008-08-20T14:03:15Z</dcterms:created>
  <dcterms:modified xsi:type="dcterms:W3CDTF">2026-02-02T13:51:37Z</dcterms:modified>
  <cp:category/>
  <cp:contentStatus/>
</cp:coreProperties>
</file>