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86" documentId="8_{407CE4E2-5719-4563-89AF-6532854358CC}" xr6:coauthVersionLast="47" xr6:coauthVersionMax="47" xr10:uidLastSave="{24218281-6EA5-429C-B517-1FDE0B2F1890}"/>
  <bookViews>
    <workbookView xWindow="-110" yWindow="-110" windowWidth="19420" windowHeight="11500" xr2:uid="{00000000-000D-0000-FFFF-FFFF00000000}"/>
  </bookViews>
  <sheets>
    <sheet name="CDC 2026" sheetId="1" r:id="rId1"/>
    <sheet name="PMG 2026" sheetId="2" r:id="rId2"/>
    <sheet name="Subtítulos 22 y 29" sheetId="3" r:id="rId3"/>
    <sheet name="Subtítulos 22" sheetId="4" r:id="rId4"/>
  </sheets>
  <definedNames>
    <definedName name="_xlnm._FilterDatabase" localSheetId="0" hidden="1">'CDC 2026'!$A$11:$AM$49</definedName>
    <definedName name="_xlnm._FilterDatabase" localSheetId="2" hidden="1">'Subtítulos 22 y 29'!$A$10:$AL$47</definedName>
    <definedName name="_xlnm.Print_Area" localSheetId="0">'CDC 2026'!$B$1:$AL$12</definedName>
    <definedName name="_xlnm.Print_Titles" localSheetId="0">'CDC 2026'!$1:$12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0" i="1" l="1"/>
  <c r="Q30" i="1" s="1"/>
  <c r="S30" i="1" s="1"/>
  <c r="U30" i="1" s="1"/>
  <c r="W30" i="1" s="1"/>
  <c r="Y30" i="1" s="1"/>
  <c r="AA30" i="1" s="1"/>
  <c r="AC30" i="1" s="1"/>
  <c r="AE30" i="1" s="1"/>
  <c r="AG30" i="1" s="1"/>
  <c r="AI30" i="1" s="1"/>
  <c r="O28" i="1"/>
  <c r="Q28" i="1" s="1"/>
  <c r="S28" i="1" s="1"/>
  <c r="U28" i="1" s="1"/>
  <c r="W28" i="1" s="1"/>
  <c r="Y28" i="1" s="1"/>
  <c r="AA28" i="1" s="1"/>
  <c r="AC28" i="1" s="1"/>
  <c r="AE28" i="1" s="1"/>
  <c r="AG28" i="1" s="1"/>
  <c r="AI28" i="1" s="1"/>
  <c r="K14" i="2" l="1"/>
  <c r="N24" i="2" l="1"/>
  <c r="P24" i="2" s="1"/>
  <c r="R24" i="2" s="1"/>
  <c r="T24" i="2" s="1"/>
  <c r="V24" i="2" s="1"/>
  <c r="X24" i="2" s="1"/>
  <c r="Z24" i="2" s="1"/>
  <c r="AB24" i="2" s="1"/>
  <c r="AD24" i="2" s="1"/>
  <c r="AF24" i="2" s="1"/>
  <c r="N22" i="2"/>
  <c r="P22" i="2" s="1"/>
  <c r="R22" i="2" s="1"/>
  <c r="T22" i="2" s="1"/>
  <c r="V22" i="2" s="1"/>
  <c r="X22" i="2" s="1"/>
  <c r="Z22" i="2" s="1"/>
  <c r="AB22" i="2" s="1"/>
  <c r="AD22" i="2" s="1"/>
  <c r="AF22" i="2" s="1"/>
  <c r="AH24" i="2" l="1"/>
  <c r="N20" i="2"/>
  <c r="AG20" i="2"/>
  <c r="AE20" i="2"/>
  <c r="AC20" i="2"/>
  <c r="AA20" i="2"/>
  <c r="Y20" i="2"/>
  <c r="W20" i="2"/>
  <c r="U20" i="2"/>
  <c r="S20" i="2"/>
  <c r="Q20" i="2"/>
  <c r="O20" i="2"/>
  <c r="M20" i="2"/>
  <c r="L20" i="2"/>
  <c r="K20" i="2"/>
  <c r="I19" i="2" s="1"/>
  <c r="J49" i="1"/>
  <c r="L44" i="1"/>
  <c r="L14" i="1"/>
  <c r="I13" i="1" s="1"/>
  <c r="AH22" i="2" l="1"/>
  <c r="AH20" i="2" s="1"/>
  <c r="AI22" i="2" s="1"/>
  <c r="O42" i="1"/>
  <c r="Q42" i="1" s="1"/>
  <c r="S42" i="1" s="1"/>
  <c r="U42" i="1" s="1"/>
  <c r="W42" i="1" s="1"/>
  <c r="Y42" i="1" s="1"/>
  <c r="AA42" i="1" s="1"/>
  <c r="AC42" i="1" s="1"/>
  <c r="AE42" i="1" s="1"/>
  <c r="AG42" i="1" s="1"/>
  <c r="AI42" i="1" s="1"/>
  <c r="O40" i="1"/>
  <c r="O38" i="1" s="1"/>
  <c r="AH38" i="1"/>
  <c r="AF38" i="1"/>
  <c r="AD38" i="1"/>
  <c r="AB38" i="1"/>
  <c r="Z38" i="1"/>
  <c r="X38" i="1"/>
  <c r="V38" i="1"/>
  <c r="T38" i="1"/>
  <c r="R38" i="1"/>
  <c r="P38" i="1"/>
  <c r="N38" i="1"/>
  <c r="M38" i="1"/>
  <c r="L38" i="1"/>
  <c r="I37" i="1" s="1"/>
  <c r="N45" i="3"/>
  <c r="N43" i="3" s="1"/>
  <c r="AG43" i="3"/>
  <c r="AE43" i="3"/>
  <c r="AC43" i="3"/>
  <c r="AA43" i="3"/>
  <c r="Y43" i="3"/>
  <c r="W43" i="3"/>
  <c r="U43" i="3"/>
  <c r="S43" i="3"/>
  <c r="Q43" i="3"/>
  <c r="O43" i="3"/>
  <c r="M43" i="3"/>
  <c r="L43" i="3"/>
  <c r="K43" i="3"/>
  <c r="N39" i="3"/>
  <c r="N37" i="3" s="1"/>
  <c r="AG37" i="3"/>
  <c r="AE37" i="3"/>
  <c r="AC37" i="3"/>
  <c r="AA37" i="3"/>
  <c r="Y37" i="3"/>
  <c r="W37" i="3"/>
  <c r="U37" i="3"/>
  <c r="S37" i="3"/>
  <c r="Q37" i="3"/>
  <c r="O37" i="3"/>
  <c r="M37" i="3"/>
  <c r="L37" i="3"/>
  <c r="K37" i="3"/>
  <c r="N33" i="3"/>
  <c r="N31" i="3" s="1"/>
  <c r="AG31" i="3"/>
  <c r="AE31" i="3"/>
  <c r="AC31" i="3"/>
  <c r="AA31" i="3"/>
  <c r="Y31" i="3"/>
  <c r="W31" i="3"/>
  <c r="U31" i="3"/>
  <c r="S31" i="3"/>
  <c r="Q31" i="3"/>
  <c r="O31" i="3"/>
  <c r="M31" i="3"/>
  <c r="L31" i="3"/>
  <c r="K31" i="3"/>
  <c r="N27" i="3"/>
  <c r="P27" i="3" s="1"/>
  <c r="AG25" i="3"/>
  <c r="AE25" i="3"/>
  <c r="AC25" i="3"/>
  <c r="AA25" i="3"/>
  <c r="Y25" i="3"/>
  <c r="W25" i="3"/>
  <c r="U25" i="3"/>
  <c r="S25" i="3"/>
  <c r="Q25" i="3"/>
  <c r="O25" i="3"/>
  <c r="M25" i="3"/>
  <c r="L25" i="3"/>
  <c r="K25" i="3"/>
  <c r="N21" i="3"/>
  <c r="P21" i="3" s="1"/>
  <c r="AG19" i="3"/>
  <c r="AE19" i="3"/>
  <c r="AC19" i="3"/>
  <c r="AA19" i="3"/>
  <c r="Y19" i="3"/>
  <c r="W19" i="3"/>
  <c r="U19" i="3"/>
  <c r="S19" i="3"/>
  <c r="Q19" i="3"/>
  <c r="O19" i="3"/>
  <c r="M19" i="3"/>
  <c r="L19" i="3"/>
  <c r="K19" i="3"/>
  <c r="N15" i="3"/>
  <c r="N13" i="3" s="1"/>
  <c r="AG13" i="3"/>
  <c r="AE13" i="3"/>
  <c r="AC13" i="3"/>
  <c r="AA13" i="3"/>
  <c r="Y13" i="3"/>
  <c r="W13" i="3"/>
  <c r="U13" i="3"/>
  <c r="S13" i="3"/>
  <c r="Q13" i="3"/>
  <c r="O13" i="3"/>
  <c r="M13" i="3"/>
  <c r="L13" i="3"/>
  <c r="K13" i="3"/>
  <c r="N25" i="3" l="1"/>
  <c r="N19" i="3"/>
  <c r="Q40" i="1"/>
  <c r="S40" i="1" s="1"/>
  <c r="U40" i="1" s="1"/>
  <c r="W40" i="1" s="1"/>
  <c r="Y40" i="1" s="1"/>
  <c r="AA40" i="1" s="1"/>
  <c r="AC40" i="1" s="1"/>
  <c r="AE40" i="1" s="1"/>
  <c r="AG40" i="1" s="1"/>
  <c r="AI40" i="1" s="1"/>
  <c r="AI38" i="1" s="1"/>
  <c r="AJ40" i="1" s="1"/>
  <c r="P45" i="3"/>
  <c r="P39" i="3"/>
  <c r="P33" i="3"/>
  <c r="R27" i="3"/>
  <c r="P25" i="3"/>
  <c r="R21" i="3"/>
  <c r="P19" i="3"/>
  <c r="P15" i="3"/>
  <c r="R45" i="3" l="1"/>
  <c r="P43" i="3"/>
  <c r="R39" i="3"/>
  <c r="P37" i="3"/>
  <c r="R33" i="3"/>
  <c r="P31" i="3"/>
  <c r="R25" i="3"/>
  <c r="T27" i="3"/>
  <c r="T21" i="3"/>
  <c r="R19" i="3"/>
  <c r="R15" i="3"/>
  <c r="P13" i="3"/>
  <c r="T45" i="3" l="1"/>
  <c r="R43" i="3"/>
  <c r="T39" i="3"/>
  <c r="R37" i="3"/>
  <c r="T33" i="3"/>
  <c r="R31" i="3"/>
  <c r="T25" i="3"/>
  <c r="V27" i="3"/>
  <c r="T19" i="3"/>
  <c r="V21" i="3"/>
  <c r="T15" i="3"/>
  <c r="R13" i="3"/>
  <c r="T43" i="3" l="1"/>
  <c r="V45" i="3"/>
  <c r="T37" i="3"/>
  <c r="V39" i="3"/>
  <c r="V33" i="3"/>
  <c r="T31" i="3"/>
  <c r="X27" i="3"/>
  <c r="V25" i="3"/>
  <c r="V19" i="3"/>
  <c r="X21" i="3"/>
  <c r="T13" i="3"/>
  <c r="V15" i="3"/>
  <c r="V43" i="3" l="1"/>
  <c r="X45" i="3"/>
  <c r="V37" i="3"/>
  <c r="X39" i="3"/>
  <c r="V31" i="3"/>
  <c r="X33" i="3"/>
  <c r="Z27" i="3"/>
  <c r="X25" i="3"/>
  <c r="Z21" i="3"/>
  <c r="X19" i="3"/>
  <c r="V13" i="3"/>
  <c r="X15" i="3"/>
  <c r="Z45" i="3" l="1"/>
  <c r="X43" i="3"/>
  <c r="Z39" i="3"/>
  <c r="X37" i="3"/>
  <c r="X31" i="3"/>
  <c r="Z33" i="3"/>
  <c r="Z25" i="3"/>
  <c r="AB27" i="3"/>
  <c r="AB21" i="3"/>
  <c r="Z19" i="3"/>
  <c r="Z15" i="3"/>
  <c r="X13" i="3"/>
  <c r="AB45" i="3" l="1"/>
  <c r="Z43" i="3"/>
  <c r="AB39" i="3"/>
  <c r="Z37" i="3"/>
  <c r="AB33" i="3"/>
  <c r="Z31" i="3"/>
  <c r="AB25" i="3"/>
  <c r="AD27" i="3"/>
  <c r="AB19" i="3"/>
  <c r="AD21" i="3"/>
  <c r="Z13" i="3"/>
  <c r="AB15" i="3"/>
  <c r="AB43" i="3" l="1"/>
  <c r="AD45" i="3"/>
  <c r="AB37" i="3"/>
  <c r="AD39" i="3"/>
  <c r="AB31" i="3"/>
  <c r="AD33" i="3"/>
  <c r="AF27" i="3"/>
  <c r="AD25" i="3"/>
  <c r="AD19" i="3"/>
  <c r="AF21" i="3"/>
  <c r="AB13" i="3"/>
  <c r="AD15" i="3"/>
  <c r="AD43" i="3" l="1"/>
  <c r="AF45" i="3"/>
  <c r="AD37" i="3"/>
  <c r="AF39" i="3"/>
  <c r="AD31" i="3"/>
  <c r="AF33" i="3"/>
  <c r="AH27" i="3"/>
  <c r="AH25" i="3" s="1"/>
  <c r="AI27" i="3" s="1"/>
  <c r="AF25" i="3"/>
  <c r="AH21" i="3"/>
  <c r="AH19" i="3" s="1"/>
  <c r="AI21" i="3" s="1"/>
  <c r="AF19" i="3"/>
  <c r="AD13" i="3"/>
  <c r="AF15" i="3"/>
  <c r="AH45" i="3" l="1"/>
  <c r="AH43" i="3" s="1"/>
  <c r="AI45" i="3" s="1"/>
  <c r="AF43" i="3"/>
  <c r="AH39" i="3"/>
  <c r="AH37" i="3" s="1"/>
  <c r="AI39" i="3" s="1"/>
  <c r="AF37" i="3"/>
  <c r="AF31" i="3"/>
  <c r="AH33" i="3"/>
  <c r="AH31" i="3" s="1"/>
  <c r="AI33" i="3" s="1"/>
  <c r="AH15" i="3"/>
  <c r="AH13" i="3" s="1"/>
  <c r="AI15" i="3" s="1"/>
  <c r="AF13" i="3"/>
  <c r="O22" i="1" l="1"/>
  <c r="O20" i="1" s="1"/>
  <c r="AH20" i="1"/>
  <c r="AF20" i="1"/>
  <c r="AD20" i="1"/>
  <c r="AB20" i="1"/>
  <c r="Z20" i="1"/>
  <c r="X20" i="1"/>
  <c r="V20" i="1"/>
  <c r="T20" i="1"/>
  <c r="R20" i="1"/>
  <c r="P20" i="1"/>
  <c r="N20" i="1"/>
  <c r="M20" i="1"/>
  <c r="L20" i="1"/>
  <c r="I19" i="1" s="1"/>
  <c r="O46" i="1"/>
  <c r="O44" i="1" s="1"/>
  <c r="AH44" i="1"/>
  <c r="AF44" i="1"/>
  <c r="AD44" i="1"/>
  <c r="AB44" i="1"/>
  <c r="Z44" i="1"/>
  <c r="X44" i="1"/>
  <c r="V44" i="1"/>
  <c r="T44" i="1"/>
  <c r="R44" i="1"/>
  <c r="P44" i="1"/>
  <c r="N44" i="1"/>
  <c r="M44" i="1"/>
  <c r="I43" i="1"/>
  <c r="Q22" i="1" l="1"/>
  <c r="Q46" i="1"/>
  <c r="S22" i="1" l="1"/>
  <c r="Q20" i="1"/>
  <c r="Q44" i="1"/>
  <c r="S46" i="1"/>
  <c r="U22" i="1" l="1"/>
  <c r="S20" i="1"/>
  <c r="U46" i="1"/>
  <c r="S44" i="1"/>
  <c r="U20" i="1" l="1"/>
  <c r="W22" i="1"/>
  <c r="W46" i="1"/>
  <c r="U44" i="1"/>
  <c r="W20" i="1" l="1"/>
  <c r="Y22" i="1"/>
  <c r="Y46" i="1"/>
  <c r="W44" i="1"/>
  <c r="AA22" i="1" l="1"/>
  <c r="Y20" i="1"/>
  <c r="Y44" i="1"/>
  <c r="AA46" i="1"/>
  <c r="AC22" i="1" l="1"/>
  <c r="AA20" i="1"/>
  <c r="AC46" i="1"/>
  <c r="AA44" i="1"/>
  <c r="AC20" i="1" l="1"/>
  <c r="AE22" i="1"/>
  <c r="AC44" i="1"/>
  <c r="AE46" i="1"/>
  <c r="AE20" i="1" l="1"/>
  <c r="AG22" i="1"/>
  <c r="AE44" i="1"/>
  <c r="AG46" i="1"/>
  <c r="AI22" i="1" l="1"/>
  <c r="AI20" i="1" s="1"/>
  <c r="AJ22" i="1" s="1"/>
  <c r="AG20" i="1"/>
  <c r="AG44" i="1"/>
  <c r="AI46" i="1"/>
  <c r="AI44" i="1" s="1"/>
  <c r="AJ46" i="1" s="1"/>
  <c r="N105" i="4" l="1"/>
  <c r="N103" i="4" s="1"/>
  <c r="AG103" i="4"/>
  <c r="AE103" i="4"/>
  <c r="AC103" i="4"/>
  <c r="AA103" i="4"/>
  <c r="Y103" i="4"/>
  <c r="W103" i="4"/>
  <c r="U103" i="4"/>
  <c r="S103" i="4"/>
  <c r="Q103" i="4"/>
  <c r="O103" i="4"/>
  <c r="M103" i="4"/>
  <c r="L103" i="4"/>
  <c r="K103" i="4"/>
  <c r="I102" i="4"/>
  <c r="N99" i="4"/>
  <c r="P99" i="4" s="1"/>
  <c r="AG97" i="4"/>
  <c r="AE97" i="4"/>
  <c r="AC97" i="4"/>
  <c r="AA97" i="4"/>
  <c r="Y97" i="4"/>
  <c r="W97" i="4"/>
  <c r="U97" i="4"/>
  <c r="S97" i="4"/>
  <c r="Q97" i="4"/>
  <c r="O97" i="4"/>
  <c r="M97" i="4"/>
  <c r="L97" i="4"/>
  <c r="K97" i="4"/>
  <c r="I96" i="4" s="1"/>
  <c r="N93" i="4"/>
  <c r="N91" i="4" s="1"/>
  <c r="AG91" i="4"/>
  <c r="AE91" i="4"/>
  <c r="AC91" i="4"/>
  <c r="AA91" i="4"/>
  <c r="Y91" i="4"/>
  <c r="W91" i="4"/>
  <c r="U91" i="4"/>
  <c r="S91" i="4"/>
  <c r="Q91" i="4"/>
  <c r="O91" i="4"/>
  <c r="M91" i="4"/>
  <c r="L91" i="4"/>
  <c r="K91" i="4"/>
  <c r="I90" i="4" s="1"/>
  <c r="N87" i="4"/>
  <c r="N85" i="4" s="1"/>
  <c r="AG85" i="4"/>
  <c r="AE85" i="4"/>
  <c r="AC85" i="4"/>
  <c r="AA85" i="4"/>
  <c r="Y85" i="4"/>
  <c r="W85" i="4"/>
  <c r="U85" i="4"/>
  <c r="S85" i="4"/>
  <c r="Q85" i="4"/>
  <c r="O85" i="4"/>
  <c r="M85" i="4"/>
  <c r="L85" i="4"/>
  <c r="K85" i="4"/>
  <c r="I84" i="4" s="1"/>
  <c r="N81" i="4"/>
  <c r="N79" i="4" s="1"/>
  <c r="AG79" i="4"/>
  <c r="AE79" i="4"/>
  <c r="AC79" i="4"/>
  <c r="AA79" i="4"/>
  <c r="Y79" i="4"/>
  <c r="W79" i="4"/>
  <c r="U79" i="4"/>
  <c r="S79" i="4"/>
  <c r="Q79" i="4"/>
  <c r="O79" i="4"/>
  <c r="M79" i="4"/>
  <c r="L79" i="4"/>
  <c r="K79" i="4"/>
  <c r="I78" i="4"/>
  <c r="N97" i="4" l="1"/>
  <c r="P105" i="4"/>
  <c r="R99" i="4"/>
  <c r="P97" i="4"/>
  <c r="P93" i="4"/>
  <c r="P87" i="4"/>
  <c r="P81" i="4"/>
  <c r="R105" i="4" l="1"/>
  <c r="P103" i="4"/>
  <c r="T99" i="4"/>
  <c r="R97" i="4"/>
  <c r="R93" i="4"/>
  <c r="P91" i="4"/>
  <c r="R87" i="4"/>
  <c r="P85" i="4"/>
  <c r="P79" i="4"/>
  <c r="R81" i="4"/>
  <c r="T105" i="4" l="1"/>
  <c r="R103" i="4"/>
  <c r="T97" i="4"/>
  <c r="V99" i="4"/>
  <c r="T93" i="4"/>
  <c r="R91" i="4"/>
  <c r="T87" i="4"/>
  <c r="R85" i="4"/>
  <c r="T81" i="4"/>
  <c r="R79" i="4"/>
  <c r="T103" i="4" l="1"/>
  <c r="V105" i="4"/>
  <c r="X99" i="4"/>
  <c r="V97" i="4"/>
  <c r="T91" i="4"/>
  <c r="V93" i="4"/>
  <c r="T85" i="4"/>
  <c r="V87" i="4"/>
  <c r="V81" i="4"/>
  <c r="T79" i="4"/>
  <c r="V103" i="4" l="1"/>
  <c r="X105" i="4"/>
  <c r="X97" i="4"/>
  <c r="Z99" i="4"/>
  <c r="V91" i="4"/>
  <c r="X93" i="4"/>
  <c r="V85" i="4"/>
  <c r="X87" i="4"/>
  <c r="V79" i="4"/>
  <c r="X81" i="4"/>
  <c r="X103" i="4" l="1"/>
  <c r="Z105" i="4"/>
  <c r="AB99" i="4"/>
  <c r="Z97" i="4"/>
  <c r="Z93" i="4"/>
  <c r="X91" i="4"/>
  <c r="Z87" i="4"/>
  <c r="X85" i="4"/>
  <c r="Z81" i="4"/>
  <c r="X79" i="4"/>
  <c r="AB105" i="4" l="1"/>
  <c r="Z103" i="4"/>
  <c r="AD99" i="4"/>
  <c r="AB97" i="4"/>
  <c r="AB93" i="4"/>
  <c r="Z91" i="4"/>
  <c r="AB87" i="4"/>
  <c r="Z85" i="4"/>
  <c r="AB81" i="4"/>
  <c r="Z79" i="4"/>
  <c r="AB103" i="4" l="1"/>
  <c r="AD105" i="4"/>
  <c r="AF99" i="4"/>
  <c r="AD97" i="4"/>
  <c r="AB91" i="4"/>
  <c r="AD93" i="4"/>
  <c r="AB85" i="4"/>
  <c r="AD87" i="4"/>
  <c r="AB79" i="4"/>
  <c r="AD81" i="4"/>
  <c r="AD103" i="4" l="1"/>
  <c r="AF105" i="4"/>
  <c r="AH99" i="4"/>
  <c r="AH97" i="4" s="1"/>
  <c r="AI99" i="4" s="1"/>
  <c r="AF97" i="4"/>
  <c r="AD91" i="4"/>
  <c r="AF93" i="4"/>
  <c r="AD85" i="4"/>
  <c r="AF87" i="4"/>
  <c r="AD79" i="4"/>
  <c r="AF81" i="4"/>
  <c r="AH105" i="4" l="1"/>
  <c r="AH103" i="4" s="1"/>
  <c r="AI105" i="4" s="1"/>
  <c r="AF103" i="4"/>
  <c r="AF91" i="4"/>
  <c r="AH93" i="4"/>
  <c r="AH91" i="4" s="1"/>
  <c r="AI93" i="4" s="1"/>
  <c r="AH87" i="4"/>
  <c r="AH85" i="4" s="1"/>
  <c r="AI87" i="4" s="1"/>
  <c r="AF85" i="4"/>
  <c r="AH81" i="4"/>
  <c r="AH79" i="4" s="1"/>
  <c r="AI81" i="4" s="1"/>
  <c r="AF79" i="4"/>
  <c r="N75" i="4" l="1"/>
  <c r="N73" i="4" s="1"/>
  <c r="AG73" i="4"/>
  <c r="AE73" i="4"/>
  <c r="AC73" i="4"/>
  <c r="AA73" i="4"/>
  <c r="Y73" i="4"/>
  <c r="W73" i="4"/>
  <c r="U73" i="4"/>
  <c r="S73" i="4"/>
  <c r="Q73" i="4"/>
  <c r="O73" i="4"/>
  <c r="M73" i="4"/>
  <c r="L73" i="4"/>
  <c r="K73" i="4"/>
  <c r="I72" i="4" s="1"/>
  <c r="N69" i="4"/>
  <c r="N67" i="4" s="1"/>
  <c r="AG67" i="4"/>
  <c r="AE67" i="4"/>
  <c r="AC67" i="4"/>
  <c r="AA67" i="4"/>
  <c r="Y67" i="4"/>
  <c r="W67" i="4"/>
  <c r="U67" i="4"/>
  <c r="S67" i="4"/>
  <c r="Q67" i="4"/>
  <c r="O67" i="4"/>
  <c r="M67" i="4"/>
  <c r="L67" i="4"/>
  <c r="K67" i="4"/>
  <c r="I66" i="4" s="1"/>
  <c r="N63" i="4"/>
  <c r="N61" i="4" s="1"/>
  <c r="AG61" i="4"/>
  <c r="AE61" i="4"/>
  <c r="AC61" i="4"/>
  <c r="AA61" i="4"/>
  <c r="Y61" i="4"/>
  <c r="W61" i="4"/>
  <c r="U61" i="4"/>
  <c r="S61" i="4"/>
  <c r="Q61" i="4"/>
  <c r="O61" i="4"/>
  <c r="M61" i="4"/>
  <c r="L61" i="4"/>
  <c r="K61" i="4"/>
  <c r="I60" i="4"/>
  <c r="N57" i="4"/>
  <c r="N55" i="4" s="1"/>
  <c r="AG55" i="4"/>
  <c r="AE55" i="4"/>
  <c r="AC55" i="4"/>
  <c r="AA55" i="4"/>
  <c r="Y55" i="4"/>
  <c r="W55" i="4"/>
  <c r="U55" i="4"/>
  <c r="S55" i="4"/>
  <c r="Q55" i="4"/>
  <c r="O55" i="4"/>
  <c r="M55" i="4"/>
  <c r="L55" i="4"/>
  <c r="K55" i="4"/>
  <c r="I54" i="4"/>
  <c r="N51" i="4"/>
  <c r="N49" i="4" s="1"/>
  <c r="AG49" i="4"/>
  <c r="AE49" i="4"/>
  <c r="AC49" i="4"/>
  <c r="AA49" i="4"/>
  <c r="Y49" i="4"/>
  <c r="W49" i="4"/>
  <c r="U49" i="4"/>
  <c r="S49" i="4"/>
  <c r="Q49" i="4"/>
  <c r="O49" i="4"/>
  <c r="M49" i="4"/>
  <c r="L49" i="4"/>
  <c r="K49" i="4"/>
  <c r="I48" i="4" s="1"/>
  <c r="P75" i="4" l="1"/>
  <c r="P69" i="4"/>
  <c r="P63" i="4"/>
  <c r="P57" i="4"/>
  <c r="P51" i="4"/>
  <c r="R75" i="4" l="1"/>
  <c r="P73" i="4"/>
  <c r="R69" i="4"/>
  <c r="P67" i="4"/>
  <c r="R63" i="4"/>
  <c r="P61" i="4"/>
  <c r="P55" i="4"/>
  <c r="R57" i="4"/>
  <c r="R51" i="4"/>
  <c r="P49" i="4"/>
  <c r="T75" i="4" l="1"/>
  <c r="R73" i="4"/>
  <c r="T69" i="4"/>
  <c r="R67" i="4"/>
  <c r="T63" i="4"/>
  <c r="R61" i="4"/>
  <c r="T57" i="4"/>
  <c r="R55" i="4"/>
  <c r="T51" i="4"/>
  <c r="R49" i="4"/>
  <c r="T73" i="4" l="1"/>
  <c r="V75" i="4"/>
  <c r="V69" i="4"/>
  <c r="T67" i="4"/>
  <c r="T61" i="4"/>
  <c r="V63" i="4"/>
  <c r="V57" i="4"/>
  <c r="T55" i="4"/>
  <c r="T49" i="4"/>
  <c r="V51" i="4"/>
  <c r="V73" i="4" l="1"/>
  <c r="X75" i="4"/>
  <c r="V67" i="4"/>
  <c r="X69" i="4"/>
  <c r="V61" i="4"/>
  <c r="X63" i="4"/>
  <c r="V55" i="4"/>
  <c r="X57" i="4"/>
  <c r="V49" i="4"/>
  <c r="X51" i="4"/>
  <c r="Z75" i="4" l="1"/>
  <c r="X73" i="4"/>
  <c r="X67" i="4"/>
  <c r="Z69" i="4"/>
  <c r="Z63" i="4"/>
  <c r="X61" i="4"/>
  <c r="Z57" i="4"/>
  <c r="X55" i="4"/>
  <c r="X49" i="4"/>
  <c r="Z51" i="4"/>
  <c r="AB75" i="4" l="1"/>
  <c r="Z73" i="4"/>
  <c r="AB69" i="4"/>
  <c r="Z67" i="4"/>
  <c r="AB63" i="4"/>
  <c r="Z61" i="4"/>
  <c r="Z55" i="4"/>
  <c r="AB57" i="4"/>
  <c r="AB51" i="4"/>
  <c r="Z49" i="4"/>
  <c r="AB73" i="4" l="1"/>
  <c r="AD75" i="4"/>
  <c r="AB67" i="4"/>
  <c r="AD69" i="4"/>
  <c r="AB61" i="4"/>
  <c r="AD63" i="4"/>
  <c r="AB55" i="4"/>
  <c r="AD57" i="4"/>
  <c r="AB49" i="4"/>
  <c r="AD51" i="4"/>
  <c r="AD73" i="4" l="1"/>
  <c r="AF75" i="4"/>
  <c r="AD67" i="4"/>
  <c r="AF69" i="4"/>
  <c r="AD61" i="4"/>
  <c r="AF63" i="4"/>
  <c r="AD55" i="4"/>
  <c r="AF57" i="4"/>
  <c r="AD49" i="4"/>
  <c r="AF51" i="4"/>
  <c r="AH75" i="4" l="1"/>
  <c r="AH73" i="4" s="1"/>
  <c r="AI75" i="4" s="1"/>
  <c r="AF73" i="4"/>
  <c r="AH69" i="4"/>
  <c r="AH67" i="4" s="1"/>
  <c r="AI69" i="4" s="1"/>
  <c r="AF67" i="4"/>
  <c r="AH63" i="4"/>
  <c r="AH61" i="4" s="1"/>
  <c r="AI63" i="4" s="1"/>
  <c r="AF61" i="4"/>
  <c r="AF55" i="4"/>
  <c r="AH57" i="4"/>
  <c r="AH55" i="4" s="1"/>
  <c r="AI57" i="4" s="1"/>
  <c r="AH51" i="4"/>
  <c r="AH49" i="4" s="1"/>
  <c r="AI51" i="4" s="1"/>
  <c r="AF49" i="4"/>
  <c r="N45" i="4" l="1"/>
  <c r="N43" i="4" s="1"/>
  <c r="AG43" i="4"/>
  <c r="AE43" i="4"/>
  <c r="AC43" i="4"/>
  <c r="AA43" i="4"/>
  <c r="Y43" i="4"/>
  <c r="W43" i="4"/>
  <c r="U43" i="4"/>
  <c r="S43" i="4"/>
  <c r="Q43" i="4"/>
  <c r="O43" i="4"/>
  <c r="M43" i="4"/>
  <c r="L43" i="4"/>
  <c r="K43" i="4"/>
  <c r="I42" i="4" s="1"/>
  <c r="N39" i="4"/>
  <c r="N37" i="4" s="1"/>
  <c r="AG37" i="4"/>
  <c r="AE37" i="4"/>
  <c r="AC37" i="4"/>
  <c r="AA37" i="4"/>
  <c r="Y37" i="4"/>
  <c r="W37" i="4"/>
  <c r="U37" i="4"/>
  <c r="S37" i="4"/>
  <c r="Q37" i="4"/>
  <c r="O37" i="4"/>
  <c r="M37" i="4"/>
  <c r="L37" i="4"/>
  <c r="K37" i="4"/>
  <c r="I36" i="4"/>
  <c r="N33" i="4"/>
  <c r="N31" i="4" s="1"/>
  <c r="AG31" i="4"/>
  <c r="AE31" i="4"/>
  <c r="AC31" i="4"/>
  <c r="AA31" i="4"/>
  <c r="Y31" i="4"/>
  <c r="W31" i="4"/>
  <c r="U31" i="4"/>
  <c r="S31" i="4"/>
  <c r="Q31" i="4"/>
  <c r="O31" i="4"/>
  <c r="M31" i="4"/>
  <c r="L31" i="4"/>
  <c r="K31" i="4"/>
  <c r="I30" i="4"/>
  <c r="N27" i="4"/>
  <c r="N25" i="4" s="1"/>
  <c r="AG25" i="4"/>
  <c r="AE25" i="4"/>
  <c r="AC25" i="4"/>
  <c r="AA25" i="4"/>
  <c r="Y25" i="4"/>
  <c r="W25" i="4"/>
  <c r="U25" i="4"/>
  <c r="S25" i="4"/>
  <c r="Q25" i="4"/>
  <c r="O25" i="4"/>
  <c r="M25" i="4"/>
  <c r="L25" i="4"/>
  <c r="K25" i="4"/>
  <c r="I24" i="4" s="1"/>
  <c r="N21" i="4"/>
  <c r="N19" i="4" s="1"/>
  <c r="AG19" i="4"/>
  <c r="AE19" i="4"/>
  <c r="AC19" i="4"/>
  <c r="AA19" i="4"/>
  <c r="Y19" i="4"/>
  <c r="W19" i="4"/>
  <c r="U19" i="4"/>
  <c r="S19" i="4"/>
  <c r="Q19" i="4"/>
  <c r="O19" i="4"/>
  <c r="M19" i="4"/>
  <c r="L19" i="4"/>
  <c r="K19" i="4"/>
  <c r="I18" i="4" s="1"/>
  <c r="N15" i="4"/>
  <c r="P15" i="4" s="1"/>
  <c r="AG13" i="4"/>
  <c r="AE13" i="4"/>
  <c r="AC13" i="4"/>
  <c r="AA13" i="4"/>
  <c r="Y13" i="4"/>
  <c r="W13" i="4"/>
  <c r="U13" i="4"/>
  <c r="S13" i="4"/>
  <c r="Q13" i="4"/>
  <c r="O13" i="4"/>
  <c r="N13" i="4"/>
  <c r="M13" i="4"/>
  <c r="L13" i="4"/>
  <c r="K13" i="4"/>
  <c r="I12" i="4" s="1"/>
  <c r="P21" i="4" l="1"/>
  <c r="P45" i="4"/>
  <c r="P39" i="4"/>
  <c r="P33" i="4"/>
  <c r="P27" i="4"/>
  <c r="P13" i="4"/>
  <c r="R15" i="4"/>
  <c r="R21" i="4" l="1"/>
  <c r="P19" i="4"/>
  <c r="R45" i="4"/>
  <c r="P43" i="4"/>
  <c r="R39" i="4"/>
  <c r="P37" i="4"/>
  <c r="R33" i="4"/>
  <c r="P31" i="4"/>
  <c r="R27" i="4"/>
  <c r="P25" i="4"/>
  <c r="R13" i="4"/>
  <c r="T15" i="4"/>
  <c r="T21" i="4" l="1"/>
  <c r="R19" i="4"/>
  <c r="T45" i="4"/>
  <c r="R43" i="4"/>
  <c r="T39" i="4"/>
  <c r="R37" i="4"/>
  <c r="T33" i="4"/>
  <c r="R31" i="4"/>
  <c r="T27" i="4"/>
  <c r="R25" i="4"/>
  <c r="T13" i="4"/>
  <c r="V15" i="4"/>
  <c r="T19" i="4" l="1"/>
  <c r="V21" i="4"/>
  <c r="V45" i="4"/>
  <c r="T43" i="4"/>
  <c r="T37" i="4"/>
  <c r="V39" i="4"/>
  <c r="V33" i="4"/>
  <c r="T31" i="4"/>
  <c r="T25" i="4"/>
  <c r="V27" i="4"/>
  <c r="X15" i="4"/>
  <c r="V13" i="4"/>
  <c r="V19" i="4" l="1"/>
  <c r="X21" i="4"/>
  <c r="V43" i="4"/>
  <c r="X45" i="4"/>
  <c r="V37" i="4"/>
  <c r="X39" i="4"/>
  <c r="V31" i="4"/>
  <c r="X33" i="4"/>
  <c r="V25" i="4"/>
  <c r="X27" i="4"/>
  <c r="Z15" i="4"/>
  <c r="X13" i="4"/>
  <c r="Z21" i="4" l="1"/>
  <c r="X19" i="4"/>
  <c r="X43" i="4"/>
  <c r="Z45" i="4"/>
  <c r="Z39" i="4"/>
  <c r="X37" i="4"/>
  <c r="X31" i="4"/>
  <c r="Z33" i="4"/>
  <c r="X25" i="4"/>
  <c r="Z27" i="4"/>
  <c r="AB15" i="4"/>
  <c r="Z13" i="4"/>
  <c r="AB21" i="4" l="1"/>
  <c r="Z19" i="4"/>
  <c r="AB45" i="4"/>
  <c r="Z43" i="4"/>
  <c r="AB39" i="4"/>
  <c r="Z37" i="4"/>
  <c r="Z31" i="4"/>
  <c r="AB33" i="4"/>
  <c r="AB27" i="4"/>
  <c r="Z25" i="4"/>
  <c r="AB13" i="4"/>
  <c r="AD15" i="4"/>
  <c r="AB19" i="4" l="1"/>
  <c r="AD21" i="4"/>
  <c r="AB43" i="4"/>
  <c r="AD45" i="4"/>
  <c r="AB37" i="4"/>
  <c r="AD39" i="4"/>
  <c r="AB31" i="4"/>
  <c r="AD33" i="4"/>
  <c r="AB25" i="4"/>
  <c r="AD27" i="4"/>
  <c r="AF15" i="4"/>
  <c r="AD13" i="4"/>
  <c r="AD19" i="4" l="1"/>
  <c r="AF21" i="4"/>
  <c r="AD43" i="4"/>
  <c r="AF45" i="4"/>
  <c r="AD37" i="4"/>
  <c r="AF39" i="4"/>
  <c r="AD31" i="4"/>
  <c r="AF33" i="4"/>
  <c r="AD25" i="4"/>
  <c r="AF27" i="4"/>
  <c r="AF13" i="4"/>
  <c r="AH15" i="4"/>
  <c r="AH13" i="4" s="1"/>
  <c r="AI15" i="4" s="1"/>
  <c r="AH21" i="4" l="1"/>
  <c r="AH19" i="4" s="1"/>
  <c r="AI21" i="4" s="1"/>
  <c r="AF19" i="4"/>
  <c r="AH45" i="4"/>
  <c r="AH43" i="4" s="1"/>
  <c r="AI45" i="4" s="1"/>
  <c r="AF43" i="4"/>
  <c r="AH39" i="4"/>
  <c r="AH37" i="4" s="1"/>
  <c r="AI39" i="4" s="1"/>
  <c r="AF37" i="4"/>
  <c r="AF31" i="4"/>
  <c r="AH33" i="4"/>
  <c r="AH31" i="4" s="1"/>
  <c r="AI33" i="4" s="1"/>
  <c r="AH27" i="4"/>
  <c r="AH25" i="4" s="1"/>
  <c r="AI27" i="4" s="1"/>
  <c r="AF25" i="4"/>
  <c r="O18" i="1" l="1"/>
  <c r="Q18" i="1" s="1"/>
  <c r="S18" i="1" s="1"/>
  <c r="U18" i="1" s="1"/>
  <c r="W18" i="1" s="1"/>
  <c r="Y18" i="1" s="1"/>
  <c r="AA18" i="1" s="1"/>
  <c r="AC18" i="1" s="1"/>
  <c r="AE18" i="1" s="1"/>
  <c r="AG18" i="1" s="1"/>
  <c r="AI18" i="1" s="1"/>
  <c r="O16" i="1"/>
  <c r="O14" i="1" s="1"/>
  <c r="AH14" i="1"/>
  <c r="AF14" i="1"/>
  <c r="AD14" i="1"/>
  <c r="AB14" i="1"/>
  <c r="Z14" i="1"/>
  <c r="X14" i="1"/>
  <c r="V14" i="1"/>
  <c r="T14" i="1"/>
  <c r="R14" i="1"/>
  <c r="P14" i="1"/>
  <c r="N14" i="1"/>
  <c r="M14" i="1"/>
  <c r="Q16" i="1" l="1"/>
  <c r="Q14" i="1" l="1"/>
  <c r="S16" i="1"/>
  <c r="S14" i="1" l="1"/>
  <c r="U16" i="1"/>
  <c r="W16" i="1" l="1"/>
  <c r="U14" i="1"/>
  <c r="Y16" i="1" l="1"/>
  <c r="W14" i="1"/>
  <c r="AA16" i="1" l="1"/>
  <c r="Y14" i="1"/>
  <c r="AC16" i="1" l="1"/>
  <c r="AA14" i="1"/>
  <c r="AC14" i="1" l="1"/>
  <c r="AE16" i="1"/>
  <c r="AE14" i="1" l="1"/>
  <c r="AG16" i="1"/>
  <c r="AG14" i="1" l="1"/>
  <c r="AI16" i="1"/>
  <c r="AI14" i="1" s="1"/>
  <c r="AJ16" i="1" s="1"/>
  <c r="I42" i="3" l="1"/>
  <c r="O36" i="1" l="1"/>
  <c r="Q36" i="1" s="1"/>
  <c r="S36" i="1" s="1"/>
  <c r="U36" i="1" s="1"/>
  <c r="W36" i="1" s="1"/>
  <c r="Y36" i="1" s="1"/>
  <c r="AA36" i="1" s="1"/>
  <c r="AC36" i="1" s="1"/>
  <c r="AE36" i="1" s="1"/>
  <c r="AG36" i="1" s="1"/>
  <c r="AI36" i="1" s="1"/>
  <c r="O34" i="1"/>
  <c r="Q34" i="1" s="1"/>
  <c r="S34" i="1" s="1"/>
  <c r="U34" i="1" s="1"/>
  <c r="W34" i="1" s="1"/>
  <c r="Y34" i="1" s="1"/>
  <c r="AH32" i="1"/>
  <c r="AF32" i="1"/>
  <c r="AD32" i="1"/>
  <c r="AB32" i="1"/>
  <c r="Z32" i="1"/>
  <c r="X32" i="1"/>
  <c r="V32" i="1"/>
  <c r="T32" i="1"/>
  <c r="R32" i="1"/>
  <c r="P32" i="1"/>
  <c r="N32" i="1"/>
  <c r="M32" i="1"/>
  <c r="L32" i="1"/>
  <c r="I31" i="1" s="1"/>
  <c r="AH26" i="1"/>
  <c r="AF26" i="1"/>
  <c r="AD26" i="1"/>
  <c r="AB26" i="1"/>
  <c r="Z26" i="1"/>
  <c r="X26" i="1"/>
  <c r="V26" i="1"/>
  <c r="T26" i="1"/>
  <c r="R26" i="1"/>
  <c r="P26" i="1"/>
  <c r="N26" i="1"/>
  <c r="M26" i="1"/>
  <c r="L26" i="1"/>
  <c r="I25" i="1" s="1"/>
  <c r="AA34" i="1" l="1"/>
  <c r="AC34" i="1" s="1"/>
  <c r="AE34" i="1" s="1"/>
  <c r="AG34" i="1" s="1"/>
  <c r="AI34" i="1" s="1"/>
  <c r="AI32" i="1" s="1"/>
  <c r="AJ34" i="1" s="1"/>
  <c r="O32" i="1"/>
  <c r="AI26" i="1"/>
  <c r="AJ28" i="1" s="1"/>
  <c r="O26" i="1"/>
  <c r="I36" i="3" l="1"/>
  <c r="I30" i="3"/>
  <c r="I24" i="3"/>
  <c r="I18" i="3"/>
  <c r="N18" i="2" l="1"/>
  <c r="P18" i="2" s="1"/>
  <c r="R18" i="2" s="1"/>
  <c r="T18" i="2" s="1"/>
  <c r="V18" i="2" s="1"/>
  <c r="X18" i="2" s="1"/>
  <c r="Z18" i="2" s="1"/>
  <c r="AB18" i="2" s="1"/>
  <c r="AD18" i="2" s="1"/>
  <c r="AF18" i="2" s="1"/>
  <c r="AH18" i="2" s="1"/>
  <c r="N16" i="2"/>
  <c r="P16" i="2" s="1"/>
  <c r="R16" i="2" s="1"/>
  <c r="T16" i="2" s="1"/>
  <c r="V16" i="2" s="1"/>
  <c r="X16" i="2" s="1"/>
  <c r="Z16" i="2" s="1"/>
  <c r="AB16" i="2" s="1"/>
  <c r="AD16" i="2" s="1"/>
  <c r="AF16" i="2" s="1"/>
  <c r="AH16" i="2" s="1"/>
  <c r="AG14" i="2"/>
  <c r="AE14" i="2"/>
  <c r="AC14" i="2"/>
  <c r="AA14" i="2"/>
  <c r="Y14" i="2"/>
  <c r="W14" i="2"/>
  <c r="U14" i="2"/>
  <c r="S14" i="2"/>
  <c r="Q14" i="2"/>
  <c r="O14" i="2"/>
  <c r="M14" i="2"/>
  <c r="L14" i="2"/>
  <c r="I13" i="2"/>
  <c r="I12" i="3"/>
  <c r="AH14" i="2" l="1"/>
  <c r="AI16" i="2" s="1"/>
  <c r="N14" i="2"/>
</calcChain>
</file>

<file path=xl/sharedStrings.xml><?xml version="1.0" encoding="utf-8"?>
<sst xmlns="http://schemas.openxmlformats.org/spreadsheetml/2006/main" count="2709" uniqueCount="197">
  <si>
    <t>Plantilla del SIG Compromisos Institucionales</t>
  </si>
  <si>
    <t xml:space="preserve">INDICADOR </t>
  </si>
  <si>
    <t>FORMULA</t>
  </si>
  <si>
    <t>Operandos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</si>
  <si>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</si>
  <si>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</si>
  <si>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</si>
  <si>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</si>
  <si>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</si>
  <si>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</si>
  <si>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</si>
  <si>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</si>
  <si>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</si>
  <si>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</si>
  <si>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</si>
  <si>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</si>
  <si>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</si>
  <si>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</si>
  <si>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</si>
  <si>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</si>
  <si>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</si>
  <si>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</si>
  <si>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</si>
  <si>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</si>
  <si>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</si>
  <si>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</si>
  <si>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</si>
  <si>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</si>
  <si>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>Operandos  Estimados Meta</t>
  </si>
  <si>
    <t>Elaborado por: Analista de Gestión</t>
  </si>
  <si>
    <t xml:space="preserve"> </t>
  </si>
  <si>
    <t xml:space="preserve">  </t>
  </si>
  <si>
    <t>UNIDAD</t>
  </si>
  <si>
    <t>GESTOR</t>
  </si>
  <si>
    <t>Revisado por:</t>
  </si>
  <si>
    <t>PRODUCTO O PROCESO ESPECÍFICO</t>
  </si>
  <si>
    <t>RESPONSABLE CENTRO DE RESPONSABILIDAD</t>
  </si>
  <si>
    <t>SUPERVISORES</t>
  </si>
  <si>
    <t xml:space="preserve">Valor indicador=   </t>
  </si>
  <si>
    <t xml:space="preserve">Operando 1=   </t>
  </si>
  <si>
    <t xml:space="preserve">Operando 2=    </t>
  </si>
  <si>
    <t>NÚMERO</t>
  </si>
  <si>
    <t>Instrumentos de Gestión Asociados</t>
  </si>
  <si>
    <t>Control de Cambios</t>
  </si>
  <si>
    <t>Ponderador</t>
  </si>
  <si>
    <t xml:space="preserve">CENTRO DE RESPONSABILIDAD: SUBDIRECCION DE SISTEMA DE INFORMACIÓN Y ADMINISTRACIÓN </t>
  </si>
  <si>
    <t xml:space="preserve">Subdirección Sistemas de Información y Administración
Departamento Secretaria General y Transparencia </t>
  </si>
  <si>
    <t>Carlos Rodriguez Retamal</t>
  </si>
  <si>
    <t>Julio Santistevan Jimenez</t>
  </si>
  <si>
    <t>CDC: Subdir Sistema de Información y Administración</t>
  </si>
  <si>
    <t>DIVISIÓN PLANIFICACIÓN</t>
  </si>
  <si>
    <t>Y DESARROLLO</t>
  </si>
  <si>
    <t xml:space="preserve">Fecha: </t>
  </si>
  <si>
    <t xml:space="preserve">Aprobado por: </t>
  </si>
  <si>
    <t>CENTRO DE RESPONSABILIDAD: DIVISIÓN BENEFICIOS</t>
  </si>
  <si>
    <t>5.- Proceso de Apoyo
 5.1.- Administración y Finanzas
 5.1.3.- Programación y Control Presupuestario</t>
  </si>
  <si>
    <t>5.- Proceso de Apoyo
5.1.- Administración y Finanzas
5.1.3.- Programación y Control Presupuestario</t>
  </si>
  <si>
    <t>Subdirección Sistemas De Información Y Administración
Departamento De Finanzas</t>
  </si>
  <si>
    <t xml:space="preserve">
CDC: Div. Beneficio,Subdirección Clientes, División Informática, Subdirección Sistema de información y Administración, División Planificación y Desarrollo, Departamento Comunicaciones, </t>
  </si>
  <si>
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</si>
  <si>
    <t>(Total de gastos ejecutados de subtítulos 22 y 29 en el año t))*100</t>
  </si>
  <si>
    <t>((Gastos ejecutados de substítulos 22 y 29 em el segundo semestre del año t + gastos ejecutados de subtítulos 22 y 29 en el cuarto trimestre del año +gasto ejecutado de subtítulo 22 y 29 en el mes de diciembre del año t)</t>
  </si>
  <si>
    <t>PMG - FORMULARIO H 2022</t>
  </si>
  <si>
    <t>Manuel Aguila Castillo</t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</si>
  <si>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</si>
  <si>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Sumatoria de hitos de control cumplidos de ejecución presupuestaria a nivel de los Subtítulos 22 y 29, dentro de los plazos establecidos</t>
  </si>
  <si>
    <t>(N° total de hitos de control definidos de ejecución presupuestaria a nivel de los Subtítulos 22 y 29) *100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</si>
  <si>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 xml:space="preserve">Porcentaje de hitos de control cumplidos de ejecución presupuestaria a nivel de los Subtítulos 22 y 29, dentro de los plazos establecidos. (División Beneficios)
</t>
    </r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</si>
  <si>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(Subdirección de Sistemas de Información y de Administración)</t>
    </r>
  </si>
  <si>
    <r>
      <t xml:space="preserve">Eficacia/Proceso
</t>
    </r>
    <r>
      <rPr>
        <sz val="8"/>
        <rFont val="Arial Narrow"/>
        <family val="2"/>
      </rPr>
      <t xml:space="preserve">Porcentaje de hitos de control cumplidos de ejecución presupuestaria a nivel de los Subtítulos 22 y 29, dentro de los plazos establecidos. (Subdirección de Servicios al Cliente)
</t>
    </r>
  </si>
  <si>
    <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(División Informática)</t>
    </r>
  </si>
  <si>
    <r>
      <rPr>
        <b/>
        <sz val="8"/>
        <rFont val="Arial Narrow"/>
        <family val="2"/>
      </rPr>
      <t>8)</t>
    </r>
    <r>
      <rPr>
        <b/>
        <u/>
        <sz val="8"/>
        <rFont val="Arial Narrow"/>
        <family val="2"/>
      </rPr>
      <t xml:space="preserve"> Eficacia/Proceso
</t>
    </r>
    <r>
      <rPr>
        <sz val="8"/>
        <rFont val="Arial Narrow"/>
        <family val="2"/>
      </rPr>
      <t xml:space="preserve">Porcentaje de hitos de control cumplidos de ejecución presupuestaria a nivel de los Subtítulos 22 y 29, dentro de los plazos establecidos. (Departamento de Comunicaciones)
</t>
    </r>
  </si>
  <si>
    <t>5.1.3.33</t>
  </si>
  <si>
    <t>Concentración del gasto Subtitulos 22 y 29</t>
  </si>
  <si>
    <t>División Beneficios</t>
  </si>
  <si>
    <t>(Sumatoria de gestiones de cobranzas realizadas a beneficiarios con deudas de seguridad social en el año t / Sumatoria de beneficiarios con deudas de seguridad social recepcionadas en el año t.)*100</t>
  </si>
  <si>
    <t>Sumatoria de gestiones de cobranzas realizadas a beneficiarios con deudas de seguridad social en el año t</t>
  </si>
  <si>
    <t>Sumatoria de beneficiarios con deudas de seguridad social recepcionadas en el año t.)*100</t>
  </si>
  <si>
    <t>5.1.3.41</t>
  </si>
  <si>
    <t>5.1.3.40</t>
  </si>
  <si>
    <t>5.1.3.42</t>
  </si>
  <si>
    <t>5.1.3.43</t>
  </si>
  <si>
    <t>5.1.3.44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</si>
  <si>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(Departamento Gestión y Desarrollo de Personas)</t>
    </r>
  </si>
  <si>
    <t xml:space="preserve">
CDC: Div. Beneficio,Subdirección Clientes, División Informática, Subdirección Sistema de información y Administración, División Planificación y Desarrollo, Departamento Comunicaciones, Departamento Gestión y Desarrollo de Personas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</si>
  <si>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</si>
  <si>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</si>
  <si>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</si>
  <si>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</si>
  <si>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</si>
  <si>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Arica y Parinacota)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</si>
  <si>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</si>
  <si>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</si>
  <si>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</si>
  <si>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</si>
  <si>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</si>
  <si>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Tarapacá)</t>
    </r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</si>
  <si>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Antofagasta)</t>
    </r>
  </si>
  <si>
    <t xml:space="preserve">CDC REGiONAL DR Arica y Parinacota
</t>
  </si>
  <si>
    <t xml:space="preserve">CDC REGiONAL DR Tarapaca
</t>
  </si>
  <si>
    <t xml:space="preserve">CDC REGiONAL DR Antofagasta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</si>
  <si>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Atacama)</t>
    </r>
  </si>
  <si>
    <t xml:space="preserve">CDC REGiONAL DR ATACAMA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</si>
  <si>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Coquimbo)</t>
    </r>
  </si>
  <si>
    <t xml:space="preserve">CDC REGiONAL DR COQUIMBO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</si>
  <si>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Valparaíso)</t>
    </r>
  </si>
  <si>
    <t xml:space="preserve">CDC REGiONAL DR Valparaíso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</si>
  <si>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Libertador Bernardo O¨Higgins)</t>
    </r>
  </si>
  <si>
    <t xml:space="preserve">CDC REGiONAL DR Libertador Bernardo O´Higgins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</si>
  <si>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Maule)</t>
    </r>
  </si>
  <si>
    <t xml:space="preserve">CDC REGiONAL DR del Maule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</si>
  <si>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Ñuble)</t>
    </r>
  </si>
  <si>
    <t xml:space="preserve">CDC REGiONAL DR Ñuble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</si>
  <si>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Bio Bio)</t>
    </r>
  </si>
  <si>
    <t xml:space="preserve">CDC REGiONAL DR del BioBío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</si>
  <si>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Araucanía)</t>
    </r>
  </si>
  <si>
    <t xml:space="preserve">CDC REGiONAL DR de La Araucanía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</si>
  <si>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Los Ríos)</t>
    </r>
  </si>
  <si>
    <t xml:space="preserve">CDC REGiONAL DR de Los Ríos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</si>
  <si>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Los Lagos)</t>
    </r>
  </si>
  <si>
    <t xml:space="preserve">CDC REGiONAL DR de Los Lagos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</si>
  <si>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Aisén)</t>
    </r>
  </si>
  <si>
    <t xml:space="preserve">CDC REGiONAL DR de Aisén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</si>
  <si>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Magallanes)</t>
    </r>
  </si>
  <si>
    <t xml:space="preserve">CDC REGiONAL DR de Magallanes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</si>
  <si>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Metropolitana)</t>
    </r>
  </si>
  <si>
    <t xml:space="preserve">CDC REGiONAL DR Área Metropolitana
</t>
  </si>
  <si>
    <t>Reportes/Informes
- Informe de ejecución presupuestaria emitido por el Subdepartamento de Presupuesto del Departamento de Finanzas.</t>
  </si>
  <si>
    <t>N° total de hitos de control definidos de ejecución presupuestaria a nivel de los Subtítulos 22 y 29</t>
  </si>
  <si>
    <t>Joaquin Antonio Sancho Daza</t>
  </si>
  <si>
    <t xml:space="preserve"> 5.- Proceso de Apoyo
5.1.- Administración y Finanzas
5.1.4.- Compras y Logística</t>
  </si>
  <si>
    <t>Laura Rebeca Salazar Torres</t>
  </si>
  <si>
    <t>4.3.1.14</t>
  </si>
  <si>
    <t>4.- Recaudación, Distribución, Compensación y Registro de las Cotizaciones Previsionales y Cobranza de Deudas Previsionales
4.3.- Registro de Cotizaciones
4.3.1.- Certificado de Imposiciones e Informe de Afiliación y Rentas</t>
  </si>
  <si>
    <t>Reportes/Informes
- Reporte tiempo de tramitación de Resoluciones Exentas de los procesos de licitación pública.</t>
  </si>
  <si>
    <t>(Número de Resoluciones Exentas de aprobación de bases en procesos de licitación pública emitidas en 7 días hábiles / Número de solicitudes de resoluciones exentas de aprobación de bases en procesos de licitación pública recibidos en el año t)*100</t>
  </si>
  <si>
    <t>Número de solicitudes de resoluciones exentas de aprobación de bases en procesos de licitación pública recibidos en el año t)*100</t>
  </si>
  <si>
    <t>(Número de Resoluciones Exentas de aprobación de bases en procesos de licitación pública emitidas en 7 días hábiles</t>
  </si>
  <si>
    <t>5.1.3.46</t>
  </si>
  <si>
    <t>(Cantidad de Requerimientos de entidades externas derivados en un plazo máximo de 2 días hábiles en el año t / Cantidad total de Requerimientos de entidades externas recibidos en el año t) *100</t>
  </si>
  <si>
    <t>Cantidad total de Requerimientos de entidades externas recibidos en el año t) *100</t>
  </si>
  <si>
    <t>(Cantidad de Requerimientos de entidades externas derivados en un plazo máximo de 2 días hábiles en el año t</t>
  </si>
  <si>
    <t>5.-Proceso de Apoyo
5.7.-Gestión Documental
5.7.1.-Gestión Documental y Transparencia</t>
  </si>
  <si>
    <t>5.1.4.8</t>
  </si>
  <si>
    <t>Meta 2025</t>
  </si>
  <si>
    <t>Cumplimiento
Proyectado
2025</t>
  </si>
  <si>
    <t xml:space="preserve">Reportes/Informes
-	Planilla Excel con datos de deudas enviadas por División Beneficios al Departamento de Cobranza Institucional.
-	Guía admisión envíos postales (Formulario CL-04) enviado a Correos de Chile.
</t>
  </si>
  <si>
    <t xml:space="preserve">Reportes/Informes 
-	Reporte extraído desde Sistema de Gestión Documental
</t>
  </si>
  <si>
    <t>CDC: Div. Beneficio, Subd. Servicio al Cliente, Div Informática, Subd Sistema de Información y Administración, Div Jurídica, Direcciones Regionales.</t>
  </si>
  <si>
    <t>5.1.3.65</t>
  </si>
  <si>
    <t>5.1.3.63</t>
  </si>
  <si>
    <t>5.1.3.62</t>
  </si>
  <si>
    <t>5.1.3.61</t>
  </si>
  <si>
    <t>5.1.3.60</t>
  </si>
  <si>
    <t>5.1.3.59</t>
  </si>
  <si>
    <t>5.1.3.58</t>
  </si>
  <si>
    <t>5.1.3.57</t>
  </si>
  <si>
    <t>5.1.3.56</t>
  </si>
  <si>
    <t>5.1.3.55</t>
  </si>
  <si>
    <t>5.1.3.54</t>
  </si>
  <si>
    <t>5.1.3.53</t>
  </si>
  <si>
    <t>5.1.3.52</t>
  </si>
  <si>
    <t>5.1.3.50</t>
  </si>
  <si>
    <t>5.1.3.49</t>
  </si>
  <si>
    <t>5.1.3.48</t>
  </si>
  <si>
    <t>PORCENTAJE DE EJECUCION SUBSTITULO 22 -DIRECCIONES REGIONALES - 2025</t>
  </si>
  <si>
    <r>
      <rPr>
        <b/>
        <u/>
        <sz val="8"/>
        <rFont val="Arial Narrow"/>
        <family val="2"/>
      </rPr>
      <t xml:space="preserve">2) 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(Subdirección de Sistemas de Información y de Administración)</t>
    </r>
  </si>
  <si>
    <r>
      <rPr>
        <b/>
        <u/>
        <sz val="8"/>
        <rFont val="Arial Narrow"/>
        <family val="2"/>
      </rPr>
      <t xml:space="preserve">3) Eficacia/Proceso
</t>
    </r>
    <r>
      <rPr>
        <sz val="8"/>
        <rFont val="Arial Narrow"/>
        <family val="2"/>
      </rPr>
      <t>Porcentaje de gestiones de cobranzas realizadas a beneficiarios con deudas de seguridad social en el año t.</t>
    </r>
  </si>
  <si>
    <r>
      <rPr>
        <b/>
        <u/>
        <sz val="8"/>
        <rFont val="Arial Narrow"/>
        <family val="2"/>
      </rPr>
      <t xml:space="preserve">4) Eficacia/Proceso
</t>
    </r>
    <r>
      <rPr>
        <sz val="8"/>
        <rFont val="Arial Narrow"/>
        <family val="2"/>
      </rPr>
      <t>Porcentaje de Resoluciones Exentas de aprobación de bases en procesos de licitación pública emitidas en 7 días hábiles en el año t.</t>
    </r>
  </si>
  <si>
    <r>
      <rPr>
        <b/>
        <u/>
        <sz val="8"/>
        <rFont val="Arial Narrow"/>
        <family val="2"/>
      </rPr>
      <t xml:space="preserve">5) Eficacia/Proceso
</t>
    </r>
    <r>
      <rPr>
        <sz val="8"/>
        <rFont val="Arial Narrow"/>
        <family val="2"/>
      </rPr>
      <t>Porcentaje de Requerimientos de entidades externas derivados en un plazo máximo de 2 días hábiles en el año t.</t>
    </r>
  </si>
  <si>
    <t>3.5.1.24</t>
  </si>
  <si>
    <r>
      <rPr>
        <b/>
        <u/>
        <sz val="8"/>
        <color theme="1"/>
        <rFont val="Arial Narrow"/>
        <family val="2"/>
      </rPr>
      <t>1)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</t>
    </r>
  </si>
  <si>
    <t>Reinaldo Zuñiga Herrera</t>
  </si>
  <si>
    <t>María Eugenia Elizalde</t>
  </si>
  <si>
    <t>5.7.1.11</t>
  </si>
  <si>
    <t>Reportes/Informes
- Listado formalizado entre las partes, de compromisos pendientes.
- Certificación semestral de los compromisos adoptados por el equipo, emitido por la jefatura del Departamento de Auditoría Interna.
- Medio de verificación que dé cuenta de la</t>
  </si>
  <si>
    <t>CONVENIO DE DESEMPEÑO COLECTIVO 2026</t>
  </si>
  <si>
    <t>Meta 2026</t>
  </si>
  <si>
    <t>PORCENTAJE DE EJECUCION SUBSTITULO 22 Y 29 - 2026</t>
  </si>
  <si>
    <r>
      <rPr>
        <b/>
        <u/>
        <sz val="8"/>
        <rFont val="Arial Narrow"/>
        <family val="2"/>
      </rPr>
      <t xml:space="preserve">5) Eficacia/Procesos
</t>
    </r>
    <r>
      <rPr>
        <sz val="8"/>
        <rFont val="Arial Narrow"/>
        <family val="2"/>
      </rPr>
      <t>Porcentaje de compromisos cumplidos de auditoría interna en el año t.</t>
    </r>
  </si>
  <si>
    <t>(Cantidad de compromisos cumplidos de auditoría interna año t / Cantidad total de compromisos en informe de auditoría interna en el año t) *100</t>
  </si>
  <si>
    <t>Cantidad total de compromisos en informe de auditoría interna en el año t) *100</t>
  </si>
  <si>
    <t>Cantidad de compromisos cumplidos de auditoría interna año t</t>
  </si>
  <si>
    <t>Luis Alberto Collao Cardozo</t>
  </si>
  <si>
    <t>5.1.4.9</t>
  </si>
  <si>
    <t>Hector Flores</t>
  </si>
  <si>
    <t>5.1.5.5</t>
  </si>
  <si>
    <t>Estado Verde</t>
  </si>
  <si>
    <t>(Número total de requisitos técnico cumplidos del Sistema Estado Verde para la Etapa 1, 2 y 3 en el año</t>
  </si>
  <si>
    <t>((Número total de requisitos técnico cumplidos del Sistema Estado Verde para la Etapa 1, 2 y 3 en el año / Número total de requisitos técnicos del Sistema Estado Verde definidos para la Etapa 1, 2 y 3en el año t)*100</t>
  </si>
  <si>
    <t>Número total de requisitos técnicos del Sistema Estado Verde definidos para la Etapa 1, 2 y 3en el año t)*100</t>
  </si>
  <si>
    <t>Reportes/Informes
-	Medios de verificación requisitos técnicos</t>
  </si>
  <si>
    <t>PMG 2026 Obj 2</t>
  </si>
  <si>
    <t>Catherine Jennifer San Martín Rodríguez</t>
  </si>
  <si>
    <t>Alexander Andres Suarez Olivares</t>
  </si>
  <si>
    <t>Juan del Transito Daza Lizana</t>
  </si>
  <si>
    <t xml:space="preserve">Glenda Bernardita Ibanez Ortega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</si>
</sst>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#,##0.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4"/>
      <name val="Arial Narrow"/>
      <family val="2"/>
    </font>
    <font>
      <b/>
      <sz val="12"/>
      <color indexed="12"/>
      <name val="Arial Narrow"/>
      <family val="2"/>
    </font>
    <font>
      <sz val="9"/>
      <name val="Arial Narrow"/>
      <family val="2"/>
    </font>
    <font>
      <sz val="12"/>
      <name val="Arial Narrow"/>
      <family val="2"/>
    </font>
    <font>
      <sz val="8"/>
      <color rgb="FFFF0000"/>
      <name val="Arial Narrow"/>
      <family val="2"/>
    </font>
    <font>
      <b/>
      <u/>
      <sz val="8"/>
      <name val="Arial Narrow"/>
      <family val="2"/>
    </font>
    <font>
      <sz val="12"/>
      <name val="Arial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u/>
      <sz val="8"/>
      <name val="Arial Narrow"/>
      <family val="2"/>
    </font>
    <font>
      <sz val="8"/>
      <color indexed="8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0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7" fillId="0" borderId="4" xfId="0" applyFont="1" applyBorder="1" applyAlignment="1">
      <alignment horizontal="center"/>
    </xf>
    <xf numFmtId="0" fontId="5" fillId="0" borderId="0" xfId="0" applyFont="1"/>
    <xf numFmtId="0" fontId="8" fillId="0" borderId="0" xfId="0" applyFont="1"/>
    <xf numFmtId="3" fontId="7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3" fontId="7" fillId="0" borderId="4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9" fontId="5" fillId="0" borderId="5" xfId="4" applyFont="1" applyBorder="1" applyAlignment="1">
      <alignment vertical="center"/>
    </xf>
    <xf numFmtId="10" fontId="5" fillId="5" borderId="8" xfId="4" applyNumberFormat="1" applyFont="1" applyFill="1" applyBorder="1" applyAlignment="1" applyProtection="1">
      <alignment horizontal="right" vertical="center"/>
    </xf>
    <xf numFmtId="10" fontId="5" fillId="2" borderId="7" xfId="4" applyNumberFormat="1" applyFont="1" applyFill="1" applyBorder="1" applyAlignment="1" applyProtection="1">
      <alignment vertical="center"/>
    </xf>
    <xf numFmtId="9" fontId="5" fillId="0" borderId="8" xfId="4" applyFont="1" applyBorder="1" applyAlignment="1">
      <alignment vertical="center"/>
    </xf>
    <xf numFmtId="0" fontId="5" fillId="0" borderId="8" xfId="0" applyFont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3" fontId="5" fillId="2" borderId="8" xfId="0" applyNumberFormat="1" applyFont="1" applyFill="1" applyBorder="1" applyAlignment="1">
      <alignment horizontal="right" vertical="center" wrapText="1"/>
    </xf>
    <xf numFmtId="10" fontId="5" fillId="0" borderId="8" xfId="4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left" vertical="center" wrapText="1"/>
    </xf>
    <xf numFmtId="3" fontId="5" fillId="2" borderId="7" xfId="0" applyNumberFormat="1" applyFont="1" applyFill="1" applyBorder="1" applyAlignment="1">
      <alignment horizontal="left" vertical="center" wrapText="1"/>
    </xf>
    <xf numFmtId="3" fontId="5" fillId="2" borderId="9" xfId="0" applyNumberFormat="1" applyFont="1" applyFill="1" applyBorder="1" applyAlignment="1">
      <alignment horizontal="right" vertical="center" wrapText="1"/>
    </xf>
    <xf numFmtId="9" fontId="5" fillId="0" borderId="10" xfId="4" applyFont="1" applyBorder="1" applyAlignment="1">
      <alignment vertical="center"/>
    </xf>
    <xf numFmtId="3" fontId="5" fillId="5" borderId="10" xfId="0" applyNumberFormat="1" applyFont="1" applyFill="1" applyBorder="1" applyAlignment="1">
      <alignment horizontal="right" vertical="center" wrapText="1"/>
    </xf>
    <xf numFmtId="3" fontId="5" fillId="5" borderId="8" xfId="0" applyNumberFormat="1" applyFont="1" applyFill="1" applyBorder="1" applyAlignment="1">
      <alignment horizontal="right" vertical="center" wrapText="1"/>
    </xf>
    <xf numFmtId="10" fontId="4" fillId="7" borderId="8" xfId="4" applyNumberFormat="1" applyFont="1" applyFill="1" applyBorder="1" applyAlignment="1" applyProtection="1">
      <alignment horizontal="right" vertical="center"/>
    </xf>
    <xf numFmtId="3" fontId="5" fillId="6" borderId="8" xfId="0" applyNumberFormat="1" applyFont="1" applyFill="1" applyBorder="1" applyAlignment="1">
      <alignment horizontal="right" vertical="center" wrapText="1"/>
    </xf>
    <xf numFmtId="3" fontId="5" fillId="6" borderId="10" xfId="0" applyNumberFormat="1" applyFont="1" applyFill="1" applyBorder="1" applyAlignment="1">
      <alignment horizontal="right" vertical="center" wrapText="1"/>
    </xf>
    <xf numFmtId="0" fontId="12" fillId="0" borderId="0" xfId="0" applyFont="1"/>
    <xf numFmtId="0" fontId="7" fillId="0" borderId="0" xfId="0" applyFont="1" applyAlignment="1">
      <alignment horizontal="left"/>
    </xf>
    <xf numFmtId="10" fontId="5" fillId="2" borderId="8" xfId="7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4" fillId="0" borderId="0" xfId="0" applyFont="1"/>
    <xf numFmtId="3" fontId="11" fillId="0" borderId="0" xfId="0" applyNumberFormat="1" applyFont="1" applyAlignment="1">
      <alignment horizontal="center" vertical="center" wrapText="1"/>
    </xf>
    <xf numFmtId="3" fontId="11" fillId="0" borderId="0" xfId="0" applyNumberFormat="1" applyFont="1" applyAlignment="1">
      <alignment horizontal="center"/>
    </xf>
    <xf numFmtId="0" fontId="11" fillId="0" borderId="4" xfId="0" applyFont="1" applyBorder="1" applyAlignment="1">
      <alignment horizontal="center"/>
    </xf>
    <xf numFmtId="3" fontId="11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9" fontId="15" fillId="0" borderId="5" xfId="4" applyFont="1" applyBorder="1" applyAlignment="1">
      <alignment vertical="center"/>
    </xf>
    <xf numFmtId="10" fontId="15" fillId="3" borderId="8" xfId="4" applyNumberFormat="1" applyFont="1" applyFill="1" applyBorder="1" applyAlignment="1" applyProtection="1">
      <alignment horizontal="right" vertical="center"/>
    </xf>
    <xf numFmtId="10" fontId="15" fillId="2" borderId="7" xfId="4" applyNumberFormat="1" applyFont="1" applyFill="1" applyBorder="1" applyAlignment="1" applyProtection="1">
      <alignment vertical="center"/>
    </xf>
    <xf numFmtId="9" fontId="15" fillId="0" borderId="8" xfId="4" applyFont="1" applyBorder="1" applyAlignment="1">
      <alignment vertical="center"/>
    </xf>
    <xf numFmtId="0" fontId="15" fillId="0" borderId="8" xfId="0" applyFont="1" applyBorder="1" applyAlignment="1">
      <alignment horizontal="left" vertical="center" wrapText="1"/>
    </xf>
    <xf numFmtId="0" fontId="15" fillId="2" borderId="7" xfId="0" applyFont="1" applyFill="1" applyBorder="1" applyAlignment="1">
      <alignment horizontal="left" vertical="center" wrapText="1"/>
    </xf>
    <xf numFmtId="3" fontId="15" fillId="3" borderId="8" xfId="0" applyNumberFormat="1" applyFont="1" applyFill="1" applyBorder="1" applyAlignment="1">
      <alignment horizontal="right" vertical="center" wrapText="1"/>
    </xf>
    <xf numFmtId="3" fontId="15" fillId="2" borderId="8" xfId="0" applyNumberFormat="1" applyFont="1" applyFill="1" applyBorder="1" applyAlignment="1">
      <alignment horizontal="right" vertical="center" wrapText="1"/>
    </xf>
    <xf numFmtId="10" fontId="15" fillId="0" borderId="8" xfId="4" applyNumberFormat="1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left" vertical="center" wrapText="1"/>
    </xf>
    <xf numFmtId="3" fontId="15" fillId="2" borderId="7" xfId="0" applyNumberFormat="1" applyFont="1" applyFill="1" applyBorder="1" applyAlignment="1">
      <alignment horizontal="left" vertical="center" wrapText="1"/>
    </xf>
    <xf numFmtId="3" fontId="15" fillId="3" borderId="10" xfId="0" applyNumberFormat="1" applyFont="1" applyFill="1" applyBorder="1" applyAlignment="1">
      <alignment horizontal="right" vertical="center" wrapText="1"/>
    </xf>
    <xf numFmtId="3" fontId="15" fillId="2" borderId="9" xfId="0" applyNumberFormat="1" applyFont="1" applyFill="1" applyBorder="1" applyAlignment="1">
      <alignment horizontal="right" vertical="center" wrapText="1"/>
    </xf>
    <xf numFmtId="9" fontId="15" fillId="0" borderId="10" xfId="4" applyFont="1" applyBorder="1" applyAlignment="1">
      <alignment vertical="center"/>
    </xf>
    <xf numFmtId="0" fontId="5" fillId="2" borderId="5" xfId="0" applyFont="1" applyFill="1" applyBorder="1" applyAlignment="1">
      <alignment horizontal="left" vertical="center" wrapText="1"/>
    </xf>
    <xf numFmtId="2" fontId="5" fillId="5" borderId="8" xfId="4" applyNumberFormat="1" applyFont="1" applyFill="1" applyBorder="1" applyAlignment="1" applyProtection="1">
      <alignment horizontal="right" vertical="center"/>
    </xf>
    <xf numFmtId="2" fontId="5" fillId="3" borderId="8" xfId="4" applyNumberFormat="1" applyFont="1" applyFill="1" applyBorder="1" applyAlignment="1" applyProtection="1">
      <alignment horizontal="right" vertical="center"/>
    </xf>
    <xf numFmtId="2" fontId="5" fillId="2" borderId="7" xfId="4" applyNumberFormat="1" applyFont="1" applyFill="1" applyBorder="1" applyAlignment="1" applyProtection="1">
      <alignment vertical="center"/>
    </xf>
    <xf numFmtId="2" fontId="5" fillId="2" borderId="8" xfId="4" applyNumberFormat="1" applyFont="1" applyFill="1" applyBorder="1" applyAlignment="1">
      <alignment vertical="center"/>
    </xf>
    <xf numFmtId="2" fontId="5" fillId="3" borderId="8" xfId="4" applyNumberFormat="1" applyFont="1" applyFill="1" applyBorder="1" applyAlignment="1">
      <alignment vertical="center"/>
    </xf>
    <xf numFmtId="2" fontId="5" fillId="9" borderId="8" xfId="4" applyNumberFormat="1" applyFont="1" applyFill="1" applyBorder="1" applyAlignment="1">
      <alignment vertical="center"/>
    </xf>
    <xf numFmtId="0" fontId="5" fillId="2" borderId="8" xfId="0" applyFont="1" applyFill="1" applyBorder="1" applyAlignment="1">
      <alignment horizontal="left" vertical="center" wrapText="1"/>
    </xf>
    <xf numFmtId="3" fontId="5" fillId="2" borderId="8" xfId="0" applyNumberFormat="1" applyFont="1" applyFill="1" applyBorder="1" applyAlignment="1">
      <alignment horizontal="left" vertical="center" wrapText="1"/>
    </xf>
    <xf numFmtId="9" fontId="7" fillId="0" borderId="0" xfId="0" applyNumberFormat="1" applyFont="1"/>
    <xf numFmtId="0" fontId="15" fillId="0" borderId="0" xfId="0" applyFont="1" applyProtection="1">
      <protection locked="0"/>
    </xf>
    <xf numFmtId="10" fontId="16" fillId="7" borderId="8" xfId="4" applyNumberFormat="1" applyFont="1" applyFill="1" applyBorder="1" applyAlignment="1" applyProtection="1">
      <alignment horizontal="right" vertical="center"/>
    </xf>
    <xf numFmtId="3" fontId="15" fillId="6" borderId="8" xfId="0" applyNumberFormat="1" applyFont="1" applyFill="1" applyBorder="1" applyAlignment="1">
      <alignment horizontal="right" vertical="center" wrapText="1"/>
    </xf>
    <xf numFmtId="166" fontId="15" fillId="3" borderId="8" xfId="0" applyNumberFormat="1" applyFont="1" applyFill="1" applyBorder="1" applyAlignment="1">
      <alignment horizontal="right" vertical="center" wrapText="1"/>
    </xf>
    <xf numFmtId="166" fontId="15" fillId="2" borderId="8" xfId="0" applyNumberFormat="1" applyFont="1" applyFill="1" applyBorder="1" applyAlignment="1">
      <alignment horizontal="right" vertical="center" wrapText="1"/>
    </xf>
    <xf numFmtId="165" fontId="5" fillId="0" borderId="5" xfId="4" applyNumberFormat="1" applyFont="1" applyFill="1" applyBorder="1" applyAlignment="1">
      <alignment horizontal="left" vertical="center" wrapText="1"/>
    </xf>
    <xf numFmtId="165" fontId="5" fillId="0" borderId="8" xfId="4" applyNumberFormat="1" applyFont="1" applyFill="1" applyBorder="1" applyAlignment="1">
      <alignment horizontal="left" vertical="center" wrapText="1"/>
    </xf>
    <xf numFmtId="165" fontId="5" fillId="0" borderId="10" xfId="4" applyNumberFormat="1" applyFont="1" applyFill="1" applyBorder="1" applyAlignment="1">
      <alignment horizontal="left" vertical="center" wrapText="1"/>
    </xf>
    <xf numFmtId="165" fontId="5" fillId="0" borderId="5" xfId="4" applyNumberFormat="1" applyFont="1" applyBorder="1" applyAlignment="1">
      <alignment horizontal="left" vertical="center" wrapText="1"/>
    </xf>
    <xf numFmtId="165" fontId="5" fillId="0" borderId="8" xfId="4" applyNumberFormat="1" applyFont="1" applyBorder="1" applyAlignment="1">
      <alignment horizontal="left" vertical="center" wrapText="1"/>
    </xf>
    <xf numFmtId="165" fontId="5" fillId="0" borderId="10" xfId="4" applyNumberFormat="1" applyFont="1" applyBorder="1" applyAlignment="1">
      <alignment horizontal="left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4" borderId="10" xfId="2" applyFont="1" applyFill="1" applyBorder="1" applyAlignment="1">
      <alignment horizontal="center" vertical="center" wrapText="1"/>
    </xf>
    <xf numFmtId="1" fontId="5" fillId="8" borderId="5" xfId="0" applyNumberFormat="1" applyFont="1" applyFill="1" applyBorder="1" applyAlignment="1">
      <alignment horizontal="left" vertical="center" wrapText="1"/>
    </xf>
    <xf numFmtId="1" fontId="5" fillId="8" borderId="8" xfId="0" applyNumberFormat="1" applyFont="1" applyFill="1" applyBorder="1" applyAlignment="1">
      <alignment horizontal="left" vertical="center" wrapText="1"/>
    </xf>
    <xf numFmtId="1" fontId="5" fillId="8" borderId="10" xfId="0" applyNumberFormat="1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10" fontId="5" fillId="8" borderId="5" xfId="0" applyNumberFormat="1" applyFont="1" applyFill="1" applyBorder="1" applyAlignment="1">
      <alignment horizontal="center" vertical="center" wrapText="1"/>
    </xf>
    <xf numFmtId="10" fontId="5" fillId="8" borderId="8" xfId="0" applyNumberFormat="1" applyFont="1" applyFill="1" applyBorder="1" applyAlignment="1">
      <alignment horizontal="center" vertical="center" wrapText="1"/>
    </xf>
    <xf numFmtId="10" fontId="5" fillId="8" borderId="10" xfId="0" applyNumberFormat="1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5" fillId="8" borderId="5" xfId="2" applyFont="1" applyFill="1" applyBorder="1" applyAlignment="1">
      <alignment horizontal="left" vertical="center" wrapText="1"/>
    </xf>
    <xf numFmtId="0" fontId="5" fillId="8" borderId="8" xfId="2" applyFont="1" applyFill="1" applyBorder="1" applyAlignment="1">
      <alignment horizontal="left" vertical="center" wrapText="1"/>
    </xf>
    <xf numFmtId="0" fontId="5" fillId="8" borderId="10" xfId="2" applyFont="1" applyFill="1" applyBorder="1" applyAlignment="1">
      <alignment horizontal="left" vertical="center" wrapText="1"/>
    </xf>
    <xf numFmtId="0" fontId="18" fillId="8" borderId="5" xfId="0" applyFont="1" applyFill="1" applyBorder="1" applyAlignment="1">
      <alignment horizontal="left" vertical="top" wrapText="1"/>
    </xf>
    <xf numFmtId="0" fontId="5" fillId="8" borderId="8" xfId="0" applyFont="1" applyFill="1" applyBorder="1" applyAlignment="1">
      <alignment horizontal="left" vertical="top"/>
    </xf>
    <xf numFmtId="0" fontId="5" fillId="8" borderId="10" xfId="0" applyFont="1" applyFill="1" applyBorder="1" applyAlignment="1">
      <alignment horizontal="left" vertical="top"/>
    </xf>
    <xf numFmtId="0" fontId="15" fillId="8" borderId="5" xfId="3" applyFont="1" applyFill="1" applyBorder="1" applyAlignment="1">
      <alignment horizontal="center" vertical="center" wrapText="1"/>
    </xf>
    <xf numFmtId="0" fontId="15" fillId="8" borderId="8" xfId="3" applyFont="1" applyFill="1" applyBorder="1"/>
    <xf numFmtId="0" fontId="15" fillId="8" borderId="10" xfId="3" applyFont="1" applyFill="1" applyBorder="1"/>
    <xf numFmtId="0" fontId="5" fillId="8" borderId="5" xfId="0" applyFont="1" applyFill="1" applyBorder="1" applyAlignment="1">
      <alignment vertical="top" wrapText="1"/>
    </xf>
    <xf numFmtId="0" fontId="5" fillId="8" borderId="8" xfId="0" applyFont="1" applyFill="1" applyBorder="1" applyAlignment="1">
      <alignment vertical="top" wrapText="1"/>
    </xf>
    <xf numFmtId="0" fontId="5" fillId="8" borderId="10" xfId="0" applyFont="1" applyFill="1" applyBorder="1" applyAlignment="1">
      <alignment vertical="top" wrapText="1"/>
    </xf>
    <xf numFmtId="0" fontId="5" fillId="8" borderId="5" xfId="0" applyFont="1" applyFill="1" applyBorder="1" applyAlignment="1">
      <alignment horizontal="left" vertical="center" wrapText="1"/>
    </xf>
    <xf numFmtId="0" fontId="5" fillId="8" borderId="8" xfId="0" applyFont="1" applyFill="1" applyBorder="1" applyAlignment="1">
      <alignment horizontal="left"/>
    </xf>
    <xf numFmtId="0" fontId="5" fillId="8" borderId="10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0" fontId="15" fillId="4" borderId="5" xfId="4" applyNumberFormat="1" applyFont="1" applyFill="1" applyBorder="1" applyAlignment="1">
      <alignment horizontal="center" vertical="center" wrapText="1"/>
    </xf>
    <xf numFmtId="10" fontId="15" fillId="4" borderId="8" xfId="4" applyNumberFormat="1" applyFont="1" applyFill="1" applyBorder="1" applyAlignment="1">
      <alignment horizontal="center" vertical="center" wrapText="1"/>
    </xf>
    <xf numFmtId="10" fontId="15" fillId="4" borderId="10" xfId="4" applyNumberFormat="1" applyFont="1" applyFill="1" applyBorder="1" applyAlignment="1">
      <alignment horizontal="center" vertical="center" wrapText="1"/>
    </xf>
    <xf numFmtId="9" fontId="15" fillId="4" borderId="5" xfId="0" applyNumberFormat="1" applyFont="1" applyFill="1" applyBorder="1" applyAlignment="1">
      <alignment horizontal="center" vertical="center" wrapText="1"/>
    </xf>
    <xf numFmtId="9" fontId="15" fillId="4" borderId="8" xfId="0" applyNumberFormat="1" applyFont="1" applyFill="1" applyBorder="1" applyAlignment="1">
      <alignment horizontal="center" vertical="center" wrapText="1"/>
    </xf>
    <xf numFmtId="9" fontId="15" fillId="4" borderId="10" xfId="0" applyNumberFormat="1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left" vertical="center" wrapText="1"/>
    </xf>
    <xf numFmtId="0" fontId="15" fillId="4" borderId="8" xfId="0" applyFont="1" applyFill="1" applyBorder="1" applyAlignment="1">
      <alignment horizontal="left"/>
    </xf>
    <xf numFmtId="0" fontId="15" fillId="4" borderId="10" xfId="0" applyFont="1" applyFill="1" applyBorder="1" applyAlignment="1">
      <alignment horizontal="left"/>
    </xf>
    <xf numFmtId="0" fontId="16" fillId="4" borderId="5" xfId="0" applyFont="1" applyFill="1" applyBorder="1" applyAlignment="1">
      <alignment horizontal="left" vertical="center" wrapText="1"/>
    </xf>
    <xf numFmtId="0" fontId="15" fillId="4" borderId="8" xfId="0" applyFont="1" applyFill="1" applyBorder="1" applyAlignment="1">
      <alignment horizontal="left" vertical="center"/>
    </xf>
    <xf numFmtId="0" fontId="15" fillId="4" borderId="10" xfId="0" applyFont="1" applyFill="1" applyBorder="1" applyAlignment="1">
      <alignment horizontal="left" vertical="center"/>
    </xf>
    <xf numFmtId="0" fontId="4" fillId="2" borderId="5" xfId="2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  <xf numFmtId="10" fontId="5" fillId="8" borderId="5" xfId="4" applyNumberFormat="1" applyFont="1" applyFill="1" applyBorder="1" applyAlignment="1">
      <alignment horizontal="center" vertical="center" wrapText="1"/>
    </xf>
    <xf numFmtId="10" fontId="5" fillId="8" borderId="8" xfId="4" applyNumberFormat="1" applyFont="1" applyFill="1" applyBorder="1" applyAlignment="1">
      <alignment horizontal="center" vertical="center" wrapText="1"/>
    </xf>
    <xf numFmtId="10" fontId="5" fillId="8" borderId="10" xfId="4" applyNumberFormat="1" applyFont="1" applyFill="1" applyBorder="1" applyAlignment="1">
      <alignment horizontal="center" vertical="center" wrapText="1"/>
    </xf>
    <xf numFmtId="10" fontId="15" fillId="4" borderId="5" xfId="0" applyNumberFormat="1" applyFont="1" applyFill="1" applyBorder="1" applyAlignment="1">
      <alignment horizontal="center" vertical="center" wrapText="1"/>
    </xf>
    <xf numFmtId="10" fontId="15" fillId="4" borderId="8" xfId="0" applyNumberFormat="1" applyFont="1" applyFill="1" applyBorder="1" applyAlignment="1">
      <alignment horizontal="center" vertical="center" wrapText="1"/>
    </xf>
    <xf numFmtId="10" fontId="15" fillId="4" borderId="10" xfId="0" applyNumberFormat="1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8" xfId="0" applyFont="1" applyFill="1" applyBorder="1"/>
    <xf numFmtId="0" fontId="15" fillId="4" borderId="10" xfId="0" applyFont="1" applyFill="1" applyBorder="1"/>
    <xf numFmtId="9" fontId="5" fillId="8" borderId="5" xfId="0" applyNumberFormat="1" applyFont="1" applyFill="1" applyBorder="1" applyAlignment="1">
      <alignment horizontal="center" vertical="center" wrapText="1"/>
    </xf>
    <xf numFmtId="9" fontId="5" fillId="8" borderId="8" xfId="0" applyNumberFormat="1" applyFont="1" applyFill="1" applyBorder="1" applyAlignment="1">
      <alignment horizontal="center" vertical="center" wrapText="1"/>
    </xf>
    <xf numFmtId="9" fontId="5" fillId="8" borderId="10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" fontId="5" fillId="4" borderId="5" xfId="0" applyNumberFormat="1" applyFont="1" applyFill="1" applyBorder="1" applyAlignment="1">
      <alignment horizontal="left" vertical="center" wrapText="1"/>
    </xf>
    <xf numFmtId="1" fontId="5" fillId="4" borderId="8" xfId="0" applyNumberFormat="1" applyFont="1" applyFill="1" applyBorder="1" applyAlignment="1">
      <alignment horizontal="left" vertical="center" wrapText="1"/>
    </xf>
    <xf numFmtId="1" fontId="5" fillId="4" borderId="10" xfId="0" applyNumberFormat="1" applyFont="1" applyFill="1" applyBorder="1" applyAlignment="1">
      <alignment horizontal="left" vertical="center" wrapText="1"/>
    </xf>
    <xf numFmtId="165" fontId="15" fillId="0" borderId="5" xfId="4" applyNumberFormat="1" applyFont="1" applyBorder="1" applyAlignment="1">
      <alignment horizontal="left" vertical="center" wrapText="1"/>
    </xf>
    <xf numFmtId="165" fontId="15" fillId="0" borderId="8" xfId="4" applyNumberFormat="1" applyFont="1" applyBorder="1" applyAlignment="1">
      <alignment horizontal="left" vertical="center" wrapText="1"/>
    </xf>
    <xf numFmtId="165" fontId="15" fillId="0" borderId="10" xfId="4" applyNumberFormat="1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1" fontId="12" fillId="8" borderId="8" xfId="0" applyNumberFormat="1" applyFont="1" applyFill="1" applyBorder="1" applyAlignment="1">
      <alignment horizontal="left" vertical="center" wrapText="1"/>
    </xf>
    <xf numFmtId="1" fontId="12" fillId="8" borderId="10" xfId="0" applyNumberFormat="1" applyFont="1" applyFill="1" applyBorder="1" applyAlignment="1">
      <alignment horizontal="left" vertical="center" wrapText="1"/>
    </xf>
    <xf numFmtId="165" fontId="15" fillId="0" borderId="5" xfId="4" applyNumberFormat="1" applyFont="1" applyFill="1" applyBorder="1" applyAlignment="1">
      <alignment horizontal="left" vertical="center" wrapText="1"/>
    </xf>
    <xf numFmtId="165" fontId="15" fillId="0" borderId="8" xfId="4" applyNumberFormat="1" applyFont="1" applyFill="1" applyBorder="1" applyAlignment="1">
      <alignment horizontal="left" vertical="center" wrapText="1"/>
    </xf>
    <xf numFmtId="165" fontId="15" fillId="0" borderId="10" xfId="4" applyNumberFormat="1" applyFont="1" applyFill="1" applyBorder="1" applyAlignment="1">
      <alignment horizontal="left" vertical="center" wrapText="1"/>
    </xf>
    <xf numFmtId="9" fontId="15" fillId="8" borderId="5" xfId="4" applyFont="1" applyFill="1" applyBorder="1" applyAlignment="1">
      <alignment horizontal="center" vertical="center" wrapText="1"/>
    </xf>
    <xf numFmtId="9" fontId="15" fillId="8" borderId="8" xfId="4" applyFont="1" applyFill="1" applyBorder="1" applyAlignment="1">
      <alignment horizontal="center" vertical="center" wrapText="1"/>
    </xf>
    <xf numFmtId="9" fontId="15" fillId="8" borderId="10" xfId="4" applyFont="1" applyFill="1" applyBorder="1" applyAlignment="1">
      <alignment horizontal="center" vertical="center" wrapText="1"/>
    </xf>
    <xf numFmtId="9" fontId="15" fillId="8" borderId="5" xfId="0" applyNumberFormat="1" applyFont="1" applyFill="1" applyBorder="1" applyAlignment="1">
      <alignment horizontal="left" vertical="center" wrapText="1"/>
    </xf>
    <xf numFmtId="9" fontId="15" fillId="8" borderId="8" xfId="0" applyNumberFormat="1" applyFont="1" applyFill="1" applyBorder="1" applyAlignment="1">
      <alignment horizontal="left" vertical="center" wrapText="1"/>
    </xf>
    <xf numFmtId="9" fontId="15" fillId="8" borderId="10" xfId="0" applyNumberFormat="1" applyFont="1" applyFill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/>
    </xf>
    <xf numFmtId="0" fontId="11" fillId="0" borderId="11" xfId="0" applyFont="1" applyBorder="1" applyAlignment="1">
      <alignment wrapText="1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4" fillId="8" borderId="5" xfId="2" applyFont="1" applyFill="1" applyBorder="1" applyAlignment="1">
      <alignment horizontal="center" vertical="center" wrapText="1"/>
    </xf>
    <xf numFmtId="0" fontId="4" fillId="8" borderId="8" xfId="2" applyFont="1" applyFill="1" applyBorder="1" applyAlignment="1">
      <alignment horizontal="center" vertical="center"/>
    </xf>
    <xf numFmtId="0" fontId="4" fillId="8" borderId="10" xfId="2" applyFont="1" applyFill="1" applyBorder="1" applyAlignment="1">
      <alignment horizontal="center" vertical="center"/>
    </xf>
    <xf numFmtId="165" fontId="19" fillId="0" borderId="5" xfId="4" applyNumberFormat="1" applyFont="1" applyBorder="1" applyAlignment="1">
      <alignment horizontal="left" vertical="center" wrapText="1"/>
    </xf>
    <xf numFmtId="0" fontId="5" fillId="8" borderId="5" xfId="0" applyFont="1" applyFill="1" applyBorder="1" applyAlignment="1">
      <alignment horizontal="left" vertical="top" wrapText="1"/>
    </xf>
    <xf numFmtId="0" fontId="13" fillId="8" borderId="5" xfId="3" applyFont="1" applyFill="1" applyBorder="1" applyAlignment="1">
      <alignment horizontal="left" vertical="top" wrapText="1"/>
    </xf>
    <xf numFmtId="0" fontId="15" fillId="8" borderId="8" xfId="3" applyFont="1" applyFill="1" applyBorder="1" applyAlignment="1">
      <alignment horizontal="left" vertical="top"/>
    </xf>
    <xf numFmtId="0" fontId="15" fillId="8" borderId="10" xfId="3" applyFont="1" applyFill="1" applyBorder="1" applyAlignment="1">
      <alignment horizontal="left" vertical="top"/>
    </xf>
    <xf numFmtId="0" fontId="13" fillId="8" borderId="5" xfId="0" applyFont="1" applyFill="1" applyBorder="1" applyAlignment="1">
      <alignment horizontal="left" vertical="center" wrapText="1"/>
    </xf>
    <xf numFmtId="0" fontId="5" fillId="8" borderId="8" xfId="0" applyFont="1" applyFill="1" applyBorder="1" applyAlignment="1">
      <alignment horizontal="left" vertical="center"/>
    </xf>
    <xf numFmtId="0" fontId="5" fillId="8" borderId="10" xfId="0" applyFont="1" applyFill="1" applyBorder="1" applyAlignment="1">
      <alignment horizontal="left" vertical="center"/>
    </xf>
    <xf numFmtId="0" fontId="15" fillId="4" borderId="5" xfId="2" applyFont="1" applyFill="1" applyBorder="1" applyAlignment="1">
      <alignment horizontal="center" vertical="center" wrapText="1"/>
    </xf>
    <xf numFmtId="0" fontId="15" fillId="4" borderId="8" xfId="2" applyFont="1" applyFill="1" applyBorder="1" applyAlignment="1">
      <alignment horizontal="center" vertical="center" wrapText="1"/>
    </xf>
    <xf numFmtId="0" fontId="15" fillId="4" borderId="10" xfId="2" applyFont="1" applyFill="1" applyBorder="1" applyAlignment="1">
      <alignment horizontal="center" vertical="center" wrapText="1"/>
    </xf>
  </cellXfs>
  <cellStyles count="10">
    <cellStyle name="Millares 2" xfId="1" xr:uid="{00000000-0005-0000-0000-000000000000}"/>
    <cellStyle name="Millares 2 2" xfId="8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4" xfId="6" xr:uid="{00000000-0005-0000-0000-000005000000}"/>
    <cellStyle name="Porcentaje" xfId="4" builtinId="5"/>
    <cellStyle name="Porcentaje 2" xfId="5" xr:uid="{00000000-0005-0000-0000-000007000000}"/>
    <cellStyle name="Porcentaje 3" xfId="9" xr:uid="{00000000-0005-0000-0000-000008000000}"/>
    <cellStyle name="Porcentaje 4" xfId="7" xr:uid="{00000000-0005-0000-0000-000009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1</xdr:col>
      <xdr:colOff>922020</xdr:colOff>
      <xdr:row>4</xdr:row>
      <xdr:rowOff>160020</xdr:rowOff>
    </xdr:to>
    <xdr:pic>
      <xdr:nvPicPr>
        <xdr:cNvPr id="1494" name="Picture 67" descr="image002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0"/>
          <a:ext cx="79248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43DEF180-D391-4DC1-B4B1-2F7CA377B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" y="0"/>
          <a:ext cx="771525" cy="840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A371D9A5-DA72-42DA-85C8-4F264F0EA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" y="0"/>
          <a:ext cx="771525" cy="840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FBC13ABF-0DC1-484A-8C86-508F6D3B0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234"/>
  <sheetViews>
    <sheetView showGridLines="0" tabSelected="1" topLeftCell="A8" zoomScaleNormal="100" workbookViewId="0">
      <pane xSplit="3" ySplit="5" topLeftCell="AJ40" activePane="bottomRight" state="frozen"/>
      <selection activeCell="A8" sqref="A8"/>
      <selection pane="topRight" activeCell="D8" sqref="D8"/>
      <selection pane="bottomLeft" activeCell="A13" sqref="A13"/>
      <selection pane="bottomRight" activeCell="AN11" sqref="A11:XFD50"/>
    </sheetView>
  </sheetViews>
  <sheetFormatPr baseColWidth="10" defaultColWidth="11.453125" defaultRowHeight="13" x14ac:dyDescent="0.3"/>
  <cols>
    <col min="1" max="1" width="11.453125" style="4"/>
    <col min="2" max="4" width="26.7265625" style="4" customWidth="1"/>
    <col min="5" max="5" width="22.453125" style="4" customWidth="1"/>
    <col min="6" max="6" width="14.54296875" style="4" customWidth="1"/>
    <col min="7" max="7" width="23.453125" style="4" customWidth="1"/>
    <col min="8" max="8" width="18" style="4" customWidth="1"/>
    <col min="9" max="10" width="11.1796875" style="4" customWidth="1"/>
    <col min="11" max="11" width="28.54296875" style="4" customWidth="1"/>
    <col min="12" max="12" width="17" style="4" customWidth="1"/>
    <col min="13" max="13" width="11.1796875" style="4" customWidth="1"/>
    <col min="14" max="14" width="11.7265625" style="3" customWidth="1"/>
    <col min="15" max="35" width="10.7265625" style="3" customWidth="1"/>
    <col min="36" max="36" width="16" style="3" customWidth="1"/>
    <col min="37" max="37" width="20" style="3" customWidth="1"/>
    <col min="38" max="38" width="12.54296875" style="4" customWidth="1"/>
    <col min="39" max="39" width="30.7265625" style="4" customWidth="1"/>
    <col min="40" max="40" width="21.26953125" style="4" customWidth="1"/>
    <col min="41" max="41" width="2.26953125" style="4" customWidth="1"/>
    <col min="42" max="16384" width="11.453125" style="4"/>
  </cols>
  <sheetData>
    <row r="1" spans="1:40" s="13" customFormat="1" ht="12.75" customHeight="1" x14ac:dyDescent="0.35">
      <c r="B1" s="174"/>
      <c r="C1" s="174"/>
      <c r="D1" s="175"/>
      <c r="E1" s="156" t="s">
        <v>0</v>
      </c>
      <c r="F1" s="150"/>
      <c r="G1" s="150"/>
      <c r="H1" s="150"/>
      <c r="I1" s="150"/>
      <c r="J1" s="150"/>
      <c r="K1" s="150"/>
      <c r="L1" s="150"/>
      <c r="M1" s="150"/>
      <c r="N1" s="157"/>
      <c r="O1" s="150"/>
      <c r="P1" s="151"/>
      <c r="Q1" s="151"/>
      <c r="R1" s="152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1:40" s="13" customFormat="1" ht="12.75" customHeight="1" x14ac:dyDescent="0.35">
      <c r="B2" s="176"/>
      <c r="C2" s="176"/>
      <c r="D2" s="177"/>
      <c r="E2" s="158"/>
      <c r="F2" s="153"/>
      <c r="G2" s="153"/>
      <c r="H2" s="153"/>
      <c r="I2" s="153"/>
      <c r="J2" s="153"/>
      <c r="K2" s="153"/>
      <c r="L2" s="153"/>
      <c r="M2" s="153"/>
      <c r="N2" s="159"/>
      <c r="O2" s="163"/>
      <c r="P2" s="163"/>
      <c r="Q2" s="163"/>
      <c r="R2" s="16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40" s="13" customFormat="1" ht="15.75" customHeight="1" x14ac:dyDescent="0.35">
      <c r="B3" s="176"/>
      <c r="C3" s="176"/>
      <c r="D3" s="177"/>
      <c r="E3" s="158"/>
      <c r="F3" s="153"/>
      <c r="G3" s="153"/>
      <c r="H3" s="153"/>
      <c r="I3" s="153"/>
      <c r="J3" s="153"/>
      <c r="K3" s="153"/>
      <c r="L3" s="153"/>
      <c r="M3" s="153"/>
      <c r="N3" s="159"/>
      <c r="O3" s="153"/>
      <c r="P3" s="154"/>
      <c r="Q3" s="154"/>
      <c r="R3" s="155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40" s="13" customFormat="1" ht="12.75" customHeight="1" x14ac:dyDescent="0.35">
      <c r="B4" s="176"/>
      <c r="C4" s="176"/>
      <c r="D4" s="177"/>
      <c r="E4" s="158"/>
      <c r="F4" s="153"/>
      <c r="G4" s="153"/>
      <c r="H4" s="153"/>
      <c r="I4" s="153"/>
      <c r="J4" s="153"/>
      <c r="K4" s="153"/>
      <c r="L4" s="153"/>
      <c r="M4" s="153"/>
      <c r="N4" s="159"/>
      <c r="O4" s="15"/>
      <c r="P4" s="15"/>
      <c r="Q4" s="15"/>
      <c r="R4" s="16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40" s="13" customFormat="1" ht="20.25" customHeight="1" x14ac:dyDescent="0.35">
      <c r="B5" s="178"/>
      <c r="C5" s="178"/>
      <c r="D5" s="179"/>
      <c r="E5" s="160"/>
      <c r="F5" s="161"/>
      <c r="G5" s="161"/>
      <c r="H5" s="161"/>
      <c r="I5" s="161"/>
      <c r="J5" s="161"/>
      <c r="K5" s="161"/>
      <c r="L5" s="161"/>
      <c r="M5" s="161"/>
      <c r="N5" s="162"/>
      <c r="O5" s="166"/>
      <c r="P5" s="166"/>
      <c r="Q5" s="166"/>
      <c r="R5" s="167"/>
      <c r="S5" s="14"/>
      <c r="T5" s="14"/>
      <c r="U5" s="14"/>
      <c r="V5" s="14" t="s">
        <v>31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 spans="1:40" ht="15" customHeight="1" x14ac:dyDescent="0.3">
      <c r="B6" s="171" t="s">
        <v>29</v>
      </c>
      <c r="C6" s="172"/>
      <c r="D6" s="173"/>
      <c r="E6" s="170" t="s">
        <v>34</v>
      </c>
      <c r="F6" s="168"/>
      <c r="G6" s="168"/>
      <c r="H6" s="168"/>
      <c r="I6" s="168"/>
      <c r="J6" s="168"/>
      <c r="K6" s="168"/>
      <c r="L6" s="168"/>
      <c r="M6" s="168"/>
      <c r="N6" s="169"/>
      <c r="O6" s="168"/>
      <c r="P6" s="168"/>
      <c r="Q6" s="168"/>
      <c r="R6" s="169"/>
    </row>
    <row r="7" spans="1:40" ht="15" customHeight="1" x14ac:dyDescent="0.35">
      <c r="E7" s="10"/>
    </row>
    <row r="8" spans="1:40" ht="15" customHeight="1" x14ac:dyDescent="0.4">
      <c r="B8" s="5" t="s">
        <v>176</v>
      </c>
      <c r="C8" s="10"/>
      <c r="D8" s="12"/>
      <c r="E8"/>
      <c r="F8" s="8"/>
      <c r="G8" s="8"/>
      <c r="H8" s="8"/>
      <c r="I8" s="8"/>
      <c r="J8" s="8"/>
      <c r="K8" s="8"/>
      <c r="L8" s="8"/>
      <c r="M8" s="8"/>
      <c r="AA8" s="9"/>
      <c r="AF8" s="9"/>
      <c r="AK8" s="9"/>
    </row>
    <row r="9" spans="1:40" ht="15" customHeight="1" x14ac:dyDescent="0.4">
      <c r="B9" s="5" t="s">
        <v>45</v>
      </c>
      <c r="C9" s="10"/>
      <c r="D9" s="10"/>
      <c r="E9"/>
      <c r="F9" s="8"/>
      <c r="G9" s="8"/>
      <c r="H9" s="8"/>
      <c r="I9" s="8"/>
      <c r="J9" s="8"/>
      <c r="K9" s="8"/>
      <c r="L9" s="8"/>
      <c r="M9" s="8"/>
      <c r="R9" s="9"/>
    </row>
    <row r="10" spans="1:40" ht="12" customHeight="1" thickBot="1" x14ac:dyDescent="0.4">
      <c r="B10" s="5"/>
      <c r="C10" s="5"/>
      <c r="D10" s="5"/>
      <c r="E10" s="10"/>
      <c r="P10" s="6"/>
      <c r="Q10" s="6"/>
      <c r="R10" s="11"/>
      <c r="S10" s="6"/>
      <c r="T10" s="6"/>
      <c r="U10" s="6"/>
      <c r="AI10" s="6"/>
      <c r="AJ10" s="6"/>
      <c r="AK10" s="6"/>
      <c r="AL10" s="1"/>
      <c r="AM10" s="1"/>
      <c r="AN10" s="1"/>
    </row>
    <row r="11" spans="1:40" s="2" customFormat="1" ht="22.9" customHeight="1" thickTop="1" x14ac:dyDescent="0.25">
      <c r="A11" s="113" t="s">
        <v>41</v>
      </c>
      <c r="B11" s="113" t="s">
        <v>35</v>
      </c>
      <c r="C11" s="113" t="s">
        <v>1</v>
      </c>
      <c r="D11" s="145" t="s">
        <v>2</v>
      </c>
      <c r="E11" s="130" t="s">
        <v>32</v>
      </c>
      <c r="F11" s="130" t="s">
        <v>36</v>
      </c>
      <c r="G11" s="130" t="s">
        <v>33</v>
      </c>
      <c r="H11" s="130" t="s">
        <v>37</v>
      </c>
      <c r="I11" s="130" t="s">
        <v>177</v>
      </c>
      <c r="J11" s="130" t="s">
        <v>44</v>
      </c>
      <c r="K11" s="145" t="s">
        <v>3</v>
      </c>
      <c r="L11" s="145" t="s">
        <v>28</v>
      </c>
      <c r="M11" s="145" t="s">
        <v>4</v>
      </c>
      <c r="N11" s="145" t="s">
        <v>5</v>
      </c>
      <c r="O11" s="145" t="s">
        <v>6</v>
      </c>
      <c r="P11" s="145" t="s">
        <v>7</v>
      </c>
      <c r="Q11" s="145" t="s">
        <v>8</v>
      </c>
      <c r="R11" s="145" t="s">
        <v>9</v>
      </c>
      <c r="S11" s="145" t="s">
        <v>10</v>
      </c>
      <c r="T11" s="145" t="s">
        <v>11</v>
      </c>
      <c r="U11" s="113" t="s">
        <v>12</v>
      </c>
      <c r="V11" s="113" t="s">
        <v>13</v>
      </c>
      <c r="W11" s="145" t="s">
        <v>14</v>
      </c>
      <c r="X11" s="147" t="s">
        <v>15</v>
      </c>
      <c r="Y11" s="145" t="s">
        <v>16</v>
      </c>
      <c r="Z11" s="145" t="s">
        <v>17</v>
      </c>
      <c r="AA11" s="145" t="s">
        <v>18</v>
      </c>
      <c r="AB11" s="145" t="s">
        <v>19</v>
      </c>
      <c r="AC11" s="145" t="s">
        <v>20</v>
      </c>
      <c r="AD11" s="145" t="s">
        <v>21</v>
      </c>
      <c r="AE11" s="145" t="s">
        <v>22</v>
      </c>
      <c r="AF11" s="113" t="s">
        <v>23</v>
      </c>
      <c r="AG11" s="145" t="s">
        <v>24</v>
      </c>
      <c r="AH11" s="145" t="s">
        <v>25</v>
      </c>
      <c r="AI11" s="130" t="s">
        <v>145</v>
      </c>
      <c r="AJ11" s="145" t="s">
        <v>26</v>
      </c>
      <c r="AK11" s="145" t="s">
        <v>27</v>
      </c>
      <c r="AL11" s="130" t="s">
        <v>43</v>
      </c>
      <c r="AM11" s="145" t="s">
        <v>42</v>
      </c>
    </row>
    <row r="12" spans="1:40" s="2" customFormat="1" ht="22.9" customHeight="1" thickBot="1" x14ac:dyDescent="0.3">
      <c r="A12" s="114"/>
      <c r="B12" s="114"/>
      <c r="C12" s="114"/>
      <c r="D12" s="149"/>
      <c r="E12" s="131"/>
      <c r="F12" s="131"/>
      <c r="G12" s="131"/>
      <c r="H12" s="131"/>
      <c r="I12" s="131"/>
      <c r="J12" s="131"/>
      <c r="K12" s="149"/>
      <c r="L12" s="165"/>
      <c r="M12" s="149"/>
      <c r="N12" s="149"/>
      <c r="O12" s="149"/>
      <c r="P12" s="149"/>
      <c r="Q12" s="149"/>
      <c r="R12" s="149"/>
      <c r="S12" s="146"/>
      <c r="T12" s="149"/>
      <c r="U12" s="144"/>
      <c r="V12" s="144"/>
      <c r="W12" s="146"/>
      <c r="X12" s="148"/>
      <c r="Y12" s="149"/>
      <c r="Z12" s="146"/>
      <c r="AA12" s="146"/>
      <c r="AB12" s="146"/>
      <c r="AC12" s="146"/>
      <c r="AD12" s="146"/>
      <c r="AE12" s="146"/>
      <c r="AF12" s="144"/>
      <c r="AG12" s="146"/>
      <c r="AH12" s="149"/>
      <c r="AI12" s="131"/>
      <c r="AJ12" s="149"/>
      <c r="AK12" s="186"/>
      <c r="AL12" s="131"/>
      <c r="AM12" s="149"/>
    </row>
    <row r="13" spans="1:40" s="72" customFormat="1" ht="22.9" customHeight="1" thickTop="1" x14ac:dyDescent="0.25">
      <c r="A13" s="121" t="s">
        <v>170</v>
      </c>
      <c r="B13" s="124" t="s">
        <v>85</v>
      </c>
      <c r="C13" s="127" t="s">
        <v>171</v>
      </c>
      <c r="D13" s="138" t="s">
        <v>86</v>
      </c>
      <c r="E13" s="118" t="s">
        <v>74</v>
      </c>
      <c r="F13" s="118" t="s">
        <v>172</v>
      </c>
      <c r="G13" s="118" t="s">
        <v>47</v>
      </c>
      <c r="H13" s="118" t="s">
        <v>172</v>
      </c>
      <c r="I13" s="115">
        <f>+L14</f>
        <v>0.9</v>
      </c>
      <c r="J13" s="135">
        <v>0.15</v>
      </c>
      <c r="K13" s="180" t="s">
        <v>87</v>
      </c>
      <c r="L13" s="46" t="s">
        <v>38</v>
      </c>
      <c r="M13" s="17" t="s">
        <v>38</v>
      </c>
      <c r="N13" s="17" t="s">
        <v>38</v>
      </c>
      <c r="O13" s="18" t="s">
        <v>38</v>
      </c>
      <c r="P13" s="17" t="s">
        <v>38</v>
      </c>
      <c r="Q13" s="62" t="s">
        <v>38</v>
      </c>
      <c r="R13" s="17" t="s">
        <v>38</v>
      </c>
      <c r="S13" s="62" t="s">
        <v>38</v>
      </c>
      <c r="T13" s="17" t="s">
        <v>38</v>
      </c>
      <c r="U13" s="62" t="s">
        <v>38</v>
      </c>
      <c r="V13" s="17" t="s">
        <v>38</v>
      </c>
      <c r="W13" s="62" t="s">
        <v>38</v>
      </c>
      <c r="X13" s="17" t="s">
        <v>38</v>
      </c>
      <c r="Y13" s="62" t="s">
        <v>38</v>
      </c>
      <c r="Z13" s="17" t="s">
        <v>38</v>
      </c>
      <c r="AA13" s="62" t="s">
        <v>38</v>
      </c>
      <c r="AB13" s="17" t="s">
        <v>38</v>
      </c>
      <c r="AC13" s="62" t="s">
        <v>38</v>
      </c>
      <c r="AD13" s="17" t="s">
        <v>38</v>
      </c>
      <c r="AE13" s="62" t="s">
        <v>38</v>
      </c>
      <c r="AF13" s="17" t="s">
        <v>38</v>
      </c>
      <c r="AG13" s="62" t="s">
        <v>38</v>
      </c>
      <c r="AH13" s="17" t="s">
        <v>38</v>
      </c>
      <c r="AI13" s="62" t="s">
        <v>38</v>
      </c>
      <c r="AJ13" s="48"/>
      <c r="AK13" s="183" t="s">
        <v>88</v>
      </c>
      <c r="AL13" s="183"/>
      <c r="AM13" s="83" t="s">
        <v>148</v>
      </c>
    </row>
    <row r="14" spans="1:40" s="72" customFormat="1" ht="22.9" customHeight="1" x14ac:dyDescent="0.25">
      <c r="A14" s="122"/>
      <c r="B14" s="125"/>
      <c r="C14" s="128"/>
      <c r="D14" s="139"/>
      <c r="E14" s="119"/>
      <c r="F14" s="119"/>
      <c r="G14" s="119"/>
      <c r="H14" s="119"/>
      <c r="I14" s="116"/>
      <c r="J14" s="136"/>
      <c r="K14" s="181"/>
      <c r="L14" s="73">
        <f>IF(L16&lt;&gt;0,+L16/L18,0%)</f>
        <v>0.9</v>
      </c>
      <c r="M14" s="63">
        <f>IF(M16&lt;&gt;0,+M16/M18,0%)</f>
        <v>0</v>
      </c>
      <c r="N14" s="64">
        <f>IF(N16&lt;&gt;0,+N16/N18,0%)</f>
        <v>0</v>
      </c>
      <c r="O14" s="65">
        <f t="shared" ref="O14:AG14" si="0">IF(O16&lt;&gt;0,+O16/O18,0%)</f>
        <v>0</v>
      </c>
      <c r="P14" s="64">
        <f>IF(P16&lt;&gt;0,ROUND(+P16/P18,4),0%)</f>
        <v>0</v>
      </c>
      <c r="Q14" s="66">
        <f t="shared" si="0"/>
        <v>0</v>
      </c>
      <c r="R14" s="67">
        <f>IF(R16&lt;&gt;0,ROUND(+R16/R18,4),0%)</f>
        <v>0</v>
      </c>
      <c r="S14" s="66">
        <f t="shared" si="0"/>
        <v>0</v>
      </c>
      <c r="T14" s="67">
        <f>IF(T16&lt;&gt;0,ROUND(+T16/T18,4),0%)</f>
        <v>0</v>
      </c>
      <c r="U14" s="66">
        <f t="shared" si="0"/>
        <v>0</v>
      </c>
      <c r="V14" s="67">
        <f>IF(V16&lt;&gt;0,ROUND(+V16/V18,4),0%)</f>
        <v>0</v>
      </c>
      <c r="W14" s="66">
        <f t="shared" si="0"/>
        <v>0</v>
      </c>
      <c r="X14" s="67">
        <f>IF(X16&lt;&gt;0,ROUND(+X16/X18,4),0%)</f>
        <v>0</v>
      </c>
      <c r="Y14" s="66">
        <f t="shared" si="0"/>
        <v>0</v>
      </c>
      <c r="Z14" s="68">
        <f>IF(Z16&lt;&gt;0,ROUND(+Z16/Z18,4),0%)</f>
        <v>0</v>
      </c>
      <c r="AA14" s="66">
        <f t="shared" si="0"/>
        <v>0</v>
      </c>
      <c r="AB14" s="67">
        <f>IF(AB16&lt;&gt;0,ROUND(+AB16/AB18,4),0%)</f>
        <v>0</v>
      </c>
      <c r="AC14" s="66">
        <f t="shared" si="0"/>
        <v>0</v>
      </c>
      <c r="AD14" s="67">
        <f>IF(AD16&lt;&gt;0,ROUND(+AD16/AD18,4),0%)</f>
        <v>0</v>
      </c>
      <c r="AE14" s="66">
        <f t="shared" si="0"/>
        <v>0</v>
      </c>
      <c r="AF14" s="67">
        <f>IF(AF16&lt;&gt;0,ROUND(+AF16/AF18,4),0%)</f>
        <v>0</v>
      </c>
      <c r="AG14" s="66">
        <f t="shared" si="0"/>
        <v>0</v>
      </c>
      <c r="AH14" s="67">
        <f>IF(AH16&lt;&gt;0,ROUND(+AH16/AH18,4),0%)</f>
        <v>0</v>
      </c>
      <c r="AI14" s="66">
        <f>IF(AI16&lt;&gt;0,+AI16/AI18,0%)</f>
        <v>0</v>
      </c>
      <c r="AJ14" s="51"/>
      <c r="AK14" s="184"/>
      <c r="AL14" s="184"/>
      <c r="AM14" s="84"/>
    </row>
    <row r="15" spans="1:40" s="72" customFormat="1" ht="22.9" customHeight="1" thickBot="1" x14ac:dyDescent="0.3">
      <c r="A15" s="122"/>
      <c r="B15" s="125"/>
      <c r="C15" s="128"/>
      <c r="D15" s="139"/>
      <c r="E15" s="119"/>
      <c r="F15" s="119"/>
      <c r="G15" s="119"/>
      <c r="H15" s="119"/>
      <c r="I15" s="116"/>
      <c r="J15" s="136"/>
      <c r="K15" s="182"/>
      <c r="L15" s="52" t="s">
        <v>39</v>
      </c>
      <c r="M15" s="23" t="s">
        <v>39</v>
      </c>
      <c r="N15" s="23" t="s">
        <v>39</v>
      </c>
      <c r="O15" s="24" t="s">
        <v>39</v>
      </c>
      <c r="P15" s="23" t="s">
        <v>39</v>
      </c>
      <c r="Q15" s="69" t="s">
        <v>39</v>
      </c>
      <c r="R15" s="23" t="s">
        <v>39</v>
      </c>
      <c r="S15" s="69" t="s">
        <v>39</v>
      </c>
      <c r="T15" s="23" t="s">
        <v>39</v>
      </c>
      <c r="U15" s="69" t="s">
        <v>39</v>
      </c>
      <c r="V15" s="23" t="s">
        <v>39</v>
      </c>
      <c r="W15" s="69" t="s">
        <v>39</v>
      </c>
      <c r="X15" s="23" t="s">
        <v>39</v>
      </c>
      <c r="Y15" s="69" t="s">
        <v>39</v>
      </c>
      <c r="Z15" s="23" t="s">
        <v>39</v>
      </c>
      <c r="AA15" s="69" t="s">
        <v>39</v>
      </c>
      <c r="AB15" s="23" t="s">
        <v>39</v>
      </c>
      <c r="AC15" s="69" t="s">
        <v>39</v>
      </c>
      <c r="AD15" s="23" t="s">
        <v>39</v>
      </c>
      <c r="AE15" s="69" t="s">
        <v>39</v>
      </c>
      <c r="AF15" s="23" t="s">
        <v>39</v>
      </c>
      <c r="AG15" s="69" t="s">
        <v>39</v>
      </c>
      <c r="AH15" s="23" t="s">
        <v>39</v>
      </c>
      <c r="AI15" s="69" t="s">
        <v>39</v>
      </c>
      <c r="AJ15" s="51"/>
      <c r="AK15" s="184"/>
      <c r="AL15" s="184"/>
      <c r="AM15" s="84"/>
    </row>
    <row r="16" spans="1:40" s="72" customFormat="1" ht="22.9" customHeight="1" thickTop="1" x14ac:dyDescent="0.25">
      <c r="A16" s="122"/>
      <c r="B16" s="125"/>
      <c r="C16" s="128"/>
      <c r="D16" s="139"/>
      <c r="E16" s="119"/>
      <c r="F16" s="119"/>
      <c r="G16" s="119"/>
      <c r="H16" s="119"/>
      <c r="I16" s="116"/>
      <c r="J16" s="136"/>
      <c r="K16" s="180" t="s">
        <v>89</v>
      </c>
      <c r="L16" s="34">
        <v>24300</v>
      </c>
      <c r="M16" s="32"/>
      <c r="N16" s="32"/>
      <c r="O16" s="25">
        <f>+M16+N16</f>
        <v>0</v>
      </c>
      <c r="P16" s="32"/>
      <c r="Q16" s="25">
        <f>+O16+P16</f>
        <v>0</v>
      </c>
      <c r="R16" s="32"/>
      <c r="S16" s="25">
        <f>+Q16+R16</f>
        <v>0</v>
      </c>
      <c r="T16" s="32"/>
      <c r="U16" s="25">
        <f>+S16+T16</f>
        <v>0</v>
      </c>
      <c r="V16" s="32"/>
      <c r="W16" s="25">
        <f>+U16+V16</f>
        <v>0</v>
      </c>
      <c r="X16" s="32"/>
      <c r="Y16" s="25">
        <f>+W16+X16</f>
        <v>0</v>
      </c>
      <c r="Z16" s="32"/>
      <c r="AA16" s="25">
        <f>+Y16+Z16</f>
        <v>0</v>
      </c>
      <c r="AB16" s="32"/>
      <c r="AC16" s="25">
        <f>+AA16+AB16</f>
        <v>0</v>
      </c>
      <c r="AD16" s="32"/>
      <c r="AE16" s="25">
        <f>+AC16+AD16</f>
        <v>0</v>
      </c>
      <c r="AF16" s="32"/>
      <c r="AG16" s="25">
        <f>+AE16+AF16</f>
        <v>0</v>
      </c>
      <c r="AH16" s="32"/>
      <c r="AI16" s="25">
        <f>+AG16+AH16</f>
        <v>0</v>
      </c>
      <c r="AJ16" s="56">
        <f>+AI14/L14</f>
        <v>0</v>
      </c>
      <c r="AK16" s="184"/>
      <c r="AL16" s="184"/>
      <c r="AM16" s="84"/>
    </row>
    <row r="17" spans="1:39" s="72" customFormat="1" ht="22.9" customHeight="1" x14ac:dyDescent="0.25">
      <c r="A17" s="122"/>
      <c r="B17" s="125"/>
      <c r="C17" s="128"/>
      <c r="D17" s="139"/>
      <c r="E17" s="119"/>
      <c r="F17" s="119"/>
      <c r="G17" s="119"/>
      <c r="H17" s="119"/>
      <c r="I17" s="116"/>
      <c r="J17" s="136"/>
      <c r="K17" s="181"/>
      <c r="L17" s="27" t="s">
        <v>40</v>
      </c>
      <c r="M17" s="27" t="s">
        <v>40</v>
      </c>
      <c r="N17" s="27" t="s">
        <v>40</v>
      </c>
      <c r="O17" s="28" t="s">
        <v>40</v>
      </c>
      <c r="P17" s="27" t="s">
        <v>40</v>
      </c>
      <c r="Q17" s="28" t="s">
        <v>40</v>
      </c>
      <c r="R17" s="27" t="s">
        <v>40</v>
      </c>
      <c r="S17" s="28" t="s">
        <v>40</v>
      </c>
      <c r="T17" s="27" t="s">
        <v>40</v>
      </c>
      <c r="U17" s="28" t="s">
        <v>40</v>
      </c>
      <c r="V17" s="27" t="s">
        <v>40</v>
      </c>
      <c r="W17" s="28" t="s">
        <v>40</v>
      </c>
      <c r="X17" s="27" t="s">
        <v>40</v>
      </c>
      <c r="Y17" s="28" t="s">
        <v>40</v>
      </c>
      <c r="Z17" s="27" t="s">
        <v>40</v>
      </c>
      <c r="AA17" s="28" t="s">
        <v>40</v>
      </c>
      <c r="AB17" s="27" t="s">
        <v>40</v>
      </c>
      <c r="AC17" s="28" t="s">
        <v>40</v>
      </c>
      <c r="AD17" s="27" t="s">
        <v>40</v>
      </c>
      <c r="AE17" s="28" t="s">
        <v>40</v>
      </c>
      <c r="AF17" s="27" t="s">
        <v>40</v>
      </c>
      <c r="AG17" s="28" t="s">
        <v>40</v>
      </c>
      <c r="AH17" s="27" t="s">
        <v>40</v>
      </c>
      <c r="AI17" s="70" t="s">
        <v>40</v>
      </c>
      <c r="AJ17" s="51"/>
      <c r="AK17" s="184"/>
      <c r="AL17" s="184"/>
      <c r="AM17" s="84"/>
    </row>
    <row r="18" spans="1:39" s="72" customFormat="1" ht="22.9" customHeight="1" thickBot="1" x14ac:dyDescent="0.3">
      <c r="A18" s="123"/>
      <c r="B18" s="126"/>
      <c r="C18" s="129"/>
      <c r="D18" s="140"/>
      <c r="E18" s="119"/>
      <c r="F18" s="120"/>
      <c r="G18" s="120"/>
      <c r="H18" s="120"/>
      <c r="I18" s="117"/>
      <c r="J18" s="137"/>
      <c r="K18" s="182"/>
      <c r="L18" s="34">
        <v>27000</v>
      </c>
      <c r="M18" s="31"/>
      <c r="N18" s="31"/>
      <c r="O18" s="29">
        <f>+M18+N18</f>
        <v>0</v>
      </c>
      <c r="P18" s="31"/>
      <c r="Q18" s="29">
        <f>+O18+P18</f>
        <v>0</v>
      </c>
      <c r="R18" s="31"/>
      <c r="S18" s="29">
        <f>+Q18+R18</f>
        <v>0</v>
      </c>
      <c r="T18" s="31"/>
      <c r="U18" s="29">
        <f>+S18+T18</f>
        <v>0</v>
      </c>
      <c r="V18" s="31"/>
      <c r="W18" s="29">
        <f>+U18+V18</f>
        <v>0</v>
      </c>
      <c r="X18" s="31"/>
      <c r="Y18" s="29">
        <f>+W18+X18</f>
        <v>0</v>
      </c>
      <c r="Z18" s="31"/>
      <c r="AA18" s="29">
        <f>+Y18+Z18</f>
        <v>0</v>
      </c>
      <c r="AB18" s="31"/>
      <c r="AC18" s="29">
        <f>+AA18+AB18</f>
        <v>0</v>
      </c>
      <c r="AD18" s="31"/>
      <c r="AE18" s="29">
        <f>+AC18+AD18</f>
        <v>0</v>
      </c>
      <c r="AF18" s="31"/>
      <c r="AG18" s="29">
        <f>+AE18+AF18</f>
        <v>0</v>
      </c>
      <c r="AH18" s="31"/>
      <c r="AI18" s="29">
        <f>+AG18+AH18</f>
        <v>0</v>
      </c>
      <c r="AJ18" s="61"/>
      <c r="AK18" s="185"/>
      <c r="AL18" s="185"/>
      <c r="AM18" s="85"/>
    </row>
    <row r="19" spans="1:39" s="36" customFormat="1" ht="22.9" customHeight="1" thickTop="1" x14ac:dyDescent="0.25">
      <c r="A19" s="95" t="s">
        <v>78</v>
      </c>
      <c r="B19" s="98" t="s">
        <v>55</v>
      </c>
      <c r="C19" s="107" t="s">
        <v>166</v>
      </c>
      <c r="D19" s="110" t="s">
        <v>64</v>
      </c>
      <c r="E19" s="89" t="s">
        <v>46</v>
      </c>
      <c r="F19" s="89" t="s">
        <v>173</v>
      </c>
      <c r="G19" s="89" t="s">
        <v>48</v>
      </c>
      <c r="H19" s="89" t="s">
        <v>63</v>
      </c>
      <c r="I19" s="92">
        <f>L20</f>
        <v>0.66666666666666663</v>
      </c>
      <c r="J19" s="141">
        <v>0.2</v>
      </c>
      <c r="K19" s="86" t="s">
        <v>65</v>
      </c>
      <c r="L19" s="17" t="s">
        <v>38</v>
      </c>
      <c r="M19" s="17" t="s">
        <v>38</v>
      </c>
      <c r="N19" s="17" t="s">
        <v>38</v>
      </c>
      <c r="O19" s="18" t="s">
        <v>38</v>
      </c>
      <c r="P19" s="17" t="s">
        <v>38</v>
      </c>
      <c r="Q19" s="18" t="s">
        <v>38</v>
      </c>
      <c r="R19" s="17" t="s">
        <v>38</v>
      </c>
      <c r="S19" s="18" t="s">
        <v>38</v>
      </c>
      <c r="T19" s="17" t="s">
        <v>38</v>
      </c>
      <c r="U19" s="18" t="s">
        <v>38</v>
      </c>
      <c r="V19" s="17" t="s">
        <v>38</v>
      </c>
      <c r="W19" s="18" t="s">
        <v>38</v>
      </c>
      <c r="X19" s="17" t="s">
        <v>38</v>
      </c>
      <c r="Y19" s="18" t="s">
        <v>38</v>
      </c>
      <c r="Z19" s="17" t="s">
        <v>38</v>
      </c>
      <c r="AA19" s="18" t="s">
        <v>38</v>
      </c>
      <c r="AB19" s="17" t="s">
        <v>38</v>
      </c>
      <c r="AC19" s="18" t="s">
        <v>38</v>
      </c>
      <c r="AD19" s="17" t="s">
        <v>38</v>
      </c>
      <c r="AE19" s="18" t="s">
        <v>38</v>
      </c>
      <c r="AF19" s="17" t="s">
        <v>38</v>
      </c>
      <c r="AG19" s="18" t="s">
        <v>38</v>
      </c>
      <c r="AH19" s="17" t="s">
        <v>38</v>
      </c>
      <c r="AI19" s="18" t="s">
        <v>38</v>
      </c>
      <c r="AJ19" s="19"/>
      <c r="AK19" s="77" t="s">
        <v>127</v>
      </c>
      <c r="AL19" s="80"/>
      <c r="AM19" s="83" t="s">
        <v>58</v>
      </c>
    </row>
    <row r="20" spans="1:39" s="36" customFormat="1" ht="22.9" customHeight="1" x14ac:dyDescent="0.25">
      <c r="A20" s="96"/>
      <c r="B20" s="99"/>
      <c r="C20" s="108"/>
      <c r="D20" s="111"/>
      <c r="E20" s="90"/>
      <c r="F20" s="90"/>
      <c r="G20" s="90"/>
      <c r="H20" s="90"/>
      <c r="I20" s="93"/>
      <c r="J20" s="142"/>
      <c r="K20" s="187"/>
      <c r="L20" s="33">
        <f t="shared" ref="L20:AI20" si="1">IF(L22&lt;&gt;0,+L22/L24,0%)</f>
        <v>0.66666666666666663</v>
      </c>
      <c r="M20" s="20">
        <f t="shared" si="1"/>
        <v>0</v>
      </c>
      <c r="N20" s="20">
        <f t="shared" si="1"/>
        <v>0</v>
      </c>
      <c r="O20" s="21">
        <f t="shared" si="1"/>
        <v>0</v>
      </c>
      <c r="P20" s="20">
        <f t="shared" si="1"/>
        <v>0</v>
      </c>
      <c r="Q20" s="21">
        <f t="shared" si="1"/>
        <v>0</v>
      </c>
      <c r="R20" s="20">
        <f t="shared" si="1"/>
        <v>0.33333333333333331</v>
      </c>
      <c r="S20" s="21">
        <f t="shared" si="1"/>
        <v>0.33333333333333331</v>
      </c>
      <c r="T20" s="20">
        <f t="shared" si="1"/>
        <v>0</v>
      </c>
      <c r="U20" s="21">
        <f t="shared" si="1"/>
        <v>0.33333333333333331</v>
      </c>
      <c r="V20" s="20">
        <f t="shared" si="1"/>
        <v>0.33333333333333331</v>
      </c>
      <c r="W20" s="21">
        <f t="shared" si="1"/>
        <v>0.66666666666666663</v>
      </c>
      <c r="X20" s="20">
        <f t="shared" si="1"/>
        <v>0</v>
      </c>
      <c r="Y20" s="21">
        <f t="shared" si="1"/>
        <v>0.66666666666666663</v>
      </c>
      <c r="Z20" s="20">
        <f t="shared" si="1"/>
        <v>0</v>
      </c>
      <c r="AA20" s="21">
        <f t="shared" si="1"/>
        <v>0.66666666666666663</v>
      </c>
      <c r="AB20" s="20">
        <f t="shared" si="1"/>
        <v>0</v>
      </c>
      <c r="AC20" s="21">
        <f t="shared" si="1"/>
        <v>0.66666666666666663</v>
      </c>
      <c r="AD20" s="20">
        <f t="shared" si="1"/>
        <v>0</v>
      </c>
      <c r="AE20" s="21">
        <f t="shared" si="1"/>
        <v>0.66666666666666663</v>
      </c>
      <c r="AF20" s="20">
        <f t="shared" si="1"/>
        <v>0</v>
      </c>
      <c r="AG20" s="21">
        <f t="shared" si="1"/>
        <v>0.66666666666666663</v>
      </c>
      <c r="AH20" s="20">
        <f t="shared" si="1"/>
        <v>0</v>
      </c>
      <c r="AI20" s="21">
        <f t="shared" si="1"/>
        <v>0.66666666666666663</v>
      </c>
      <c r="AJ20" s="22"/>
      <c r="AK20" s="78"/>
      <c r="AL20" s="81"/>
      <c r="AM20" s="84"/>
    </row>
    <row r="21" spans="1:39" s="36" customFormat="1" ht="22.9" customHeight="1" thickBot="1" x14ac:dyDescent="0.3">
      <c r="A21" s="96"/>
      <c r="B21" s="99"/>
      <c r="C21" s="108"/>
      <c r="D21" s="111"/>
      <c r="E21" s="90"/>
      <c r="F21" s="90"/>
      <c r="G21" s="90"/>
      <c r="H21" s="90"/>
      <c r="I21" s="93"/>
      <c r="J21" s="142"/>
      <c r="K21" s="188"/>
      <c r="L21" s="23" t="s">
        <v>39</v>
      </c>
      <c r="M21" s="23" t="s">
        <v>39</v>
      </c>
      <c r="N21" s="23" t="s">
        <v>39</v>
      </c>
      <c r="O21" s="24" t="s">
        <v>39</v>
      </c>
      <c r="P21" s="23" t="s">
        <v>39</v>
      </c>
      <c r="Q21" s="24" t="s">
        <v>39</v>
      </c>
      <c r="R21" s="23" t="s">
        <v>39</v>
      </c>
      <c r="S21" s="24" t="s">
        <v>39</v>
      </c>
      <c r="T21" s="23" t="s">
        <v>39</v>
      </c>
      <c r="U21" s="24" t="s">
        <v>39</v>
      </c>
      <c r="V21" s="23" t="s">
        <v>39</v>
      </c>
      <c r="W21" s="24" t="s">
        <v>39</v>
      </c>
      <c r="X21" s="23" t="s">
        <v>39</v>
      </c>
      <c r="Y21" s="24" t="s">
        <v>39</v>
      </c>
      <c r="Z21" s="23" t="s">
        <v>39</v>
      </c>
      <c r="AA21" s="24" t="s">
        <v>39</v>
      </c>
      <c r="AB21" s="23" t="s">
        <v>39</v>
      </c>
      <c r="AC21" s="24" t="s">
        <v>39</v>
      </c>
      <c r="AD21" s="23" t="s">
        <v>39</v>
      </c>
      <c r="AE21" s="24" t="s">
        <v>39</v>
      </c>
      <c r="AF21" s="23" t="s">
        <v>39</v>
      </c>
      <c r="AG21" s="24" t="s">
        <v>39</v>
      </c>
      <c r="AH21" s="23" t="s">
        <v>39</v>
      </c>
      <c r="AI21" s="24" t="s">
        <v>39</v>
      </c>
      <c r="AJ21" s="22"/>
      <c r="AK21" s="78"/>
      <c r="AL21" s="81"/>
      <c r="AM21" s="84"/>
    </row>
    <row r="22" spans="1:39" s="36" customFormat="1" ht="22.9" customHeight="1" thickTop="1" x14ac:dyDescent="0.25">
      <c r="A22" s="96"/>
      <c r="B22" s="99"/>
      <c r="C22" s="108"/>
      <c r="D22" s="111"/>
      <c r="E22" s="90"/>
      <c r="F22" s="90"/>
      <c r="G22" s="90"/>
      <c r="H22" s="90"/>
      <c r="I22" s="93"/>
      <c r="J22" s="142"/>
      <c r="K22" s="86" t="s">
        <v>128</v>
      </c>
      <c r="L22" s="34">
        <v>2</v>
      </c>
      <c r="M22" s="32"/>
      <c r="N22" s="32"/>
      <c r="O22" s="25">
        <f>+M22+N22</f>
        <v>0</v>
      </c>
      <c r="P22" s="32"/>
      <c r="Q22" s="25">
        <f>+O22+P22</f>
        <v>0</v>
      </c>
      <c r="R22" s="32">
        <v>1</v>
      </c>
      <c r="S22" s="25">
        <f>+Q22+R22</f>
        <v>1</v>
      </c>
      <c r="T22" s="32"/>
      <c r="U22" s="25">
        <f>+S22+T22</f>
        <v>1</v>
      </c>
      <c r="V22" s="32">
        <v>1</v>
      </c>
      <c r="W22" s="25">
        <f>+U22+V22</f>
        <v>2</v>
      </c>
      <c r="X22" s="32"/>
      <c r="Y22" s="25">
        <f>+W22+X22</f>
        <v>2</v>
      </c>
      <c r="Z22" s="32"/>
      <c r="AA22" s="25">
        <f>+Y22+Z22</f>
        <v>2</v>
      </c>
      <c r="AB22" s="32">
        <v>0</v>
      </c>
      <c r="AC22" s="25">
        <f>+AA22+AB22</f>
        <v>2</v>
      </c>
      <c r="AD22" s="32"/>
      <c r="AE22" s="25">
        <f>+AC22+AD22</f>
        <v>2</v>
      </c>
      <c r="AF22" s="32"/>
      <c r="AG22" s="25">
        <f>+AE22+AF22</f>
        <v>2</v>
      </c>
      <c r="AH22" s="32"/>
      <c r="AI22" s="25">
        <f>+AG22+AH22</f>
        <v>2</v>
      </c>
      <c r="AJ22" s="26">
        <f>AI20/L20</f>
        <v>1</v>
      </c>
      <c r="AK22" s="78"/>
      <c r="AL22" s="81"/>
      <c r="AM22" s="84"/>
    </row>
    <row r="23" spans="1:39" s="36" customFormat="1" ht="22.9" customHeight="1" x14ac:dyDescent="0.25">
      <c r="A23" s="96"/>
      <c r="B23" s="99"/>
      <c r="C23" s="108"/>
      <c r="D23" s="111"/>
      <c r="E23" s="90"/>
      <c r="F23" s="90"/>
      <c r="G23" s="90"/>
      <c r="H23" s="90"/>
      <c r="I23" s="93"/>
      <c r="J23" s="142"/>
      <c r="K23" s="87"/>
      <c r="L23" s="27" t="s">
        <v>40</v>
      </c>
      <c r="M23" s="27" t="s">
        <v>40</v>
      </c>
      <c r="N23" s="27" t="s">
        <v>40</v>
      </c>
      <c r="O23" s="28" t="s">
        <v>40</v>
      </c>
      <c r="P23" s="27" t="s">
        <v>40</v>
      </c>
      <c r="Q23" s="28" t="s">
        <v>40</v>
      </c>
      <c r="R23" s="27" t="s">
        <v>40</v>
      </c>
      <c r="S23" s="28" t="s">
        <v>40</v>
      </c>
      <c r="T23" s="27" t="s">
        <v>40</v>
      </c>
      <c r="U23" s="28" t="s">
        <v>40</v>
      </c>
      <c r="V23" s="27" t="s">
        <v>40</v>
      </c>
      <c r="W23" s="28" t="s">
        <v>40</v>
      </c>
      <c r="X23" s="27" t="s">
        <v>40</v>
      </c>
      <c r="Y23" s="28" t="s">
        <v>40</v>
      </c>
      <c r="Z23" s="27" t="s">
        <v>40</v>
      </c>
      <c r="AA23" s="28" t="s">
        <v>40</v>
      </c>
      <c r="AB23" s="27" t="s">
        <v>40</v>
      </c>
      <c r="AC23" s="28" t="s">
        <v>40</v>
      </c>
      <c r="AD23" s="27" t="s">
        <v>40</v>
      </c>
      <c r="AE23" s="28" t="s">
        <v>40</v>
      </c>
      <c r="AF23" s="27" t="s">
        <v>40</v>
      </c>
      <c r="AG23" s="28" t="s">
        <v>40</v>
      </c>
      <c r="AH23" s="27" t="s">
        <v>40</v>
      </c>
      <c r="AI23" s="28" t="s">
        <v>40</v>
      </c>
      <c r="AJ23" s="22"/>
      <c r="AK23" s="78"/>
      <c r="AL23" s="81"/>
      <c r="AM23" s="84"/>
    </row>
    <row r="24" spans="1:39" s="36" customFormat="1" ht="22.9" customHeight="1" thickBot="1" x14ac:dyDescent="0.3">
      <c r="A24" s="97"/>
      <c r="B24" s="100"/>
      <c r="C24" s="109"/>
      <c r="D24" s="112"/>
      <c r="E24" s="91"/>
      <c r="F24" s="91"/>
      <c r="G24" s="91"/>
      <c r="H24" s="91"/>
      <c r="I24" s="94"/>
      <c r="J24" s="143"/>
      <c r="K24" s="88"/>
      <c r="L24" s="35">
        <v>3</v>
      </c>
      <c r="M24" s="31">
        <v>3</v>
      </c>
      <c r="N24" s="31">
        <v>3</v>
      </c>
      <c r="O24" s="29">
        <v>3</v>
      </c>
      <c r="P24" s="31">
        <v>3</v>
      </c>
      <c r="Q24" s="29">
        <v>3</v>
      </c>
      <c r="R24" s="31">
        <v>3</v>
      </c>
      <c r="S24" s="29">
        <v>3</v>
      </c>
      <c r="T24" s="31">
        <v>3</v>
      </c>
      <c r="U24" s="29">
        <v>3</v>
      </c>
      <c r="V24" s="31">
        <v>3</v>
      </c>
      <c r="W24" s="29">
        <v>3</v>
      </c>
      <c r="X24" s="31">
        <v>3</v>
      </c>
      <c r="Y24" s="29">
        <v>3</v>
      </c>
      <c r="Z24" s="31">
        <v>3</v>
      </c>
      <c r="AA24" s="29">
        <v>3</v>
      </c>
      <c r="AB24" s="31">
        <v>3</v>
      </c>
      <c r="AC24" s="29">
        <v>3</v>
      </c>
      <c r="AD24" s="31">
        <v>3</v>
      </c>
      <c r="AE24" s="29">
        <v>3</v>
      </c>
      <c r="AF24" s="31">
        <v>3</v>
      </c>
      <c r="AG24" s="29">
        <v>3</v>
      </c>
      <c r="AH24" s="31">
        <v>3</v>
      </c>
      <c r="AI24" s="29">
        <v>3</v>
      </c>
      <c r="AJ24" s="30"/>
      <c r="AK24" s="79"/>
      <c r="AL24" s="82"/>
      <c r="AM24" s="85"/>
    </row>
    <row r="25" spans="1:39" s="36" customFormat="1" ht="22.9" customHeight="1" thickTop="1" x14ac:dyDescent="0.25">
      <c r="A25" s="95" t="s">
        <v>132</v>
      </c>
      <c r="B25" s="98" t="s">
        <v>133</v>
      </c>
      <c r="C25" s="107" t="s">
        <v>167</v>
      </c>
      <c r="D25" s="110" t="s">
        <v>75</v>
      </c>
      <c r="E25" s="89" t="s">
        <v>46</v>
      </c>
      <c r="F25" s="89" t="s">
        <v>173</v>
      </c>
      <c r="G25" s="89" t="s">
        <v>131</v>
      </c>
      <c r="H25" s="95" t="s">
        <v>196</v>
      </c>
      <c r="I25" s="92">
        <f>L26</f>
        <v>0.90012695725772318</v>
      </c>
      <c r="J25" s="141">
        <v>0.2</v>
      </c>
      <c r="K25" s="86" t="s">
        <v>76</v>
      </c>
      <c r="L25" s="17" t="s">
        <v>38</v>
      </c>
      <c r="M25" s="17" t="s">
        <v>38</v>
      </c>
      <c r="N25" s="17" t="s">
        <v>38</v>
      </c>
      <c r="O25" s="18" t="s">
        <v>38</v>
      </c>
      <c r="P25" s="17" t="s">
        <v>38</v>
      </c>
      <c r="Q25" s="18" t="s">
        <v>38</v>
      </c>
      <c r="R25" s="17" t="s">
        <v>38</v>
      </c>
      <c r="S25" s="18" t="s">
        <v>38</v>
      </c>
      <c r="T25" s="17" t="s">
        <v>38</v>
      </c>
      <c r="U25" s="18" t="s">
        <v>38</v>
      </c>
      <c r="V25" s="17" t="s">
        <v>38</v>
      </c>
      <c r="W25" s="18" t="s">
        <v>38</v>
      </c>
      <c r="X25" s="17" t="s">
        <v>38</v>
      </c>
      <c r="Y25" s="18" t="s">
        <v>38</v>
      </c>
      <c r="Z25" s="17" t="s">
        <v>38</v>
      </c>
      <c r="AA25" s="18" t="s">
        <v>38</v>
      </c>
      <c r="AB25" s="17" t="s">
        <v>38</v>
      </c>
      <c r="AC25" s="18" t="s">
        <v>38</v>
      </c>
      <c r="AD25" s="17" t="s">
        <v>38</v>
      </c>
      <c r="AE25" s="18" t="s">
        <v>38</v>
      </c>
      <c r="AF25" s="17" t="s">
        <v>38</v>
      </c>
      <c r="AG25" s="18" t="s">
        <v>38</v>
      </c>
      <c r="AH25" s="17" t="s">
        <v>38</v>
      </c>
      <c r="AI25" s="18" t="s">
        <v>38</v>
      </c>
      <c r="AJ25" s="19"/>
      <c r="AK25" s="77" t="s">
        <v>146</v>
      </c>
      <c r="AL25" s="80"/>
      <c r="AM25" s="83" t="s">
        <v>49</v>
      </c>
    </row>
    <row r="26" spans="1:39" s="36" customFormat="1" ht="22.9" customHeight="1" x14ac:dyDescent="0.25">
      <c r="A26" s="96"/>
      <c r="B26" s="99"/>
      <c r="C26" s="108"/>
      <c r="D26" s="111"/>
      <c r="E26" s="90"/>
      <c r="F26" s="90"/>
      <c r="G26" s="90"/>
      <c r="H26" s="96"/>
      <c r="I26" s="93"/>
      <c r="J26" s="142"/>
      <c r="K26" s="187"/>
      <c r="L26" s="33">
        <f t="shared" ref="L26" si="2">IF(L28&lt;&gt;0,+L28/L30,0%)</f>
        <v>0.90012695725772318</v>
      </c>
      <c r="M26" s="20">
        <f>IF(M28&lt;&gt;0,+M28/M30,0%)</f>
        <v>0.90306122448979587</v>
      </c>
      <c r="N26" s="20">
        <f>IF(N28&lt;&gt;0,+N28/N30,0%)</f>
        <v>0.90306122448979587</v>
      </c>
      <c r="O26" s="21">
        <f t="shared" ref="O26" si="3">IF(O28&lt;&gt;0,+O28/O30,0%)</f>
        <v>0.90306122448979587</v>
      </c>
      <c r="P26" s="20">
        <f>IF(P28&lt;&gt;0,+P28/P30,0%)</f>
        <v>0.90306122448979587</v>
      </c>
      <c r="Q26" s="38">
        <v>0</v>
      </c>
      <c r="R26" s="20">
        <f>IF(R28&lt;&gt;0,+R28/R30,0%)</f>
        <v>0.90306122448979587</v>
      </c>
      <c r="S26" s="38">
        <v>0</v>
      </c>
      <c r="T26" s="20">
        <f>IF(T28&lt;&gt;0,+T28/T30,0%)</f>
        <v>0.90306122448979587</v>
      </c>
      <c r="U26" s="38">
        <v>0</v>
      </c>
      <c r="V26" s="20">
        <f>IF(V28&lt;&gt;0,+V28/V30,0%)</f>
        <v>0.90306122448979587</v>
      </c>
      <c r="W26" s="38">
        <v>0</v>
      </c>
      <c r="X26" s="20">
        <f>IF(X28&lt;&gt;0,+X28/X30,0%)</f>
        <v>0.90306122448979587</v>
      </c>
      <c r="Y26" s="38">
        <v>0</v>
      </c>
      <c r="Z26" s="20">
        <f>IF(Z28&lt;&gt;0,+Z28/Z30,0%)</f>
        <v>0.90306122448979587</v>
      </c>
      <c r="AA26" s="38">
        <v>0</v>
      </c>
      <c r="AB26" s="20">
        <f>IF(AB28&lt;&gt;0,+AB28/AB30,0%)</f>
        <v>0.90306122448979587</v>
      </c>
      <c r="AC26" s="38">
        <v>0</v>
      </c>
      <c r="AD26" s="20">
        <f>IF(AD28&lt;&gt;0,+AD28/AD30,0%)</f>
        <v>0.90306122448979587</v>
      </c>
      <c r="AE26" s="38">
        <v>0</v>
      </c>
      <c r="AF26" s="20">
        <f>IF(AF28&lt;&gt;0,+AF28/AF30,0%)</f>
        <v>0.90306122448979587</v>
      </c>
      <c r="AG26" s="38">
        <v>0</v>
      </c>
      <c r="AH26" s="20">
        <f>IF(AH28&lt;&gt;0,+AH28/AH30,0%)</f>
        <v>0.86956521739130432</v>
      </c>
      <c r="AI26" s="21">
        <f t="shared" ref="AI26" si="4">IF(AI28&lt;&gt;0,+AI28/AI30,0%)</f>
        <v>0.90012695725772318</v>
      </c>
      <c r="AJ26" s="22"/>
      <c r="AK26" s="78"/>
      <c r="AL26" s="81"/>
      <c r="AM26" s="84"/>
    </row>
    <row r="27" spans="1:39" s="36" customFormat="1" ht="22.9" customHeight="1" thickBot="1" x14ac:dyDescent="0.3">
      <c r="A27" s="96"/>
      <c r="B27" s="99"/>
      <c r="C27" s="108"/>
      <c r="D27" s="111"/>
      <c r="E27" s="90"/>
      <c r="F27" s="90"/>
      <c r="G27" s="90"/>
      <c r="H27" s="96"/>
      <c r="I27" s="93"/>
      <c r="J27" s="142"/>
      <c r="K27" s="188"/>
      <c r="L27" s="23" t="s">
        <v>39</v>
      </c>
      <c r="M27" s="23" t="s">
        <v>39</v>
      </c>
      <c r="N27" s="23" t="s">
        <v>39</v>
      </c>
      <c r="O27" s="24" t="s">
        <v>39</v>
      </c>
      <c r="P27" s="23" t="s">
        <v>39</v>
      </c>
      <c r="Q27" s="24" t="s">
        <v>39</v>
      </c>
      <c r="R27" s="23" t="s">
        <v>39</v>
      </c>
      <c r="S27" s="24" t="s">
        <v>39</v>
      </c>
      <c r="T27" s="23" t="s">
        <v>39</v>
      </c>
      <c r="U27" s="24" t="s">
        <v>39</v>
      </c>
      <c r="V27" s="23" t="s">
        <v>39</v>
      </c>
      <c r="W27" s="24" t="s">
        <v>39</v>
      </c>
      <c r="X27" s="23" t="s">
        <v>39</v>
      </c>
      <c r="Y27" s="24" t="s">
        <v>39</v>
      </c>
      <c r="Z27" s="23" t="s">
        <v>39</v>
      </c>
      <c r="AA27" s="24" t="s">
        <v>39</v>
      </c>
      <c r="AB27" s="23" t="s">
        <v>39</v>
      </c>
      <c r="AC27" s="24" t="s">
        <v>39</v>
      </c>
      <c r="AD27" s="23" t="s">
        <v>39</v>
      </c>
      <c r="AE27" s="24" t="s">
        <v>39</v>
      </c>
      <c r="AF27" s="23" t="s">
        <v>39</v>
      </c>
      <c r="AG27" s="24" t="s">
        <v>39</v>
      </c>
      <c r="AH27" s="23" t="s">
        <v>39</v>
      </c>
      <c r="AI27" s="24" t="s">
        <v>39</v>
      </c>
      <c r="AJ27" s="22"/>
      <c r="AK27" s="78"/>
      <c r="AL27" s="81"/>
      <c r="AM27" s="84"/>
    </row>
    <row r="28" spans="1:39" s="36" customFormat="1" ht="22.9" customHeight="1" thickTop="1" x14ac:dyDescent="0.25">
      <c r="A28" s="96"/>
      <c r="B28" s="99"/>
      <c r="C28" s="108"/>
      <c r="D28" s="111"/>
      <c r="E28" s="90"/>
      <c r="F28" s="90"/>
      <c r="G28" s="90"/>
      <c r="H28" s="96"/>
      <c r="I28" s="93"/>
      <c r="J28" s="142"/>
      <c r="K28" s="86" t="s">
        <v>77</v>
      </c>
      <c r="L28" s="34">
        <v>2127</v>
      </c>
      <c r="M28" s="54">
        <v>177</v>
      </c>
      <c r="N28" s="54">
        <v>177</v>
      </c>
      <c r="O28" s="55">
        <f>+M28+N28</f>
        <v>354</v>
      </c>
      <c r="P28" s="54">
        <v>177</v>
      </c>
      <c r="Q28" s="55">
        <f t="shared" ref="Q28" si="5">+O28+P28</f>
        <v>531</v>
      </c>
      <c r="R28" s="54">
        <v>177</v>
      </c>
      <c r="S28" s="55">
        <f t="shared" ref="S28" si="6">+Q28+R28</f>
        <v>708</v>
      </c>
      <c r="T28" s="54">
        <v>177</v>
      </c>
      <c r="U28" s="55">
        <f t="shared" ref="U28" si="7">+S28+T28</f>
        <v>885</v>
      </c>
      <c r="V28" s="54">
        <v>177</v>
      </c>
      <c r="W28" s="55">
        <f t="shared" ref="W28" si="8">+U28+V28</f>
        <v>1062</v>
      </c>
      <c r="X28" s="54">
        <v>177</v>
      </c>
      <c r="Y28" s="55">
        <f t="shared" ref="Y28" si="9">+W28+X28</f>
        <v>1239</v>
      </c>
      <c r="Z28" s="54">
        <v>177</v>
      </c>
      <c r="AA28" s="55">
        <f t="shared" ref="AA28" si="10">+Y28+Z28</f>
        <v>1416</v>
      </c>
      <c r="AB28" s="54">
        <v>177</v>
      </c>
      <c r="AC28" s="55">
        <f t="shared" ref="AC28" si="11">+AA28+AB28</f>
        <v>1593</v>
      </c>
      <c r="AD28" s="54">
        <v>177</v>
      </c>
      <c r="AE28" s="55">
        <f t="shared" ref="AE28" si="12">+AC28+AD28</f>
        <v>1770</v>
      </c>
      <c r="AF28" s="54">
        <v>177</v>
      </c>
      <c r="AG28" s="55">
        <f t="shared" ref="AG28" si="13">+AE28+AF28</f>
        <v>1947</v>
      </c>
      <c r="AH28" s="54">
        <v>180</v>
      </c>
      <c r="AI28" s="55">
        <f t="shared" ref="AI28" si="14">+AG28+AH28</f>
        <v>2127</v>
      </c>
      <c r="AJ28" s="26">
        <f>AI26/L26</f>
        <v>1</v>
      </c>
      <c r="AK28" s="78"/>
      <c r="AL28" s="81"/>
      <c r="AM28" s="84"/>
    </row>
    <row r="29" spans="1:39" s="36" customFormat="1" ht="22.9" customHeight="1" x14ac:dyDescent="0.25">
      <c r="A29" s="96"/>
      <c r="B29" s="99"/>
      <c r="C29" s="108"/>
      <c r="D29" s="111"/>
      <c r="E29" s="90"/>
      <c r="F29" s="90"/>
      <c r="G29" s="90"/>
      <c r="H29" s="96"/>
      <c r="I29" s="93"/>
      <c r="J29" s="142"/>
      <c r="K29" s="87"/>
      <c r="L29" s="27" t="s">
        <v>40</v>
      </c>
      <c r="M29" s="57" t="s">
        <v>40</v>
      </c>
      <c r="N29" s="57" t="s">
        <v>40</v>
      </c>
      <c r="O29" s="58" t="s">
        <v>40</v>
      </c>
      <c r="P29" s="57" t="s">
        <v>40</v>
      </c>
      <c r="Q29" s="58" t="s">
        <v>40</v>
      </c>
      <c r="R29" s="57" t="s">
        <v>40</v>
      </c>
      <c r="S29" s="58" t="s">
        <v>40</v>
      </c>
      <c r="T29" s="57" t="s">
        <v>40</v>
      </c>
      <c r="U29" s="58" t="s">
        <v>40</v>
      </c>
      <c r="V29" s="57" t="s">
        <v>40</v>
      </c>
      <c r="W29" s="58" t="s">
        <v>40</v>
      </c>
      <c r="X29" s="57" t="s">
        <v>40</v>
      </c>
      <c r="Y29" s="58" t="s">
        <v>40</v>
      </c>
      <c r="Z29" s="57" t="s">
        <v>40</v>
      </c>
      <c r="AA29" s="58" t="s">
        <v>40</v>
      </c>
      <c r="AB29" s="57" t="s">
        <v>40</v>
      </c>
      <c r="AC29" s="58" t="s">
        <v>40</v>
      </c>
      <c r="AD29" s="57" t="s">
        <v>40</v>
      </c>
      <c r="AE29" s="58" t="s">
        <v>40</v>
      </c>
      <c r="AF29" s="57" t="s">
        <v>40</v>
      </c>
      <c r="AG29" s="58" t="s">
        <v>40</v>
      </c>
      <c r="AH29" s="57" t="s">
        <v>40</v>
      </c>
      <c r="AI29" s="58" t="s">
        <v>40</v>
      </c>
      <c r="AJ29" s="22"/>
      <c r="AK29" s="78"/>
      <c r="AL29" s="81"/>
      <c r="AM29" s="84"/>
    </row>
    <row r="30" spans="1:39" s="36" customFormat="1" ht="22.9" customHeight="1" thickBot="1" x14ac:dyDescent="0.3">
      <c r="A30" s="97"/>
      <c r="B30" s="100"/>
      <c r="C30" s="109"/>
      <c r="D30" s="112"/>
      <c r="E30" s="91"/>
      <c r="F30" s="91"/>
      <c r="G30" s="91"/>
      <c r="H30" s="97"/>
      <c r="I30" s="94"/>
      <c r="J30" s="143"/>
      <c r="K30" s="88"/>
      <c r="L30" s="35">
        <v>2363</v>
      </c>
      <c r="M30" s="31">
        <v>196</v>
      </c>
      <c r="N30" s="31">
        <v>196</v>
      </c>
      <c r="O30" s="29">
        <f t="shared" ref="O30" si="15">+M30+N30</f>
        <v>392</v>
      </c>
      <c r="P30" s="31">
        <v>196</v>
      </c>
      <c r="Q30" s="29">
        <f t="shared" ref="Q30" si="16">+O30+P30</f>
        <v>588</v>
      </c>
      <c r="R30" s="31">
        <v>196</v>
      </c>
      <c r="S30" s="29">
        <f t="shared" ref="S30" si="17">+Q30+R30</f>
        <v>784</v>
      </c>
      <c r="T30" s="31">
        <v>196</v>
      </c>
      <c r="U30" s="29">
        <f t="shared" ref="U30" si="18">+S30+T30</f>
        <v>980</v>
      </c>
      <c r="V30" s="31">
        <v>196</v>
      </c>
      <c r="W30" s="29">
        <f t="shared" ref="W30" si="19">+U30+V30</f>
        <v>1176</v>
      </c>
      <c r="X30" s="31">
        <v>196</v>
      </c>
      <c r="Y30" s="29">
        <f t="shared" ref="Y30" si="20">+W30+X30</f>
        <v>1372</v>
      </c>
      <c r="Z30" s="31">
        <v>196</v>
      </c>
      <c r="AA30" s="29">
        <f t="shared" ref="AA30" si="21">+Y30+Z30</f>
        <v>1568</v>
      </c>
      <c r="AB30" s="31">
        <v>196</v>
      </c>
      <c r="AC30" s="29">
        <f t="shared" ref="AC30" si="22">+AA30+AB30</f>
        <v>1764</v>
      </c>
      <c r="AD30" s="31">
        <v>196</v>
      </c>
      <c r="AE30" s="29">
        <f t="shared" ref="AE30" si="23">+AC30+AD30</f>
        <v>1960</v>
      </c>
      <c r="AF30" s="31">
        <v>196</v>
      </c>
      <c r="AG30" s="29">
        <f t="shared" ref="AG30" si="24">+AE30+AF30</f>
        <v>2156</v>
      </c>
      <c r="AH30" s="31">
        <v>207</v>
      </c>
      <c r="AI30" s="29">
        <f>+AG30+AH30</f>
        <v>2363</v>
      </c>
      <c r="AJ30" s="30"/>
      <c r="AK30" s="79"/>
      <c r="AL30" s="82"/>
      <c r="AM30" s="85"/>
    </row>
    <row r="31" spans="1:39" s="36" customFormat="1" ht="22.9" customHeight="1" thickTop="1" x14ac:dyDescent="0.25">
      <c r="A31" s="95" t="s">
        <v>143</v>
      </c>
      <c r="B31" s="98" t="s">
        <v>130</v>
      </c>
      <c r="C31" s="107" t="s">
        <v>168</v>
      </c>
      <c r="D31" s="110" t="s">
        <v>135</v>
      </c>
      <c r="E31" s="89" t="s">
        <v>46</v>
      </c>
      <c r="F31" s="89" t="s">
        <v>173</v>
      </c>
      <c r="G31" s="89" t="s">
        <v>129</v>
      </c>
      <c r="H31" s="95" t="s">
        <v>195</v>
      </c>
      <c r="I31" s="92">
        <f>L32</f>
        <v>0.88124999999999998</v>
      </c>
      <c r="J31" s="141">
        <v>0.15</v>
      </c>
      <c r="K31" s="86" t="s">
        <v>137</v>
      </c>
      <c r="L31" s="17" t="s">
        <v>38</v>
      </c>
      <c r="M31" s="17" t="s">
        <v>38</v>
      </c>
      <c r="N31" s="17" t="s">
        <v>38</v>
      </c>
      <c r="O31" s="18" t="s">
        <v>38</v>
      </c>
      <c r="P31" s="17" t="s">
        <v>38</v>
      </c>
      <c r="Q31" s="18" t="s">
        <v>38</v>
      </c>
      <c r="R31" s="17" t="s">
        <v>38</v>
      </c>
      <c r="S31" s="18" t="s">
        <v>38</v>
      </c>
      <c r="T31" s="17" t="s">
        <v>38</v>
      </c>
      <c r="U31" s="18" t="s">
        <v>38</v>
      </c>
      <c r="V31" s="17" t="s">
        <v>38</v>
      </c>
      <c r="W31" s="18" t="s">
        <v>38</v>
      </c>
      <c r="X31" s="17" t="s">
        <v>38</v>
      </c>
      <c r="Y31" s="18" t="s">
        <v>38</v>
      </c>
      <c r="Z31" s="17" t="s">
        <v>38</v>
      </c>
      <c r="AA31" s="18" t="s">
        <v>38</v>
      </c>
      <c r="AB31" s="17" t="s">
        <v>38</v>
      </c>
      <c r="AC31" s="18" t="s">
        <v>38</v>
      </c>
      <c r="AD31" s="17" t="s">
        <v>38</v>
      </c>
      <c r="AE31" s="18" t="s">
        <v>38</v>
      </c>
      <c r="AF31" s="17" t="s">
        <v>38</v>
      </c>
      <c r="AG31" s="18" t="s">
        <v>38</v>
      </c>
      <c r="AH31" s="17" t="s">
        <v>38</v>
      </c>
      <c r="AI31" s="18" t="s">
        <v>38</v>
      </c>
      <c r="AJ31" s="19"/>
      <c r="AK31" s="77" t="s">
        <v>134</v>
      </c>
      <c r="AL31" s="80"/>
      <c r="AM31" s="83" t="s">
        <v>49</v>
      </c>
    </row>
    <row r="32" spans="1:39" s="36" customFormat="1" ht="22.9" customHeight="1" x14ac:dyDescent="0.25">
      <c r="A32" s="96"/>
      <c r="B32" s="99"/>
      <c r="C32" s="108"/>
      <c r="D32" s="111"/>
      <c r="E32" s="90"/>
      <c r="F32" s="90"/>
      <c r="G32" s="90"/>
      <c r="H32" s="96"/>
      <c r="I32" s="93"/>
      <c r="J32" s="142"/>
      <c r="K32" s="187"/>
      <c r="L32" s="33">
        <f t="shared" ref="L32" si="25">IF(L34&lt;&gt;0,+L34/L36,0%)</f>
        <v>0.88124999999999998</v>
      </c>
      <c r="M32" s="20">
        <f>IF(M34&lt;&gt;0,+M34/M36,0%)</f>
        <v>0.9285714285714286</v>
      </c>
      <c r="N32" s="20">
        <f>IF(N34&lt;&gt;0,+N34/N36,0%)</f>
        <v>0.90909090909090906</v>
      </c>
      <c r="O32" s="21">
        <f t="shared" ref="O32" si="26">IF(O34&lt;&gt;0,+O34/O36,0%)</f>
        <v>0.92</v>
      </c>
      <c r="P32" s="20">
        <f>IF(P34&lt;&gt;0,+P34/P36,0%)</f>
        <v>0.8666666666666667</v>
      </c>
      <c r="Q32" s="38">
        <v>0</v>
      </c>
      <c r="R32" s="20">
        <f>IF(R34&lt;&gt;0,+R34/R36,0%)</f>
        <v>0.92307692307692313</v>
      </c>
      <c r="S32" s="38">
        <v>0</v>
      </c>
      <c r="T32" s="20">
        <f>IF(T34&lt;&gt;0,+T34/T36,0%)</f>
        <v>0.93333333333333335</v>
      </c>
      <c r="U32" s="38">
        <v>0</v>
      </c>
      <c r="V32" s="20">
        <f>IF(V34&lt;&gt;0,+V34/V36,0%)</f>
        <v>0.875</v>
      </c>
      <c r="W32" s="38">
        <v>0</v>
      </c>
      <c r="X32" s="20">
        <f>IF(X34&lt;&gt;0,+X34/X36,0%)</f>
        <v>0.9285714285714286</v>
      </c>
      <c r="Y32" s="38">
        <v>0</v>
      </c>
      <c r="Z32" s="20">
        <f>IF(Z34&lt;&gt;0,+Z34/Z36,0%)</f>
        <v>0.8571428571428571</v>
      </c>
      <c r="AA32" s="38">
        <v>0</v>
      </c>
      <c r="AB32" s="20">
        <f>IF(AB34&lt;&gt;0,+AB34/AB36,0%)</f>
        <v>0.8571428571428571</v>
      </c>
      <c r="AC32" s="38">
        <v>0</v>
      </c>
      <c r="AD32" s="20">
        <f>IF(AD34&lt;&gt;0,+AD34/AD36,0%)</f>
        <v>0.90909090909090906</v>
      </c>
      <c r="AE32" s="38">
        <v>0</v>
      </c>
      <c r="AF32" s="20">
        <f>IF(AF34&lt;&gt;0,+AF34/AF36,0%)</f>
        <v>0.66666666666666663</v>
      </c>
      <c r="AG32" s="38">
        <v>0</v>
      </c>
      <c r="AH32" s="20">
        <f>IF(AH34&lt;&gt;0,+AH34/AH36,0%)</f>
        <v>1</v>
      </c>
      <c r="AI32" s="21">
        <f t="shared" ref="AI32" si="27">IF(AI34&lt;&gt;0,+AI34/AI36,0%)</f>
        <v>0.88124999999999998</v>
      </c>
      <c r="AJ32" s="22"/>
      <c r="AK32" s="78"/>
      <c r="AL32" s="81"/>
      <c r="AM32" s="84"/>
    </row>
    <row r="33" spans="1:39" s="36" customFormat="1" ht="22.9" customHeight="1" thickBot="1" x14ac:dyDescent="0.3">
      <c r="A33" s="96"/>
      <c r="B33" s="99"/>
      <c r="C33" s="108"/>
      <c r="D33" s="111"/>
      <c r="E33" s="90"/>
      <c r="F33" s="90"/>
      <c r="G33" s="90"/>
      <c r="H33" s="96"/>
      <c r="I33" s="93"/>
      <c r="J33" s="142"/>
      <c r="K33" s="188"/>
      <c r="L33" s="23" t="s">
        <v>39</v>
      </c>
      <c r="M33" s="23" t="s">
        <v>39</v>
      </c>
      <c r="N33" s="23" t="s">
        <v>39</v>
      </c>
      <c r="O33" s="24" t="s">
        <v>39</v>
      </c>
      <c r="P33" s="23" t="s">
        <v>39</v>
      </c>
      <c r="Q33" s="24" t="s">
        <v>39</v>
      </c>
      <c r="R33" s="23" t="s">
        <v>39</v>
      </c>
      <c r="S33" s="24" t="s">
        <v>39</v>
      </c>
      <c r="T33" s="23" t="s">
        <v>39</v>
      </c>
      <c r="U33" s="24" t="s">
        <v>39</v>
      </c>
      <c r="V33" s="23" t="s">
        <v>39</v>
      </c>
      <c r="W33" s="24" t="s">
        <v>39</v>
      </c>
      <c r="X33" s="23" t="s">
        <v>39</v>
      </c>
      <c r="Y33" s="24" t="s">
        <v>39</v>
      </c>
      <c r="Z33" s="23" t="s">
        <v>39</v>
      </c>
      <c r="AA33" s="24" t="s">
        <v>39</v>
      </c>
      <c r="AB33" s="23" t="s">
        <v>39</v>
      </c>
      <c r="AC33" s="24" t="s">
        <v>39</v>
      </c>
      <c r="AD33" s="23" t="s">
        <v>39</v>
      </c>
      <c r="AE33" s="24" t="s">
        <v>39</v>
      </c>
      <c r="AF33" s="23" t="s">
        <v>39</v>
      </c>
      <c r="AG33" s="24" t="s">
        <v>39</v>
      </c>
      <c r="AH33" s="23" t="s">
        <v>39</v>
      </c>
      <c r="AI33" s="24" t="s">
        <v>39</v>
      </c>
      <c r="AJ33" s="22"/>
      <c r="AK33" s="78"/>
      <c r="AL33" s="81"/>
      <c r="AM33" s="84"/>
    </row>
    <row r="34" spans="1:39" s="36" customFormat="1" ht="22.9" customHeight="1" thickTop="1" x14ac:dyDescent="0.25">
      <c r="A34" s="96"/>
      <c r="B34" s="99"/>
      <c r="C34" s="108"/>
      <c r="D34" s="111"/>
      <c r="E34" s="90"/>
      <c r="F34" s="90"/>
      <c r="G34" s="90"/>
      <c r="H34" s="96"/>
      <c r="I34" s="93"/>
      <c r="J34" s="142"/>
      <c r="K34" s="86" t="s">
        <v>136</v>
      </c>
      <c r="L34" s="34">
        <v>141</v>
      </c>
      <c r="M34" s="54">
        <v>13</v>
      </c>
      <c r="N34" s="54">
        <v>10</v>
      </c>
      <c r="O34" s="55">
        <f>+M34+N34</f>
        <v>23</v>
      </c>
      <c r="P34" s="54">
        <v>13</v>
      </c>
      <c r="Q34" s="55">
        <f t="shared" ref="Q34" si="28">+O34+P34</f>
        <v>36</v>
      </c>
      <c r="R34" s="54">
        <v>12</v>
      </c>
      <c r="S34" s="55">
        <f t="shared" ref="S34" si="29">+Q34+R34</f>
        <v>48</v>
      </c>
      <c r="T34" s="54">
        <v>14</v>
      </c>
      <c r="U34" s="55">
        <f t="shared" ref="U34" si="30">+S34+T34</f>
        <v>62</v>
      </c>
      <c r="V34" s="54">
        <v>14</v>
      </c>
      <c r="W34" s="55">
        <f t="shared" ref="W34" si="31">+U34+V34</f>
        <v>76</v>
      </c>
      <c r="X34" s="54">
        <v>13</v>
      </c>
      <c r="Y34" s="55">
        <f t="shared" ref="Y34" si="32">+W34+X34</f>
        <v>89</v>
      </c>
      <c r="Z34" s="54">
        <v>12</v>
      </c>
      <c r="AA34" s="55">
        <f t="shared" ref="AA34" si="33">+Y34+Z34</f>
        <v>101</v>
      </c>
      <c r="AB34" s="54">
        <v>12</v>
      </c>
      <c r="AC34" s="55">
        <f t="shared" ref="AC34" si="34">+AA34+AB34</f>
        <v>113</v>
      </c>
      <c r="AD34" s="54">
        <v>10</v>
      </c>
      <c r="AE34" s="55">
        <f t="shared" ref="AE34" si="35">+AC34+AD34</f>
        <v>123</v>
      </c>
      <c r="AF34" s="54">
        <v>10</v>
      </c>
      <c r="AG34" s="55">
        <f t="shared" ref="AG34" si="36">+AE34+AF34</f>
        <v>133</v>
      </c>
      <c r="AH34" s="54">
        <v>8</v>
      </c>
      <c r="AI34" s="55">
        <f t="shared" ref="AI34" si="37">+AG34+AH34</f>
        <v>141</v>
      </c>
      <c r="AJ34" s="26">
        <f>AI32/L32</f>
        <v>1</v>
      </c>
      <c r="AK34" s="78"/>
      <c r="AL34" s="81"/>
      <c r="AM34" s="84"/>
    </row>
    <row r="35" spans="1:39" s="36" customFormat="1" ht="22.9" customHeight="1" x14ac:dyDescent="0.25">
      <c r="A35" s="96"/>
      <c r="B35" s="99"/>
      <c r="C35" s="108"/>
      <c r="D35" s="111"/>
      <c r="E35" s="90"/>
      <c r="F35" s="90"/>
      <c r="G35" s="90"/>
      <c r="H35" s="96"/>
      <c r="I35" s="93"/>
      <c r="J35" s="142"/>
      <c r="K35" s="87"/>
      <c r="L35" s="27" t="s">
        <v>40</v>
      </c>
      <c r="M35" s="57" t="s">
        <v>40</v>
      </c>
      <c r="N35" s="57" t="s">
        <v>40</v>
      </c>
      <c r="O35" s="58" t="s">
        <v>40</v>
      </c>
      <c r="P35" s="57" t="s">
        <v>40</v>
      </c>
      <c r="Q35" s="58" t="s">
        <v>40</v>
      </c>
      <c r="R35" s="57" t="s">
        <v>40</v>
      </c>
      <c r="S35" s="58" t="s">
        <v>40</v>
      </c>
      <c r="T35" s="57" t="s">
        <v>40</v>
      </c>
      <c r="U35" s="58" t="s">
        <v>40</v>
      </c>
      <c r="V35" s="57" t="s">
        <v>40</v>
      </c>
      <c r="W35" s="58" t="s">
        <v>40</v>
      </c>
      <c r="X35" s="57" t="s">
        <v>40</v>
      </c>
      <c r="Y35" s="58" t="s">
        <v>40</v>
      </c>
      <c r="Z35" s="57" t="s">
        <v>40</v>
      </c>
      <c r="AA35" s="58" t="s">
        <v>40</v>
      </c>
      <c r="AB35" s="57" t="s">
        <v>40</v>
      </c>
      <c r="AC35" s="58" t="s">
        <v>40</v>
      </c>
      <c r="AD35" s="57" t="s">
        <v>40</v>
      </c>
      <c r="AE35" s="58" t="s">
        <v>40</v>
      </c>
      <c r="AF35" s="57" t="s">
        <v>40</v>
      </c>
      <c r="AG35" s="58" t="s">
        <v>40</v>
      </c>
      <c r="AH35" s="57" t="s">
        <v>40</v>
      </c>
      <c r="AI35" s="58" t="s">
        <v>40</v>
      </c>
      <c r="AJ35" s="22"/>
      <c r="AK35" s="78"/>
      <c r="AL35" s="81"/>
      <c r="AM35" s="84"/>
    </row>
    <row r="36" spans="1:39" s="36" customFormat="1" ht="22.9" customHeight="1" thickBot="1" x14ac:dyDescent="0.3">
      <c r="A36" s="97"/>
      <c r="B36" s="100"/>
      <c r="C36" s="109"/>
      <c r="D36" s="112"/>
      <c r="E36" s="91"/>
      <c r="F36" s="91"/>
      <c r="G36" s="91"/>
      <c r="H36" s="97"/>
      <c r="I36" s="94"/>
      <c r="J36" s="143"/>
      <c r="K36" s="88"/>
      <c r="L36" s="35">
        <v>160</v>
      </c>
      <c r="M36" s="31">
        <v>14</v>
      </c>
      <c r="N36" s="31">
        <v>11</v>
      </c>
      <c r="O36" s="29">
        <f t="shared" ref="O36" si="38">+M36+N36</f>
        <v>25</v>
      </c>
      <c r="P36" s="31">
        <v>15</v>
      </c>
      <c r="Q36" s="29">
        <f t="shared" ref="Q36" si="39">+O36+P36</f>
        <v>40</v>
      </c>
      <c r="R36" s="31">
        <v>13</v>
      </c>
      <c r="S36" s="29">
        <f t="shared" ref="S36" si="40">+Q36+R36</f>
        <v>53</v>
      </c>
      <c r="T36" s="31">
        <v>15</v>
      </c>
      <c r="U36" s="29">
        <f t="shared" ref="U36" si="41">+S36+T36</f>
        <v>68</v>
      </c>
      <c r="V36" s="31">
        <v>16</v>
      </c>
      <c r="W36" s="29">
        <f t="shared" ref="W36" si="42">+U36+V36</f>
        <v>84</v>
      </c>
      <c r="X36" s="31">
        <v>14</v>
      </c>
      <c r="Y36" s="29">
        <f t="shared" ref="Y36" si="43">+W36+X36</f>
        <v>98</v>
      </c>
      <c r="Z36" s="31">
        <v>14</v>
      </c>
      <c r="AA36" s="29">
        <f t="shared" ref="AA36" si="44">+Y36+Z36</f>
        <v>112</v>
      </c>
      <c r="AB36" s="31">
        <v>14</v>
      </c>
      <c r="AC36" s="29">
        <f t="shared" ref="AC36" si="45">+AA36+AB36</f>
        <v>126</v>
      </c>
      <c r="AD36" s="31">
        <v>11</v>
      </c>
      <c r="AE36" s="29">
        <f t="shared" ref="AE36" si="46">+AC36+AD36</f>
        <v>137</v>
      </c>
      <c r="AF36" s="31">
        <v>15</v>
      </c>
      <c r="AG36" s="29">
        <f t="shared" ref="AG36" si="47">+AE36+AF36</f>
        <v>152</v>
      </c>
      <c r="AH36" s="31">
        <v>8</v>
      </c>
      <c r="AI36" s="29">
        <f>+AG36+AH36</f>
        <v>160</v>
      </c>
      <c r="AJ36" s="30"/>
      <c r="AK36" s="79"/>
      <c r="AL36" s="82"/>
      <c r="AM36" s="85"/>
    </row>
    <row r="37" spans="1:39" s="36" customFormat="1" ht="22.9" customHeight="1" thickTop="1" x14ac:dyDescent="0.25">
      <c r="A37" s="95" t="s">
        <v>174</v>
      </c>
      <c r="B37" s="98" t="s">
        <v>142</v>
      </c>
      <c r="C37" s="107" t="s">
        <v>169</v>
      </c>
      <c r="D37" s="110" t="s">
        <v>139</v>
      </c>
      <c r="E37" s="89" t="s">
        <v>46</v>
      </c>
      <c r="F37" s="89" t="s">
        <v>173</v>
      </c>
      <c r="G37" s="89" t="s">
        <v>183</v>
      </c>
      <c r="H37" s="95" t="s">
        <v>194</v>
      </c>
      <c r="I37" s="92">
        <f>L38</f>
        <v>0.9</v>
      </c>
      <c r="J37" s="141">
        <v>0.15</v>
      </c>
      <c r="K37" s="86" t="s">
        <v>141</v>
      </c>
      <c r="L37" s="17" t="s">
        <v>38</v>
      </c>
      <c r="M37" s="17" t="s">
        <v>38</v>
      </c>
      <c r="N37" s="17" t="s">
        <v>38</v>
      </c>
      <c r="O37" s="18" t="s">
        <v>38</v>
      </c>
      <c r="P37" s="17" t="s">
        <v>38</v>
      </c>
      <c r="Q37" s="18" t="s">
        <v>38</v>
      </c>
      <c r="R37" s="17" t="s">
        <v>38</v>
      </c>
      <c r="S37" s="18" t="s">
        <v>38</v>
      </c>
      <c r="T37" s="17" t="s">
        <v>38</v>
      </c>
      <c r="U37" s="18" t="s">
        <v>38</v>
      </c>
      <c r="V37" s="17" t="s">
        <v>38</v>
      </c>
      <c r="W37" s="18" t="s">
        <v>38</v>
      </c>
      <c r="X37" s="17" t="s">
        <v>38</v>
      </c>
      <c r="Y37" s="18" t="s">
        <v>38</v>
      </c>
      <c r="Z37" s="17" t="s">
        <v>38</v>
      </c>
      <c r="AA37" s="18" t="s">
        <v>38</v>
      </c>
      <c r="AB37" s="17" t="s">
        <v>38</v>
      </c>
      <c r="AC37" s="18" t="s">
        <v>38</v>
      </c>
      <c r="AD37" s="17" t="s">
        <v>38</v>
      </c>
      <c r="AE37" s="18" t="s">
        <v>38</v>
      </c>
      <c r="AF37" s="17" t="s">
        <v>38</v>
      </c>
      <c r="AG37" s="18" t="s">
        <v>38</v>
      </c>
      <c r="AH37" s="17" t="s">
        <v>38</v>
      </c>
      <c r="AI37" s="18" t="s">
        <v>38</v>
      </c>
      <c r="AJ37" s="19"/>
      <c r="AK37" s="77" t="s">
        <v>147</v>
      </c>
      <c r="AL37" s="80"/>
      <c r="AM37" s="83" t="s">
        <v>49</v>
      </c>
    </row>
    <row r="38" spans="1:39" s="36" customFormat="1" ht="22.9" customHeight="1" x14ac:dyDescent="0.25">
      <c r="A38" s="96"/>
      <c r="B38" s="99"/>
      <c r="C38" s="108"/>
      <c r="D38" s="111"/>
      <c r="E38" s="90"/>
      <c r="F38" s="90"/>
      <c r="G38" s="90"/>
      <c r="H38" s="96"/>
      <c r="I38" s="93"/>
      <c r="J38" s="142"/>
      <c r="K38" s="187"/>
      <c r="L38" s="33">
        <f t="shared" ref="L38" si="48">IF(L40&lt;&gt;0,+L40/L42,0%)</f>
        <v>0.9</v>
      </c>
      <c r="M38" s="20">
        <f>IF(M40&lt;&gt;0,+M40/M42,0%)</f>
        <v>0.9</v>
      </c>
      <c r="N38" s="20">
        <f>IF(N40&lt;&gt;0,+N40/N42,0%)</f>
        <v>0.9</v>
      </c>
      <c r="O38" s="21">
        <f t="shared" ref="O38" si="49">IF(O40&lt;&gt;0,+O40/O42,0%)</f>
        <v>0.90000000000000013</v>
      </c>
      <c r="P38" s="20">
        <f>IF(P40&lt;&gt;0,+P40/P42,0%)</f>
        <v>0.9</v>
      </c>
      <c r="Q38" s="38">
        <v>0</v>
      </c>
      <c r="R38" s="20">
        <f>IF(R40&lt;&gt;0,+R40/R42,0%)</f>
        <v>0.9</v>
      </c>
      <c r="S38" s="38">
        <v>0</v>
      </c>
      <c r="T38" s="20">
        <f>IF(T40&lt;&gt;0,+T40/T42,0%)</f>
        <v>0.9</v>
      </c>
      <c r="U38" s="38">
        <v>0</v>
      </c>
      <c r="V38" s="20">
        <f>IF(V40&lt;&gt;0,+V40/V42,0%)</f>
        <v>0.9</v>
      </c>
      <c r="W38" s="38">
        <v>0</v>
      </c>
      <c r="X38" s="20">
        <f>IF(X40&lt;&gt;0,+X40/X42,0%)</f>
        <v>0.90000000000000013</v>
      </c>
      <c r="Y38" s="38">
        <v>0</v>
      </c>
      <c r="Z38" s="20">
        <f>IF(Z40&lt;&gt;0,+Z40/Z42,0%)</f>
        <v>0.9</v>
      </c>
      <c r="AA38" s="38">
        <v>0</v>
      </c>
      <c r="AB38" s="20">
        <f>IF(AB40&lt;&gt;0,+AB40/AB42,0%)</f>
        <v>0.9</v>
      </c>
      <c r="AC38" s="38">
        <v>0</v>
      </c>
      <c r="AD38" s="20">
        <f>IF(AD40&lt;&gt;0,+AD40/AD42,0%)</f>
        <v>0.9</v>
      </c>
      <c r="AE38" s="38">
        <v>0</v>
      </c>
      <c r="AF38" s="20">
        <f>IF(AF40&lt;&gt;0,+AF40/AF42,0%)</f>
        <v>0.9</v>
      </c>
      <c r="AG38" s="38">
        <v>0</v>
      </c>
      <c r="AH38" s="20">
        <f>IF(AH40&lt;&gt;0,+AH40/AH42,0%)</f>
        <v>0.9</v>
      </c>
      <c r="AI38" s="21">
        <f t="shared" ref="AI38" si="50">IF(AI40&lt;&gt;0,+AI40/AI42,0%)</f>
        <v>0.89999999999999991</v>
      </c>
      <c r="AJ38" s="22"/>
      <c r="AK38" s="78"/>
      <c r="AL38" s="81"/>
      <c r="AM38" s="84"/>
    </row>
    <row r="39" spans="1:39" s="36" customFormat="1" ht="22.9" customHeight="1" thickBot="1" x14ac:dyDescent="0.3">
      <c r="A39" s="96"/>
      <c r="B39" s="99"/>
      <c r="C39" s="108"/>
      <c r="D39" s="111"/>
      <c r="E39" s="90"/>
      <c r="F39" s="90"/>
      <c r="G39" s="90"/>
      <c r="H39" s="96"/>
      <c r="I39" s="93"/>
      <c r="J39" s="142"/>
      <c r="K39" s="188"/>
      <c r="L39" s="23" t="s">
        <v>39</v>
      </c>
      <c r="M39" s="23" t="s">
        <v>39</v>
      </c>
      <c r="N39" s="23" t="s">
        <v>39</v>
      </c>
      <c r="O39" s="24" t="s">
        <v>39</v>
      </c>
      <c r="P39" s="23" t="s">
        <v>39</v>
      </c>
      <c r="Q39" s="24" t="s">
        <v>39</v>
      </c>
      <c r="R39" s="23" t="s">
        <v>39</v>
      </c>
      <c r="S39" s="24" t="s">
        <v>39</v>
      </c>
      <c r="T39" s="23" t="s">
        <v>39</v>
      </c>
      <c r="U39" s="24" t="s">
        <v>39</v>
      </c>
      <c r="V39" s="23" t="s">
        <v>39</v>
      </c>
      <c r="W39" s="24" t="s">
        <v>39</v>
      </c>
      <c r="X39" s="23" t="s">
        <v>39</v>
      </c>
      <c r="Y39" s="24" t="s">
        <v>39</v>
      </c>
      <c r="Z39" s="23" t="s">
        <v>39</v>
      </c>
      <c r="AA39" s="24" t="s">
        <v>39</v>
      </c>
      <c r="AB39" s="23" t="s">
        <v>39</v>
      </c>
      <c r="AC39" s="24" t="s">
        <v>39</v>
      </c>
      <c r="AD39" s="23" t="s">
        <v>39</v>
      </c>
      <c r="AE39" s="24" t="s">
        <v>39</v>
      </c>
      <c r="AF39" s="23" t="s">
        <v>39</v>
      </c>
      <c r="AG39" s="24" t="s">
        <v>39</v>
      </c>
      <c r="AH39" s="23" t="s">
        <v>39</v>
      </c>
      <c r="AI39" s="24" t="s">
        <v>39</v>
      </c>
      <c r="AJ39" s="22"/>
      <c r="AK39" s="78"/>
      <c r="AL39" s="81"/>
      <c r="AM39" s="84"/>
    </row>
    <row r="40" spans="1:39" s="36" customFormat="1" ht="22.9" customHeight="1" thickTop="1" x14ac:dyDescent="0.25">
      <c r="A40" s="96"/>
      <c r="B40" s="99"/>
      <c r="C40" s="108"/>
      <c r="D40" s="111"/>
      <c r="E40" s="90"/>
      <c r="F40" s="90"/>
      <c r="G40" s="90"/>
      <c r="H40" s="96"/>
      <c r="I40" s="93"/>
      <c r="J40" s="142"/>
      <c r="K40" s="86" t="s">
        <v>140</v>
      </c>
      <c r="L40" s="34">
        <v>16110</v>
      </c>
      <c r="M40" s="54">
        <v>1325.7</v>
      </c>
      <c r="N40" s="54">
        <v>1089.9000000000001</v>
      </c>
      <c r="O40" s="55">
        <f>+M40+N40</f>
        <v>2415.6000000000004</v>
      </c>
      <c r="P40" s="54">
        <v>1291.5</v>
      </c>
      <c r="Q40" s="55">
        <f t="shared" ref="Q40" si="51">+O40+P40</f>
        <v>3707.1000000000004</v>
      </c>
      <c r="R40" s="54">
        <v>1386.9</v>
      </c>
      <c r="S40" s="55">
        <f t="shared" ref="S40" si="52">+Q40+R40</f>
        <v>5094</v>
      </c>
      <c r="T40" s="54">
        <v>1400.4</v>
      </c>
      <c r="U40" s="55">
        <f t="shared" ref="U40" si="53">+S40+T40</f>
        <v>6494.4</v>
      </c>
      <c r="V40" s="54">
        <v>1282.5</v>
      </c>
      <c r="W40" s="55">
        <f t="shared" ref="W40" si="54">+U40+V40</f>
        <v>7776.9</v>
      </c>
      <c r="X40" s="54">
        <v>1502.1000000000001</v>
      </c>
      <c r="Y40" s="55">
        <f t="shared" ref="Y40" si="55">+W40+X40</f>
        <v>9279</v>
      </c>
      <c r="Z40" s="54">
        <v>1306.8</v>
      </c>
      <c r="AA40" s="55">
        <f t="shared" ref="AA40" si="56">+Y40+Z40</f>
        <v>10585.8</v>
      </c>
      <c r="AB40" s="54">
        <v>1395</v>
      </c>
      <c r="AC40" s="55">
        <f t="shared" ref="AC40" si="57">+AA40+AB40</f>
        <v>11980.8</v>
      </c>
      <c r="AD40" s="54">
        <v>1431.9</v>
      </c>
      <c r="AE40" s="55">
        <f t="shared" ref="AE40" si="58">+AC40+AD40</f>
        <v>13412.699999999999</v>
      </c>
      <c r="AF40" s="54">
        <v>1302.3</v>
      </c>
      <c r="AG40" s="55">
        <f t="shared" ref="AG40" si="59">+AE40+AF40</f>
        <v>14714.999999999998</v>
      </c>
      <c r="AH40" s="54">
        <v>1395</v>
      </c>
      <c r="AI40" s="55">
        <f t="shared" ref="AI40" si="60">+AG40+AH40</f>
        <v>16109.999999999998</v>
      </c>
      <c r="AJ40" s="26">
        <f>AI38/L38</f>
        <v>0.99999999999999989</v>
      </c>
      <c r="AK40" s="78"/>
      <c r="AL40" s="81"/>
      <c r="AM40" s="84"/>
    </row>
    <row r="41" spans="1:39" s="36" customFormat="1" ht="22.9" customHeight="1" x14ac:dyDescent="0.25">
      <c r="A41" s="96"/>
      <c r="B41" s="99"/>
      <c r="C41" s="108"/>
      <c r="D41" s="111"/>
      <c r="E41" s="90"/>
      <c r="F41" s="90"/>
      <c r="G41" s="90"/>
      <c r="H41" s="96"/>
      <c r="I41" s="93"/>
      <c r="J41" s="142"/>
      <c r="K41" s="87"/>
      <c r="L41" s="27" t="s">
        <v>40</v>
      </c>
      <c r="M41" s="57" t="s">
        <v>40</v>
      </c>
      <c r="N41" s="57" t="s">
        <v>40</v>
      </c>
      <c r="O41" s="58" t="s">
        <v>40</v>
      </c>
      <c r="P41" s="57" t="s">
        <v>40</v>
      </c>
      <c r="Q41" s="58" t="s">
        <v>40</v>
      </c>
      <c r="R41" s="57" t="s">
        <v>40</v>
      </c>
      <c r="S41" s="58" t="s">
        <v>40</v>
      </c>
      <c r="T41" s="57" t="s">
        <v>40</v>
      </c>
      <c r="U41" s="58" t="s">
        <v>40</v>
      </c>
      <c r="V41" s="57" t="s">
        <v>40</v>
      </c>
      <c r="W41" s="58" t="s">
        <v>40</v>
      </c>
      <c r="X41" s="57" t="s">
        <v>40</v>
      </c>
      <c r="Y41" s="58" t="s">
        <v>40</v>
      </c>
      <c r="Z41" s="57" t="s">
        <v>40</v>
      </c>
      <c r="AA41" s="58" t="s">
        <v>40</v>
      </c>
      <c r="AB41" s="57" t="s">
        <v>40</v>
      </c>
      <c r="AC41" s="58" t="s">
        <v>40</v>
      </c>
      <c r="AD41" s="57" t="s">
        <v>40</v>
      </c>
      <c r="AE41" s="58" t="s">
        <v>40</v>
      </c>
      <c r="AF41" s="57" t="s">
        <v>40</v>
      </c>
      <c r="AG41" s="58" t="s">
        <v>40</v>
      </c>
      <c r="AH41" s="57" t="s">
        <v>40</v>
      </c>
      <c r="AI41" s="58" t="s">
        <v>40</v>
      </c>
      <c r="AJ41" s="22"/>
      <c r="AK41" s="78"/>
      <c r="AL41" s="81"/>
      <c r="AM41" s="84"/>
    </row>
    <row r="42" spans="1:39" s="36" customFormat="1" ht="22.9" customHeight="1" thickBot="1" x14ac:dyDescent="0.3">
      <c r="A42" s="97"/>
      <c r="B42" s="100"/>
      <c r="C42" s="109"/>
      <c r="D42" s="112"/>
      <c r="E42" s="91"/>
      <c r="F42" s="91"/>
      <c r="G42" s="91"/>
      <c r="H42" s="97"/>
      <c r="I42" s="94"/>
      <c r="J42" s="143"/>
      <c r="K42" s="88"/>
      <c r="L42" s="35">
        <v>17900</v>
      </c>
      <c r="M42" s="31">
        <v>1473</v>
      </c>
      <c r="N42" s="31">
        <v>1211</v>
      </c>
      <c r="O42" s="29">
        <f t="shared" ref="O42" si="61">+M42+N42</f>
        <v>2684</v>
      </c>
      <c r="P42" s="31">
        <v>1435</v>
      </c>
      <c r="Q42" s="29">
        <f t="shared" ref="Q42" si="62">+O42+P42</f>
        <v>4119</v>
      </c>
      <c r="R42" s="31">
        <v>1541</v>
      </c>
      <c r="S42" s="29">
        <f t="shared" ref="S42" si="63">+Q42+R42</f>
        <v>5660</v>
      </c>
      <c r="T42" s="31">
        <v>1556</v>
      </c>
      <c r="U42" s="29">
        <f t="shared" ref="U42" si="64">+S42+T42</f>
        <v>7216</v>
      </c>
      <c r="V42" s="31">
        <v>1425</v>
      </c>
      <c r="W42" s="29">
        <f t="shared" ref="W42" si="65">+U42+V42</f>
        <v>8641</v>
      </c>
      <c r="X42" s="31">
        <v>1669</v>
      </c>
      <c r="Y42" s="29">
        <f t="shared" ref="Y42" si="66">+W42+X42</f>
        <v>10310</v>
      </c>
      <c r="Z42" s="31">
        <v>1452</v>
      </c>
      <c r="AA42" s="29">
        <f t="shared" ref="AA42" si="67">+Y42+Z42</f>
        <v>11762</v>
      </c>
      <c r="AB42" s="31">
        <v>1550</v>
      </c>
      <c r="AC42" s="29">
        <f t="shared" ref="AC42" si="68">+AA42+AB42</f>
        <v>13312</v>
      </c>
      <c r="AD42" s="31">
        <v>1591</v>
      </c>
      <c r="AE42" s="29">
        <f t="shared" ref="AE42" si="69">+AC42+AD42</f>
        <v>14903</v>
      </c>
      <c r="AF42" s="31">
        <v>1447</v>
      </c>
      <c r="AG42" s="29">
        <f t="shared" ref="AG42" si="70">+AE42+AF42</f>
        <v>16350</v>
      </c>
      <c r="AH42" s="31">
        <v>1550</v>
      </c>
      <c r="AI42" s="29">
        <f>+AG42+AH42</f>
        <v>17900</v>
      </c>
      <c r="AJ42" s="30"/>
      <c r="AK42" s="79"/>
      <c r="AL42" s="82"/>
      <c r="AM42" s="85"/>
    </row>
    <row r="43" spans="1:39" s="7" customFormat="1" ht="22.9" customHeight="1" thickTop="1" x14ac:dyDescent="0.25">
      <c r="A43" s="95" t="s">
        <v>184</v>
      </c>
      <c r="B43" s="98" t="s">
        <v>130</v>
      </c>
      <c r="C43" s="101" t="s">
        <v>179</v>
      </c>
      <c r="D43" s="104" t="s">
        <v>180</v>
      </c>
      <c r="E43" s="89" t="s">
        <v>46</v>
      </c>
      <c r="F43" s="89" t="s">
        <v>173</v>
      </c>
      <c r="G43" s="95" t="s">
        <v>193</v>
      </c>
      <c r="H43" s="89" t="s">
        <v>173</v>
      </c>
      <c r="I43" s="132">
        <f>L44</f>
        <v>0.65333333333333332</v>
      </c>
      <c r="J43" s="192">
        <v>0.15</v>
      </c>
      <c r="K43" s="195" t="s">
        <v>182</v>
      </c>
      <c r="L43" s="46" t="s">
        <v>38</v>
      </c>
      <c r="M43" s="46" t="s">
        <v>38</v>
      </c>
      <c r="N43" s="46" t="s">
        <v>38</v>
      </c>
      <c r="O43" s="47" t="s">
        <v>38</v>
      </c>
      <c r="P43" s="46" t="s">
        <v>38</v>
      </c>
      <c r="Q43" s="47" t="s">
        <v>38</v>
      </c>
      <c r="R43" s="46" t="s">
        <v>38</v>
      </c>
      <c r="S43" s="47" t="s">
        <v>38</v>
      </c>
      <c r="T43" s="46" t="s">
        <v>38</v>
      </c>
      <c r="U43" s="47" t="s">
        <v>38</v>
      </c>
      <c r="V43" s="46" t="s">
        <v>38</v>
      </c>
      <c r="W43" s="47" t="s">
        <v>38</v>
      </c>
      <c r="X43" s="46" t="s">
        <v>38</v>
      </c>
      <c r="Y43" s="47" t="s">
        <v>38</v>
      </c>
      <c r="Z43" s="46" t="s">
        <v>38</v>
      </c>
      <c r="AA43" s="47" t="s">
        <v>38</v>
      </c>
      <c r="AB43" s="46" t="s">
        <v>38</v>
      </c>
      <c r="AC43" s="47" t="s">
        <v>38</v>
      </c>
      <c r="AD43" s="46" t="s">
        <v>38</v>
      </c>
      <c r="AE43" s="47" t="s">
        <v>38</v>
      </c>
      <c r="AF43" s="46" t="s">
        <v>38</v>
      </c>
      <c r="AG43" s="47" t="s">
        <v>38</v>
      </c>
      <c r="AH43" s="46" t="s">
        <v>38</v>
      </c>
      <c r="AI43" s="47" t="s">
        <v>38</v>
      </c>
      <c r="AJ43" s="48"/>
      <c r="AK43" s="189" t="s">
        <v>175</v>
      </c>
      <c r="AL43" s="80"/>
      <c r="AM43" s="83" t="s">
        <v>49</v>
      </c>
    </row>
    <row r="44" spans="1:39" s="7" customFormat="1" ht="22.9" customHeight="1" x14ac:dyDescent="0.25">
      <c r="A44" s="96"/>
      <c r="B44" s="99"/>
      <c r="C44" s="102"/>
      <c r="D44" s="105"/>
      <c r="E44" s="90"/>
      <c r="F44" s="90"/>
      <c r="G44" s="96"/>
      <c r="H44" s="90"/>
      <c r="I44" s="133"/>
      <c r="J44" s="193"/>
      <c r="K44" s="196"/>
      <c r="L44" s="73">
        <f>IF(L46&lt;&gt;0,+L46/L48,0%)</f>
        <v>0.65333333333333332</v>
      </c>
      <c r="M44" s="49">
        <f>IF(M46&lt;&gt;0,+M46/M48,0%)</f>
        <v>0</v>
      </c>
      <c r="N44" s="49">
        <f>IF(N46&lt;&gt;0,+N46/N48,0%)</f>
        <v>2.6666666666666668E-2</v>
      </c>
      <c r="O44" s="50">
        <f t="shared" ref="O44" si="71">IF(O46&lt;&gt;0,+O46/O48,0%)</f>
        <v>0.5</v>
      </c>
      <c r="P44" s="49">
        <f>IF(P46&lt;&gt;0,+P46/P48,0%)</f>
        <v>0.17333333333333334</v>
      </c>
      <c r="Q44" s="50">
        <f t="shared" ref="Q44" si="72">IF(Q46&lt;&gt;0,+Q46/Q48,0%)</f>
        <v>3.75</v>
      </c>
      <c r="R44" s="49">
        <f>IF(R46&lt;&gt;0,+R46/R48,0%)</f>
        <v>0.12</v>
      </c>
      <c r="S44" s="50">
        <f t="shared" ref="S44" si="73">IF(S46&lt;&gt;0,+S46/S48,0%)</f>
        <v>6</v>
      </c>
      <c r="T44" s="49">
        <f>IF(T46&lt;&gt;0,+T46/T48,0%)</f>
        <v>0.16</v>
      </c>
      <c r="U44" s="50">
        <f t="shared" ref="U44" si="74">IF(U46&lt;&gt;0,+U46/U48,0%)</f>
        <v>9</v>
      </c>
      <c r="V44" s="49">
        <f>IF(V46&lt;&gt;0,+V46/V48,0%)</f>
        <v>0.17333333333333334</v>
      </c>
      <c r="W44" s="50">
        <f t="shared" ref="W44" si="75">IF(W46&lt;&gt;0,+W46/W48,0%)</f>
        <v>12.25</v>
      </c>
      <c r="X44" s="49">
        <f>IF(X46&lt;&gt;0,+X46/X48,0%)</f>
        <v>0</v>
      </c>
      <c r="Y44" s="50">
        <f t="shared" ref="Y44" si="76">IF(Y46&lt;&gt;0,+Y46/Y48,0%)</f>
        <v>12.25</v>
      </c>
      <c r="Z44" s="49">
        <f>IF(Z46&lt;&gt;0,+Z46/Z48,0%)</f>
        <v>0</v>
      </c>
      <c r="AA44" s="50">
        <f t="shared" ref="AA44" si="77">IF(AA46&lt;&gt;0,+AA46/AA48,0%)</f>
        <v>12.25</v>
      </c>
      <c r="AB44" s="49">
        <f>IF(AB46&lt;&gt;0,+AB46/AB48,0%)</f>
        <v>0</v>
      </c>
      <c r="AC44" s="50">
        <f t="shared" ref="AC44" si="78">IF(AC46&lt;&gt;0,+AC46/AC48,0%)</f>
        <v>12.25</v>
      </c>
      <c r="AD44" s="49">
        <f>IF(AD46&lt;&gt;0,+AD46/AD48,0%)</f>
        <v>0</v>
      </c>
      <c r="AE44" s="50">
        <f t="shared" ref="AE44" si="79">IF(AE46&lt;&gt;0,+AE46/AE48,0%)</f>
        <v>12.25</v>
      </c>
      <c r="AF44" s="49">
        <f>IF(AF46&lt;&gt;0,+AF46/AF48,0%)</f>
        <v>0</v>
      </c>
      <c r="AG44" s="50">
        <f t="shared" ref="AG44" si="80">IF(AG46&lt;&gt;0,+AG46/AG48,0%)</f>
        <v>12.25</v>
      </c>
      <c r="AH44" s="49">
        <f>IF(AH46&lt;&gt;0,+AH46/AH48,0%)</f>
        <v>0</v>
      </c>
      <c r="AI44" s="50">
        <f t="shared" ref="AI44" si="81">IF(AI46&lt;&gt;0,+AI46/AI48,0%)</f>
        <v>0.65333333333333332</v>
      </c>
      <c r="AJ44" s="51"/>
      <c r="AK44" s="190"/>
      <c r="AL44" s="81"/>
      <c r="AM44" s="84"/>
    </row>
    <row r="45" spans="1:39" s="7" customFormat="1" ht="22.9" customHeight="1" thickBot="1" x14ac:dyDescent="0.3">
      <c r="A45" s="96"/>
      <c r="B45" s="99"/>
      <c r="C45" s="102"/>
      <c r="D45" s="105"/>
      <c r="E45" s="90"/>
      <c r="F45" s="90"/>
      <c r="G45" s="96"/>
      <c r="H45" s="90"/>
      <c r="I45" s="133"/>
      <c r="J45" s="193"/>
      <c r="K45" s="197"/>
      <c r="L45" s="52" t="s">
        <v>39</v>
      </c>
      <c r="M45" s="52" t="s">
        <v>39</v>
      </c>
      <c r="N45" s="52" t="s">
        <v>39</v>
      </c>
      <c r="O45" s="53" t="s">
        <v>39</v>
      </c>
      <c r="P45" s="52" t="s">
        <v>39</v>
      </c>
      <c r="Q45" s="53" t="s">
        <v>39</v>
      </c>
      <c r="R45" s="52" t="s">
        <v>39</v>
      </c>
      <c r="S45" s="53" t="s">
        <v>39</v>
      </c>
      <c r="T45" s="52" t="s">
        <v>39</v>
      </c>
      <c r="U45" s="53" t="s">
        <v>39</v>
      </c>
      <c r="V45" s="52" t="s">
        <v>39</v>
      </c>
      <c r="W45" s="53" t="s">
        <v>39</v>
      </c>
      <c r="X45" s="52" t="s">
        <v>39</v>
      </c>
      <c r="Y45" s="53" t="s">
        <v>39</v>
      </c>
      <c r="Z45" s="52" t="s">
        <v>39</v>
      </c>
      <c r="AA45" s="53" t="s">
        <v>39</v>
      </c>
      <c r="AB45" s="52" t="s">
        <v>39</v>
      </c>
      <c r="AC45" s="53" t="s">
        <v>39</v>
      </c>
      <c r="AD45" s="52" t="s">
        <v>39</v>
      </c>
      <c r="AE45" s="53" t="s">
        <v>39</v>
      </c>
      <c r="AF45" s="52" t="s">
        <v>39</v>
      </c>
      <c r="AG45" s="53" t="s">
        <v>39</v>
      </c>
      <c r="AH45" s="52" t="s">
        <v>39</v>
      </c>
      <c r="AI45" s="53" t="s">
        <v>39</v>
      </c>
      <c r="AJ45" s="51"/>
      <c r="AK45" s="190"/>
      <c r="AL45" s="81"/>
      <c r="AM45" s="84"/>
    </row>
    <row r="46" spans="1:39" s="7" customFormat="1" ht="22.9" customHeight="1" thickTop="1" x14ac:dyDescent="0.25">
      <c r="A46" s="96"/>
      <c r="B46" s="99"/>
      <c r="C46" s="102"/>
      <c r="D46" s="105"/>
      <c r="E46" s="90"/>
      <c r="F46" s="90"/>
      <c r="G46" s="96"/>
      <c r="H46" s="90"/>
      <c r="I46" s="133"/>
      <c r="J46" s="193"/>
      <c r="K46" s="195" t="s">
        <v>181</v>
      </c>
      <c r="L46" s="74">
        <v>49</v>
      </c>
      <c r="M46" s="54">
        <v>0</v>
      </c>
      <c r="N46" s="54">
        <v>2</v>
      </c>
      <c r="O46" s="55">
        <f t="shared" ref="O46" si="82">+M46+N46</f>
        <v>2</v>
      </c>
      <c r="P46" s="54">
        <v>13</v>
      </c>
      <c r="Q46" s="55">
        <f t="shared" ref="Q46" si="83">+O46+P46</f>
        <v>15</v>
      </c>
      <c r="R46" s="54">
        <v>9</v>
      </c>
      <c r="S46" s="55">
        <f t="shared" ref="S46" si="84">+Q46+R46</f>
        <v>24</v>
      </c>
      <c r="T46" s="54">
        <v>12</v>
      </c>
      <c r="U46" s="55">
        <f t="shared" ref="U46" si="85">+S46+T46</f>
        <v>36</v>
      </c>
      <c r="V46" s="54">
        <v>13</v>
      </c>
      <c r="W46" s="55">
        <f t="shared" ref="W46" si="86">+U46+V46</f>
        <v>49</v>
      </c>
      <c r="X46" s="54"/>
      <c r="Y46" s="55">
        <f t="shared" ref="Y46" si="87">+W46+X46</f>
        <v>49</v>
      </c>
      <c r="Z46" s="54"/>
      <c r="AA46" s="55">
        <f t="shared" ref="AA46" si="88">+Y46+Z46</f>
        <v>49</v>
      </c>
      <c r="AB46" s="54"/>
      <c r="AC46" s="55">
        <f t="shared" ref="AC46" si="89">+AA46+AB46</f>
        <v>49</v>
      </c>
      <c r="AD46" s="54"/>
      <c r="AE46" s="55">
        <f t="shared" ref="AE46" si="90">+AC46+AD46</f>
        <v>49</v>
      </c>
      <c r="AF46" s="54"/>
      <c r="AG46" s="55">
        <f t="shared" ref="AG46" si="91">+AE46+AF46</f>
        <v>49</v>
      </c>
      <c r="AH46" s="75"/>
      <c r="AI46" s="76">
        <f>+AG46+AH46</f>
        <v>49</v>
      </c>
      <c r="AJ46" s="56">
        <f>+AI44/L44</f>
        <v>1</v>
      </c>
      <c r="AK46" s="190"/>
      <c r="AL46" s="81"/>
      <c r="AM46" s="84"/>
    </row>
    <row r="47" spans="1:39" s="7" customFormat="1" ht="22.9" customHeight="1" x14ac:dyDescent="0.25">
      <c r="A47" s="96"/>
      <c r="B47" s="99"/>
      <c r="C47" s="102"/>
      <c r="D47" s="105"/>
      <c r="E47" s="90"/>
      <c r="F47" s="90"/>
      <c r="G47" s="96"/>
      <c r="H47" s="90"/>
      <c r="I47" s="133"/>
      <c r="J47" s="193"/>
      <c r="K47" s="196"/>
      <c r="L47" s="57" t="s">
        <v>40</v>
      </c>
      <c r="M47" s="57" t="s">
        <v>40</v>
      </c>
      <c r="N47" s="57" t="s">
        <v>40</v>
      </c>
      <c r="O47" s="58" t="s">
        <v>40</v>
      </c>
      <c r="P47" s="57" t="s">
        <v>40</v>
      </c>
      <c r="Q47" s="58" t="s">
        <v>40</v>
      </c>
      <c r="R47" s="57" t="s">
        <v>40</v>
      </c>
      <c r="S47" s="58" t="s">
        <v>40</v>
      </c>
      <c r="T47" s="57" t="s">
        <v>40</v>
      </c>
      <c r="U47" s="58" t="s">
        <v>40</v>
      </c>
      <c r="V47" s="57" t="s">
        <v>40</v>
      </c>
      <c r="W47" s="58" t="s">
        <v>40</v>
      </c>
      <c r="X47" s="57" t="s">
        <v>40</v>
      </c>
      <c r="Y47" s="58" t="s">
        <v>40</v>
      </c>
      <c r="Z47" s="57" t="s">
        <v>40</v>
      </c>
      <c r="AA47" s="58" t="s">
        <v>40</v>
      </c>
      <c r="AB47" s="57" t="s">
        <v>40</v>
      </c>
      <c r="AC47" s="58" t="s">
        <v>40</v>
      </c>
      <c r="AD47" s="57" t="s">
        <v>40</v>
      </c>
      <c r="AE47" s="58" t="s">
        <v>40</v>
      </c>
      <c r="AF47" s="57" t="s">
        <v>40</v>
      </c>
      <c r="AG47" s="58" t="s">
        <v>40</v>
      </c>
      <c r="AH47" s="57" t="s">
        <v>40</v>
      </c>
      <c r="AI47" s="58" t="s">
        <v>40</v>
      </c>
      <c r="AJ47" s="51"/>
      <c r="AK47" s="190"/>
      <c r="AL47" s="81"/>
      <c r="AM47" s="84"/>
    </row>
    <row r="48" spans="1:39" s="7" customFormat="1" ht="22.9" customHeight="1" thickBot="1" x14ac:dyDescent="0.3">
      <c r="A48" s="97"/>
      <c r="B48" s="100"/>
      <c r="C48" s="103"/>
      <c r="D48" s="106"/>
      <c r="E48" s="91"/>
      <c r="F48" s="91"/>
      <c r="G48" s="97"/>
      <c r="H48" s="91"/>
      <c r="I48" s="134"/>
      <c r="J48" s="194"/>
      <c r="K48" s="197"/>
      <c r="L48" s="74">
        <v>75</v>
      </c>
      <c r="M48" s="59">
        <v>75</v>
      </c>
      <c r="N48" s="59">
        <v>75</v>
      </c>
      <c r="O48" s="29">
        <v>4</v>
      </c>
      <c r="P48" s="31">
        <v>75</v>
      </c>
      <c r="Q48" s="29">
        <v>4</v>
      </c>
      <c r="R48" s="31">
        <v>75</v>
      </c>
      <c r="S48" s="29">
        <v>4</v>
      </c>
      <c r="T48" s="31">
        <v>75</v>
      </c>
      <c r="U48" s="29">
        <v>4</v>
      </c>
      <c r="V48" s="31">
        <v>75</v>
      </c>
      <c r="W48" s="29">
        <v>4</v>
      </c>
      <c r="X48" s="31">
        <v>75</v>
      </c>
      <c r="Y48" s="29">
        <v>4</v>
      </c>
      <c r="Z48" s="31">
        <v>75</v>
      </c>
      <c r="AA48" s="29">
        <v>4</v>
      </c>
      <c r="AB48" s="31">
        <v>75</v>
      </c>
      <c r="AC48" s="29">
        <v>4</v>
      </c>
      <c r="AD48" s="31">
        <v>75</v>
      </c>
      <c r="AE48" s="29">
        <v>4</v>
      </c>
      <c r="AF48" s="31">
        <v>75</v>
      </c>
      <c r="AG48" s="29">
        <v>4</v>
      </c>
      <c r="AH48" s="31">
        <v>75</v>
      </c>
      <c r="AI48" s="29">
        <v>75</v>
      </c>
      <c r="AJ48" s="61"/>
      <c r="AK48" s="191"/>
      <c r="AL48" s="82"/>
      <c r="AM48" s="85"/>
    </row>
    <row r="49" spans="10:11" ht="13.5" thickTop="1" x14ac:dyDescent="0.3">
      <c r="J49" s="71">
        <f>SUM(J13:J48)</f>
        <v>1</v>
      </c>
      <c r="K49" s="37"/>
    </row>
    <row r="50" spans="10:11" x14ac:dyDescent="0.3">
      <c r="K50" s="37"/>
    </row>
    <row r="51" spans="10:11" x14ac:dyDescent="0.3">
      <c r="K51" s="37"/>
    </row>
    <row r="52" spans="10:11" x14ac:dyDescent="0.3">
      <c r="K52" s="37"/>
    </row>
    <row r="53" spans="10:11" x14ac:dyDescent="0.3">
      <c r="K53" s="37"/>
    </row>
    <row r="54" spans="10:11" x14ac:dyDescent="0.3">
      <c r="K54" s="37"/>
    </row>
    <row r="55" spans="10:11" x14ac:dyDescent="0.3">
      <c r="K55" s="37"/>
    </row>
    <row r="56" spans="10:11" x14ac:dyDescent="0.3">
      <c r="K56" s="37"/>
    </row>
    <row r="57" spans="10:11" x14ac:dyDescent="0.3">
      <c r="K57" s="37"/>
    </row>
    <row r="58" spans="10:11" x14ac:dyDescent="0.3">
      <c r="K58" s="37"/>
    </row>
    <row r="59" spans="10:11" x14ac:dyDescent="0.3">
      <c r="K59" s="37"/>
    </row>
    <row r="60" spans="10:11" x14ac:dyDescent="0.3">
      <c r="K60" s="37"/>
    </row>
    <row r="61" spans="10:11" x14ac:dyDescent="0.3">
      <c r="K61" s="37"/>
    </row>
    <row r="62" spans="10:11" x14ac:dyDescent="0.3">
      <c r="K62" s="37"/>
    </row>
    <row r="63" spans="10:11" x14ac:dyDescent="0.3">
      <c r="K63" s="37"/>
    </row>
    <row r="64" spans="10:11" x14ac:dyDescent="0.3">
      <c r="K64" s="37"/>
    </row>
    <row r="65" spans="11:11" x14ac:dyDescent="0.3">
      <c r="K65" s="37"/>
    </row>
    <row r="66" spans="11:11" x14ac:dyDescent="0.3">
      <c r="K66" s="37"/>
    </row>
    <row r="67" spans="11:11" x14ac:dyDescent="0.3">
      <c r="K67" s="37"/>
    </row>
    <row r="68" spans="11:11" x14ac:dyDescent="0.3">
      <c r="K68" s="37"/>
    </row>
    <row r="69" spans="11:11" x14ac:dyDescent="0.3">
      <c r="K69" s="37"/>
    </row>
    <row r="70" spans="11:11" x14ac:dyDescent="0.3">
      <c r="K70" s="37"/>
    </row>
    <row r="71" spans="11:11" x14ac:dyDescent="0.3">
      <c r="K71" s="37"/>
    </row>
    <row r="72" spans="11:11" x14ac:dyDescent="0.3">
      <c r="K72" s="37"/>
    </row>
    <row r="73" spans="11:11" x14ac:dyDescent="0.3">
      <c r="K73" s="37"/>
    </row>
    <row r="74" spans="11:11" x14ac:dyDescent="0.3">
      <c r="K74" s="37"/>
    </row>
    <row r="75" spans="11:11" x14ac:dyDescent="0.3">
      <c r="K75" s="37"/>
    </row>
    <row r="76" spans="11:11" x14ac:dyDescent="0.3">
      <c r="K76" s="37"/>
    </row>
    <row r="77" spans="11:11" x14ac:dyDescent="0.3">
      <c r="K77" s="37"/>
    </row>
    <row r="78" spans="11:11" x14ac:dyDescent="0.3">
      <c r="K78" s="37"/>
    </row>
    <row r="79" spans="11:11" x14ac:dyDescent="0.3">
      <c r="K79" s="37"/>
    </row>
    <row r="80" spans="11:11" x14ac:dyDescent="0.3">
      <c r="K80" s="37"/>
    </row>
    <row r="81" spans="11:11" x14ac:dyDescent="0.3">
      <c r="K81" s="37"/>
    </row>
    <row r="82" spans="11:11" x14ac:dyDescent="0.3">
      <c r="K82" s="37"/>
    </row>
    <row r="83" spans="11:11" x14ac:dyDescent="0.3">
      <c r="K83" s="37"/>
    </row>
    <row r="84" spans="11:11" x14ac:dyDescent="0.3">
      <c r="K84" s="37"/>
    </row>
    <row r="85" spans="11:11" x14ac:dyDescent="0.3">
      <c r="K85" s="37"/>
    </row>
    <row r="86" spans="11:11" x14ac:dyDescent="0.3">
      <c r="K86" s="37"/>
    </row>
    <row r="87" spans="11:11" x14ac:dyDescent="0.3">
      <c r="K87" s="37"/>
    </row>
    <row r="88" spans="11:11" x14ac:dyDescent="0.3">
      <c r="K88" s="37"/>
    </row>
    <row r="89" spans="11:11" x14ac:dyDescent="0.3">
      <c r="K89" s="37"/>
    </row>
    <row r="90" spans="11:11" x14ac:dyDescent="0.3">
      <c r="K90" s="37"/>
    </row>
    <row r="91" spans="11:11" x14ac:dyDescent="0.3">
      <c r="K91" s="37"/>
    </row>
    <row r="92" spans="11:11" x14ac:dyDescent="0.3">
      <c r="K92" s="37"/>
    </row>
    <row r="93" spans="11:11" x14ac:dyDescent="0.3">
      <c r="K93" s="37"/>
    </row>
    <row r="94" spans="11:11" x14ac:dyDescent="0.3">
      <c r="K94" s="37"/>
    </row>
    <row r="95" spans="11:11" x14ac:dyDescent="0.3">
      <c r="K95" s="37"/>
    </row>
    <row r="96" spans="11:11" x14ac:dyDescent="0.3">
      <c r="K96" s="37"/>
    </row>
    <row r="97" spans="11:11" x14ac:dyDescent="0.3">
      <c r="K97" s="37"/>
    </row>
    <row r="98" spans="11:11" x14ac:dyDescent="0.3">
      <c r="K98" s="37"/>
    </row>
    <row r="99" spans="11:11" x14ac:dyDescent="0.3">
      <c r="K99" s="37"/>
    </row>
    <row r="100" spans="11:11" x14ac:dyDescent="0.3">
      <c r="K100" s="37"/>
    </row>
    <row r="101" spans="11:11" x14ac:dyDescent="0.3">
      <c r="K101" s="37"/>
    </row>
    <row r="102" spans="11:11" x14ac:dyDescent="0.3">
      <c r="K102" s="37"/>
    </row>
    <row r="103" spans="11:11" x14ac:dyDescent="0.3">
      <c r="K103" s="37"/>
    </row>
    <row r="104" spans="11:11" x14ac:dyDescent="0.3">
      <c r="K104" s="37"/>
    </row>
    <row r="105" spans="11:11" x14ac:dyDescent="0.3">
      <c r="K105" s="37"/>
    </row>
    <row r="106" spans="11:11" x14ac:dyDescent="0.3">
      <c r="K106" s="37"/>
    </row>
    <row r="107" spans="11:11" x14ac:dyDescent="0.3">
      <c r="K107" s="37"/>
    </row>
    <row r="108" spans="11:11" x14ac:dyDescent="0.3">
      <c r="K108" s="37"/>
    </row>
    <row r="109" spans="11:11" x14ac:dyDescent="0.3">
      <c r="K109" s="37"/>
    </row>
    <row r="110" spans="11:11" x14ac:dyDescent="0.3">
      <c r="K110" s="37"/>
    </row>
    <row r="111" spans="11:11" x14ac:dyDescent="0.3">
      <c r="K111" s="37"/>
    </row>
    <row r="112" spans="11:11" x14ac:dyDescent="0.3">
      <c r="K112" s="37"/>
    </row>
    <row r="113" spans="11:11" x14ac:dyDescent="0.3">
      <c r="K113" s="37"/>
    </row>
    <row r="114" spans="11:11" x14ac:dyDescent="0.3">
      <c r="K114" s="37"/>
    </row>
    <row r="115" spans="11:11" x14ac:dyDescent="0.3">
      <c r="K115" s="37"/>
    </row>
    <row r="116" spans="11:11" x14ac:dyDescent="0.3">
      <c r="K116" s="37"/>
    </row>
    <row r="117" spans="11:11" x14ac:dyDescent="0.3">
      <c r="K117" s="37"/>
    </row>
    <row r="118" spans="11:11" x14ac:dyDescent="0.3">
      <c r="K118" s="37"/>
    </row>
    <row r="119" spans="11:11" x14ac:dyDescent="0.3">
      <c r="K119" s="37"/>
    </row>
    <row r="120" spans="11:11" x14ac:dyDescent="0.3">
      <c r="K120" s="37"/>
    </row>
    <row r="121" spans="11:11" x14ac:dyDescent="0.3">
      <c r="K121" s="37"/>
    </row>
    <row r="122" spans="11:11" x14ac:dyDescent="0.3">
      <c r="K122" s="37"/>
    </row>
    <row r="123" spans="11:11" x14ac:dyDescent="0.3">
      <c r="K123" s="37"/>
    </row>
    <row r="124" spans="11:11" x14ac:dyDescent="0.3">
      <c r="K124" s="37"/>
    </row>
    <row r="125" spans="11:11" x14ac:dyDescent="0.3">
      <c r="K125" s="37"/>
    </row>
    <row r="126" spans="11:11" x14ac:dyDescent="0.3">
      <c r="K126" s="37"/>
    </row>
    <row r="127" spans="11:11" x14ac:dyDescent="0.3">
      <c r="K127" s="37"/>
    </row>
    <row r="128" spans="11:11" x14ac:dyDescent="0.3">
      <c r="K128" s="37"/>
    </row>
    <row r="129" spans="11:11" x14ac:dyDescent="0.3">
      <c r="K129" s="37"/>
    </row>
    <row r="130" spans="11:11" x14ac:dyDescent="0.3">
      <c r="K130" s="37"/>
    </row>
    <row r="131" spans="11:11" x14ac:dyDescent="0.3">
      <c r="K131" s="37"/>
    </row>
    <row r="132" spans="11:11" x14ac:dyDescent="0.3">
      <c r="K132" s="37"/>
    </row>
    <row r="133" spans="11:11" x14ac:dyDescent="0.3">
      <c r="K133" s="37"/>
    </row>
    <row r="134" spans="11:11" x14ac:dyDescent="0.3">
      <c r="K134" s="37"/>
    </row>
    <row r="135" spans="11:11" x14ac:dyDescent="0.3">
      <c r="K135" s="37"/>
    </row>
    <row r="136" spans="11:11" x14ac:dyDescent="0.3">
      <c r="K136" s="37"/>
    </row>
    <row r="137" spans="11:11" x14ac:dyDescent="0.3">
      <c r="K137" s="37"/>
    </row>
    <row r="138" spans="11:11" x14ac:dyDescent="0.3">
      <c r="K138" s="37"/>
    </row>
    <row r="139" spans="11:11" x14ac:dyDescent="0.3">
      <c r="K139" s="37"/>
    </row>
    <row r="140" spans="11:11" x14ac:dyDescent="0.3">
      <c r="K140" s="37"/>
    </row>
    <row r="141" spans="11:11" x14ac:dyDescent="0.3">
      <c r="K141" s="37"/>
    </row>
    <row r="142" spans="11:11" x14ac:dyDescent="0.3">
      <c r="K142" s="37"/>
    </row>
    <row r="143" spans="11:11" x14ac:dyDescent="0.3">
      <c r="K143" s="37"/>
    </row>
    <row r="144" spans="11:11" x14ac:dyDescent="0.3">
      <c r="K144" s="37"/>
    </row>
    <row r="145" spans="11:11" x14ac:dyDescent="0.3">
      <c r="K145" s="37"/>
    </row>
    <row r="146" spans="11:11" x14ac:dyDescent="0.3">
      <c r="K146" s="37"/>
    </row>
    <row r="147" spans="11:11" x14ac:dyDescent="0.3">
      <c r="K147" s="37"/>
    </row>
    <row r="148" spans="11:11" x14ac:dyDescent="0.3">
      <c r="K148" s="37"/>
    </row>
    <row r="149" spans="11:11" x14ac:dyDescent="0.3">
      <c r="K149" s="37"/>
    </row>
    <row r="150" spans="11:11" x14ac:dyDescent="0.3">
      <c r="K150" s="37"/>
    </row>
    <row r="151" spans="11:11" x14ac:dyDescent="0.3">
      <c r="K151" s="37"/>
    </row>
    <row r="152" spans="11:11" x14ac:dyDescent="0.3">
      <c r="K152" s="37"/>
    </row>
    <row r="153" spans="11:11" x14ac:dyDescent="0.3">
      <c r="K153" s="37"/>
    </row>
    <row r="154" spans="11:11" x14ac:dyDescent="0.3">
      <c r="K154" s="37"/>
    </row>
    <row r="155" spans="11:11" x14ac:dyDescent="0.3">
      <c r="K155" s="37"/>
    </row>
    <row r="156" spans="11:11" x14ac:dyDescent="0.3">
      <c r="K156" s="37"/>
    </row>
    <row r="157" spans="11:11" x14ac:dyDescent="0.3">
      <c r="K157" s="37"/>
    </row>
    <row r="158" spans="11:11" x14ac:dyDescent="0.3">
      <c r="K158" s="37"/>
    </row>
    <row r="159" spans="11:11" x14ac:dyDescent="0.3">
      <c r="K159" s="37"/>
    </row>
    <row r="160" spans="11:11" x14ac:dyDescent="0.3">
      <c r="K160" s="37"/>
    </row>
    <row r="161" spans="11:11" x14ac:dyDescent="0.3">
      <c r="K161" s="37"/>
    </row>
    <row r="162" spans="11:11" x14ac:dyDescent="0.3">
      <c r="K162" s="37"/>
    </row>
    <row r="163" spans="11:11" x14ac:dyDescent="0.3">
      <c r="K163" s="37"/>
    </row>
    <row r="164" spans="11:11" x14ac:dyDescent="0.3">
      <c r="K164" s="37"/>
    </row>
    <row r="165" spans="11:11" x14ac:dyDescent="0.3">
      <c r="K165" s="37"/>
    </row>
    <row r="166" spans="11:11" x14ac:dyDescent="0.3">
      <c r="K166" s="37"/>
    </row>
    <row r="167" spans="11:11" x14ac:dyDescent="0.3">
      <c r="K167" s="37"/>
    </row>
    <row r="168" spans="11:11" x14ac:dyDescent="0.3">
      <c r="K168" s="37"/>
    </row>
    <row r="169" spans="11:11" x14ac:dyDescent="0.3">
      <c r="K169" s="37"/>
    </row>
    <row r="170" spans="11:11" x14ac:dyDescent="0.3">
      <c r="K170" s="37"/>
    </row>
    <row r="171" spans="11:11" x14ac:dyDescent="0.3">
      <c r="K171" s="37"/>
    </row>
    <row r="172" spans="11:11" x14ac:dyDescent="0.3">
      <c r="K172" s="37"/>
    </row>
    <row r="173" spans="11:11" x14ac:dyDescent="0.3">
      <c r="K173" s="37"/>
    </row>
    <row r="174" spans="11:11" x14ac:dyDescent="0.3">
      <c r="K174" s="37"/>
    </row>
    <row r="175" spans="11:11" x14ac:dyDescent="0.3">
      <c r="K175" s="37"/>
    </row>
    <row r="176" spans="11:11" x14ac:dyDescent="0.3">
      <c r="K176" s="37"/>
    </row>
    <row r="177" spans="11:11" x14ac:dyDescent="0.3">
      <c r="K177" s="37"/>
    </row>
    <row r="178" spans="11:11" x14ac:dyDescent="0.3">
      <c r="K178" s="37"/>
    </row>
    <row r="179" spans="11:11" x14ac:dyDescent="0.3">
      <c r="K179" s="37"/>
    </row>
    <row r="180" spans="11:11" x14ac:dyDescent="0.3">
      <c r="K180" s="37"/>
    </row>
    <row r="181" spans="11:11" x14ac:dyDescent="0.3">
      <c r="K181" s="37"/>
    </row>
    <row r="182" spans="11:11" x14ac:dyDescent="0.3">
      <c r="K182" s="37"/>
    </row>
    <row r="183" spans="11:11" x14ac:dyDescent="0.3">
      <c r="K183" s="37"/>
    </row>
    <row r="184" spans="11:11" x14ac:dyDescent="0.3">
      <c r="K184" s="37"/>
    </row>
    <row r="185" spans="11:11" x14ac:dyDescent="0.3">
      <c r="K185" s="37"/>
    </row>
    <row r="186" spans="11:11" x14ac:dyDescent="0.3">
      <c r="K186" s="37"/>
    </row>
    <row r="187" spans="11:11" x14ac:dyDescent="0.3">
      <c r="K187" s="37"/>
    </row>
    <row r="188" spans="11:11" x14ac:dyDescent="0.3">
      <c r="K188" s="37"/>
    </row>
    <row r="189" spans="11:11" x14ac:dyDescent="0.3">
      <c r="K189" s="37"/>
    </row>
    <row r="190" spans="11:11" x14ac:dyDescent="0.3">
      <c r="K190" s="37"/>
    </row>
    <row r="191" spans="11:11" x14ac:dyDescent="0.3">
      <c r="K191" s="37"/>
    </row>
    <row r="192" spans="11:11" x14ac:dyDescent="0.3">
      <c r="K192" s="37"/>
    </row>
    <row r="193" spans="11:11" x14ac:dyDescent="0.3">
      <c r="K193" s="37"/>
    </row>
    <row r="194" spans="11:11" x14ac:dyDescent="0.3">
      <c r="K194" s="37"/>
    </row>
    <row r="195" spans="11:11" x14ac:dyDescent="0.3">
      <c r="K195" s="37"/>
    </row>
    <row r="196" spans="11:11" x14ac:dyDescent="0.3">
      <c r="K196" s="37"/>
    </row>
    <row r="197" spans="11:11" x14ac:dyDescent="0.3">
      <c r="K197" s="37"/>
    </row>
    <row r="198" spans="11:11" x14ac:dyDescent="0.3">
      <c r="K198" s="37"/>
    </row>
    <row r="199" spans="11:11" x14ac:dyDescent="0.3">
      <c r="K199" s="37"/>
    </row>
    <row r="200" spans="11:11" x14ac:dyDescent="0.3">
      <c r="K200" s="37"/>
    </row>
    <row r="201" spans="11:11" x14ac:dyDescent="0.3">
      <c r="K201" s="37"/>
    </row>
    <row r="202" spans="11:11" x14ac:dyDescent="0.3">
      <c r="K202" s="37"/>
    </row>
    <row r="203" spans="11:11" x14ac:dyDescent="0.3">
      <c r="K203" s="37"/>
    </row>
    <row r="204" spans="11:11" x14ac:dyDescent="0.3">
      <c r="K204" s="37"/>
    </row>
    <row r="205" spans="11:11" x14ac:dyDescent="0.3">
      <c r="K205" s="37"/>
    </row>
    <row r="206" spans="11:11" x14ac:dyDescent="0.3">
      <c r="K206" s="37"/>
    </row>
    <row r="207" spans="11:11" x14ac:dyDescent="0.3">
      <c r="K207" s="37"/>
    </row>
    <row r="208" spans="11:11" x14ac:dyDescent="0.3">
      <c r="K208" s="37"/>
    </row>
    <row r="209" spans="11:11" x14ac:dyDescent="0.3">
      <c r="K209" s="37"/>
    </row>
    <row r="210" spans="11:11" x14ac:dyDescent="0.3">
      <c r="K210" s="37"/>
    </row>
    <row r="211" spans="11:11" x14ac:dyDescent="0.3">
      <c r="K211" s="37"/>
    </row>
    <row r="212" spans="11:11" x14ac:dyDescent="0.3">
      <c r="K212" s="37"/>
    </row>
    <row r="213" spans="11:11" x14ac:dyDescent="0.3">
      <c r="K213" s="37"/>
    </row>
    <row r="214" spans="11:11" x14ac:dyDescent="0.3">
      <c r="K214" s="37"/>
    </row>
    <row r="215" spans="11:11" x14ac:dyDescent="0.3">
      <c r="K215" s="37"/>
    </row>
    <row r="234" spans="5:5" x14ac:dyDescent="0.3">
      <c r="E234" s="4" t="s">
        <v>30</v>
      </c>
    </row>
  </sheetData>
  <autoFilter ref="A11:AM49" xr:uid="{00000000-0001-0000-0000-000000000000}"/>
  <mergeCells count="138">
    <mergeCell ref="AM19:AM24"/>
    <mergeCell ref="J19:J24"/>
    <mergeCell ref="K19:K21"/>
    <mergeCell ref="AK19:AK24"/>
    <mergeCell ref="AL19:AL24"/>
    <mergeCell ref="K22:K24"/>
    <mergeCell ref="AK43:AK48"/>
    <mergeCell ref="AL43:AL48"/>
    <mergeCell ref="J43:J48"/>
    <mergeCell ref="K43:K45"/>
    <mergeCell ref="K46:K48"/>
    <mergeCell ref="J37:J42"/>
    <mergeCell ref="K37:K39"/>
    <mergeCell ref="AK37:AK42"/>
    <mergeCell ref="AL37:AL42"/>
    <mergeCell ref="AM37:AM42"/>
    <mergeCell ref="K40:K42"/>
    <mergeCell ref="K31:K33"/>
    <mergeCell ref="AK31:AK36"/>
    <mergeCell ref="AL31:AL36"/>
    <mergeCell ref="AM31:AM36"/>
    <mergeCell ref="K34:K36"/>
    <mergeCell ref="J25:J30"/>
    <mergeCell ref="K25:K27"/>
    <mergeCell ref="AM11:AM12"/>
    <mergeCell ref="K13:K15"/>
    <mergeCell ref="AK13:AK18"/>
    <mergeCell ref="K16:K18"/>
    <mergeCell ref="AI11:AI12"/>
    <mergeCell ref="AJ11:AJ12"/>
    <mergeCell ref="AK11:AK12"/>
    <mergeCell ref="AL13:AL18"/>
    <mergeCell ref="AD11:AD12"/>
    <mergeCell ref="AG11:AG12"/>
    <mergeCell ref="Y11:Y12"/>
    <mergeCell ref="AM13:AM18"/>
    <mergeCell ref="AL11:AL12"/>
    <mergeCell ref="AH11:AH12"/>
    <mergeCell ref="Z11:Z12"/>
    <mergeCell ref="Q11:Q12"/>
    <mergeCell ref="R11:R12"/>
    <mergeCell ref="AB11:AB12"/>
    <mergeCell ref="AA11:AA12"/>
    <mergeCell ref="T11:T12"/>
    <mergeCell ref="U11:U12"/>
    <mergeCell ref="AE11:AE12"/>
    <mergeCell ref="AF11:AF12"/>
    <mergeCell ref="AC11:AC12"/>
    <mergeCell ref="V11:V12"/>
    <mergeCell ref="S11:S12"/>
    <mergeCell ref="X11:X12"/>
    <mergeCell ref="P11:P12"/>
    <mergeCell ref="D11:D12"/>
    <mergeCell ref="W11:W12"/>
    <mergeCell ref="O11:O12"/>
    <mergeCell ref="O1:R1"/>
    <mergeCell ref="O3:R3"/>
    <mergeCell ref="E1:N5"/>
    <mergeCell ref="O2:R2"/>
    <mergeCell ref="L11:L12"/>
    <mergeCell ref="O5:R5"/>
    <mergeCell ref="I11:I12"/>
    <mergeCell ref="E11:E12"/>
    <mergeCell ref="O6:R6"/>
    <mergeCell ref="N11:N12"/>
    <mergeCell ref="E6:N6"/>
    <mergeCell ref="B6:D6"/>
    <mergeCell ref="K11:K12"/>
    <mergeCell ref="F11:F12"/>
    <mergeCell ref="B1:D5"/>
    <mergeCell ref="G11:G12"/>
    <mergeCell ref="M11:M12"/>
    <mergeCell ref="J11:J12"/>
    <mergeCell ref="I43:I48"/>
    <mergeCell ref="B11:B12"/>
    <mergeCell ref="J13:J18"/>
    <mergeCell ref="B37:B42"/>
    <mergeCell ref="C37:C42"/>
    <mergeCell ref="D37:D42"/>
    <mergeCell ref="E37:E42"/>
    <mergeCell ref="F37:F42"/>
    <mergeCell ref="G37:G42"/>
    <mergeCell ref="H37:H42"/>
    <mergeCell ref="I37:I42"/>
    <mergeCell ref="D13:D18"/>
    <mergeCell ref="H11:H12"/>
    <mergeCell ref="F25:F30"/>
    <mergeCell ref="H25:H30"/>
    <mergeCell ref="I25:I30"/>
    <mergeCell ref="G43:G48"/>
    <mergeCell ref="H43:H48"/>
    <mergeCell ref="J31:J36"/>
    <mergeCell ref="G31:G36"/>
    <mergeCell ref="H31:H36"/>
    <mergeCell ref="I31:I36"/>
    <mergeCell ref="G25:G30"/>
    <mergeCell ref="I13:I18"/>
    <mergeCell ref="H13:H18"/>
    <mergeCell ref="A13:A18"/>
    <mergeCell ref="B13:B18"/>
    <mergeCell ref="C13:C18"/>
    <mergeCell ref="E13:E18"/>
    <mergeCell ref="G13:G18"/>
    <mergeCell ref="F13:F18"/>
    <mergeCell ref="C11:C12"/>
    <mergeCell ref="A31:A36"/>
    <mergeCell ref="B31:B36"/>
    <mergeCell ref="C31:C36"/>
    <mergeCell ref="D31:D36"/>
    <mergeCell ref="E31:E36"/>
    <mergeCell ref="F31:F36"/>
    <mergeCell ref="D25:D30"/>
    <mergeCell ref="E25:E30"/>
    <mergeCell ref="A11:A12"/>
    <mergeCell ref="AK25:AK30"/>
    <mergeCell ref="AL25:AL30"/>
    <mergeCell ref="AM25:AM30"/>
    <mergeCell ref="K28:K30"/>
    <mergeCell ref="G19:G24"/>
    <mergeCell ref="H19:H24"/>
    <mergeCell ref="I19:I24"/>
    <mergeCell ref="AM43:AM48"/>
    <mergeCell ref="A43:A48"/>
    <mergeCell ref="B43:B48"/>
    <mergeCell ref="C43:C48"/>
    <mergeCell ref="D43:D48"/>
    <mergeCell ref="E43:E48"/>
    <mergeCell ref="F43:F48"/>
    <mergeCell ref="A19:A24"/>
    <mergeCell ref="B19:B24"/>
    <mergeCell ref="C19:C24"/>
    <mergeCell ref="D19:D24"/>
    <mergeCell ref="E19:E24"/>
    <mergeCell ref="F19:F24"/>
    <mergeCell ref="A37:A42"/>
    <mergeCell ref="A25:A30"/>
    <mergeCell ref="B25:B30"/>
    <mergeCell ref="C25:C30"/>
  </mergeCells>
  <phoneticPr fontId="6" type="noConversion"/>
  <pageMargins left="0.56999999999999995" right="0.37" top="0.41" bottom="0.47" header="0" footer="0"/>
  <pageSetup scale="59" orientation="landscape" r:id="rId1"/>
  <headerFooter alignWithMargins="0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00D0-ED32-4738-8AE1-04AFA944BDFC}">
  <dimension ref="A1:AL25"/>
  <sheetViews>
    <sheetView topLeftCell="A11" zoomScale="102" zoomScaleNormal="102" workbookViewId="0">
      <pane xSplit="4" ySplit="2" topLeftCell="E14" activePane="bottomRight" state="frozen"/>
      <selection activeCell="A11" sqref="A11"/>
      <selection pane="topRight" activeCell="E11" sqref="E11"/>
      <selection pane="bottomLeft" activeCell="A13" sqref="A13"/>
      <selection pane="bottomRight" activeCell="H19" sqref="H19:H24"/>
    </sheetView>
  </sheetViews>
  <sheetFormatPr baseColWidth="10" defaultRowHeight="12.5" x14ac:dyDescent="0.25"/>
  <cols>
    <col min="2" max="2" width="25.7265625" customWidth="1"/>
    <col min="3" max="4" width="18.7265625" customWidth="1"/>
    <col min="10" max="10" width="19.26953125" customWidth="1"/>
    <col min="36" max="36" width="20.1796875" customWidth="1"/>
  </cols>
  <sheetData>
    <row r="1" spans="1:38" s="13" customFormat="1" ht="12.75" customHeight="1" x14ac:dyDescent="0.35">
      <c r="B1" s="174"/>
      <c r="C1" s="174"/>
      <c r="D1" s="175"/>
      <c r="E1" s="156" t="s">
        <v>0</v>
      </c>
      <c r="F1" s="150"/>
      <c r="G1" s="150"/>
      <c r="H1" s="150"/>
      <c r="I1" s="150"/>
      <c r="J1" s="150"/>
      <c r="K1" s="150"/>
      <c r="L1" s="157"/>
      <c r="M1" s="156" t="s">
        <v>50</v>
      </c>
      <c r="N1" s="151"/>
      <c r="O1" s="151"/>
      <c r="P1" s="152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spans="1:38" s="13" customFormat="1" ht="12.75" customHeight="1" x14ac:dyDescent="0.35">
      <c r="B2" s="176"/>
      <c r="C2" s="176"/>
      <c r="D2" s="177"/>
      <c r="E2" s="158"/>
      <c r="F2" s="153"/>
      <c r="G2" s="153"/>
      <c r="H2" s="153"/>
      <c r="I2" s="153"/>
      <c r="J2" s="153"/>
      <c r="K2" s="153"/>
      <c r="L2" s="159"/>
      <c r="M2" s="198" t="s">
        <v>51</v>
      </c>
      <c r="N2" s="163"/>
      <c r="O2" s="163"/>
      <c r="P2" s="16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spans="1:38" s="13" customFormat="1" ht="15.75" customHeight="1" x14ac:dyDescent="0.35">
      <c r="B3" s="176"/>
      <c r="C3" s="176"/>
      <c r="D3" s="177"/>
      <c r="E3" s="158"/>
      <c r="F3" s="153"/>
      <c r="G3" s="153"/>
      <c r="H3" s="153"/>
      <c r="I3" s="153"/>
      <c r="J3" s="153"/>
      <c r="K3" s="153"/>
      <c r="L3" s="159"/>
      <c r="M3" s="158"/>
      <c r="N3" s="154"/>
      <c r="O3" s="154"/>
      <c r="P3" s="155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spans="1:38" s="13" customFormat="1" ht="12.75" customHeight="1" x14ac:dyDescent="0.35">
      <c r="B4" s="176"/>
      <c r="C4" s="176"/>
      <c r="D4" s="177"/>
      <c r="E4" s="158"/>
      <c r="F4" s="153"/>
      <c r="G4" s="153"/>
      <c r="H4" s="153"/>
      <c r="I4" s="153"/>
      <c r="J4" s="153"/>
      <c r="K4" s="153"/>
      <c r="L4" s="159"/>
      <c r="M4" s="39"/>
      <c r="N4" s="15"/>
      <c r="O4" s="15"/>
      <c r="P4" s="16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spans="1:38" s="13" customFormat="1" ht="20.25" customHeight="1" x14ac:dyDescent="0.35">
      <c r="B5" s="178"/>
      <c r="C5" s="178"/>
      <c r="D5" s="179"/>
      <c r="E5" s="160"/>
      <c r="F5" s="161"/>
      <c r="G5" s="161"/>
      <c r="H5" s="161"/>
      <c r="I5" s="161"/>
      <c r="J5" s="161"/>
      <c r="K5" s="161"/>
      <c r="L5" s="162"/>
      <c r="M5" s="199" t="s">
        <v>52</v>
      </c>
      <c r="N5" s="166"/>
      <c r="O5" s="166"/>
      <c r="P5" s="167"/>
      <c r="Q5" s="14"/>
      <c r="R5" s="14"/>
      <c r="S5" s="14"/>
      <c r="T5" s="14" t="s">
        <v>31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spans="1:38" s="4" customFormat="1" ht="15.75" customHeight="1" x14ac:dyDescent="0.3">
      <c r="B6" s="200" t="s">
        <v>29</v>
      </c>
      <c r="C6" s="201"/>
      <c r="D6" s="202"/>
      <c r="E6" s="203" t="s">
        <v>34</v>
      </c>
      <c r="F6" s="204"/>
      <c r="G6" s="204"/>
      <c r="H6" s="204"/>
      <c r="I6" s="204"/>
      <c r="J6" s="204"/>
      <c r="K6" s="204"/>
      <c r="L6" s="205"/>
      <c r="M6" s="203" t="s">
        <v>53</v>
      </c>
      <c r="N6" s="204"/>
      <c r="O6" s="204"/>
      <c r="P6" s="205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8" s="13" customFormat="1" ht="16.5" customHeight="1" x14ac:dyDescent="0.35">
      <c r="E7" s="10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 spans="1:38" s="13" customFormat="1" ht="15.5" x14ac:dyDescent="0.35">
      <c r="B8" s="5" t="s">
        <v>62</v>
      </c>
      <c r="C8" s="10"/>
      <c r="D8" s="12"/>
      <c r="E8" s="40"/>
      <c r="K8" s="41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42"/>
      <c r="Z8" s="14"/>
      <c r="AA8" s="14"/>
      <c r="AB8" s="14"/>
      <c r="AC8" s="14"/>
      <c r="AD8" s="42"/>
      <c r="AE8" s="14"/>
      <c r="AF8" s="14"/>
      <c r="AG8" s="14"/>
      <c r="AH8" s="14"/>
      <c r="AI8" s="42"/>
    </row>
    <row r="9" spans="1:38" s="13" customFormat="1" ht="16.5" customHeight="1" x14ac:dyDescent="0.35">
      <c r="B9" s="5" t="s">
        <v>54</v>
      </c>
      <c r="C9" s="10"/>
      <c r="D9" s="10"/>
      <c r="E9" s="40"/>
      <c r="K9" s="41"/>
      <c r="L9" s="14"/>
      <c r="M9" s="14"/>
      <c r="N9" s="14"/>
      <c r="O9" s="14"/>
      <c r="P9" s="42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 spans="1:38" s="13" customFormat="1" ht="16" thickBot="1" x14ac:dyDescent="0.4">
      <c r="B10" s="5"/>
      <c r="C10" s="5"/>
      <c r="D10" s="5"/>
      <c r="E10" s="10"/>
      <c r="L10" s="14"/>
      <c r="M10" s="14"/>
      <c r="N10" s="43"/>
      <c r="O10" s="43"/>
      <c r="P10" s="44"/>
      <c r="Q10" s="43"/>
      <c r="R10" s="43"/>
      <c r="S10" s="43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43"/>
      <c r="AH10" s="43"/>
      <c r="AI10" s="43"/>
      <c r="AJ10" s="45"/>
      <c r="AK10" s="45"/>
      <c r="AL10" s="45"/>
    </row>
    <row r="11" spans="1:38" s="2" customFormat="1" ht="22.9" customHeight="1" thickTop="1" x14ac:dyDescent="0.25">
      <c r="A11" s="113" t="s">
        <v>41</v>
      </c>
      <c r="B11" s="113" t="s">
        <v>35</v>
      </c>
      <c r="C11" s="113" t="s">
        <v>1</v>
      </c>
      <c r="D11" s="145" t="s">
        <v>2</v>
      </c>
      <c r="E11" s="130" t="s">
        <v>32</v>
      </c>
      <c r="F11" s="130" t="s">
        <v>36</v>
      </c>
      <c r="G11" s="130" t="s">
        <v>33</v>
      </c>
      <c r="H11" s="130" t="s">
        <v>37</v>
      </c>
      <c r="I11" s="130" t="s">
        <v>177</v>
      </c>
      <c r="J11" s="145" t="s">
        <v>3</v>
      </c>
      <c r="K11" s="145" t="s">
        <v>28</v>
      </c>
      <c r="L11" s="145" t="s">
        <v>4</v>
      </c>
      <c r="M11" s="145" t="s">
        <v>5</v>
      </c>
      <c r="N11" s="113" t="s">
        <v>6</v>
      </c>
      <c r="O11" s="145" t="s">
        <v>7</v>
      </c>
      <c r="P11" s="145" t="s">
        <v>8</v>
      </c>
      <c r="Q11" s="145" t="s">
        <v>9</v>
      </c>
      <c r="R11" s="145" t="s">
        <v>10</v>
      </c>
      <c r="S11" s="145" t="s">
        <v>11</v>
      </c>
      <c r="T11" s="113" t="s">
        <v>12</v>
      </c>
      <c r="U11" s="113" t="s">
        <v>13</v>
      </c>
      <c r="V11" s="145" t="s">
        <v>14</v>
      </c>
      <c r="W11" s="147" t="s">
        <v>15</v>
      </c>
      <c r="X11" s="145" t="s">
        <v>16</v>
      </c>
      <c r="Y11" s="145" t="s">
        <v>17</v>
      </c>
      <c r="Z11" s="145" t="s">
        <v>18</v>
      </c>
      <c r="AA11" s="145" t="s">
        <v>19</v>
      </c>
      <c r="AB11" s="145" t="s">
        <v>20</v>
      </c>
      <c r="AC11" s="145" t="s">
        <v>21</v>
      </c>
      <c r="AD11" s="145" t="s">
        <v>22</v>
      </c>
      <c r="AE11" s="113" t="s">
        <v>23</v>
      </c>
      <c r="AF11" s="145" t="s">
        <v>24</v>
      </c>
      <c r="AG11" s="145" t="s">
        <v>25</v>
      </c>
      <c r="AH11" s="130" t="s">
        <v>145</v>
      </c>
      <c r="AI11" s="145" t="s">
        <v>26</v>
      </c>
      <c r="AJ11" s="145" t="s">
        <v>27</v>
      </c>
      <c r="AK11" s="130" t="s">
        <v>43</v>
      </c>
      <c r="AL11" s="145" t="s">
        <v>42</v>
      </c>
    </row>
    <row r="12" spans="1:38" s="2" customFormat="1" ht="22.9" customHeight="1" thickBot="1" x14ac:dyDescent="0.3">
      <c r="A12" s="114"/>
      <c r="B12" s="114"/>
      <c r="C12" s="114"/>
      <c r="D12" s="149"/>
      <c r="E12" s="131"/>
      <c r="F12" s="131"/>
      <c r="G12" s="131"/>
      <c r="H12" s="131"/>
      <c r="I12" s="131"/>
      <c r="J12" s="149"/>
      <c r="K12" s="165"/>
      <c r="L12" s="149"/>
      <c r="M12" s="149"/>
      <c r="N12" s="114"/>
      <c r="O12" s="149"/>
      <c r="P12" s="149"/>
      <c r="Q12" s="149"/>
      <c r="R12" s="146"/>
      <c r="S12" s="149"/>
      <c r="T12" s="144"/>
      <c r="U12" s="144"/>
      <c r="V12" s="146"/>
      <c r="W12" s="148"/>
      <c r="X12" s="149"/>
      <c r="Y12" s="146"/>
      <c r="Z12" s="146"/>
      <c r="AA12" s="146"/>
      <c r="AB12" s="146"/>
      <c r="AC12" s="146"/>
      <c r="AD12" s="146"/>
      <c r="AE12" s="144"/>
      <c r="AF12" s="146"/>
      <c r="AG12" s="149"/>
      <c r="AH12" s="131"/>
      <c r="AI12" s="149"/>
      <c r="AJ12" s="186"/>
      <c r="AK12" s="131"/>
      <c r="AL12" s="149"/>
    </row>
    <row r="13" spans="1:38" s="36" customFormat="1" ht="22.9" customHeight="1" thickTop="1" x14ac:dyDescent="0.25">
      <c r="A13" s="206" t="s">
        <v>72</v>
      </c>
      <c r="B13" s="98" t="s">
        <v>56</v>
      </c>
      <c r="C13" s="110" t="s">
        <v>73</v>
      </c>
      <c r="D13" s="110" t="s">
        <v>59</v>
      </c>
      <c r="E13" s="89" t="s">
        <v>57</v>
      </c>
      <c r="F13" s="89" t="s">
        <v>173</v>
      </c>
      <c r="G13" s="89" t="s">
        <v>48</v>
      </c>
      <c r="H13" s="89" t="s">
        <v>63</v>
      </c>
      <c r="I13" s="92">
        <f>K14</f>
        <v>1.1142712529365044</v>
      </c>
      <c r="J13" s="86" t="s">
        <v>61</v>
      </c>
      <c r="K13" s="17" t="s">
        <v>38</v>
      </c>
      <c r="L13" s="17" t="s">
        <v>38</v>
      </c>
      <c r="M13" s="17" t="s">
        <v>38</v>
      </c>
      <c r="N13" s="18" t="s">
        <v>38</v>
      </c>
      <c r="O13" s="17" t="s">
        <v>38</v>
      </c>
      <c r="P13" s="18" t="s">
        <v>38</v>
      </c>
      <c r="Q13" s="17" t="s">
        <v>38</v>
      </c>
      <c r="R13" s="18" t="s">
        <v>38</v>
      </c>
      <c r="S13" s="17" t="s">
        <v>38</v>
      </c>
      <c r="T13" s="18" t="s">
        <v>38</v>
      </c>
      <c r="U13" s="17" t="s">
        <v>38</v>
      </c>
      <c r="V13" s="18" t="s">
        <v>38</v>
      </c>
      <c r="W13" s="17" t="s">
        <v>38</v>
      </c>
      <c r="X13" s="18" t="s">
        <v>38</v>
      </c>
      <c r="Y13" s="17" t="s">
        <v>38</v>
      </c>
      <c r="Z13" s="18" t="s">
        <v>38</v>
      </c>
      <c r="AA13" s="17" t="s">
        <v>38</v>
      </c>
      <c r="AB13" s="18" t="s">
        <v>38</v>
      </c>
      <c r="AC13" s="17" t="s">
        <v>38</v>
      </c>
      <c r="AD13" s="18" t="s">
        <v>38</v>
      </c>
      <c r="AE13" s="17" t="s">
        <v>38</v>
      </c>
      <c r="AF13" s="18" t="s">
        <v>38</v>
      </c>
      <c r="AG13" s="17" t="s">
        <v>38</v>
      </c>
      <c r="AH13" s="18" t="s">
        <v>38</v>
      </c>
      <c r="AI13" s="19"/>
      <c r="AJ13" s="77"/>
      <c r="AK13" s="80"/>
      <c r="AL13" s="83" t="s">
        <v>192</v>
      </c>
    </row>
    <row r="14" spans="1:38" s="36" customFormat="1" ht="22.9" customHeight="1" x14ac:dyDescent="0.25">
      <c r="A14" s="207"/>
      <c r="B14" s="99"/>
      <c r="C14" s="111"/>
      <c r="D14" s="111"/>
      <c r="E14" s="90"/>
      <c r="F14" s="90"/>
      <c r="G14" s="90"/>
      <c r="H14" s="90"/>
      <c r="I14" s="93"/>
      <c r="J14" s="187"/>
      <c r="K14" s="33">
        <f>IF(K16&lt;&gt;0,+K16/K18,0%)</f>
        <v>1.1142712529365044</v>
      </c>
      <c r="L14" s="20">
        <f>IF(L16&lt;&gt;0,+L16/L18,0%)</f>
        <v>0</v>
      </c>
      <c r="M14" s="20">
        <f>IF(M16&lt;&gt;0,+M16/M18,0%)</f>
        <v>0</v>
      </c>
      <c r="N14" s="21">
        <f t="shared" ref="N14" si="0">IF(N16&lt;&gt;0,+N16/N18,0%)</f>
        <v>0</v>
      </c>
      <c r="O14" s="20">
        <f>IF(O16&lt;&gt;0,+O16/O18,0%)</f>
        <v>0</v>
      </c>
      <c r="P14" s="38">
        <v>0</v>
      </c>
      <c r="Q14" s="20">
        <f>IF(Q16&lt;&gt;0,+Q16/Q18,0%)</f>
        <v>0</v>
      </c>
      <c r="R14" s="38">
        <v>0</v>
      </c>
      <c r="S14" s="20">
        <f>IF(S16&lt;&gt;0,+S16/S18,0%)</f>
        <v>0</v>
      </c>
      <c r="T14" s="38">
        <v>0</v>
      </c>
      <c r="U14" s="20">
        <f>IF(U16&lt;&gt;0,+U16/U18,0%)</f>
        <v>0</v>
      </c>
      <c r="V14" s="38">
        <v>0</v>
      </c>
      <c r="W14" s="20">
        <f>IF(W16&lt;&gt;0,+W16/W18,0%)</f>
        <v>0</v>
      </c>
      <c r="X14" s="38">
        <v>0</v>
      </c>
      <c r="Y14" s="20">
        <f>IF(Y16&lt;&gt;0,+Y16/Y18,0%)</f>
        <v>0</v>
      </c>
      <c r="Z14" s="38">
        <v>0</v>
      </c>
      <c r="AA14" s="20">
        <f>IF(AA16&lt;&gt;0,+AA16/AA18,0%)</f>
        <v>0</v>
      </c>
      <c r="AB14" s="38">
        <v>0</v>
      </c>
      <c r="AC14" s="20">
        <f>IF(AC16&lt;&gt;0,+AC16/AC18,0%)</f>
        <v>0</v>
      </c>
      <c r="AD14" s="38">
        <v>0</v>
      </c>
      <c r="AE14" s="20">
        <f>IF(AE16&lt;&gt;0,+AE16/AE18,0%)</f>
        <v>0</v>
      </c>
      <c r="AF14" s="38">
        <v>0</v>
      </c>
      <c r="AG14" s="20">
        <f>IF(AG16&lt;&gt;0,+AG16/AG18,0%)</f>
        <v>1.1142712529365044</v>
      </c>
      <c r="AH14" s="21">
        <f t="shared" ref="AH14" si="1">IF(AH16&lt;&gt;0,+AH16/AH18,0%)</f>
        <v>1.1142712529365044</v>
      </c>
      <c r="AI14" s="22"/>
      <c r="AJ14" s="78"/>
      <c r="AK14" s="81"/>
      <c r="AL14" s="84"/>
    </row>
    <row r="15" spans="1:38" s="36" customFormat="1" ht="22.9" customHeight="1" thickBot="1" x14ac:dyDescent="0.3">
      <c r="A15" s="207"/>
      <c r="B15" s="99"/>
      <c r="C15" s="111"/>
      <c r="D15" s="111"/>
      <c r="E15" s="90"/>
      <c r="F15" s="90"/>
      <c r="G15" s="90"/>
      <c r="H15" s="90"/>
      <c r="I15" s="93"/>
      <c r="J15" s="188"/>
      <c r="K15" s="23" t="s">
        <v>39</v>
      </c>
      <c r="L15" s="23" t="s">
        <v>39</v>
      </c>
      <c r="M15" s="23" t="s">
        <v>39</v>
      </c>
      <c r="N15" s="24" t="s">
        <v>39</v>
      </c>
      <c r="O15" s="23" t="s">
        <v>39</v>
      </c>
      <c r="P15" s="24" t="s">
        <v>39</v>
      </c>
      <c r="Q15" s="23" t="s">
        <v>39</v>
      </c>
      <c r="R15" s="24" t="s">
        <v>39</v>
      </c>
      <c r="S15" s="23" t="s">
        <v>39</v>
      </c>
      <c r="T15" s="24" t="s">
        <v>39</v>
      </c>
      <c r="U15" s="23" t="s">
        <v>39</v>
      </c>
      <c r="V15" s="24" t="s">
        <v>39</v>
      </c>
      <c r="W15" s="23" t="s">
        <v>39</v>
      </c>
      <c r="X15" s="24" t="s">
        <v>39</v>
      </c>
      <c r="Y15" s="23" t="s">
        <v>39</v>
      </c>
      <c r="Z15" s="24" t="s">
        <v>39</v>
      </c>
      <c r="AA15" s="23" t="s">
        <v>39</v>
      </c>
      <c r="AB15" s="24" t="s">
        <v>39</v>
      </c>
      <c r="AC15" s="23" t="s">
        <v>39</v>
      </c>
      <c r="AD15" s="24" t="s">
        <v>39</v>
      </c>
      <c r="AE15" s="23" t="s">
        <v>39</v>
      </c>
      <c r="AF15" s="24" t="s">
        <v>39</v>
      </c>
      <c r="AG15" s="23" t="s">
        <v>39</v>
      </c>
      <c r="AH15" s="24" t="s">
        <v>39</v>
      </c>
      <c r="AI15" s="22"/>
      <c r="AJ15" s="78"/>
      <c r="AK15" s="81"/>
      <c r="AL15" s="84"/>
    </row>
    <row r="16" spans="1:38" s="36" customFormat="1" ht="22.9" customHeight="1" thickTop="1" x14ac:dyDescent="0.25">
      <c r="A16" s="207"/>
      <c r="B16" s="99"/>
      <c r="C16" s="111"/>
      <c r="D16" s="111"/>
      <c r="E16" s="90"/>
      <c r="F16" s="90"/>
      <c r="G16" s="90"/>
      <c r="H16" s="90"/>
      <c r="I16" s="93"/>
      <c r="J16" s="86" t="s">
        <v>60</v>
      </c>
      <c r="K16" s="34">
        <v>149561714</v>
      </c>
      <c r="L16" s="32"/>
      <c r="M16" s="32"/>
      <c r="N16" s="25">
        <f t="shared" ref="N16:AH16" si="2">+L16+M16</f>
        <v>0</v>
      </c>
      <c r="O16" s="32"/>
      <c r="P16" s="25">
        <f t="shared" si="2"/>
        <v>0</v>
      </c>
      <c r="Q16" s="32"/>
      <c r="R16" s="25">
        <f t="shared" si="2"/>
        <v>0</v>
      </c>
      <c r="S16" s="32"/>
      <c r="T16" s="25">
        <f t="shared" si="2"/>
        <v>0</v>
      </c>
      <c r="U16" s="32"/>
      <c r="V16" s="25">
        <f t="shared" si="2"/>
        <v>0</v>
      </c>
      <c r="W16" s="32"/>
      <c r="X16" s="25">
        <f t="shared" si="2"/>
        <v>0</v>
      </c>
      <c r="Y16" s="32"/>
      <c r="Z16" s="25">
        <f t="shared" si="2"/>
        <v>0</v>
      </c>
      <c r="AA16" s="32"/>
      <c r="AB16" s="25">
        <f t="shared" si="2"/>
        <v>0</v>
      </c>
      <c r="AC16" s="32"/>
      <c r="AD16" s="25">
        <f t="shared" si="2"/>
        <v>0</v>
      </c>
      <c r="AE16" s="32"/>
      <c r="AF16" s="25">
        <f t="shared" si="2"/>
        <v>0</v>
      </c>
      <c r="AG16" s="32">
        <v>149561714</v>
      </c>
      <c r="AH16" s="25">
        <f t="shared" si="2"/>
        <v>149561714</v>
      </c>
      <c r="AI16" s="26">
        <f>AH14/K14</f>
        <v>1</v>
      </c>
      <c r="AJ16" s="78"/>
      <c r="AK16" s="81"/>
      <c r="AL16" s="84"/>
    </row>
    <row r="17" spans="1:38" s="36" customFormat="1" ht="22.9" customHeight="1" x14ac:dyDescent="0.25">
      <c r="A17" s="207"/>
      <c r="B17" s="99"/>
      <c r="C17" s="111"/>
      <c r="D17" s="111"/>
      <c r="E17" s="90"/>
      <c r="F17" s="90"/>
      <c r="G17" s="90"/>
      <c r="H17" s="90"/>
      <c r="I17" s="93"/>
      <c r="J17" s="87"/>
      <c r="K17" s="27" t="s">
        <v>40</v>
      </c>
      <c r="L17" s="27" t="s">
        <v>40</v>
      </c>
      <c r="M17" s="27" t="s">
        <v>40</v>
      </c>
      <c r="N17" s="28" t="s">
        <v>40</v>
      </c>
      <c r="O17" s="27" t="s">
        <v>40</v>
      </c>
      <c r="P17" s="28" t="s">
        <v>40</v>
      </c>
      <c r="Q17" s="27" t="s">
        <v>40</v>
      </c>
      <c r="R17" s="28" t="s">
        <v>40</v>
      </c>
      <c r="S17" s="27" t="s">
        <v>40</v>
      </c>
      <c r="T17" s="28" t="s">
        <v>40</v>
      </c>
      <c r="U17" s="27" t="s">
        <v>40</v>
      </c>
      <c r="V17" s="28" t="s">
        <v>40</v>
      </c>
      <c r="W17" s="27" t="s">
        <v>40</v>
      </c>
      <c r="X17" s="28" t="s">
        <v>40</v>
      </c>
      <c r="Y17" s="27" t="s">
        <v>40</v>
      </c>
      <c r="Z17" s="28" t="s">
        <v>40</v>
      </c>
      <c r="AA17" s="27" t="s">
        <v>40</v>
      </c>
      <c r="AB17" s="28" t="s">
        <v>40</v>
      </c>
      <c r="AC17" s="27" t="s">
        <v>40</v>
      </c>
      <c r="AD17" s="28" t="s">
        <v>40</v>
      </c>
      <c r="AE17" s="27" t="s">
        <v>40</v>
      </c>
      <c r="AF17" s="28" t="s">
        <v>40</v>
      </c>
      <c r="AG17" s="27" t="s">
        <v>40</v>
      </c>
      <c r="AH17" s="28" t="s">
        <v>40</v>
      </c>
      <c r="AI17" s="22"/>
      <c r="AJ17" s="78"/>
      <c r="AK17" s="81"/>
      <c r="AL17" s="84"/>
    </row>
    <row r="18" spans="1:38" s="36" customFormat="1" ht="22.9" customHeight="1" thickBot="1" x14ac:dyDescent="0.3">
      <c r="A18" s="208"/>
      <c r="B18" s="100"/>
      <c r="C18" s="112"/>
      <c r="D18" s="112"/>
      <c r="E18" s="91"/>
      <c r="F18" s="91"/>
      <c r="G18" s="91"/>
      <c r="H18" s="91"/>
      <c r="I18" s="94"/>
      <c r="J18" s="88"/>
      <c r="K18" s="35">
        <v>134223793</v>
      </c>
      <c r="L18" s="31"/>
      <c r="M18" s="31"/>
      <c r="N18" s="29">
        <f>+L18+M18</f>
        <v>0</v>
      </c>
      <c r="O18" s="31"/>
      <c r="P18" s="29">
        <f>+N18+O18</f>
        <v>0</v>
      </c>
      <c r="Q18" s="31"/>
      <c r="R18" s="29">
        <f t="shared" ref="R18:AH18" si="3">+P18+Q18</f>
        <v>0</v>
      </c>
      <c r="S18" s="31"/>
      <c r="T18" s="29">
        <f t="shared" si="3"/>
        <v>0</v>
      </c>
      <c r="U18" s="32"/>
      <c r="V18" s="29">
        <f t="shared" si="3"/>
        <v>0</v>
      </c>
      <c r="W18" s="31"/>
      <c r="X18" s="29">
        <f t="shared" si="3"/>
        <v>0</v>
      </c>
      <c r="Y18" s="31"/>
      <c r="Z18" s="29">
        <f t="shared" si="3"/>
        <v>0</v>
      </c>
      <c r="AA18" s="31"/>
      <c r="AB18" s="29">
        <f t="shared" si="3"/>
        <v>0</v>
      </c>
      <c r="AC18" s="31"/>
      <c r="AD18" s="29">
        <f t="shared" si="3"/>
        <v>0</v>
      </c>
      <c r="AE18" s="31"/>
      <c r="AF18" s="29">
        <f t="shared" si="3"/>
        <v>0</v>
      </c>
      <c r="AG18" s="32">
        <v>134223793</v>
      </c>
      <c r="AH18" s="29">
        <f t="shared" si="3"/>
        <v>134223793</v>
      </c>
      <c r="AI18" s="30"/>
      <c r="AJ18" s="79"/>
      <c r="AK18" s="82"/>
      <c r="AL18" s="85"/>
    </row>
    <row r="19" spans="1:38" s="36" customFormat="1" ht="22.9" customHeight="1" thickTop="1" x14ac:dyDescent="0.25">
      <c r="A19" s="206" t="s">
        <v>186</v>
      </c>
      <c r="B19" s="98" t="s">
        <v>56</v>
      </c>
      <c r="C19" s="110" t="s">
        <v>187</v>
      </c>
      <c r="D19" s="110" t="s">
        <v>189</v>
      </c>
      <c r="E19" s="89" t="s">
        <v>57</v>
      </c>
      <c r="F19" s="89" t="s">
        <v>173</v>
      </c>
      <c r="G19" s="89" t="s">
        <v>185</v>
      </c>
      <c r="H19" s="95" t="s">
        <v>195</v>
      </c>
      <c r="I19" s="92">
        <f>K20</f>
        <v>1</v>
      </c>
      <c r="J19" s="86" t="s">
        <v>188</v>
      </c>
      <c r="K19" s="17" t="s">
        <v>38</v>
      </c>
      <c r="L19" s="17" t="s">
        <v>38</v>
      </c>
      <c r="M19" s="17" t="s">
        <v>38</v>
      </c>
      <c r="N19" s="18" t="s">
        <v>38</v>
      </c>
      <c r="O19" s="17" t="s">
        <v>38</v>
      </c>
      <c r="P19" s="18" t="s">
        <v>38</v>
      </c>
      <c r="Q19" s="17" t="s">
        <v>38</v>
      </c>
      <c r="R19" s="18" t="s">
        <v>38</v>
      </c>
      <c r="S19" s="17" t="s">
        <v>38</v>
      </c>
      <c r="T19" s="18" t="s">
        <v>38</v>
      </c>
      <c r="U19" s="17" t="s">
        <v>38</v>
      </c>
      <c r="V19" s="18" t="s">
        <v>38</v>
      </c>
      <c r="W19" s="17" t="s">
        <v>38</v>
      </c>
      <c r="X19" s="18" t="s">
        <v>38</v>
      </c>
      <c r="Y19" s="17" t="s">
        <v>38</v>
      </c>
      <c r="Z19" s="18" t="s">
        <v>38</v>
      </c>
      <c r="AA19" s="17" t="s">
        <v>38</v>
      </c>
      <c r="AB19" s="18" t="s">
        <v>38</v>
      </c>
      <c r="AC19" s="17" t="s">
        <v>38</v>
      </c>
      <c r="AD19" s="18" t="s">
        <v>38</v>
      </c>
      <c r="AE19" s="17" t="s">
        <v>38</v>
      </c>
      <c r="AF19" s="18" t="s">
        <v>38</v>
      </c>
      <c r="AG19" s="17" t="s">
        <v>38</v>
      </c>
      <c r="AH19" s="18" t="s">
        <v>38</v>
      </c>
      <c r="AI19" s="19"/>
      <c r="AJ19" s="209" t="s">
        <v>191</v>
      </c>
      <c r="AK19" s="80"/>
      <c r="AL19" s="83" t="s">
        <v>192</v>
      </c>
    </row>
    <row r="20" spans="1:38" s="36" customFormat="1" ht="22.9" customHeight="1" x14ac:dyDescent="0.25">
      <c r="A20" s="207"/>
      <c r="B20" s="99"/>
      <c r="C20" s="111"/>
      <c r="D20" s="111"/>
      <c r="E20" s="90"/>
      <c r="F20" s="90"/>
      <c r="G20" s="90"/>
      <c r="H20" s="96"/>
      <c r="I20" s="93"/>
      <c r="J20" s="187"/>
      <c r="K20" s="33">
        <f>IF(K22&lt;&gt;0,+K22/K24,0%)</f>
        <v>1</v>
      </c>
      <c r="L20" s="20">
        <f>IF(L22&lt;&gt;0,+L22/L24,0%)</f>
        <v>0</v>
      </c>
      <c r="M20" s="20">
        <f>IF(M22&lt;&gt;0,+M22/M24,0%)</f>
        <v>0</v>
      </c>
      <c r="N20" s="21">
        <f t="shared" ref="N20" si="4">IF(N22&lt;&gt;0,+N22/N24,0%)</f>
        <v>0</v>
      </c>
      <c r="O20" s="20">
        <f>IF(O22&lt;&gt;0,+O22/O24,0%)</f>
        <v>0</v>
      </c>
      <c r="P20" s="38">
        <v>0</v>
      </c>
      <c r="Q20" s="20">
        <f>IF(Q22&lt;&gt;0,+Q22/Q24,0%)</f>
        <v>0</v>
      </c>
      <c r="R20" s="38">
        <v>0</v>
      </c>
      <c r="S20" s="20">
        <f>IF(S22&lt;&gt;0,+S22/S24,0%)</f>
        <v>1</v>
      </c>
      <c r="T20" s="38">
        <v>0</v>
      </c>
      <c r="U20" s="20">
        <f>IF(U22&lt;&gt;0,+U22/U24,0%)</f>
        <v>0</v>
      </c>
      <c r="V20" s="38">
        <v>0</v>
      </c>
      <c r="W20" s="20">
        <f>IF(W22&lt;&gt;0,+W22/W24,0%)</f>
        <v>0</v>
      </c>
      <c r="X20" s="38">
        <v>0</v>
      </c>
      <c r="Y20" s="20">
        <f>IF(Y22&lt;&gt;0,+Y22/Y24,0%)</f>
        <v>1</v>
      </c>
      <c r="Z20" s="38">
        <v>0</v>
      </c>
      <c r="AA20" s="20">
        <f>IF(AA22&lt;&gt;0,+AA22/AA24,0%)</f>
        <v>1</v>
      </c>
      <c r="AB20" s="38">
        <v>0</v>
      </c>
      <c r="AC20" s="20">
        <f>IF(AC22&lt;&gt;0,+AC22/AC24,0%)</f>
        <v>1</v>
      </c>
      <c r="AD20" s="38">
        <v>0</v>
      </c>
      <c r="AE20" s="20">
        <f>IF(AE22&lt;&gt;0,+AE22/AE24,0%)</f>
        <v>1</v>
      </c>
      <c r="AF20" s="38">
        <v>0</v>
      </c>
      <c r="AG20" s="20">
        <f>IF(AG22&lt;&gt;0,+AG22/AG24,0%)</f>
        <v>1</v>
      </c>
      <c r="AH20" s="21">
        <f t="shared" ref="AH20" si="5">IF(AH22&lt;&gt;0,+AH22/AH24,0%)</f>
        <v>1</v>
      </c>
      <c r="AI20" s="22"/>
      <c r="AJ20" s="184"/>
      <c r="AK20" s="81"/>
      <c r="AL20" s="84"/>
    </row>
    <row r="21" spans="1:38" s="36" customFormat="1" ht="22.9" customHeight="1" thickBot="1" x14ac:dyDescent="0.3">
      <c r="A21" s="207"/>
      <c r="B21" s="99"/>
      <c r="C21" s="111"/>
      <c r="D21" s="111"/>
      <c r="E21" s="90"/>
      <c r="F21" s="90"/>
      <c r="G21" s="90"/>
      <c r="H21" s="96"/>
      <c r="I21" s="93"/>
      <c r="J21" s="188"/>
      <c r="K21" s="23" t="s">
        <v>39</v>
      </c>
      <c r="L21" s="23" t="s">
        <v>39</v>
      </c>
      <c r="M21" s="23" t="s">
        <v>39</v>
      </c>
      <c r="N21" s="24" t="s">
        <v>39</v>
      </c>
      <c r="O21" s="23" t="s">
        <v>39</v>
      </c>
      <c r="P21" s="24" t="s">
        <v>39</v>
      </c>
      <c r="Q21" s="23" t="s">
        <v>39</v>
      </c>
      <c r="R21" s="24" t="s">
        <v>39</v>
      </c>
      <c r="S21" s="23" t="s">
        <v>39</v>
      </c>
      <c r="T21" s="24" t="s">
        <v>39</v>
      </c>
      <c r="U21" s="23" t="s">
        <v>39</v>
      </c>
      <c r="V21" s="24" t="s">
        <v>39</v>
      </c>
      <c r="W21" s="23" t="s">
        <v>39</v>
      </c>
      <c r="X21" s="24" t="s">
        <v>39</v>
      </c>
      <c r="Y21" s="23" t="s">
        <v>39</v>
      </c>
      <c r="Z21" s="24" t="s">
        <v>39</v>
      </c>
      <c r="AA21" s="23" t="s">
        <v>39</v>
      </c>
      <c r="AB21" s="24" t="s">
        <v>39</v>
      </c>
      <c r="AC21" s="23" t="s">
        <v>39</v>
      </c>
      <c r="AD21" s="24" t="s">
        <v>39</v>
      </c>
      <c r="AE21" s="23" t="s">
        <v>39</v>
      </c>
      <c r="AF21" s="24" t="s">
        <v>39</v>
      </c>
      <c r="AG21" s="23" t="s">
        <v>39</v>
      </c>
      <c r="AH21" s="24" t="s">
        <v>39</v>
      </c>
      <c r="AI21" s="22"/>
      <c r="AJ21" s="184"/>
      <c r="AK21" s="81"/>
      <c r="AL21" s="84"/>
    </row>
    <row r="22" spans="1:38" s="36" customFormat="1" ht="22.9" customHeight="1" thickTop="1" x14ac:dyDescent="0.25">
      <c r="A22" s="207"/>
      <c r="B22" s="99"/>
      <c r="C22" s="111"/>
      <c r="D22" s="111"/>
      <c r="E22" s="90"/>
      <c r="F22" s="90"/>
      <c r="G22" s="90"/>
      <c r="H22" s="96"/>
      <c r="I22" s="93"/>
      <c r="J22" s="86" t="s">
        <v>190</v>
      </c>
      <c r="K22" s="34">
        <v>24</v>
      </c>
      <c r="L22" s="32">
        <v>0</v>
      </c>
      <c r="M22" s="32">
        <v>0</v>
      </c>
      <c r="N22" s="25">
        <f t="shared" ref="N22" si="6">+L22+M22</f>
        <v>0</v>
      </c>
      <c r="O22" s="32">
        <v>0</v>
      </c>
      <c r="P22" s="25">
        <f t="shared" ref="P22" si="7">+N22+O22</f>
        <v>0</v>
      </c>
      <c r="Q22" s="32"/>
      <c r="R22" s="25">
        <f t="shared" ref="R22" si="8">+P22+Q22</f>
        <v>0</v>
      </c>
      <c r="S22" s="32">
        <v>2</v>
      </c>
      <c r="T22" s="25">
        <f t="shared" ref="T22" si="9">+R22+S22</f>
        <v>2</v>
      </c>
      <c r="U22" s="32">
        <v>0</v>
      </c>
      <c r="V22" s="25">
        <f t="shared" ref="V22" si="10">+T22+U22</f>
        <v>2</v>
      </c>
      <c r="W22" s="32">
        <v>0</v>
      </c>
      <c r="X22" s="25">
        <f t="shared" ref="X22" si="11">+V22+W22</f>
        <v>2</v>
      </c>
      <c r="Y22" s="32">
        <v>2</v>
      </c>
      <c r="Z22" s="25">
        <f t="shared" ref="Z22" si="12">+X22+Y22</f>
        <v>4</v>
      </c>
      <c r="AA22" s="32">
        <v>2</v>
      </c>
      <c r="AB22" s="25">
        <f t="shared" ref="AB22" si="13">+Z22+AA22</f>
        <v>6</v>
      </c>
      <c r="AC22" s="32">
        <v>3</v>
      </c>
      <c r="AD22" s="25">
        <f t="shared" ref="AD22" si="14">+AB22+AC22</f>
        <v>9</v>
      </c>
      <c r="AE22" s="32">
        <v>5</v>
      </c>
      <c r="AF22" s="25">
        <f t="shared" ref="AF22" si="15">+AD22+AE22</f>
        <v>14</v>
      </c>
      <c r="AG22" s="32">
        <v>10</v>
      </c>
      <c r="AH22" s="25">
        <f t="shared" ref="AH22" si="16">+AF22+AG22</f>
        <v>24</v>
      </c>
      <c r="AI22" s="26">
        <f>AH20/K20</f>
        <v>1</v>
      </c>
      <c r="AJ22" s="184"/>
      <c r="AK22" s="81"/>
      <c r="AL22" s="84"/>
    </row>
    <row r="23" spans="1:38" s="36" customFormat="1" ht="22.9" customHeight="1" x14ac:dyDescent="0.25">
      <c r="A23" s="207"/>
      <c r="B23" s="99"/>
      <c r="C23" s="111"/>
      <c r="D23" s="111"/>
      <c r="E23" s="90"/>
      <c r="F23" s="90"/>
      <c r="G23" s="90"/>
      <c r="H23" s="96"/>
      <c r="I23" s="93"/>
      <c r="J23" s="87"/>
      <c r="K23" s="27" t="s">
        <v>40</v>
      </c>
      <c r="L23" s="27" t="s">
        <v>40</v>
      </c>
      <c r="M23" s="27" t="s">
        <v>40</v>
      </c>
      <c r="N23" s="28" t="s">
        <v>40</v>
      </c>
      <c r="O23" s="27" t="s">
        <v>40</v>
      </c>
      <c r="P23" s="28" t="s">
        <v>40</v>
      </c>
      <c r="Q23" s="27" t="s">
        <v>40</v>
      </c>
      <c r="R23" s="28" t="s">
        <v>40</v>
      </c>
      <c r="S23" s="27" t="s">
        <v>40</v>
      </c>
      <c r="T23" s="28" t="s">
        <v>40</v>
      </c>
      <c r="U23" s="27" t="s">
        <v>40</v>
      </c>
      <c r="V23" s="28" t="s">
        <v>40</v>
      </c>
      <c r="W23" s="27" t="s">
        <v>40</v>
      </c>
      <c r="X23" s="28" t="s">
        <v>40</v>
      </c>
      <c r="Y23" s="27" t="s">
        <v>40</v>
      </c>
      <c r="Z23" s="28" t="s">
        <v>40</v>
      </c>
      <c r="AA23" s="27" t="s">
        <v>40</v>
      </c>
      <c r="AB23" s="28" t="s">
        <v>40</v>
      </c>
      <c r="AC23" s="27" t="s">
        <v>40</v>
      </c>
      <c r="AD23" s="28" t="s">
        <v>40</v>
      </c>
      <c r="AE23" s="27" t="s">
        <v>40</v>
      </c>
      <c r="AF23" s="28" t="s">
        <v>40</v>
      </c>
      <c r="AG23" s="27" t="s">
        <v>40</v>
      </c>
      <c r="AH23" s="28" t="s">
        <v>40</v>
      </c>
      <c r="AI23" s="22"/>
      <c r="AJ23" s="184"/>
      <c r="AK23" s="81"/>
      <c r="AL23" s="84"/>
    </row>
    <row r="24" spans="1:38" s="36" customFormat="1" ht="22.9" customHeight="1" thickBot="1" x14ac:dyDescent="0.3">
      <c r="A24" s="208"/>
      <c r="B24" s="100"/>
      <c r="C24" s="112"/>
      <c r="D24" s="112"/>
      <c r="E24" s="91"/>
      <c r="F24" s="91"/>
      <c r="G24" s="91"/>
      <c r="H24" s="97"/>
      <c r="I24" s="94"/>
      <c r="J24" s="88"/>
      <c r="K24" s="35">
        <v>24</v>
      </c>
      <c r="L24" s="31">
        <v>0</v>
      </c>
      <c r="M24" s="31">
        <v>0</v>
      </c>
      <c r="N24" s="29">
        <f>+L24+M24</f>
        <v>0</v>
      </c>
      <c r="O24" s="31">
        <v>0</v>
      </c>
      <c r="P24" s="29">
        <f>+N24+O24</f>
        <v>0</v>
      </c>
      <c r="Q24" s="31"/>
      <c r="R24" s="29">
        <f t="shared" ref="R24" si="17">+P24+Q24</f>
        <v>0</v>
      </c>
      <c r="S24" s="31">
        <v>2</v>
      </c>
      <c r="T24" s="29">
        <f t="shared" ref="T24" si="18">+R24+S24</f>
        <v>2</v>
      </c>
      <c r="U24" s="31">
        <v>0</v>
      </c>
      <c r="V24" s="29">
        <f t="shared" ref="V24" si="19">+T24+U24</f>
        <v>2</v>
      </c>
      <c r="W24" s="31">
        <v>0</v>
      </c>
      <c r="X24" s="29">
        <f t="shared" ref="X24" si="20">+V24+W24</f>
        <v>2</v>
      </c>
      <c r="Y24" s="31">
        <v>2</v>
      </c>
      <c r="Z24" s="29">
        <f t="shared" ref="Z24" si="21">+X24+Y24</f>
        <v>4</v>
      </c>
      <c r="AA24" s="31">
        <v>2</v>
      </c>
      <c r="AB24" s="29">
        <f t="shared" ref="AB24" si="22">+Z24+AA24</f>
        <v>6</v>
      </c>
      <c r="AC24" s="31">
        <v>3</v>
      </c>
      <c r="AD24" s="29">
        <f t="shared" ref="AD24" si="23">+AB24+AC24</f>
        <v>9</v>
      </c>
      <c r="AE24" s="31">
        <v>5</v>
      </c>
      <c r="AF24" s="29">
        <f t="shared" ref="AF24" si="24">+AD24+AE24</f>
        <v>14</v>
      </c>
      <c r="AG24" s="31">
        <v>10</v>
      </c>
      <c r="AH24" s="29">
        <f t="shared" ref="AH24" si="25">+AF24+AG24</f>
        <v>24</v>
      </c>
      <c r="AI24" s="30"/>
      <c r="AJ24" s="185"/>
      <c r="AK24" s="82"/>
      <c r="AL24" s="85"/>
    </row>
    <row r="25" spans="1:38" ht="13" thickTop="1" x14ac:dyDescent="0.25"/>
  </sheetData>
  <mergeCells count="75">
    <mergeCell ref="AJ19:AJ24"/>
    <mergeCell ref="AK19:AK24"/>
    <mergeCell ref="AL19:AL24"/>
    <mergeCell ref="J22:J24"/>
    <mergeCell ref="F19:F24"/>
    <mergeCell ref="G19:G24"/>
    <mergeCell ref="H19:H24"/>
    <mergeCell ref="I19:I24"/>
    <mergeCell ref="J19:J21"/>
    <mergeCell ref="A19:A24"/>
    <mergeCell ref="B19:B24"/>
    <mergeCell ref="C19:C24"/>
    <mergeCell ref="D19:D24"/>
    <mergeCell ref="E19:E24"/>
    <mergeCell ref="AL13:AL18"/>
    <mergeCell ref="J16:J18"/>
    <mergeCell ref="H13:H18"/>
    <mergeCell ref="I13:I18"/>
    <mergeCell ref="J13:J15"/>
    <mergeCell ref="AJ13:AJ18"/>
    <mergeCell ref="AK13:AK18"/>
    <mergeCell ref="F13:F18"/>
    <mergeCell ref="G13:G18"/>
    <mergeCell ref="Z11:Z12"/>
    <mergeCell ref="AA11:AA12"/>
    <mergeCell ref="AB11:AB12"/>
    <mergeCell ref="Y11:Y12"/>
    <mergeCell ref="P11:P12"/>
    <mergeCell ref="Q11:Q12"/>
    <mergeCell ref="V11:V12"/>
    <mergeCell ref="M11:M12"/>
    <mergeCell ref="F11:F12"/>
    <mergeCell ref="G11:G12"/>
    <mergeCell ref="N11:N12"/>
    <mergeCell ref="O11:O12"/>
    <mergeCell ref="R11:R12"/>
    <mergeCell ref="S11:S12"/>
    <mergeCell ref="A13:A18"/>
    <mergeCell ref="B13:B18"/>
    <mergeCell ref="C13:C18"/>
    <mergeCell ref="D13:D18"/>
    <mergeCell ref="E13:E18"/>
    <mergeCell ref="AL11:AL12"/>
    <mergeCell ref="AF11:AF12"/>
    <mergeCell ref="AG11:AG12"/>
    <mergeCell ref="AH11:AH12"/>
    <mergeCell ref="AI11:AI12"/>
    <mergeCell ref="AJ11:AJ12"/>
    <mergeCell ref="AK11:AK12"/>
    <mergeCell ref="AE11:AE12"/>
    <mergeCell ref="AC11:AC12"/>
    <mergeCell ref="AD11:AD12"/>
    <mergeCell ref="W11:W12"/>
    <mergeCell ref="X11:X12"/>
    <mergeCell ref="A11:A12"/>
    <mergeCell ref="B11:B12"/>
    <mergeCell ref="C11:C12"/>
    <mergeCell ref="D11:D12"/>
    <mergeCell ref="E11:E12"/>
    <mergeCell ref="T11:T12"/>
    <mergeCell ref="U11:U12"/>
    <mergeCell ref="B1:D5"/>
    <mergeCell ref="E1:L5"/>
    <mergeCell ref="M1:P1"/>
    <mergeCell ref="M2:P2"/>
    <mergeCell ref="M3:P3"/>
    <mergeCell ref="M5:P5"/>
    <mergeCell ref="B6:D6"/>
    <mergeCell ref="E6:L6"/>
    <mergeCell ref="M6:P6"/>
    <mergeCell ref="H11:H12"/>
    <mergeCell ref="I11:I12"/>
    <mergeCell ref="J11:J12"/>
    <mergeCell ref="K11:K12"/>
    <mergeCell ref="L11:L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69C3-58B8-4344-934B-4A99ED4EFF12}">
  <dimension ref="A1:AM284"/>
  <sheetViews>
    <sheetView topLeftCell="A8" zoomScale="90" zoomScaleNormal="90" workbookViewId="0">
      <pane xSplit="3" ySplit="4" topLeftCell="AA12" activePane="bottomRight" state="frozen"/>
      <selection activeCell="A8" sqref="A8"/>
      <selection pane="topRight" activeCell="D8" sqref="D8"/>
      <selection pane="bottomLeft" activeCell="A12" sqref="A12"/>
      <selection pane="bottomRight" activeCell="F42" sqref="F42:F47"/>
    </sheetView>
  </sheetViews>
  <sheetFormatPr baseColWidth="10" defaultColWidth="11.453125" defaultRowHeight="13" x14ac:dyDescent="0.3"/>
  <cols>
    <col min="1" max="1" width="15.81640625" style="4" customWidth="1"/>
    <col min="2" max="3" width="26.7265625" style="4" customWidth="1"/>
    <col min="4" max="4" width="24.7265625" style="4" customWidth="1"/>
    <col min="5" max="5" width="22.453125" style="4" customWidth="1"/>
    <col min="6" max="6" width="14.54296875" style="4" customWidth="1"/>
    <col min="7" max="7" width="23.453125" style="4" customWidth="1"/>
    <col min="8" max="8" width="18" style="4" customWidth="1"/>
    <col min="9" max="9" width="11.1796875" style="4" customWidth="1"/>
    <col min="10" max="10" width="28.54296875" style="4" customWidth="1"/>
    <col min="11" max="11" width="17" style="4" customWidth="1"/>
    <col min="12" max="12" width="11.1796875" style="4" customWidth="1"/>
    <col min="13" max="13" width="11.7265625" style="3" customWidth="1"/>
    <col min="14" max="34" width="10.7265625" style="3" customWidth="1"/>
    <col min="35" max="35" width="16" style="3" customWidth="1"/>
    <col min="36" max="36" width="44" style="3" customWidth="1"/>
    <col min="37" max="37" width="12.54296875" style="4" customWidth="1"/>
    <col min="38" max="38" width="34.54296875" style="4" customWidth="1"/>
    <col min="39" max="39" width="21.26953125" style="4" customWidth="1"/>
    <col min="40" max="40" width="2.26953125" style="4" customWidth="1"/>
    <col min="41" max="16384" width="11.453125" style="4"/>
  </cols>
  <sheetData>
    <row r="1" spans="1:39" s="13" customFormat="1" ht="12.75" customHeight="1" x14ac:dyDescent="0.35">
      <c r="B1" s="174"/>
      <c r="C1" s="174"/>
      <c r="D1" s="175"/>
      <c r="E1" s="156" t="s">
        <v>0</v>
      </c>
      <c r="F1" s="150"/>
      <c r="G1" s="150"/>
      <c r="H1" s="150"/>
      <c r="I1" s="150"/>
      <c r="J1" s="150"/>
      <c r="K1" s="150"/>
      <c r="L1" s="150"/>
      <c r="M1" s="157"/>
      <c r="N1" s="156" t="s">
        <v>50</v>
      </c>
      <c r="O1" s="151"/>
      <c r="P1" s="151"/>
      <c r="Q1" s="152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9" s="13" customFormat="1" ht="12.75" customHeight="1" x14ac:dyDescent="0.35">
      <c r="B2" s="176"/>
      <c r="C2" s="176"/>
      <c r="D2" s="177"/>
      <c r="E2" s="158"/>
      <c r="F2" s="153"/>
      <c r="G2" s="153"/>
      <c r="H2" s="153"/>
      <c r="I2" s="153"/>
      <c r="J2" s="153"/>
      <c r="K2" s="153"/>
      <c r="L2" s="153"/>
      <c r="M2" s="159"/>
      <c r="N2" s="198" t="s">
        <v>51</v>
      </c>
      <c r="O2" s="163"/>
      <c r="P2" s="163"/>
      <c r="Q2" s="16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9" s="13" customFormat="1" ht="15.75" customHeight="1" x14ac:dyDescent="0.35">
      <c r="B3" s="176"/>
      <c r="C3" s="176"/>
      <c r="D3" s="177"/>
      <c r="E3" s="158"/>
      <c r="F3" s="153"/>
      <c r="G3" s="153"/>
      <c r="H3" s="153"/>
      <c r="I3" s="153"/>
      <c r="J3" s="153"/>
      <c r="K3" s="153"/>
      <c r="L3" s="153"/>
      <c r="M3" s="159"/>
      <c r="N3" s="158"/>
      <c r="O3" s="154"/>
      <c r="P3" s="154"/>
      <c r="Q3" s="155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1:39" s="13" customFormat="1" ht="12.75" customHeight="1" x14ac:dyDescent="0.35">
      <c r="B4" s="176"/>
      <c r="C4" s="176"/>
      <c r="D4" s="177"/>
      <c r="E4" s="158"/>
      <c r="F4" s="153"/>
      <c r="G4" s="153"/>
      <c r="H4" s="153"/>
      <c r="I4" s="153"/>
      <c r="J4" s="153"/>
      <c r="K4" s="153"/>
      <c r="L4" s="153"/>
      <c r="M4" s="159"/>
      <c r="N4" s="39"/>
      <c r="O4" s="15"/>
      <c r="P4" s="15"/>
      <c r="Q4" s="16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9" s="13" customFormat="1" ht="20.25" customHeight="1" x14ac:dyDescent="0.35">
      <c r="B5" s="178"/>
      <c r="C5" s="178"/>
      <c r="D5" s="179"/>
      <c r="E5" s="160"/>
      <c r="F5" s="161"/>
      <c r="G5" s="161"/>
      <c r="H5" s="161"/>
      <c r="I5" s="161"/>
      <c r="J5" s="161"/>
      <c r="K5" s="161"/>
      <c r="L5" s="161"/>
      <c r="M5" s="162"/>
      <c r="N5" s="199" t="s">
        <v>52</v>
      </c>
      <c r="O5" s="166"/>
      <c r="P5" s="166"/>
      <c r="Q5" s="167"/>
      <c r="R5" s="14"/>
      <c r="S5" s="14"/>
      <c r="T5" s="14"/>
      <c r="U5" s="14" t="s">
        <v>31</v>
      </c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9" ht="15.75" customHeight="1" x14ac:dyDescent="0.3">
      <c r="B6" s="200" t="s">
        <v>29</v>
      </c>
      <c r="C6" s="201"/>
      <c r="D6" s="202"/>
      <c r="E6" s="203" t="s">
        <v>34</v>
      </c>
      <c r="F6" s="204"/>
      <c r="G6" s="204"/>
      <c r="H6" s="204"/>
      <c r="I6" s="204"/>
      <c r="J6" s="204"/>
      <c r="K6" s="204"/>
      <c r="L6" s="204"/>
      <c r="M6" s="205"/>
      <c r="N6" s="203" t="s">
        <v>53</v>
      </c>
      <c r="O6" s="204"/>
      <c r="P6" s="204"/>
      <c r="Q6" s="205"/>
    </row>
    <row r="7" spans="1:39" s="13" customFormat="1" ht="16.5" customHeight="1" x14ac:dyDescent="0.35">
      <c r="E7" s="10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9" s="13" customFormat="1" ht="15.5" x14ac:dyDescent="0.35">
      <c r="B8" s="5" t="s">
        <v>178</v>
      </c>
      <c r="C8" s="10"/>
      <c r="D8" s="12"/>
      <c r="E8" s="40"/>
      <c r="L8" s="41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42"/>
      <c r="AA8" s="14"/>
      <c r="AB8" s="14"/>
      <c r="AC8" s="14"/>
      <c r="AD8" s="14"/>
      <c r="AE8" s="42"/>
      <c r="AF8" s="14"/>
      <c r="AG8" s="14"/>
      <c r="AH8" s="14"/>
      <c r="AI8" s="14"/>
      <c r="AJ8" s="42"/>
    </row>
    <row r="9" spans="1:39" s="13" customFormat="1" ht="16" thickBot="1" x14ac:dyDescent="0.4">
      <c r="B9" s="5"/>
      <c r="C9" s="5"/>
      <c r="D9" s="5"/>
      <c r="E9" s="10"/>
      <c r="M9" s="14"/>
      <c r="N9" s="14"/>
      <c r="O9" s="43"/>
      <c r="P9" s="43"/>
      <c r="Q9" s="44"/>
      <c r="R9" s="43"/>
      <c r="S9" s="43"/>
      <c r="T9" s="43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43"/>
      <c r="AI9" s="43"/>
      <c r="AJ9" s="43"/>
      <c r="AK9" s="45"/>
      <c r="AL9" s="45"/>
      <c r="AM9" s="45"/>
    </row>
    <row r="10" spans="1:39" s="2" customFormat="1" ht="22.9" customHeight="1" thickTop="1" x14ac:dyDescent="0.25">
      <c r="A10" s="113" t="s">
        <v>41</v>
      </c>
      <c r="B10" s="113" t="s">
        <v>35</v>
      </c>
      <c r="C10" s="113" t="s">
        <v>1</v>
      </c>
      <c r="D10" s="145" t="s">
        <v>2</v>
      </c>
      <c r="E10" s="130" t="s">
        <v>32</v>
      </c>
      <c r="F10" s="130" t="s">
        <v>36</v>
      </c>
      <c r="G10" s="130" t="s">
        <v>33</v>
      </c>
      <c r="H10" s="130" t="s">
        <v>37</v>
      </c>
      <c r="I10" s="130" t="s">
        <v>144</v>
      </c>
      <c r="J10" s="145" t="s">
        <v>3</v>
      </c>
      <c r="K10" s="145" t="s">
        <v>28</v>
      </c>
      <c r="L10" s="145" t="s">
        <v>4</v>
      </c>
      <c r="M10" s="145" t="s">
        <v>5</v>
      </c>
      <c r="N10" s="113" t="s">
        <v>6</v>
      </c>
      <c r="O10" s="145" t="s">
        <v>7</v>
      </c>
      <c r="P10" s="145" t="s">
        <v>8</v>
      </c>
      <c r="Q10" s="145" t="s">
        <v>9</v>
      </c>
      <c r="R10" s="145" t="s">
        <v>10</v>
      </c>
      <c r="S10" s="145" t="s">
        <v>11</v>
      </c>
      <c r="T10" s="113" t="s">
        <v>12</v>
      </c>
      <c r="U10" s="113" t="s">
        <v>13</v>
      </c>
      <c r="V10" s="145" t="s">
        <v>14</v>
      </c>
      <c r="W10" s="147" t="s">
        <v>15</v>
      </c>
      <c r="X10" s="145" t="s">
        <v>16</v>
      </c>
      <c r="Y10" s="145" t="s">
        <v>17</v>
      </c>
      <c r="Z10" s="145" t="s">
        <v>18</v>
      </c>
      <c r="AA10" s="145" t="s">
        <v>19</v>
      </c>
      <c r="AB10" s="145" t="s">
        <v>20</v>
      </c>
      <c r="AC10" s="145" t="s">
        <v>21</v>
      </c>
      <c r="AD10" s="145" t="s">
        <v>22</v>
      </c>
      <c r="AE10" s="113" t="s">
        <v>23</v>
      </c>
      <c r="AF10" s="145" t="s">
        <v>24</v>
      </c>
      <c r="AG10" s="145" t="s">
        <v>25</v>
      </c>
      <c r="AH10" s="130" t="s">
        <v>145</v>
      </c>
      <c r="AI10" s="145" t="s">
        <v>26</v>
      </c>
      <c r="AJ10" s="145" t="s">
        <v>27</v>
      </c>
      <c r="AK10" s="130" t="s">
        <v>43</v>
      </c>
      <c r="AL10" s="145" t="s">
        <v>42</v>
      </c>
    </row>
    <row r="11" spans="1:39" s="2" customFormat="1" ht="22.9" customHeight="1" thickBot="1" x14ac:dyDescent="0.3">
      <c r="A11" s="114"/>
      <c r="B11" s="114"/>
      <c r="C11" s="114"/>
      <c r="D11" s="149"/>
      <c r="E11" s="131"/>
      <c r="F11" s="131"/>
      <c r="G11" s="131"/>
      <c r="H11" s="131"/>
      <c r="I11" s="131"/>
      <c r="J11" s="149"/>
      <c r="K11" s="165"/>
      <c r="L11" s="149"/>
      <c r="M11" s="149"/>
      <c r="N11" s="114"/>
      <c r="O11" s="149"/>
      <c r="P11" s="149"/>
      <c r="Q11" s="149"/>
      <c r="R11" s="146"/>
      <c r="S11" s="149"/>
      <c r="T11" s="144"/>
      <c r="U11" s="144"/>
      <c r="V11" s="146"/>
      <c r="W11" s="148"/>
      <c r="X11" s="149"/>
      <c r="Y11" s="146"/>
      <c r="Z11" s="146"/>
      <c r="AA11" s="146"/>
      <c r="AB11" s="146"/>
      <c r="AC11" s="146"/>
      <c r="AD11" s="146"/>
      <c r="AE11" s="144"/>
      <c r="AF11" s="146"/>
      <c r="AG11" s="149"/>
      <c r="AH11" s="131"/>
      <c r="AI11" s="149"/>
      <c r="AJ11" s="186"/>
      <c r="AK11" s="131"/>
      <c r="AL11" s="149"/>
    </row>
    <row r="12" spans="1:39" s="36" customFormat="1" ht="22.9" customHeight="1" thickTop="1" x14ac:dyDescent="0.25">
      <c r="A12" s="95" t="s">
        <v>79</v>
      </c>
      <c r="B12" s="98" t="s">
        <v>55</v>
      </c>
      <c r="C12" s="210" t="s">
        <v>67</v>
      </c>
      <c r="D12" s="110" t="s">
        <v>64</v>
      </c>
      <c r="E12" s="89" t="s">
        <v>46</v>
      </c>
      <c r="F12" s="89" t="s">
        <v>173</v>
      </c>
      <c r="G12" s="89" t="s">
        <v>48</v>
      </c>
      <c r="H12" s="89" t="s">
        <v>63</v>
      </c>
      <c r="I12" s="92">
        <f>K13</f>
        <v>0.66666666666666663</v>
      </c>
      <c r="J12" s="86" t="s">
        <v>65</v>
      </c>
      <c r="K12" s="17" t="s">
        <v>38</v>
      </c>
      <c r="L12" s="46" t="s">
        <v>38</v>
      </c>
      <c r="M12" s="46" t="s">
        <v>38</v>
      </c>
      <c r="N12" s="47" t="s">
        <v>38</v>
      </c>
      <c r="O12" s="46" t="s">
        <v>38</v>
      </c>
      <c r="P12" s="47" t="s">
        <v>38</v>
      </c>
      <c r="Q12" s="46" t="s">
        <v>38</v>
      </c>
      <c r="R12" s="47" t="s">
        <v>38</v>
      </c>
      <c r="S12" s="46" t="s">
        <v>38</v>
      </c>
      <c r="T12" s="47" t="s">
        <v>38</v>
      </c>
      <c r="U12" s="46" t="s">
        <v>38</v>
      </c>
      <c r="V12" s="47" t="s">
        <v>38</v>
      </c>
      <c r="W12" s="46" t="s">
        <v>38</v>
      </c>
      <c r="X12" s="47" t="s">
        <v>38</v>
      </c>
      <c r="Y12" s="46" t="s">
        <v>38</v>
      </c>
      <c r="Z12" s="47" t="s">
        <v>38</v>
      </c>
      <c r="AA12" s="46" t="s">
        <v>38</v>
      </c>
      <c r="AB12" s="47" t="s">
        <v>38</v>
      </c>
      <c r="AC12" s="46" t="s">
        <v>38</v>
      </c>
      <c r="AD12" s="47" t="s">
        <v>38</v>
      </c>
      <c r="AE12" s="46" t="s">
        <v>38</v>
      </c>
      <c r="AF12" s="47" t="s">
        <v>38</v>
      </c>
      <c r="AG12" s="46" t="s">
        <v>38</v>
      </c>
      <c r="AH12" s="47" t="s">
        <v>38</v>
      </c>
      <c r="AI12" s="48"/>
      <c r="AJ12" s="77" t="s">
        <v>94</v>
      </c>
      <c r="AK12" s="80"/>
      <c r="AL12" s="83" t="s">
        <v>84</v>
      </c>
    </row>
    <row r="13" spans="1:39" s="36" customFormat="1" ht="22.9" customHeight="1" x14ac:dyDescent="0.25">
      <c r="A13" s="96"/>
      <c r="B13" s="99"/>
      <c r="C13" s="102"/>
      <c r="D13" s="111"/>
      <c r="E13" s="90"/>
      <c r="F13" s="90"/>
      <c r="G13" s="90"/>
      <c r="H13" s="90"/>
      <c r="I13" s="93"/>
      <c r="J13" s="187"/>
      <c r="K13" s="33">
        <f>IF(K15&lt;&gt;0,+K15/K17,0%)</f>
        <v>0.66666666666666663</v>
      </c>
      <c r="L13" s="49">
        <f>IF(L15&lt;&gt;0,+L15/L17,0%)</f>
        <v>0</v>
      </c>
      <c r="M13" s="49">
        <f>IF(M15&lt;&gt;0,+M15/M17,0%)</f>
        <v>0</v>
      </c>
      <c r="N13" s="50">
        <f t="shared" ref="N13" si="0">IF(N15&lt;&gt;0,+N15/N17,0%)</f>
        <v>0</v>
      </c>
      <c r="O13" s="49">
        <f>IF(O15&lt;&gt;0,+O15/O17,0%)</f>
        <v>0</v>
      </c>
      <c r="P13" s="50">
        <f t="shared" ref="P13" si="1">IF(P15&lt;&gt;0,+P15/P17,0%)</f>
        <v>0</v>
      </c>
      <c r="Q13" s="49">
        <f>IF(Q15&lt;&gt;0,+Q15/Q17,0%)</f>
        <v>0.33333333333333331</v>
      </c>
      <c r="R13" s="50">
        <f t="shared" ref="R13" si="2">IF(R15&lt;&gt;0,+R15/R17,0%)</f>
        <v>0.33333333333333331</v>
      </c>
      <c r="S13" s="49">
        <f>IF(S15&lt;&gt;0,+S15/S17,0%)</f>
        <v>0</v>
      </c>
      <c r="T13" s="50">
        <f t="shared" ref="T13" si="3">IF(T15&lt;&gt;0,+T15/T17,0%)</f>
        <v>0.33333333333333331</v>
      </c>
      <c r="U13" s="49">
        <f>IF(U15&lt;&gt;0,+U15/U17,0%)</f>
        <v>0.33333333333333331</v>
      </c>
      <c r="V13" s="50">
        <f t="shared" ref="V13" si="4">IF(V15&lt;&gt;0,+V15/V17,0%)</f>
        <v>0.66666666666666663</v>
      </c>
      <c r="W13" s="49">
        <f>IF(W15&lt;&gt;0,+W15/W17,0%)</f>
        <v>0</v>
      </c>
      <c r="X13" s="50">
        <f t="shared" ref="X13" si="5">IF(X15&lt;&gt;0,+X15/X17,0%)</f>
        <v>0.66666666666666663</v>
      </c>
      <c r="Y13" s="49">
        <f>IF(Y15&lt;&gt;0,+Y15/Y17,0%)</f>
        <v>0</v>
      </c>
      <c r="Z13" s="50">
        <f t="shared" ref="Z13" si="6">IF(Z15&lt;&gt;0,+Z15/Z17,0%)</f>
        <v>0.66666666666666663</v>
      </c>
      <c r="AA13" s="49">
        <f>IF(AA15&lt;&gt;0,+AA15/AA17,0%)</f>
        <v>0</v>
      </c>
      <c r="AB13" s="50">
        <f t="shared" ref="AB13" si="7">IF(AB15&lt;&gt;0,+AB15/AB17,0%)</f>
        <v>0.66666666666666663</v>
      </c>
      <c r="AC13" s="49">
        <f>IF(AC15&lt;&gt;0,+AC15/AC17,0%)</f>
        <v>0</v>
      </c>
      <c r="AD13" s="50">
        <f t="shared" ref="AD13" si="8">IF(AD15&lt;&gt;0,+AD15/AD17,0%)</f>
        <v>0.66666666666666663</v>
      </c>
      <c r="AE13" s="49">
        <f>IF(AE15&lt;&gt;0,+AE15/AE17,0%)</f>
        <v>0</v>
      </c>
      <c r="AF13" s="50">
        <f t="shared" ref="AF13" si="9">IF(AF15&lt;&gt;0,+AF15/AF17,0%)</f>
        <v>0.66666666666666663</v>
      </c>
      <c r="AG13" s="49">
        <f>IF(AG15&lt;&gt;0,+AG15/AG17,0%)</f>
        <v>0</v>
      </c>
      <c r="AH13" s="50">
        <f t="shared" ref="AH13" si="10">IF(AH15&lt;&gt;0,+AH15/AH17,0%)</f>
        <v>0.66666666666666663</v>
      </c>
      <c r="AI13" s="51"/>
      <c r="AJ13" s="78"/>
      <c r="AK13" s="81"/>
      <c r="AL13" s="84"/>
    </row>
    <row r="14" spans="1:39" s="36" customFormat="1" ht="22.9" customHeight="1" thickBot="1" x14ac:dyDescent="0.3">
      <c r="A14" s="96"/>
      <c r="B14" s="99"/>
      <c r="C14" s="102"/>
      <c r="D14" s="111"/>
      <c r="E14" s="90"/>
      <c r="F14" s="90"/>
      <c r="G14" s="90"/>
      <c r="H14" s="90"/>
      <c r="I14" s="93"/>
      <c r="J14" s="188"/>
      <c r="K14" s="23" t="s">
        <v>39</v>
      </c>
      <c r="L14" s="52" t="s">
        <v>39</v>
      </c>
      <c r="M14" s="52" t="s">
        <v>39</v>
      </c>
      <c r="N14" s="53" t="s">
        <v>39</v>
      </c>
      <c r="O14" s="52" t="s">
        <v>39</v>
      </c>
      <c r="P14" s="53" t="s">
        <v>39</v>
      </c>
      <c r="Q14" s="52" t="s">
        <v>39</v>
      </c>
      <c r="R14" s="53" t="s">
        <v>39</v>
      </c>
      <c r="S14" s="52" t="s">
        <v>39</v>
      </c>
      <c r="T14" s="53" t="s">
        <v>39</v>
      </c>
      <c r="U14" s="52" t="s">
        <v>39</v>
      </c>
      <c r="V14" s="53" t="s">
        <v>39</v>
      </c>
      <c r="W14" s="52" t="s">
        <v>39</v>
      </c>
      <c r="X14" s="53" t="s">
        <v>39</v>
      </c>
      <c r="Y14" s="52" t="s">
        <v>39</v>
      </c>
      <c r="Z14" s="53" t="s">
        <v>39</v>
      </c>
      <c r="AA14" s="52" t="s">
        <v>39</v>
      </c>
      <c r="AB14" s="53" t="s">
        <v>39</v>
      </c>
      <c r="AC14" s="52" t="s">
        <v>39</v>
      </c>
      <c r="AD14" s="53" t="s">
        <v>39</v>
      </c>
      <c r="AE14" s="52" t="s">
        <v>39</v>
      </c>
      <c r="AF14" s="53" t="s">
        <v>39</v>
      </c>
      <c r="AG14" s="52" t="s">
        <v>39</v>
      </c>
      <c r="AH14" s="53" t="s">
        <v>39</v>
      </c>
      <c r="AI14" s="51"/>
      <c r="AJ14" s="78"/>
      <c r="AK14" s="81"/>
      <c r="AL14" s="84"/>
    </row>
    <row r="15" spans="1:39" s="36" customFormat="1" ht="22.9" customHeight="1" thickTop="1" x14ac:dyDescent="0.25">
      <c r="A15" s="96"/>
      <c r="B15" s="99"/>
      <c r="C15" s="102"/>
      <c r="D15" s="111"/>
      <c r="E15" s="90"/>
      <c r="F15" s="90"/>
      <c r="G15" s="90"/>
      <c r="H15" s="90"/>
      <c r="I15" s="93"/>
      <c r="J15" s="86" t="s">
        <v>66</v>
      </c>
      <c r="K15" s="34">
        <v>2</v>
      </c>
      <c r="L15" s="54"/>
      <c r="M15" s="54"/>
      <c r="N15" s="55">
        <f>+L15+M15</f>
        <v>0</v>
      </c>
      <c r="O15" s="54"/>
      <c r="P15" s="55">
        <f t="shared" ref="P15" si="11">+N15+O15</f>
        <v>0</v>
      </c>
      <c r="Q15" s="54">
        <v>1</v>
      </c>
      <c r="R15" s="55">
        <f t="shared" ref="R15" si="12">+P15+Q15</f>
        <v>1</v>
      </c>
      <c r="S15" s="54"/>
      <c r="T15" s="55">
        <f t="shared" ref="T15" si="13">+R15+S15</f>
        <v>1</v>
      </c>
      <c r="U15" s="54">
        <v>1</v>
      </c>
      <c r="V15" s="55">
        <f t="shared" ref="V15" si="14">+T15+U15</f>
        <v>2</v>
      </c>
      <c r="W15" s="54"/>
      <c r="X15" s="55">
        <f t="shared" ref="X15" si="15">+V15+W15</f>
        <v>2</v>
      </c>
      <c r="Y15" s="54"/>
      <c r="Z15" s="55">
        <f t="shared" ref="Z15" si="16">+X15+Y15</f>
        <v>2</v>
      </c>
      <c r="AA15" s="54">
        <v>0</v>
      </c>
      <c r="AB15" s="55">
        <f t="shared" ref="AB15" si="17">+Z15+AA15</f>
        <v>2</v>
      </c>
      <c r="AC15" s="54"/>
      <c r="AD15" s="55">
        <f t="shared" ref="AD15" si="18">+AB15+AC15</f>
        <v>2</v>
      </c>
      <c r="AE15" s="54"/>
      <c r="AF15" s="55">
        <f t="shared" ref="AF15" si="19">+AD15+AE15</f>
        <v>2</v>
      </c>
      <c r="AG15" s="54"/>
      <c r="AH15" s="55">
        <f t="shared" ref="AH15" si="20">+AF15+AG15</f>
        <v>2</v>
      </c>
      <c r="AI15" s="56">
        <f>AH13/K13</f>
        <v>1</v>
      </c>
      <c r="AJ15" s="78"/>
      <c r="AK15" s="81"/>
      <c r="AL15" s="84"/>
    </row>
    <row r="16" spans="1:39" s="36" customFormat="1" ht="22.9" customHeight="1" x14ac:dyDescent="0.25">
      <c r="A16" s="96"/>
      <c r="B16" s="99"/>
      <c r="C16" s="102"/>
      <c r="D16" s="111"/>
      <c r="E16" s="90"/>
      <c r="F16" s="90"/>
      <c r="G16" s="90"/>
      <c r="H16" s="90"/>
      <c r="I16" s="93"/>
      <c r="J16" s="87"/>
      <c r="K16" s="27" t="s">
        <v>40</v>
      </c>
      <c r="L16" s="57" t="s">
        <v>40</v>
      </c>
      <c r="M16" s="57" t="s">
        <v>40</v>
      </c>
      <c r="N16" s="58" t="s">
        <v>40</v>
      </c>
      <c r="O16" s="57" t="s">
        <v>40</v>
      </c>
      <c r="P16" s="58" t="s">
        <v>40</v>
      </c>
      <c r="Q16" s="57" t="s">
        <v>40</v>
      </c>
      <c r="R16" s="58" t="s">
        <v>40</v>
      </c>
      <c r="S16" s="57" t="s">
        <v>40</v>
      </c>
      <c r="T16" s="58" t="s">
        <v>40</v>
      </c>
      <c r="U16" s="57" t="s">
        <v>40</v>
      </c>
      <c r="V16" s="58" t="s">
        <v>40</v>
      </c>
      <c r="W16" s="57" t="s">
        <v>40</v>
      </c>
      <c r="X16" s="58" t="s">
        <v>40</v>
      </c>
      <c r="Y16" s="57" t="s">
        <v>40</v>
      </c>
      <c r="Z16" s="58" t="s">
        <v>40</v>
      </c>
      <c r="AA16" s="57" t="s">
        <v>40</v>
      </c>
      <c r="AB16" s="58" t="s">
        <v>40</v>
      </c>
      <c r="AC16" s="57" t="s">
        <v>40</v>
      </c>
      <c r="AD16" s="58" t="s">
        <v>40</v>
      </c>
      <c r="AE16" s="57" t="s">
        <v>40</v>
      </c>
      <c r="AF16" s="58" t="s">
        <v>40</v>
      </c>
      <c r="AG16" s="57" t="s">
        <v>40</v>
      </c>
      <c r="AH16" s="58" t="s">
        <v>40</v>
      </c>
      <c r="AI16" s="51"/>
      <c r="AJ16" s="78"/>
      <c r="AK16" s="81"/>
      <c r="AL16" s="84"/>
    </row>
    <row r="17" spans="1:38" s="36" customFormat="1" ht="22.9" customHeight="1" thickBot="1" x14ac:dyDescent="0.3">
      <c r="A17" s="97"/>
      <c r="B17" s="100"/>
      <c r="C17" s="103"/>
      <c r="D17" s="112"/>
      <c r="E17" s="91"/>
      <c r="F17" s="91"/>
      <c r="G17" s="91"/>
      <c r="H17" s="91"/>
      <c r="I17" s="94"/>
      <c r="J17" s="88"/>
      <c r="K17" s="35">
        <v>3</v>
      </c>
      <c r="L17" s="59">
        <v>3</v>
      </c>
      <c r="M17" s="59">
        <v>3</v>
      </c>
      <c r="N17" s="60">
        <v>3</v>
      </c>
      <c r="O17" s="59">
        <v>3</v>
      </c>
      <c r="P17" s="60">
        <v>3</v>
      </c>
      <c r="Q17" s="59">
        <v>3</v>
      </c>
      <c r="R17" s="60">
        <v>3</v>
      </c>
      <c r="S17" s="59">
        <v>3</v>
      </c>
      <c r="T17" s="60">
        <v>3</v>
      </c>
      <c r="U17" s="59">
        <v>3</v>
      </c>
      <c r="V17" s="60">
        <v>3</v>
      </c>
      <c r="W17" s="59">
        <v>3</v>
      </c>
      <c r="X17" s="60">
        <v>3</v>
      </c>
      <c r="Y17" s="59">
        <v>3</v>
      </c>
      <c r="Z17" s="60">
        <v>3</v>
      </c>
      <c r="AA17" s="59">
        <v>3</v>
      </c>
      <c r="AB17" s="60">
        <v>3</v>
      </c>
      <c r="AC17" s="59">
        <v>3</v>
      </c>
      <c r="AD17" s="60">
        <v>3</v>
      </c>
      <c r="AE17" s="59">
        <v>3</v>
      </c>
      <c r="AF17" s="60">
        <v>3</v>
      </c>
      <c r="AG17" s="59">
        <v>3</v>
      </c>
      <c r="AH17" s="29">
        <v>3</v>
      </c>
      <c r="AI17" s="61"/>
      <c r="AJ17" s="79"/>
      <c r="AK17" s="82"/>
      <c r="AL17" s="85"/>
    </row>
    <row r="18" spans="1:38" s="36" customFormat="1" ht="22.9" customHeight="1" thickTop="1" x14ac:dyDescent="0.25">
      <c r="A18" s="95" t="s">
        <v>78</v>
      </c>
      <c r="B18" s="98" t="s">
        <v>55</v>
      </c>
      <c r="C18" s="107" t="s">
        <v>68</v>
      </c>
      <c r="D18" s="110" t="s">
        <v>64</v>
      </c>
      <c r="E18" s="89" t="s">
        <v>46</v>
      </c>
      <c r="F18" s="89" t="s">
        <v>173</v>
      </c>
      <c r="G18" s="89" t="s">
        <v>48</v>
      </c>
      <c r="H18" s="89" t="s">
        <v>63</v>
      </c>
      <c r="I18" s="92">
        <f>K19</f>
        <v>0.66666666666666663</v>
      </c>
      <c r="J18" s="86" t="s">
        <v>65</v>
      </c>
      <c r="K18" s="17" t="s">
        <v>38</v>
      </c>
      <c r="L18" s="46" t="s">
        <v>38</v>
      </c>
      <c r="M18" s="46" t="s">
        <v>38</v>
      </c>
      <c r="N18" s="47" t="s">
        <v>38</v>
      </c>
      <c r="O18" s="46" t="s">
        <v>38</v>
      </c>
      <c r="P18" s="47" t="s">
        <v>38</v>
      </c>
      <c r="Q18" s="46" t="s">
        <v>38</v>
      </c>
      <c r="R18" s="47" t="s">
        <v>38</v>
      </c>
      <c r="S18" s="46" t="s">
        <v>38</v>
      </c>
      <c r="T18" s="47" t="s">
        <v>38</v>
      </c>
      <c r="U18" s="46" t="s">
        <v>38</v>
      </c>
      <c r="V18" s="47" t="s">
        <v>38</v>
      </c>
      <c r="W18" s="46" t="s">
        <v>38</v>
      </c>
      <c r="X18" s="47" t="s">
        <v>38</v>
      </c>
      <c r="Y18" s="46" t="s">
        <v>38</v>
      </c>
      <c r="Z18" s="47" t="s">
        <v>38</v>
      </c>
      <c r="AA18" s="46" t="s">
        <v>38</v>
      </c>
      <c r="AB18" s="47" t="s">
        <v>38</v>
      </c>
      <c r="AC18" s="46" t="s">
        <v>38</v>
      </c>
      <c r="AD18" s="47" t="s">
        <v>38</v>
      </c>
      <c r="AE18" s="46" t="s">
        <v>38</v>
      </c>
      <c r="AF18" s="47" t="s">
        <v>38</v>
      </c>
      <c r="AG18" s="46" t="s">
        <v>38</v>
      </c>
      <c r="AH18" s="47" t="s">
        <v>38</v>
      </c>
      <c r="AI18" s="48"/>
      <c r="AJ18" s="77" t="s">
        <v>94</v>
      </c>
      <c r="AK18" s="80"/>
      <c r="AL18" s="83" t="s">
        <v>84</v>
      </c>
    </row>
    <row r="19" spans="1:38" s="36" customFormat="1" ht="22.9" customHeight="1" x14ac:dyDescent="0.25">
      <c r="A19" s="96"/>
      <c r="B19" s="99"/>
      <c r="C19" s="108"/>
      <c r="D19" s="111"/>
      <c r="E19" s="90"/>
      <c r="F19" s="90"/>
      <c r="G19" s="90"/>
      <c r="H19" s="90"/>
      <c r="I19" s="93"/>
      <c r="J19" s="187"/>
      <c r="K19" s="33">
        <f>IF(K21&lt;&gt;0,+K21/K23,0%)</f>
        <v>0.66666666666666663</v>
      </c>
      <c r="L19" s="49">
        <f>IF(L21&lt;&gt;0,+L21/L23,0%)</f>
        <v>0</v>
      </c>
      <c r="M19" s="49">
        <f>IF(M21&lt;&gt;0,+M21/M23,0%)</f>
        <v>0</v>
      </c>
      <c r="N19" s="50">
        <f t="shared" ref="N19" si="21">IF(N21&lt;&gt;0,+N21/N23,0%)</f>
        <v>0</v>
      </c>
      <c r="O19" s="49">
        <f>IF(O21&lt;&gt;0,+O21/O23,0%)</f>
        <v>0</v>
      </c>
      <c r="P19" s="50">
        <f t="shared" ref="P19" si="22">IF(P21&lt;&gt;0,+P21/P23,0%)</f>
        <v>0</v>
      </c>
      <c r="Q19" s="49">
        <f>IF(Q21&lt;&gt;0,+Q21/Q23,0%)</f>
        <v>0.33333333333333331</v>
      </c>
      <c r="R19" s="50">
        <f t="shared" ref="R19" si="23">IF(R21&lt;&gt;0,+R21/R23,0%)</f>
        <v>0.33333333333333331</v>
      </c>
      <c r="S19" s="49">
        <f>IF(S21&lt;&gt;0,+S21/S23,0%)</f>
        <v>0</v>
      </c>
      <c r="T19" s="50">
        <f t="shared" ref="T19" si="24">IF(T21&lt;&gt;0,+T21/T23,0%)</f>
        <v>0.33333333333333331</v>
      </c>
      <c r="U19" s="49">
        <f>IF(U21&lt;&gt;0,+U21/U23,0%)</f>
        <v>0.33333333333333331</v>
      </c>
      <c r="V19" s="50">
        <f t="shared" ref="V19" si="25">IF(V21&lt;&gt;0,+V21/V23,0%)</f>
        <v>0.66666666666666663</v>
      </c>
      <c r="W19" s="49">
        <f>IF(W21&lt;&gt;0,+W21/W23,0%)</f>
        <v>0</v>
      </c>
      <c r="X19" s="50">
        <f t="shared" ref="X19" si="26">IF(X21&lt;&gt;0,+X21/X23,0%)</f>
        <v>0.66666666666666663</v>
      </c>
      <c r="Y19" s="49">
        <f>IF(Y21&lt;&gt;0,+Y21/Y23,0%)</f>
        <v>0</v>
      </c>
      <c r="Z19" s="50">
        <f t="shared" ref="Z19" si="27">IF(Z21&lt;&gt;0,+Z21/Z23,0%)</f>
        <v>0.66666666666666663</v>
      </c>
      <c r="AA19" s="49">
        <f>IF(AA21&lt;&gt;0,+AA21/AA23,0%)</f>
        <v>0</v>
      </c>
      <c r="AB19" s="50">
        <f t="shared" ref="AB19" si="28">IF(AB21&lt;&gt;0,+AB21/AB23,0%)</f>
        <v>0.66666666666666663</v>
      </c>
      <c r="AC19" s="49">
        <f>IF(AC21&lt;&gt;0,+AC21/AC23,0%)</f>
        <v>0</v>
      </c>
      <c r="AD19" s="50">
        <f t="shared" ref="AD19" si="29">IF(AD21&lt;&gt;0,+AD21/AD23,0%)</f>
        <v>0.66666666666666663</v>
      </c>
      <c r="AE19" s="49">
        <f>IF(AE21&lt;&gt;0,+AE21/AE23,0%)</f>
        <v>0</v>
      </c>
      <c r="AF19" s="50">
        <f t="shared" ref="AF19" si="30">IF(AF21&lt;&gt;0,+AF21/AF23,0%)</f>
        <v>0.66666666666666663</v>
      </c>
      <c r="AG19" s="49">
        <f>IF(AG21&lt;&gt;0,+AG21/AG23,0%)</f>
        <v>0</v>
      </c>
      <c r="AH19" s="50">
        <f t="shared" ref="AH19" si="31">IF(AH21&lt;&gt;0,+AH21/AH23,0%)</f>
        <v>0.66666666666666663</v>
      </c>
      <c r="AI19" s="51"/>
      <c r="AJ19" s="78"/>
      <c r="AK19" s="81"/>
      <c r="AL19" s="84"/>
    </row>
    <row r="20" spans="1:38" s="36" customFormat="1" ht="22.9" customHeight="1" thickBot="1" x14ac:dyDescent="0.3">
      <c r="A20" s="96"/>
      <c r="B20" s="99"/>
      <c r="C20" s="108"/>
      <c r="D20" s="111"/>
      <c r="E20" s="90"/>
      <c r="F20" s="90"/>
      <c r="G20" s="90"/>
      <c r="H20" s="90"/>
      <c r="I20" s="93"/>
      <c r="J20" s="188"/>
      <c r="K20" s="23" t="s">
        <v>39</v>
      </c>
      <c r="L20" s="52" t="s">
        <v>39</v>
      </c>
      <c r="M20" s="52" t="s">
        <v>39</v>
      </c>
      <c r="N20" s="53" t="s">
        <v>39</v>
      </c>
      <c r="O20" s="52" t="s">
        <v>39</v>
      </c>
      <c r="P20" s="53" t="s">
        <v>39</v>
      </c>
      <c r="Q20" s="52" t="s">
        <v>39</v>
      </c>
      <c r="R20" s="53" t="s">
        <v>39</v>
      </c>
      <c r="S20" s="52" t="s">
        <v>39</v>
      </c>
      <c r="T20" s="53" t="s">
        <v>39</v>
      </c>
      <c r="U20" s="52" t="s">
        <v>39</v>
      </c>
      <c r="V20" s="53" t="s">
        <v>39</v>
      </c>
      <c r="W20" s="52" t="s">
        <v>39</v>
      </c>
      <c r="X20" s="53" t="s">
        <v>39</v>
      </c>
      <c r="Y20" s="52" t="s">
        <v>39</v>
      </c>
      <c r="Z20" s="53" t="s">
        <v>39</v>
      </c>
      <c r="AA20" s="52" t="s">
        <v>39</v>
      </c>
      <c r="AB20" s="53" t="s">
        <v>39</v>
      </c>
      <c r="AC20" s="52" t="s">
        <v>39</v>
      </c>
      <c r="AD20" s="53" t="s">
        <v>39</v>
      </c>
      <c r="AE20" s="52" t="s">
        <v>39</v>
      </c>
      <c r="AF20" s="53" t="s">
        <v>39</v>
      </c>
      <c r="AG20" s="52" t="s">
        <v>39</v>
      </c>
      <c r="AH20" s="53" t="s">
        <v>39</v>
      </c>
      <c r="AI20" s="51"/>
      <c r="AJ20" s="78"/>
      <c r="AK20" s="81"/>
      <c r="AL20" s="84"/>
    </row>
    <row r="21" spans="1:38" s="36" customFormat="1" ht="22.9" customHeight="1" thickTop="1" x14ac:dyDescent="0.25">
      <c r="A21" s="96"/>
      <c r="B21" s="99"/>
      <c r="C21" s="108"/>
      <c r="D21" s="111"/>
      <c r="E21" s="90"/>
      <c r="F21" s="90"/>
      <c r="G21" s="90"/>
      <c r="H21" s="90"/>
      <c r="I21" s="93"/>
      <c r="J21" s="86" t="s">
        <v>66</v>
      </c>
      <c r="K21" s="34">
        <v>2</v>
      </c>
      <c r="L21" s="54"/>
      <c r="M21" s="54"/>
      <c r="N21" s="55">
        <f>+L21+M21</f>
        <v>0</v>
      </c>
      <c r="O21" s="54"/>
      <c r="P21" s="55">
        <f t="shared" ref="P21" si="32">+N21+O21</f>
        <v>0</v>
      </c>
      <c r="Q21" s="54">
        <v>1</v>
      </c>
      <c r="R21" s="55">
        <f t="shared" ref="R21" si="33">+P21+Q21</f>
        <v>1</v>
      </c>
      <c r="S21" s="54"/>
      <c r="T21" s="55">
        <f t="shared" ref="T21" si="34">+R21+S21</f>
        <v>1</v>
      </c>
      <c r="U21" s="54">
        <v>1</v>
      </c>
      <c r="V21" s="55">
        <f t="shared" ref="V21" si="35">+T21+U21</f>
        <v>2</v>
      </c>
      <c r="W21" s="54"/>
      <c r="X21" s="55">
        <f t="shared" ref="X21" si="36">+V21+W21</f>
        <v>2</v>
      </c>
      <c r="Y21" s="54"/>
      <c r="Z21" s="55">
        <f t="shared" ref="Z21" si="37">+X21+Y21</f>
        <v>2</v>
      </c>
      <c r="AA21" s="54">
        <v>0</v>
      </c>
      <c r="AB21" s="55">
        <f t="shared" ref="AB21" si="38">+Z21+AA21</f>
        <v>2</v>
      </c>
      <c r="AC21" s="54"/>
      <c r="AD21" s="55">
        <f t="shared" ref="AD21" si="39">+AB21+AC21</f>
        <v>2</v>
      </c>
      <c r="AE21" s="54"/>
      <c r="AF21" s="55">
        <f t="shared" ref="AF21" si="40">+AD21+AE21</f>
        <v>2</v>
      </c>
      <c r="AG21" s="54"/>
      <c r="AH21" s="55">
        <f t="shared" ref="AH21" si="41">+AF21+AG21</f>
        <v>2</v>
      </c>
      <c r="AI21" s="56">
        <f>AH19/K19</f>
        <v>1</v>
      </c>
      <c r="AJ21" s="78"/>
      <c r="AK21" s="81"/>
      <c r="AL21" s="84"/>
    </row>
    <row r="22" spans="1:38" s="36" customFormat="1" ht="22.9" customHeight="1" x14ac:dyDescent="0.25">
      <c r="A22" s="96"/>
      <c r="B22" s="99"/>
      <c r="C22" s="108"/>
      <c r="D22" s="111"/>
      <c r="E22" s="90"/>
      <c r="F22" s="90"/>
      <c r="G22" s="90"/>
      <c r="H22" s="90"/>
      <c r="I22" s="93"/>
      <c r="J22" s="87"/>
      <c r="K22" s="27" t="s">
        <v>40</v>
      </c>
      <c r="L22" s="57" t="s">
        <v>40</v>
      </c>
      <c r="M22" s="57" t="s">
        <v>40</v>
      </c>
      <c r="N22" s="58" t="s">
        <v>40</v>
      </c>
      <c r="O22" s="57" t="s">
        <v>40</v>
      </c>
      <c r="P22" s="58" t="s">
        <v>40</v>
      </c>
      <c r="Q22" s="57" t="s">
        <v>40</v>
      </c>
      <c r="R22" s="58" t="s">
        <v>40</v>
      </c>
      <c r="S22" s="57" t="s">
        <v>40</v>
      </c>
      <c r="T22" s="58" t="s">
        <v>40</v>
      </c>
      <c r="U22" s="57" t="s">
        <v>40</v>
      </c>
      <c r="V22" s="58" t="s">
        <v>40</v>
      </c>
      <c r="W22" s="57" t="s">
        <v>40</v>
      </c>
      <c r="X22" s="58" t="s">
        <v>40</v>
      </c>
      <c r="Y22" s="57" t="s">
        <v>40</v>
      </c>
      <c r="Z22" s="58" t="s">
        <v>40</v>
      </c>
      <c r="AA22" s="57" t="s">
        <v>40</v>
      </c>
      <c r="AB22" s="58" t="s">
        <v>40</v>
      </c>
      <c r="AC22" s="57" t="s">
        <v>40</v>
      </c>
      <c r="AD22" s="58" t="s">
        <v>40</v>
      </c>
      <c r="AE22" s="57" t="s">
        <v>40</v>
      </c>
      <c r="AF22" s="58" t="s">
        <v>40</v>
      </c>
      <c r="AG22" s="57" t="s">
        <v>40</v>
      </c>
      <c r="AH22" s="58" t="s">
        <v>40</v>
      </c>
      <c r="AI22" s="51"/>
      <c r="AJ22" s="78"/>
      <c r="AK22" s="81"/>
      <c r="AL22" s="84"/>
    </row>
    <row r="23" spans="1:38" s="36" customFormat="1" ht="22.9" customHeight="1" thickBot="1" x14ac:dyDescent="0.3">
      <c r="A23" s="97"/>
      <c r="B23" s="100"/>
      <c r="C23" s="109"/>
      <c r="D23" s="112"/>
      <c r="E23" s="91"/>
      <c r="F23" s="91"/>
      <c r="G23" s="91"/>
      <c r="H23" s="91"/>
      <c r="I23" s="94"/>
      <c r="J23" s="88"/>
      <c r="K23" s="35">
        <v>3</v>
      </c>
      <c r="L23" s="59">
        <v>3</v>
      </c>
      <c r="M23" s="59">
        <v>3</v>
      </c>
      <c r="N23" s="60">
        <v>3</v>
      </c>
      <c r="O23" s="59">
        <v>3</v>
      </c>
      <c r="P23" s="60">
        <v>3</v>
      </c>
      <c r="Q23" s="59">
        <v>3</v>
      </c>
      <c r="R23" s="60">
        <v>3</v>
      </c>
      <c r="S23" s="59">
        <v>3</v>
      </c>
      <c r="T23" s="60">
        <v>3</v>
      </c>
      <c r="U23" s="59">
        <v>3</v>
      </c>
      <c r="V23" s="60">
        <v>3</v>
      </c>
      <c r="W23" s="59">
        <v>3</v>
      </c>
      <c r="X23" s="60">
        <v>3</v>
      </c>
      <c r="Y23" s="59">
        <v>3</v>
      </c>
      <c r="Z23" s="60">
        <v>3</v>
      </c>
      <c r="AA23" s="59">
        <v>3</v>
      </c>
      <c r="AB23" s="60">
        <v>3</v>
      </c>
      <c r="AC23" s="59">
        <v>3</v>
      </c>
      <c r="AD23" s="60">
        <v>3</v>
      </c>
      <c r="AE23" s="59">
        <v>3</v>
      </c>
      <c r="AF23" s="60">
        <v>3</v>
      </c>
      <c r="AG23" s="59">
        <v>3</v>
      </c>
      <c r="AH23" s="29">
        <v>3</v>
      </c>
      <c r="AI23" s="61"/>
      <c r="AJ23" s="79"/>
      <c r="AK23" s="82"/>
      <c r="AL23" s="85"/>
    </row>
    <row r="24" spans="1:38" s="7" customFormat="1" ht="22.9" customHeight="1" thickTop="1" x14ac:dyDescent="0.25">
      <c r="A24" s="95" t="s">
        <v>80</v>
      </c>
      <c r="B24" s="98" t="s">
        <v>55</v>
      </c>
      <c r="C24" s="211" t="s">
        <v>69</v>
      </c>
      <c r="D24" s="110" t="s">
        <v>64</v>
      </c>
      <c r="E24" s="89" t="s">
        <v>46</v>
      </c>
      <c r="F24" s="89" t="s">
        <v>173</v>
      </c>
      <c r="G24" s="89" t="s">
        <v>48</v>
      </c>
      <c r="H24" s="89" t="s">
        <v>63</v>
      </c>
      <c r="I24" s="92">
        <f>K25</f>
        <v>0.66666666666666663</v>
      </c>
      <c r="J24" s="86" t="s">
        <v>65</v>
      </c>
      <c r="K24" s="17" t="s">
        <v>38</v>
      </c>
      <c r="L24" s="46" t="s">
        <v>38</v>
      </c>
      <c r="M24" s="46" t="s">
        <v>38</v>
      </c>
      <c r="N24" s="47" t="s">
        <v>38</v>
      </c>
      <c r="O24" s="46" t="s">
        <v>38</v>
      </c>
      <c r="P24" s="47" t="s">
        <v>38</v>
      </c>
      <c r="Q24" s="46" t="s">
        <v>38</v>
      </c>
      <c r="R24" s="47" t="s">
        <v>38</v>
      </c>
      <c r="S24" s="46" t="s">
        <v>38</v>
      </c>
      <c r="T24" s="47" t="s">
        <v>38</v>
      </c>
      <c r="U24" s="46" t="s">
        <v>38</v>
      </c>
      <c r="V24" s="47" t="s">
        <v>38</v>
      </c>
      <c r="W24" s="46" t="s">
        <v>38</v>
      </c>
      <c r="X24" s="47" t="s">
        <v>38</v>
      </c>
      <c r="Y24" s="46" t="s">
        <v>38</v>
      </c>
      <c r="Z24" s="47" t="s">
        <v>38</v>
      </c>
      <c r="AA24" s="46" t="s">
        <v>38</v>
      </c>
      <c r="AB24" s="47" t="s">
        <v>38</v>
      </c>
      <c r="AC24" s="46" t="s">
        <v>38</v>
      </c>
      <c r="AD24" s="47" t="s">
        <v>38</v>
      </c>
      <c r="AE24" s="46" t="s">
        <v>38</v>
      </c>
      <c r="AF24" s="47" t="s">
        <v>38</v>
      </c>
      <c r="AG24" s="46" t="s">
        <v>38</v>
      </c>
      <c r="AH24" s="47" t="s">
        <v>38</v>
      </c>
      <c r="AI24" s="48"/>
      <c r="AJ24" s="77" t="s">
        <v>94</v>
      </c>
      <c r="AK24" s="77"/>
      <c r="AL24" s="83" t="s">
        <v>84</v>
      </c>
    </row>
    <row r="25" spans="1:38" s="7" customFormat="1" ht="22.9" customHeight="1" x14ac:dyDescent="0.25">
      <c r="A25" s="96"/>
      <c r="B25" s="99"/>
      <c r="C25" s="212"/>
      <c r="D25" s="111"/>
      <c r="E25" s="90"/>
      <c r="F25" s="90"/>
      <c r="G25" s="90"/>
      <c r="H25" s="90"/>
      <c r="I25" s="93"/>
      <c r="J25" s="187"/>
      <c r="K25" s="33">
        <f>IF(K27&lt;&gt;0,+K27/K29,0%)</f>
        <v>0.66666666666666663</v>
      </c>
      <c r="L25" s="49">
        <f>IF(L27&lt;&gt;0,+L27/L29,0%)</f>
        <v>0</v>
      </c>
      <c r="M25" s="49">
        <f>IF(M27&lt;&gt;0,+M27/M29,0%)</f>
        <v>0</v>
      </c>
      <c r="N25" s="50">
        <f t="shared" ref="N25" si="42">IF(N27&lt;&gt;0,+N27/N29,0%)</f>
        <v>0</v>
      </c>
      <c r="O25" s="49">
        <f>IF(O27&lt;&gt;0,+O27/O29,0%)</f>
        <v>0</v>
      </c>
      <c r="P25" s="50">
        <f t="shared" ref="P25" si="43">IF(P27&lt;&gt;0,+P27/P29,0%)</f>
        <v>0</v>
      </c>
      <c r="Q25" s="49">
        <f>IF(Q27&lt;&gt;0,+Q27/Q29,0%)</f>
        <v>0.33333333333333331</v>
      </c>
      <c r="R25" s="50">
        <f t="shared" ref="R25" si="44">IF(R27&lt;&gt;0,+R27/R29,0%)</f>
        <v>0.33333333333333331</v>
      </c>
      <c r="S25" s="49">
        <f>IF(S27&lt;&gt;0,+S27/S29,0%)</f>
        <v>0</v>
      </c>
      <c r="T25" s="50">
        <f t="shared" ref="T25" si="45">IF(T27&lt;&gt;0,+T27/T29,0%)</f>
        <v>0.33333333333333331</v>
      </c>
      <c r="U25" s="49">
        <f>IF(U27&lt;&gt;0,+U27/U29,0%)</f>
        <v>0.33333333333333331</v>
      </c>
      <c r="V25" s="50">
        <f t="shared" ref="V25" si="46">IF(V27&lt;&gt;0,+V27/V29,0%)</f>
        <v>0.66666666666666663</v>
      </c>
      <c r="W25" s="49">
        <f>IF(W27&lt;&gt;0,+W27/W29,0%)</f>
        <v>0</v>
      </c>
      <c r="X25" s="50">
        <f t="shared" ref="X25" si="47">IF(X27&lt;&gt;0,+X27/X29,0%)</f>
        <v>0.66666666666666663</v>
      </c>
      <c r="Y25" s="49">
        <f>IF(Y27&lt;&gt;0,+Y27/Y29,0%)</f>
        <v>0</v>
      </c>
      <c r="Z25" s="50">
        <f t="shared" ref="Z25" si="48">IF(Z27&lt;&gt;0,+Z27/Z29,0%)</f>
        <v>0.66666666666666663</v>
      </c>
      <c r="AA25" s="49">
        <f>IF(AA27&lt;&gt;0,+AA27/AA29,0%)</f>
        <v>0</v>
      </c>
      <c r="AB25" s="50">
        <f t="shared" ref="AB25" si="49">IF(AB27&lt;&gt;0,+AB27/AB29,0%)</f>
        <v>0.66666666666666663</v>
      </c>
      <c r="AC25" s="49">
        <f>IF(AC27&lt;&gt;0,+AC27/AC29,0%)</f>
        <v>0</v>
      </c>
      <c r="AD25" s="50">
        <f t="shared" ref="AD25" si="50">IF(AD27&lt;&gt;0,+AD27/AD29,0%)</f>
        <v>0.66666666666666663</v>
      </c>
      <c r="AE25" s="49">
        <f>IF(AE27&lt;&gt;0,+AE27/AE29,0%)</f>
        <v>0</v>
      </c>
      <c r="AF25" s="50">
        <f t="shared" ref="AF25" si="51">IF(AF27&lt;&gt;0,+AF27/AF29,0%)</f>
        <v>0.66666666666666663</v>
      </c>
      <c r="AG25" s="49">
        <f>IF(AG27&lt;&gt;0,+AG27/AG29,0%)</f>
        <v>0</v>
      </c>
      <c r="AH25" s="50">
        <f t="shared" ref="AH25" si="52">IF(AH27&lt;&gt;0,+AH27/AH29,0%)</f>
        <v>0.66666666666666663</v>
      </c>
      <c r="AI25" s="51"/>
      <c r="AJ25" s="78"/>
      <c r="AK25" s="78"/>
      <c r="AL25" s="84"/>
    </row>
    <row r="26" spans="1:38" s="7" customFormat="1" ht="22.9" customHeight="1" thickBot="1" x14ac:dyDescent="0.3">
      <c r="A26" s="96"/>
      <c r="B26" s="99"/>
      <c r="C26" s="212"/>
      <c r="D26" s="111"/>
      <c r="E26" s="90"/>
      <c r="F26" s="90"/>
      <c r="G26" s="90"/>
      <c r="H26" s="90"/>
      <c r="I26" s="93"/>
      <c r="J26" s="188"/>
      <c r="K26" s="23" t="s">
        <v>39</v>
      </c>
      <c r="L26" s="52" t="s">
        <v>39</v>
      </c>
      <c r="M26" s="52" t="s">
        <v>39</v>
      </c>
      <c r="N26" s="53" t="s">
        <v>39</v>
      </c>
      <c r="O26" s="52" t="s">
        <v>39</v>
      </c>
      <c r="P26" s="53" t="s">
        <v>39</v>
      </c>
      <c r="Q26" s="52" t="s">
        <v>39</v>
      </c>
      <c r="R26" s="53" t="s">
        <v>39</v>
      </c>
      <c r="S26" s="52" t="s">
        <v>39</v>
      </c>
      <c r="T26" s="53" t="s">
        <v>39</v>
      </c>
      <c r="U26" s="52" t="s">
        <v>39</v>
      </c>
      <c r="V26" s="53" t="s">
        <v>39</v>
      </c>
      <c r="W26" s="52" t="s">
        <v>39</v>
      </c>
      <c r="X26" s="53" t="s">
        <v>39</v>
      </c>
      <c r="Y26" s="52" t="s">
        <v>39</v>
      </c>
      <c r="Z26" s="53" t="s">
        <v>39</v>
      </c>
      <c r="AA26" s="52" t="s">
        <v>39</v>
      </c>
      <c r="AB26" s="53" t="s">
        <v>39</v>
      </c>
      <c r="AC26" s="52" t="s">
        <v>39</v>
      </c>
      <c r="AD26" s="53" t="s">
        <v>39</v>
      </c>
      <c r="AE26" s="52" t="s">
        <v>39</v>
      </c>
      <c r="AF26" s="53" t="s">
        <v>39</v>
      </c>
      <c r="AG26" s="52" t="s">
        <v>39</v>
      </c>
      <c r="AH26" s="53" t="s">
        <v>39</v>
      </c>
      <c r="AI26" s="51"/>
      <c r="AJ26" s="78"/>
      <c r="AK26" s="78"/>
      <c r="AL26" s="84"/>
    </row>
    <row r="27" spans="1:38" s="7" customFormat="1" ht="22.9" customHeight="1" thickTop="1" x14ac:dyDescent="0.25">
      <c r="A27" s="96"/>
      <c r="B27" s="99"/>
      <c r="C27" s="212"/>
      <c r="D27" s="111"/>
      <c r="E27" s="90"/>
      <c r="F27" s="90"/>
      <c r="G27" s="90"/>
      <c r="H27" s="90"/>
      <c r="I27" s="93"/>
      <c r="J27" s="86" t="s">
        <v>66</v>
      </c>
      <c r="K27" s="34">
        <v>2</v>
      </c>
      <c r="L27" s="54"/>
      <c r="M27" s="54"/>
      <c r="N27" s="55">
        <f>+L27+M27</f>
        <v>0</v>
      </c>
      <c r="O27" s="54"/>
      <c r="P27" s="55">
        <f t="shared" ref="P27" si="53">+N27+O27</f>
        <v>0</v>
      </c>
      <c r="Q27" s="54">
        <v>1</v>
      </c>
      <c r="R27" s="55">
        <f t="shared" ref="R27" si="54">+P27+Q27</f>
        <v>1</v>
      </c>
      <c r="S27" s="54"/>
      <c r="T27" s="55">
        <f t="shared" ref="T27" si="55">+R27+S27</f>
        <v>1</v>
      </c>
      <c r="U27" s="54">
        <v>1</v>
      </c>
      <c r="V27" s="55">
        <f t="shared" ref="V27" si="56">+T27+U27</f>
        <v>2</v>
      </c>
      <c r="W27" s="54"/>
      <c r="X27" s="55">
        <f t="shared" ref="X27" si="57">+V27+W27</f>
        <v>2</v>
      </c>
      <c r="Y27" s="54"/>
      <c r="Z27" s="55">
        <f t="shared" ref="Z27" si="58">+X27+Y27</f>
        <v>2</v>
      </c>
      <c r="AA27" s="54">
        <v>0</v>
      </c>
      <c r="AB27" s="55">
        <f t="shared" ref="AB27" si="59">+Z27+AA27</f>
        <v>2</v>
      </c>
      <c r="AC27" s="54"/>
      <c r="AD27" s="55">
        <f t="shared" ref="AD27" si="60">+AB27+AC27</f>
        <v>2</v>
      </c>
      <c r="AE27" s="54"/>
      <c r="AF27" s="55">
        <f t="shared" ref="AF27" si="61">+AD27+AE27</f>
        <v>2</v>
      </c>
      <c r="AG27" s="54"/>
      <c r="AH27" s="55">
        <f t="shared" ref="AH27" si="62">+AF27+AG27</f>
        <v>2</v>
      </c>
      <c r="AI27" s="56">
        <f>AH25/K25</f>
        <v>1</v>
      </c>
      <c r="AJ27" s="78"/>
      <c r="AK27" s="78"/>
      <c r="AL27" s="84"/>
    </row>
    <row r="28" spans="1:38" s="7" customFormat="1" ht="22.9" customHeight="1" x14ac:dyDescent="0.25">
      <c r="A28" s="96"/>
      <c r="B28" s="99"/>
      <c r="C28" s="212"/>
      <c r="D28" s="111"/>
      <c r="E28" s="90"/>
      <c r="F28" s="90"/>
      <c r="G28" s="90"/>
      <c r="H28" s="90"/>
      <c r="I28" s="93"/>
      <c r="J28" s="87"/>
      <c r="K28" s="27" t="s">
        <v>40</v>
      </c>
      <c r="L28" s="57" t="s">
        <v>40</v>
      </c>
      <c r="M28" s="57" t="s">
        <v>40</v>
      </c>
      <c r="N28" s="58" t="s">
        <v>40</v>
      </c>
      <c r="O28" s="57" t="s">
        <v>40</v>
      </c>
      <c r="P28" s="58" t="s">
        <v>40</v>
      </c>
      <c r="Q28" s="57" t="s">
        <v>40</v>
      </c>
      <c r="R28" s="58" t="s">
        <v>40</v>
      </c>
      <c r="S28" s="57" t="s">
        <v>40</v>
      </c>
      <c r="T28" s="58" t="s">
        <v>40</v>
      </c>
      <c r="U28" s="57" t="s">
        <v>40</v>
      </c>
      <c r="V28" s="58" t="s">
        <v>40</v>
      </c>
      <c r="W28" s="57" t="s">
        <v>40</v>
      </c>
      <c r="X28" s="58" t="s">
        <v>40</v>
      </c>
      <c r="Y28" s="57" t="s">
        <v>40</v>
      </c>
      <c r="Z28" s="58" t="s">
        <v>40</v>
      </c>
      <c r="AA28" s="57" t="s">
        <v>40</v>
      </c>
      <c r="AB28" s="58" t="s">
        <v>40</v>
      </c>
      <c r="AC28" s="57" t="s">
        <v>40</v>
      </c>
      <c r="AD28" s="58" t="s">
        <v>40</v>
      </c>
      <c r="AE28" s="57" t="s">
        <v>40</v>
      </c>
      <c r="AF28" s="58" t="s">
        <v>40</v>
      </c>
      <c r="AG28" s="57" t="s">
        <v>40</v>
      </c>
      <c r="AH28" s="58" t="s">
        <v>40</v>
      </c>
      <c r="AI28" s="51"/>
      <c r="AJ28" s="78"/>
      <c r="AK28" s="78"/>
      <c r="AL28" s="84"/>
    </row>
    <row r="29" spans="1:38" s="7" customFormat="1" ht="22.9" customHeight="1" thickBot="1" x14ac:dyDescent="0.3">
      <c r="A29" s="97"/>
      <c r="B29" s="100"/>
      <c r="C29" s="213"/>
      <c r="D29" s="112"/>
      <c r="E29" s="91"/>
      <c r="F29" s="91"/>
      <c r="G29" s="91"/>
      <c r="H29" s="91"/>
      <c r="I29" s="94"/>
      <c r="J29" s="88"/>
      <c r="K29" s="35">
        <v>3</v>
      </c>
      <c r="L29" s="59">
        <v>3</v>
      </c>
      <c r="M29" s="59">
        <v>3</v>
      </c>
      <c r="N29" s="60">
        <v>3</v>
      </c>
      <c r="O29" s="59">
        <v>3</v>
      </c>
      <c r="P29" s="60">
        <v>3</v>
      </c>
      <c r="Q29" s="59">
        <v>3</v>
      </c>
      <c r="R29" s="60">
        <v>3</v>
      </c>
      <c r="S29" s="59">
        <v>3</v>
      </c>
      <c r="T29" s="60">
        <v>3</v>
      </c>
      <c r="U29" s="59">
        <v>3</v>
      </c>
      <c r="V29" s="60">
        <v>3</v>
      </c>
      <c r="W29" s="59">
        <v>3</v>
      </c>
      <c r="X29" s="60">
        <v>3</v>
      </c>
      <c r="Y29" s="59">
        <v>3</v>
      </c>
      <c r="Z29" s="60">
        <v>3</v>
      </c>
      <c r="AA29" s="59">
        <v>3</v>
      </c>
      <c r="AB29" s="60">
        <v>3</v>
      </c>
      <c r="AC29" s="59">
        <v>3</v>
      </c>
      <c r="AD29" s="60">
        <v>3</v>
      </c>
      <c r="AE29" s="59">
        <v>3</v>
      </c>
      <c r="AF29" s="60">
        <v>3</v>
      </c>
      <c r="AG29" s="59">
        <v>3</v>
      </c>
      <c r="AH29" s="29">
        <v>3</v>
      </c>
      <c r="AI29" s="61"/>
      <c r="AJ29" s="79"/>
      <c r="AK29" s="79"/>
      <c r="AL29" s="85"/>
    </row>
    <row r="30" spans="1:38" s="7" customFormat="1" ht="22.9" customHeight="1" thickTop="1" x14ac:dyDescent="0.25">
      <c r="A30" s="95" t="s">
        <v>81</v>
      </c>
      <c r="B30" s="98" t="s">
        <v>55</v>
      </c>
      <c r="C30" s="214" t="s">
        <v>70</v>
      </c>
      <c r="D30" s="110" t="s">
        <v>64</v>
      </c>
      <c r="E30" s="89" t="s">
        <v>46</v>
      </c>
      <c r="F30" s="89" t="s">
        <v>173</v>
      </c>
      <c r="G30" s="89" t="s">
        <v>48</v>
      </c>
      <c r="H30" s="89" t="s">
        <v>63</v>
      </c>
      <c r="I30" s="92">
        <f>K31</f>
        <v>0.66666666666666663</v>
      </c>
      <c r="J30" s="86" t="s">
        <v>65</v>
      </c>
      <c r="K30" s="17" t="s">
        <v>38</v>
      </c>
      <c r="L30" s="46" t="s">
        <v>38</v>
      </c>
      <c r="M30" s="46" t="s">
        <v>38</v>
      </c>
      <c r="N30" s="47" t="s">
        <v>38</v>
      </c>
      <c r="O30" s="46" t="s">
        <v>38</v>
      </c>
      <c r="P30" s="47" t="s">
        <v>38</v>
      </c>
      <c r="Q30" s="46" t="s">
        <v>38</v>
      </c>
      <c r="R30" s="47" t="s">
        <v>38</v>
      </c>
      <c r="S30" s="46" t="s">
        <v>38</v>
      </c>
      <c r="T30" s="47" t="s">
        <v>38</v>
      </c>
      <c r="U30" s="46" t="s">
        <v>38</v>
      </c>
      <c r="V30" s="47" t="s">
        <v>38</v>
      </c>
      <c r="W30" s="46" t="s">
        <v>38</v>
      </c>
      <c r="X30" s="47" t="s">
        <v>38</v>
      </c>
      <c r="Y30" s="46" t="s">
        <v>38</v>
      </c>
      <c r="Z30" s="47" t="s">
        <v>38</v>
      </c>
      <c r="AA30" s="46" t="s">
        <v>38</v>
      </c>
      <c r="AB30" s="47" t="s">
        <v>38</v>
      </c>
      <c r="AC30" s="46" t="s">
        <v>38</v>
      </c>
      <c r="AD30" s="47" t="s">
        <v>38</v>
      </c>
      <c r="AE30" s="46" t="s">
        <v>38</v>
      </c>
      <c r="AF30" s="47" t="s">
        <v>38</v>
      </c>
      <c r="AG30" s="46" t="s">
        <v>38</v>
      </c>
      <c r="AH30" s="47" t="s">
        <v>38</v>
      </c>
      <c r="AI30" s="48"/>
      <c r="AJ30" s="77" t="s">
        <v>94</v>
      </c>
      <c r="AK30" s="189"/>
      <c r="AL30" s="83" t="s">
        <v>84</v>
      </c>
    </row>
    <row r="31" spans="1:38" s="7" customFormat="1" ht="22.9" customHeight="1" x14ac:dyDescent="0.25">
      <c r="A31" s="96"/>
      <c r="B31" s="99"/>
      <c r="C31" s="215"/>
      <c r="D31" s="111"/>
      <c r="E31" s="90"/>
      <c r="F31" s="90"/>
      <c r="G31" s="90"/>
      <c r="H31" s="90"/>
      <c r="I31" s="93"/>
      <c r="J31" s="187"/>
      <c r="K31" s="33">
        <f>IF(K33&lt;&gt;0,+K33/K35,0%)</f>
        <v>0.66666666666666663</v>
      </c>
      <c r="L31" s="49">
        <f>IF(L33&lt;&gt;0,+L33/L35,0%)</f>
        <v>0</v>
      </c>
      <c r="M31" s="49">
        <f>IF(M33&lt;&gt;0,+M33/M35,0%)</f>
        <v>0</v>
      </c>
      <c r="N31" s="50">
        <f t="shared" ref="N31" si="63">IF(N33&lt;&gt;0,+N33/N35,0%)</f>
        <v>0</v>
      </c>
      <c r="O31" s="49">
        <f>IF(O33&lt;&gt;0,+O33/O35,0%)</f>
        <v>0</v>
      </c>
      <c r="P31" s="50">
        <f t="shared" ref="P31" si="64">IF(P33&lt;&gt;0,+P33/P35,0%)</f>
        <v>0</v>
      </c>
      <c r="Q31" s="49">
        <f>IF(Q33&lt;&gt;0,+Q33/Q35,0%)</f>
        <v>0.33333333333333331</v>
      </c>
      <c r="R31" s="50">
        <f t="shared" ref="R31" si="65">IF(R33&lt;&gt;0,+R33/R35,0%)</f>
        <v>0.33333333333333331</v>
      </c>
      <c r="S31" s="49">
        <f>IF(S33&lt;&gt;0,+S33/S35,0%)</f>
        <v>0</v>
      </c>
      <c r="T31" s="50">
        <f t="shared" ref="T31" si="66">IF(T33&lt;&gt;0,+T33/T35,0%)</f>
        <v>0.33333333333333331</v>
      </c>
      <c r="U31" s="49">
        <f>IF(U33&lt;&gt;0,+U33/U35,0%)</f>
        <v>0.33333333333333331</v>
      </c>
      <c r="V31" s="50">
        <f t="shared" ref="V31" si="67">IF(V33&lt;&gt;0,+V33/V35,0%)</f>
        <v>0.66666666666666663</v>
      </c>
      <c r="W31" s="49">
        <f>IF(W33&lt;&gt;0,+W33/W35,0%)</f>
        <v>0</v>
      </c>
      <c r="X31" s="50">
        <f t="shared" ref="X31" si="68">IF(X33&lt;&gt;0,+X33/X35,0%)</f>
        <v>0.66666666666666663</v>
      </c>
      <c r="Y31" s="49">
        <f>IF(Y33&lt;&gt;0,+Y33/Y35,0%)</f>
        <v>0</v>
      </c>
      <c r="Z31" s="50">
        <f t="shared" ref="Z31" si="69">IF(Z33&lt;&gt;0,+Z33/Z35,0%)</f>
        <v>0.66666666666666663</v>
      </c>
      <c r="AA31" s="49">
        <f>IF(AA33&lt;&gt;0,+AA33/AA35,0%)</f>
        <v>0</v>
      </c>
      <c r="AB31" s="50">
        <f t="shared" ref="AB31" si="70">IF(AB33&lt;&gt;0,+AB33/AB35,0%)</f>
        <v>0.66666666666666663</v>
      </c>
      <c r="AC31" s="49">
        <f>IF(AC33&lt;&gt;0,+AC33/AC35,0%)</f>
        <v>0</v>
      </c>
      <c r="AD31" s="50">
        <f t="shared" ref="AD31" si="71">IF(AD33&lt;&gt;0,+AD33/AD35,0%)</f>
        <v>0.66666666666666663</v>
      </c>
      <c r="AE31" s="49">
        <f>IF(AE33&lt;&gt;0,+AE33/AE35,0%)</f>
        <v>0</v>
      </c>
      <c r="AF31" s="50">
        <f t="shared" ref="AF31" si="72">IF(AF33&lt;&gt;0,+AF33/AF35,0%)</f>
        <v>0.66666666666666663</v>
      </c>
      <c r="AG31" s="49">
        <f>IF(AG33&lt;&gt;0,+AG33/AG35,0%)</f>
        <v>0</v>
      </c>
      <c r="AH31" s="50">
        <f t="shared" ref="AH31" si="73">IF(AH33&lt;&gt;0,+AH33/AH35,0%)</f>
        <v>0.66666666666666663</v>
      </c>
      <c r="AI31" s="51"/>
      <c r="AJ31" s="78"/>
      <c r="AK31" s="190"/>
      <c r="AL31" s="84"/>
    </row>
    <row r="32" spans="1:38" s="7" customFormat="1" ht="22.9" customHeight="1" thickBot="1" x14ac:dyDescent="0.3">
      <c r="A32" s="96"/>
      <c r="B32" s="99"/>
      <c r="C32" s="215"/>
      <c r="D32" s="111"/>
      <c r="E32" s="90"/>
      <c r="F32" s="90"/>
      <c r="G32" s="90"/>
      <c r="H32" s="90"/>
      <c r="I32" s="93"/>
      <c r="J32" s="188"/>
      <c r="K32" s="23" t="s">
        <v>39</v>
      </c>
      <c r="L32" s="52" t="s">
        <v>39</v>
      </c>
      <c r="M32" s="52" t="s">
        <v>39</v>
      </c>
      <c r="N32" s="53" t="s">
        <v>39</v>
      </c>
      <c r="O32" s="52" t="s">
        <v>39</v>
      </c>
      <c r="P32" s="53" t="s">
        <v>39</v>
      </c>
      <c r="Q32" s="52" t="s">
        <v>39</v>
      </c>
      <c r="R32" s="53" t="s">
        <v>39</v>
      </c>
      <c r="S32" s="52" t="s">
        <v>39</v>
      </c>
      <c r="T32" s="53" t="s">
        <v>39</v>
      </c>
      <c r="U32" s="52" t="s">
        <v>39</v>
      </c>
      <c r="V32" s="53" t="s">
        <v>39</v>
      </c>
      <c r="W32" s="52" t="s">
        <v>39</v>
      </c>
      <c r="X32" s="53" t="s">
        <v>39</v>
      </c>
      <c r="Y32" s="52" t="s">
        <v>39</v>
      </c>
      <c r="Z32" s="53" t="s">
        <v>39</v>
      </c>
      <c r="AA32" s="52" t="s">
        <v>39</v>
      </c>
      <c r="AB32" s="53" t="s">
        <v>39</v>
      </c>
      <c r="AC32" s="52" t="s">
        <v>39</v>
      </c>
      <c r="AD32" s="53" t="s">
        <v>39</v>
      </c>
      <c r="AE32" s="52" t="s">
        <v>39</v>
      </c>
      <c r="AF32" s="53" t="s">
        <v>39</v>
      </c>
      <c r="AG32" s="52" t="s">
        <v>39</v>
      </c>
      <c r="AH32" s="53" t="s">
        <v>39</v>
      </c>
      <c r="AI32" s="51"/>
      <c r="AJ32" s="78"/>
      <c r="AK32" s="190"/>
      <c r="AL32" s="84"/>
    </row>
    <row r="33" spans="1:38" s="7" customFormat="1" ht="22.9" customHeight="1" thickTop="1" x14ac:dyDescent="0.25">
      <c r="A33" s="96"/>
      <c r="B33" s="99"/>
      <c r="C33" s="215"/>
      <c r="D33" s="111"/>
      <c r="E33" s="90"/>
      <c r="F33" s="90"/>
      <c r="G33" s="90"/>
      <c r="H33" s="90"/>
      <c r="I33" s="93"/>
      <c r="J33" s="86" t="s">
        <v>66</v>
      </c>
      <c r="K33" s="34">
        <v>2</v>
      </c>
      <c r="L33" s="54"/>
      <c r="M33" s="54"/>
      <c r="N33" s="55">
        <f>+L33+M33</f>
        <v>0</v>
      </c>
      <c r="O33" s="54"/>
      <c r="P33" s="55">
        <f t="shared" ref="P33" si="74">+N33+O33</f>
        <v>0</v>
      </c>
      <c r="Q33" s="54">
        <v>1</v>
      </c>
      <c r="R33" s="55">
        <f t="shared" ref="R33" si="75">+P33+Q33</f>
        <v>1</v>
      </c>
      <c r="S33" s="54"/>
      <c r="T33" s="55">
        <f t="shared" ref="T33" si="76">+R33+S33</f>
        <v>1</v>
      </c>
      <c r="U33" s="54">
        <v>1</v>
      </c>
      <c r="V33" s="55">
        <f t="shared" ref="V33" si="77">+T33+U33</f>
        <v>2</v>
      </c>
      <c r="W33" s="54"/>
      <c r="X33" s="55">
        <f t="shared" ref="X33" si="78">+V33+W33</f>
        <v>2</v>
      </c>
      <c r="Y33" s="54"/>
      <c r="Z33" s="55">
        <f t="shared" ref="Z33" si="79">+X33+Y33</f>
        <v>2</v>
      </c>
      <c r="AA33" s="54">
        <v>0</v>
      </c>
      <c r="AB33" s="55">
        <f t="shared" ref="AB33" si="80">+Z33+AA33</f>
        <v>2</v>
      </c>
      <c r="AC33" s="54"/>
      <c r="AD33" s="55">
        <f t="shared" ref="AD33" si="81">+AB33+AC33</f>
        <v>2</v>
      </c>
      <c r="AE33" s="54"/>
      <c r="AF33" s="55">
        <f t="shared" ref="AF33" si="82">+AD33+AE33</f>
        <v>2</v>
      </c>
      <c r="AG33" s="54"/>
      <c r="AH33" s="55">
        <f t="shared" ref="AH33" si="83">+AF33+AG33</f>
        <v>2</v>
      </c>
      <c r="AI33" s="56">
        <f>AH31/K31</f>
        <v>1</v>
      </c>
      <c r="AJ33" s="78"/>
      <c r="AK33" s="190"/>
      <c r="AL33" s="84"/>
    </row>
    <row r="34" spans="1:38" s="7" customFormat="1" ht="22.9" customHeight="1" x14ac:dyDescent="0.25">
      <c r="A34" s="96"/>
      <c r="B34" s="99"/>
      <c r="C34" s="215"/>
      <c r="D34" s="111"/>
      <c r="E34" s="90"/>
      <c r="F34" s="90"/>
      <c r="G34" s="90"/>
      <c r="H34" s="90"/>
      <c r="I34" s="93"/>
      <c r="J34" s="87"/>
      <c r="K34" s="27" t="s">
        <v>40</v>
      </c>
      <c r="L34" s="57" t="s">
        <v>40</v>
      </c>
      <c r="M34" s="57" t="s">
        <v>40</v>
      </c>
      <c r="N34" s="58" t="s">
        <v>40</v>
      </c>
      <c r="O34" s="57" t="s">
        <v>40</v>
      </c>
      <c r="P34" s="58" t="s">
        <v>40</v>
      </c>
      <c r="Q34" s="57" t="s">
        <v>40</v>
      </c>
      <c r="R34" s="58" t="s">
        <v>40</v>
      </c>
      <c r="S34" s="57" t="s">
        <v>40</v>
      </c>
      <c r="T34" s="58" t="s">
        <v>40</v>
      </c>
      <c r="U34" s="57" t="s">
        <v>40</v>
      </c>
      <c r="V34" s="58" t="s">
        <v>40</v>
      </c>
      <c r="W34" s="57" t="s">
        <v>40</v>
      </c>
      <c r="X34" s="58" t="s">
        <v>40</v>
      </c>
      <c r="Y34" s="57" t="s">
        <v>40</v>
      </c>
      <c r="Z34" s="58" t="s">
        <v>40</v>
      </c>
      <c r="AA34" s="57" t="s">
        <v>40</v>
      </c>
      <c r="AB34" s="58" t="s">
        <v>40</v>
      </c>
      <c r="AC34" s="57" t="s">
        <v>40</v>
      </c>
      <c r="AD34" s="58" t="s">
        <v>40</v>
      </c>
      <c r="AE34" s="57" t="s">
        <v>40</v>
      </c>
      <c r="AF34" s="58" t="s">
        <v>40</v>
      </c>
      <c r="AG34" s="57" t="s">
        <v>40</v>
      </c>
      <c r="AH34" s="58" t="s">
        <v>40</v>
      </c>
      <c r="AI34" s="51"/>
      <c r="AJ34" s="78"/>
      <c r="AK34" s="190"/>
      <c r="AL34" s="84"/>
    </row>
    <row r="35" spans="1:38" s="7" customFormat="1" ht="22.9" customHeight="1" thickBot="1" x14ac:dyDescent="0.3">
      <c r="A35" s="97"/>
      <c r="B35" s="100"/>
      <c r="C35" s="216"/>
      <c r="D35" s="112"/>
      <c r="E35" s="91"/>
      <c r="F35" s="91"/>
      <c r="G35" s="91"/>
      <c r="H35" s="91"/>
      <c r="I35" s="94"/>
      <c r="J35" s="88"/>
      <c r="K35" s="35">
        <v>3</v>
      </c>
      <c r="L35" s="59">
        <v>3</v>
      </c>
      <c r="M35" s="59">
        <v>3</v>
      </c>
      <c r="N35" s="60">
        <v>3</v>
      </c>
      <c r="O35" s="59">
        <v>3</v>
      </c>
      <c r="P35" s="60">
        <v>3</v>
      </c>
      <c r="Q35" s="59">
        <v>3</v>
      </c>
      <c r="R35" s="60">
        <v>3</v>
      </c>
      <c r="S35" s="59">
        <v>3</v>
      </c>
      <c r="T35" s="60">
        <v>3</v>
      </c>
      <c r="U35" s="59">
        <v>3</v>
      </c>
      <c r="V35" s="60">
        <v>3</v>
      </c>
      <c r="W35" s="59">
        <v>3</v>
      </c>
      <c r="X35" s="60">
        <v>3</v>
      </c>
      <c r="Y35" s="59">
        <v>3</v>
      </c>
      <c r="Z35" s="60">
        <v>3</v>
      </c>
      <c r="AA35" s="59">
        <v>3</v>
      </c>
      <c r="AB35" s="60">
        <v>3</v>
      </c>
      <c r="AC35" s="59">
        <v>3</v>
      </c>
      <c r="AD35" s="60">
        <v>3</v>
      </c>
      <c r="AE35" s="59">
        <v>3</v>
      </c>
      <c r="AF35" s="60">
        <v>3</v>
      </c>
      <c r="AG35" s="59">
        <v>3</v>
      </c>
      <c r="AH35" s="29">
        <v>3</v>
      </c>
      <c r="AI35" s="61"/>
      <c r="AJ35" s="79"/>
      <c r="AK35" s="191"/>
      <c r="AL35" s="85"/>
    </row>
    <row r="36" spans="1:38" s="36" customFormat="1" ht="22.9" customHeight="1" thickTop="1" x14ac:dyDescent="0.25">
      <c r="A36" s="95" t="s">
        <v>82</v>
      </c>
      <c r="B36" s="98" t="s">
        <v>55</v>
      </c>
      <c r="C36" s="110" t="s">
        <v>71</v>
      </c>
      <c r="D36" s="110" t="s">
        <v>64</v>
      </c>
      <c r="E36" s="89" t="s">
        <v>46</v>
      </c>
      <c r="F36" s="89" t="s">
        <v>173</v>
      </c>
      <c r="G36" s="89" t="s">
        <v>48</v>
      </c>
      <c r="H36" s="89" t="s">
        <v>63</v>
      </c>
      <c r="I36" s="92">
        <f>K37</f>
        <v>0.66666666666666663</v>
      </c>
      <c r="J36" s="86" t="s">
        <v>65</v>
      </c>
      <c r="K36" s="17" t="s">
        <v>38</v>
      </c>
      <c r="L36" s="46" t="s">
        <v>38</v>
      </c>
      <c r="M36" s="46" t="s">
        <v>38</v>
      </c>
      <c r="N36" s="47" t="s">
        <v>38</v>
      </c>
      <c r="O36" s="46" t="s">
        <v>38</v>
      </c>
      <c r="P36" s="47" t="s">
        <v>38</v>
      </c>
      <c r="Q36" s="46" t="s">
        <v>38</v>
      </c>
      <c r="R36" s="47" t="s">
        <v>38</v>
      </c>
      <c r="S36" s="46" t="s">
        <v>38</v>
      </c>
      <c r="T36" s="47" t="s">
        <v>38</v>
      </c>
      <c r="U36" s="46" t="s">
        <v>38</v>
      </c>
      <c r="V36" s="47" t="s">
        <v>38</v>
      </c>
      <c r="W36" s="46" t="s">
        <v>38</v>
      </c>
      <c r="X36" s="47" t="s">
        <v>38</v>
      </c>
      <c r="Y36" s="46" t="s">
        <v>38</v>
      </c>
      <c r="Z36" s="47" t="s">
        <v>38</v>
      </c>
      <c r="AA36" s="46" t="s">
        <v>38</v>
      </c>
      <c r="AB36" s="47" t="s">
        <v>38</v>
      </c>
      <c r="AC36" s="46" t="s">
        <v>38</v>
      </c>
      <c r="AD36" s="47" t="s">
        <v>38</v>
      </c>
      <c r="AE36" s="46" t="s">
        <v>38</v>
      </c>
      <c r="AF36" s="47" t="s">
        <v>38</v>
      </c>
      <c r="AG36" s="46" t="s">
        <v>38</v>
      </c>
      <c r="AH36" s="47" t="s">
        <v>38</v>
      </c>
      <c r="AI36" s="48"/>
      <c r="AJ36" s="77" t="s">
        <v>94</v>
      </c>
      <c r="AK36" s="80"/>
      <c r="AL36" s="83" t="s">
        <v>84</v>
      </c>
    </row>
    <row r="37" spans="1:38" s="36" customFormat="1" ht="22.9" customHeight="1" x14ac:dyDescent="0.25">
      <c r="A37" s="96"/>
      <c r="B37" s="99"/>
      <c r="C37" s="111"/>
      <c r="D37" s="111"/>
      <c r="E37" s="90"/>
      <c r="F37" s="90"/>
      <c r="G37" s="90"/>
      <c r="H37" s="90"/>
      <c r="I37" s="93"/>
      <c r="J37" s="187"/>
      <c r="K37" s="33">
        <f>IF(K39&lt;&gt;0,+K39/K41,0%)</f>
        <v>0.66666666666666663</v>
      </c>
      <c r="L37" s="49">
        <f>IF(L39&lt;&gt;0,+L39/L41,0%)</f>
        <v>0</v>
      </c>
      <c r="M37" s="49">
        <f>IF(M39&lt;&gt;0,+M39/M41,0%)</f>
        <v>0</v>
      </c>
      <c r="N37" s="50">
        <f t="shared" ref="N37" si="84">IF(N39&lt;&gt;0,+N39/N41,0%)</f>
        <v>0</v>
      </c>
      <c r="O37" s="49">
        <f>IF(O39&lt;&gt;0,+O39/O41,0%)</f>
        <v>0</v>
      </c>
      <c r="P37" s="50">
        <f t="shared" ref="P37" si="85">IF(P39&lt;&gt;0,+P39/P41,0%)</f>
        <v>0</v>
      </c>
      <c r="Q37" s="49">
        <f>IF(Q39&lt;&gt;0,+Q39/Q41,0%)</f>
        <v>0.33333333333333331</v>
      </c>
      <c r="R37" s="50">
        <f t="shared" ref="R37" si="86">IF(R39&lt;&gt;0,+R39/R41,0%)</f>
        <v>0.33333333333333331</v>
      </c>
      <c r="S37" s="49">
        <f>IF(S39&lt;&gt;0,+S39/S41,0%)</f>
        <v>0</v>
      </c>
      <c r="T37" s="50">
        <f t="shared" ref="T37" si="87">IF(T39&lt;&gt;0,+T39/T41,0%)</f>
        <v>0.33333333333333331</v>
      </c>
      <c r="U37" s="49">
        <f>IF(U39&lt;&gt;0,+U39/U41,0%)</f>
        <v>0.33333333333333331</v>
      </c>
      <c r="V37" s="50">
        <f t="shared" ref="V37" si="88">IF(V39&lt;&gt;0,+V39/V41,0%)</f>
        <v>0.66666666666666663</v>
      </c>
      <c r="W37" s="49">
        <f>IF(W39&lt;&gt;0,+W39/W41,0%)</f>
        <v>0</v>
      </c>
      <c r="X37" s="50">
        <f t="shared" ref="X37" si="89">IF(X39&lt;&gt;0,+X39/X41,0%)</f>
        <v>0.66666666666666663</v>
      </c>
      <c r="Y37" s="49">
        <f>IF(Y39&lt;&gt;0,+Y39/Y41,0%)</f>
        <v>0</v>
      </c>
      <c r="Z37" s="50">
        <f t="shared" ref="Z37" si="90">IF(Z39&lt;&gt;0,+Z39/Z41,0%)</f>
        <v>0.66666666666666663</v>
      </c>
      <c r="AA37" s="49">
        <f>IF(AA39&lt;&gt;0,+AA39/AA41,0%)</f>
        <v>0</v>
      </c>
      <c r="AB37" s="50">
        <f t="shared" ref="AB37" si="91">IF(AB39&lt;&gt;0,+AB39/AB41,0%)</f>
        <v>0.66666666666666663</v>
      </c>
      <c r="AC37" s="49">
        <f>IF(AC39&lt;&gt;0,+AC39/AC41,0%)</f>
        <v>0</v>
      </c>
      <c r="AD37" s="50">
        <f t="shared" ref="AD37" si="92">IF(AD39&lt;&gt;0,+AD39/AD41,0%)</f>
        <v>0.66666666666666663</v>
      </c>
      <c r="AE37" s="49">
        <f>IF(AE39&lt;&gt;0,+AE39/AE41,0%)</f>
        <v>0</v>
      </c>
      <c r="AF37" s="50">
        <f t="shared" ref="AF37" si="93">IF(AF39&lt;&gt;0,+AF39/AF41,0%)</f>
        <v>0.66666666666666663</v>
      </c>
      <c r="AG37" s="49">
        <f>IF(AG39&lt;&gt;0,+AG39/AG41,0%)</f>
        <v>0</v>
      </c>
      <c r="AH37" s="50">
        <f t="shared" ref="AH37" si="94">IF(AH39&lt;&gt;0,+AH39/AH41,0%)</f>
        <v>0.66666666666666663</v>
      </c>
      <c r="AI37" s="51"/>
      <c r="AJ37" s="78"/>
      <c r="AK37" s="81"/>
      <c r="AL37" s="84"/>
    </row>
    <row r="38" spans="1:38" s="36" customFormat="1" ht="22.9" customHeight="1" thickBot="1" x14ac:dyDescent="0.3">
      <c r="A38" s="96"/>
      <c r="B38" s="99"/>
      <c r="C38" s="111"/>
      <c r="D38" s="111"/>
      <c r="E38" s="90"/>
      <c r="F38" s="90"/>
      <c r="G38" s="90"/>
      <c r="H38" s="90"/>
      <c r="I38" s="93"/>
      <c r="J38" s="188"/>
      <c r="K38" s="23" t="s">
        <v>39</v>
      </c>
      <c r="L38" s="52" t="s">
        <v>39</v>
      </c>
      <c r="M38" s="52" t="s">
        <v>39</v>
      </c>
      <c r="N38" s="53" t="s">
        <v>39</v>
      </c>
      <c r="O38" s="52" t="s">
        <v>39</v>
      </c>
      <c r="P38" s="53" t="s">
        <v>39</v>
      </c>
      <c r="Q38" s="52" t="s">
        <v>39</v>
      </c>
      <c r="R38" s="53" t="s">
        <v>39</v>
      </c>
      <c r="S38" s="52" t="s">
        <v>39</v>
      </c>
      <c r="T38" s="53" t="s">
        <v>39</v>
      </c>
      <c r="U38" s="52" t="s">
        <v>39</v>
      </c>
      <c r="V38" s="53" t="s">
        <v>39</v>
      </c>
      <c r="W38" s="52" t="s">
        <v>39</v>
      </c>
      <c r="X38" s="53" t="s">
        <v>39</v>
      </c>
      <c r="Y38" s="52" t="s">
        <v>39</v>
      </c>
      <c r="Z38" s="53" t="s">
        <v>39</v>
      </c>
      <c r="AA38" s="52" t="s">
        <v>39</v>
      </c>
      <c r="AB38" s="53" t="s">
        <v>39</v>
      </c>
      <c r="AC38" s="52" t="s">
        <v>39</v>
      </c>
      <c r="AD38" s="53" t="s">
        <v>39</v>
      </c>
      <c r="AE38" s="52" t="s">
        <v>39</v>
      </c>
      <c r="AF38" s="53" t="s">
        <v>39</v>
      </c>
      <c r="AG38" s="52" t="s">
        <v>39</v>
      </c>
      <c r="AH38" s="53" t="s">
        <v>39</v>
      </c>
      <c r="AI38" s="51"/>
      <c r="AJ38" s="78"/>
      <c r="AK38" s="81"/>
      <c r="AL38" s="84"/>
    </row>
    <row r="39" spans="1:38" s="36" customFormat="1" ht="22.9" customHeight="1" thickTop="1" x14ac:dyDescent="0.25">
      <c r="A39" s="96"/>
      <c r="B39" s="99"/>
      <c r="C39" s="111"/>
      <c r="D39" s="111"/>
      <c r="E39" s="90"/>
      <c r="F39" s="90"/>
      <c r="G39" s="90"/>
      <c r="H39" s="90"/>
      <c r="I39" s="93"/>
      <c r="J39" s="86" t="s">
        <v>66</v>
      </c>
      <c r="K39" s="34">
        <v>2</v>
      </c>
      <c r="L39" s="54"/>
      <c r="M39" s="54"/>
      <c r="N39" s="55">
        <f>+L39+M39</f>
        <v>0</v>
      </c>
      <c r="O39" s="54"/>
      <c r="P39" s="55">
        <f t="shared" ref="P39" si="95">+N39+O39</f>
        <v>0</v>
      </c>
      <c r="Q39" s="54">
        <v>1</v>
      </c>
      <c r="R39" s="55">
        <f t="shared" ref="R39" si="96">+P39+Q39</f>
        <v>1</v>
      </c>
      <c r="S39" s="54"/>
      <c r="T39" s="55">
        <f t="shared" ref="T39" si="97">+R39+S39</f>
        <v>1</v>
      </c>
      <c r="U39" s="54">
        <v>1</v>
      </c>
      <c r="V39" s="55">
        <f t="shared" ref="V39" si="98">+T39+U39</f>
        <v>2</v>
      </c>
      <c r="W39" s="54"/>
      <c r="X39" s="55">
        <f t="shared" ref="X39" si="99">+V39+W39</f>
        <v>2</v>
      </c>
      <c r="Y39" s="54"/>
      <c r="Z39" s="55">
        <f t="shared" ref="Z39" si="100">+X39+Y39</f>
        <v>2</v>
      </c>
      <c r="AA39" s="54">
        <v>0</v>
      </c>
      <c r="AB39" s="55">
        <f t="shared" ref="AB39" si="101">+Z39+AA39</f>
        <v>2</v>
      </c>
      <c r="AC39" s="54"/>
      <c r="AD39" s="55">
        <f t="shared" ref="AD39" si="102">+AB39+AC39</f>
        <v>2</v>
      </c>
      <c r="AE39" s="54"/>
      <c r="AF39" s="55">
        <f t="shared" ref="AF39" si="103">+AD39+AE39</f>
        <v>2</v>
      </c>
      <c r="AG39" s="54"/>
      <c r="AH39" s="55">
        <f t="shared" ref="AH39" si="104">+AF39+AG39</f>
        <v>2</v>
      </c>
      <c r="AI39" s="56">
        <f>AH37/K37</f>
        <v>1</v>
      </c>
      <c r="AJ39" s="78"/>
      <c r="AK39" s="81"/>
      <c r="AL39" s="84"/>
    </row>
    <row r="40" spans="1:38" s="36" customFormat="1" ht="22.9" customHeight="1" x14ac:dyDescent="0.25">
      <c r="A40" s="96"/>
      <c r="B40" s="99"/>
      <c r="C40" s="111"/>
      <c r="D40" s="111"/>
      <c r="E40" s="90"/>
      <c r="F40" s="90"/>
      <c r="G40" s="90"/>
      <c r="H40" s="90"/>
      <c r="I40" s="93"/>
      <c r="J40" s="87"/>
      <c r="K40" s="27" t="s">
        <v>40</v>
      </c>
      <c r="L40" s="57" t="s">
        <v>40</v>
      </c>
      <c r="M40" s="57" t="s">
        <v>40</v>
      </c>
      <c r="N40" s="58" t="s">
        <v>40</v>
      </c>
      <c r="O40" s="57" t="s">
        <v>40</v>
      </c>
      <c r="P40" s="58" t="s">
        <v>40</v>
      </c>
      <c r="Q40" s="57" t="s">
        <v>40</v>
      </c>
      <c r="R40" s="58" t="s">
        <v>40</v>
      </c>
      <c r="S40" s="57" t="s">
        <v>40</v>
      </c>
      <c r="T40" s="58" t="s">
        <v>40</v>
      </c>
      <c r="U40" s="57" t="s">
        <v>40</v>
      </c>
      <c r="V40" s="58" t="s">
        <v>40</v>
      </c>
      <c r="W40" s="57" t="s">
        <v>40</v>
      </c>
      <c r="X40" s="58" t="s">
        <v>40</v>
      </c>
      <c r="Y40" s="57" t="s">
        <v>40</v>
      </c>
      <c r="Z40" s="58" t="s">
        <v>40</v>
      </c>
      <c r="AA40" s="57" t="s">
        <v>40</v>
      </c>
      <c r="AB40" s="58" t="s">
        <v>40</v>
      </c>
      <c r="AC40" s="57" t="s">
        <v>40</v>
      </c>
      <c r="AD40" s="58" t="s">
        <v>40</v>
      </c>
      <c r="AE40" s="57" t="s">
        <v>40</v>
      </c>
      <c r="AF40" s="58" t="s">
        <v>40</v>
      </c>
      <c r="AG40" s="57" t="s">
        <v>40</v>
      </c>
      <c r="AH40" s="58" t="s">
        <v>40</v>
      </c>
      <c r="AI40" s="51"/>
      <c r="AJ40" s="78"/>
      <c r="AK40" s="81"/>
      <c r="AL40" s="84"/>
    </row>
    <row r="41" spans="1:38" s="36" customFormat="1" ht="22.9" customHeight="1" thickBot="1" x14ac:dyDescent="0.3">
      <c r="A41" s="97"/>
      <c r="B41" s="100"/>
      <c r="C41" s="112"/>
      <c r="D41" s="112"/>
      <c r="E41" s="91"/>
      <c r="F41" s="91"/>
      <c r="G41" s="91"/>
      <c r="H41" s="91"/>
      <c r="I41" s="94"/>
      <c r="J41" s="88"/>
      <c r="K41" s="35">
        <v>3</v>
      </c>
      <c r="L41" s="59">
        <v>3</v>
      </c>
      <c r="M41" s="59">
        <v>3</v>
      </c>
      <c r="N41" s="60">
        <v>3</v>
      </c>
      <c r="O41" s="59">
        <v>3</v>
      </c>
      <c r="P41" s="60">
        <v>3</v>
      </c>
      <c r="Q41" s="59">
        <v>3</v>
      </c>
      <c r="R41" s="60">
        <v>3</v>
      </c>
      <c r="S41" s="59">
        <v>3</v>
      </c>
      <c r="T41" s="60">
        <v>3</v>
      </c>
      <c r="U41" s="59">
        <v>3</v>
      </c>
      <c r="V41" s="60">
        <v>3</v>
      </c>
      <c r="W41" s="59">
        <v>3</v>
      </c>
      <c r="X41" s="60">
        <v>3</v>
      </c>
      <c r="Y41" s="59">
        <v>3</v>
      </c>
      <c r="Z41" s="60">
        <v>3</v>
      </c>
      <c r="AA41" s="59">
        <v>3</v>
      </c>
      <c r="AB41" s="60">
        <v>3</v>
      </c>
      <c r="AC41" s="59">
        <v>3</v>
      </c>
      <c r="AD41" s="60">
        <v>3</v>
      </c>
      <c r="AE41" s="59">
        <v>3</v>
      </c>
      <c r="AF41" s="60">
        <v>3</v>
      </c>
      <c r="AG41" s="59">
        <v>3</v>
      </c>
      <c r="AH41" s="29">
        <v>3</v>
      </c>
      <c r="AI41" s="61"/>
      <c r="AJ41" s="79"/>
      <c r="AK41" s="82"/>
      <c r="AL41" s="85"/>
    </row>
    <row r="42" spans="1:38" s="36" customFormat="1" ht="22.9" customHeight="1" thickTop="1" x14ac:dyDescent="0.25">
      <c r="A42" s="95" t="s">
        <v>138</v>
      </c>
      <c r="B42" s="98" t="s">
        <v>55</v>
      </c>
      <c r="C42" s="110" t="s">
        <v>83</v>
      </c>
      <c r="D42" s="110" t="s">
        <v>64</v>
      </c>
      <c r="E42" s="89" t="s">
        <v>46</v>
      </c>
      <c r="F42" s="89" t="s">
        <v>173</v>
      </c>
      <c r="G42" s="89" t="s">
        <v>48</v>
      </c>
      <c r="H42" s="89" t="s">
        <v>63</v>
      </c>
      <c r="I42" s="92">
        <f>K43</f>
        <v>0.66666666666666663</v>
      </c>
      <c r="J42" s="86" t="s">
        <v>65</v>
      </c>
      <c r="K42" s="17" t="s">
        <v>38</v>
      </c>
      <c r="L42" s="46" t="s">
        <v>38</v>
      </c>
      <c r="M42" s="46" t="s">
        <v>38</v>
      </c>
      <c r="N42" s="47" t="s">
        <v>38</v>
      </c>
      <c r="O42" s="46" t="s">
        <v>38</v>
      </c>
      <c r="P42" s="47" t="s">
        <v>38</v>
      </c>
      <c r="Q42" s="46" t="s">
        <v>38</v>
      </c>
      <c r="R42" s="47" t="s">
        <v>38</v>
      </c>
      <c r="S42" s="46" t="s">
        <v>38</v>
      </c>
      <c r="T42" s="47" t="s">
        <v>38</v>
      </c>
      <c r="U42" s="46" t="s">
        <v>38</v>
      </c>
      <c r="V42" s="47" t="s">
        <v>38</v>
      </c>
      <c r="W42" s="46" t="s">
        <v>38</v>
      </c>
      <c r="X42" s="47" t="s">
        <v>38</v>
      </c>
      <c r="Y42" s="46" t="s">
        <v>38</v>
      </c>
      <c r="Z42" s="47" t="s">
        <v>38</v>
      </c>
      <c r="AA42" s="46" t="s">
        <v>38</v>
      </c>
      <c r="AB42" s="47" t="s">
        <v>38</v>
      </c>
      <c r="AC42" s="46" t="s">
        <v>38</v>
      </c>
      <c r="AD42" s="47" t="s">
        <v>38</v>
      </c>
      <c r="AE42" s="46" t="s">
        <v>38</v>
      </c>
      <c r="AF42" s="47" t="s">
        <v>38</v>
      </c>
      <c r="AG42" s="46" t="s">
        <v>38</v>
      </c>
      <c r="AH42" s="47" t="s">
        <v>38</v>
      </c>
      <c r="AI42" s="48"/>
      <c r="AJ42" s="77" t="s">
        <v>94</v>
      </c>
      <c r="AK42" s="80"/>
      <c r="AL42" s="83" t="s">
        <v>84</v>
      </c>
    </row>
    <row r="43" spans="1:38" s="36" customFormat="1" ht="22.9" customHeight="1" x14ac:dyDescent="0.25">
      <c r="A43" s="96"/>
      <c r="B43" s="99"/>
      <c r="C43" s="111"/>
      <c r="D43" s="111"/>
      <c r="E43" s="90"/>
      <c r="F43" s="90"/>
      <c r="G43" s="90"/>
      <c r="H43" s="90"/>
      <c r="I43" s="93"/>
      <c r="J43" s="187"/>
      <c r="K43" s="33">
        <f>IF(K45&lt;&gt;0,+K45/K47,0%)</f>
        <v>0.66666666666666663</v>
      </c>
      <c r="L43" s="49">
        <f>IF(L45&lt;&gt;0,+L45/L47,0%)</f>
        <v>0</v>
      </c>
      <c r="M43" s="49">
        <f>IF(M45&lt;&gt;0,+M45/M47,0%)</f>
        <v>0</v>
      </c>
      <c r="N43" s="50">
        <f t="shared" ref="N43" si="105">IF(N45&lt;&gt;0,+N45/N47,0%)</f>
        <v>0</v>
      </c>
      <c r="O43" s="49">
        <f>IF(O45&lt;&gt;0,+O45/O47,0%)</f>
        <v>0</v>
      </c>
      <c r="P43" s="50">
        <f t="shared" ref="P43" si="106">IF(P45&lt;&gt;0,+P45/P47,0%)</f>
        <v>0</v>
      </c>
      <c r="Q43" s="49">
        <f>IF(Q45&lt;&gt;0,+Q45/Q47,0%)</f>
        <v>0.33333333333333331</v>
      </c>
      <c r="R43" s="50">
        <f t="shared" ref="R43" si="107">IF(R45&lt;&gt;0,+R45/R47,0%)</f>
        <v>0.33333333333333331</v>
      </c>
      <c r="S43" s="49">
        <f>IF(S45&lt;&gt;0,+S45/S47,0%)</f>
        <v>0</v>
      </c>
      <c r="T43" s="50">
        <f t="shared" ref="T43" si="108">IF(T45&lt;&gt;0,+T45/T47,0%)</f>
        <v>0.33333333333333331</v>
      </c>
      <c r="U43" s="49">
        <f>IF(U45&lt;&gt;0,+U45/U47,0%)</f>
        <v>0.33333333333333331</v>
      </c>
      <c r="V43" s="50">
        <f t="shared" ref="V43" si="109">IF(V45&lt;&gt;0,+V45/V47,0%)</f>
        <v>0.66666666666666663</v>
      </c>
      <c r="W43" s="49">
        <f>IF(W45&lt;&gt;0,+W45/W47,0%)</f>
        <v>0</v>
      </c>
      <c r="X43" s="50">
        <f t="shared" ref="X43" si="110">IF(X45&lt;&gt;0,+X45/X47,0%)</f>
        <v>0.66666666666666663</v>
      </c>
      <c r="Y43" s="49">
        <f>IF(Y45&lt;&gt;0,+Y45/Y47,0%)</f>
        <v>0</v>
      </c>
      <c r="Z43" s="50">
        <f t="shared" ref="Z43" si="111">IF(Z45&lt;&gt;0,+Z45/Z47,0%)</f>
        <v>0.66666666666666663</v>
      </c>
      <c r="AA43" s="49">
        <f>IF(AA45&lt;&gt;0,+AA45/AA47,0%)</f>
        <v>0</v>
      </c>
      <c r="AB43" s="50">
        <f t="shared" ref="AB43" si="112">IF(AB45&lt;&gt;0,+AB45/AB47,0%)</f>
        <v>0.66666666666666663</v>
      </c>
      <c r="AC43" s="49">
        <f>IF(AC45&lt;&gt;0,+AC45/AC47,0%)</f>
        <v>0</v>
      </c>
      <c r="AD43" s="50">
        <f t="shared" ref="AD43" si="113">IF(AD45&lt;&gt;0,+AD45/AD47,0%)</f>
        <v>0.66666666666666663</v>
      </c>
      <c r="AE43" s="49">
        <f>IF(AE45&lt;&gt;0,+AE45/AE47,0%)</f>
        <v>0</v>
      </c>
      <c r="AF43" s="50">
        <f t="shared" ref="AF43" si="114">IF(AF45&lt;&gt;0,+AF45/AF47,0%)</f>
        <v>0.66666666666666663</v>
      </c>
      <c r="AG43" s="49">
        <f>IF(AG45&lt;&gt;0,+AG45/AG47,0%)</f>
        <v>0</v>
      </c>
      <c r="AH43" s="50">
        <f t="shared" ref="AH43" si="115">IF(AH45&lt;&gt;0,+AH45/AH47,0%)</f>
        <v>0.66666666666666663</v>
      </c>
      <c r="AI43" s="51"/>
      <c r="AJ43" s="78"/>
      <c r="AK43" s="81"/>
      <c r="AL43" s="84"/>
    </row>
    <row r="44" spans="1:38" s="36" customFormat="1" ht="22.9" customHeight="1" thickBot="1" x14ac:dyDescent="0.3">
      <c r="A44" s="96"/>
      <c r="B44" s="99"/>
      <c r="C44" s="111"/>
      <c r="D44" s="111"/>
      <c r="E44" s="90"/>
      <c r="F44" s="90"/>
      <c r="G44" s="90"/>
      <c r="H44" s="90"/>
      <c r="I44" s="93"/>
      <c r="J44" s="188"/>
      <c r="K44" s="23" t="s">
        <v>39</v>
      </c>
      <c r="L44" s="52" t="s">
        <v>39</v>
      </c>
      <c r="M44" s="52" t="s">
        <v>39</v>
      </c>
      <c r="N44" s="53" t="s">
        <v>39</v>
      </c>
      <c r="O44" s="52" t="s">
        <v>39</v>
      </c>
      <c r="P44" s="53" t="s">
        <v>39</v>
      </c>
      <c r="Q44" s="52" t="s">
        <v>39</v>
      </c>
      <c r="R44" s="53" t="s">
        <v>39</v>
      </c>
      <c r="S44" s="52" t="s">
        <v>39</v>
      </c>
      <c r="T44" s="53" t="s">
        <v>39</v>
      </c>
      <c r="U44" s="52" t="s">
        <v>39</v>
      </c>
      <c r="V44" s="53" t="s">
        <v>39</v>
      </c>
      <c r="W44" s="52" t="s">
        <v>39</v>
      </c>
      <c r="X44" s="53" t="s">
        <v>39</v>
      </c>
      <c r="Y44" s="52" t="s">
        <v>39</v>
      </c>
      <c r="Z44" s="53" t="s">
        <v>39</v>
      </c>
      <c r="AA44" s="52" t="s">
        <v>39</v>
      </c>
      <c r="AB44" s="53" t="s">
        <v>39</v>
      </c>
      <c r="AC44" s="52" t="s">
        <v>39</v>
      </c>
      <c r="AD44" s="53" t="s">
        <v>39</v>
      </c>
      <c r="AE44" s="52" t="s">
        <v>39</v>
      </c>
      <c r="AF44" s="53" t="s">
        <v>39</v>
      </c>
      <c r="AG44" s="52" t="s">
        <v>39</v>
      </c>
      <c r="AH44" s="53" t="s">
        <v>39</v>
      </c>
      <c r="AI44" s="51"/>
      <c r="AJ44" s="78"/>
      <c r="AK44" s="81"/>
      <c r="AL44" s="84"/>
    </row>
    <row r="45" spans="1:38" s="36" customFormat="1" ht="22.9" customHeight="1" thickTop="1" x14ac:dyDescent="0.25">
      <c r="A45" s="96"/>
      <c r="B45" s="99"/>
      <c r="C45" s="111"/>
      <c r="D45" s="111"/>
      <c r="E45" s="90"/>
      <c r="F45" s="90"/>
      <c r="G45" s="90"/>
      <c r="H45" s="90"/>
      <c r="I45" s="93"/>
      <c r="J45" s="86" t="s">
        <v>66</v>
      </c>
      <c r="K45" s="34">
        <v>2</v>
      </c>
      <c r="L45" s="54"/>
      <c r="M45" s="54"/>
      <c r="N45" s="55">
        <f>+L45+M45</f>
        <v>0</v>
      </c>
      <c r="O45" s="54"/>
      <c r="P45" s="55">
        <f t="shared" ref="P45" si="116">+N45+O45</f>
        <v>0</v>
      </c>
      <c r="Q45" s="54">
        <v>1</v>
      </c>
      <c r="R45" s="55">
        <f t="shared" ref="R45" si="117">+P45+Q45</f>
        <v>1</v>
      </c>
      <c r="S45" s="54"/>
      <c r="T45" s="55">
        <f t="shared" ref="T45" si="118">+R45+S45</f>
        <v>1</v>
      </c>
      <c r="U45" s="54">
        <v>1</v>
      </c>
      <c r="V45" s="55">
        <f t="shared" ref="V45" si="119">+T45+U45</f>
        <v>2</v>
      </c>
      <c r="W45" s="54"/>
      <c r="X45" s="55">
        <f t="shared" ref="X45" si="120">+V45+W45</f>
        <v>2</v>
      </c>
      <c r="Y45" s="54"/>
      <c r="Z45" s="55">
        <f t="shared" ref="Z45" si="121">+X45+Y45</f>
        <v>2</v>
      </c>
      <c r="AA45" s="54">
        <v>0</v>
      </c>
      <c r="AB45" s="55">
        <f t="shared" ref="AB45" si="122">+Z45+AA45</f>
        <v>2</v>
      </c>
      <c r="AC45" s="54"/>
      <c r="AD45" s="55">
        <f t="shared" ref="AD45" si="123">+AB45+AC45</f>
        <v>2</v>
      </c>
      <c r="AE45" s="54"/>
      <c r="AF45" s="55">
        <f t="shared" ref="AF45" si="124">+AD45+AE45</f>
        <v>2</v>
      </c>
      <c r="AG45" s="54"/>
      <c r="AH45" s="55">
        <f t="shared" ref="AH45" si="125">+AF45+AG45</f>
        <v>2</v>
      </c>
      <c r="AI45" s="56">
        <f>AH43/K43</f>
        <v>1</v>
      </c>
      <c r="AJ45" s="78"/>
      <c r="AK45" s="81"/>
      <c r="AL45" s="84"/>
    </row>
    <row r="46" spans="1:38" s="36" customFormat="1" ht="22.9" customHeight="1" x14ac:dyDescent="0.25">
      <c r="A46" s="96"/>
      <c r="B46" s="99"/>
      <c r="C46" s="111"/>
      <c r="D46" s="111"/>
      <c r="E46" s="90"/>
      <c r="F46" s="90"/>
      <c r="G46" s="90"/>
      <c r="H46" s="90"/>
      <c r="I46" s="93"/>
      <c r="J46" s="87"/>
      <c r="K46" s="27" t="s">
        <v>40</v>
      </c>
      <c r="L46" s="57" t="s">
        <v>40</v>
      </c>
      <c r="M46" s="57" t="s">
        <v>40</v>
      </c>
      <c r="N46" s="58" t="s">
        <v>40</v>
      </c>
      <c r="O46" s="57" t="s">
        <v>40</v>
      </c>
      <c r="P46" s="58" t="s">
        <v>40</v>
      </c>
      <c r="Q46" s="57" t="s">
        <v>40</v>
      </c>
      <c r="R46" s="58" t="s">
        <v>40</v>
      </c>
      <c r="S46" s="57" t="s">
        <v>40</v>
      </c>
      <c r="T46" s="58" t="s">
        <v>40</v>
      </c>
      <c r="U46" s="57" t="s">
        <v>40</v>
      </c>
      <c r="V46" s="58" t="s">
        <v>40</v>
      </c>
      <c r="W46" s="57" t="s">
        <v>40</v>
      </c>
      <c r="X46" s="58" t="s">
        <v>40</v>
      </c>
      <c r="Y46" s="57" t="s">
        <v>40</v>
      </c>
      <c r="Z46" s="58" t="s">
        <v>40</v>
      </c>
      <c r="AA46" s="57" t="s">
        <v>40</v>
      </c>
      <c r="AB46" s="58" t="s">
        <v>40</v>
      </c>
      <c r="AC46" s="57" t="s">
        <v>40</v>
      </c>
      <c r="AD46" s="58" t="s">
        <v>40</v>
      </c>
      <c r="AE46" s="57" t="s">
        <v>40</v>
      </c>
      <c r="AF46" s="58" t="s">
        <v>40</v>
      </c>
      <c r="AG46" s="57" t="s">
        <v>40</v>
      </c>
      <c r="AH46" s="58" t="s">
        <v>40</v>
      </c>
      <c r="AI46" s="51"/>
      <c r="AJ46" s="78"/>
      <c r="AK46" s="81"/>
      <c r="AL46" s="84"/>
    </row>
    <row r="47" spans="1:38" s="36" customFormat="1" ht="22.9" customHeight="1" thickBot="1" x14ac:dyDescent="0.3">
      <c r="A47" s="97"/>
      <c r="B47" s="100"/>
      <c r="C47" s="112"/>
      <c r="D47" s="112"/>
      <c r="E47" s="91"/>
      <c r="F47" s="91"/>
      <c r="G47" s="91"/>
      <c r="H47" s="91"/>
      <c r="I47" s="94"/>
      <c r="J47" s="88"/>
      <c r="K47" s="35">
        <v>3</v>
      </c>
      <c r="L47" s="59">
        <v>3</v>
      </c>
      <c r="M47" s="59">
        <v>3</v>
      </c>
      <c r="N47" s="60">
        <v>3</v>
      </c>
      <c r="O47" s="59">
        <v>3</v>
      </c>
      <c r="P47" s="60">
        <v>3</v>
      </c>
      <c r="Q47" s="59">
        <v>3</v>
      </c>
      <c r="R47" s="60">
        <v>3</v>
      </c>
      <c r="S47" s="59">
        <v>3</v>
      </c>
      <c r="T47" s="60">
        <v>3</v>
      </c>
      <c r="U47" s="59">
        <v>3</v>
      </c>
      <c r="V47" s="60">
        <v>3</v>
      </c>
      <c r="W47" s="59">
        <v>3</v>
      </c>
      <c r="X47" s="60">
        <v>3</v>
      </c>
      <c r="Y47" s="59">
        <v>3</v>
      </c>
      <c r="Z47" s="60">
        <v>3</v>
      </c>
      <c r="AA47" s="59">
        <v>3</v>
      </c>
      <c r="AB47" s="60">
        <v>3</v>
      </c>
      <c r="AC47" s="59">
        <v>3</v>
      </c>
      <c r="AD47" s="60">
        <v>3</v>
      </c>
      <c r="AE47" s="59">
        <v>3</v>
      </c>
      <c r="AF47" s="60">
        <v>3</v>
      </c>
      <c r="AG47" s="59">
        <v>3</v>
      </c>
      <c r="AH47" s="29">
        <v>3</v>
      </c>
      <c r="AI47" s="61"/>
      <c r="AJ47" s="79"/>
      <c r="AK47" s="82"/>
      <c r="AL47" s="85"/>
    </row>
    <row r="48" spans="1:38" ht="13.5" thickTop="1" x14ac:dyDescent="0.3"/>
    <row r="284" spans="5:5" x14ac:dyDescent="0.3">
      <c r="E284" s="4" t="s">
        <v>30</v>
      </c>
    </row>
  </sheetData>
  <mergeCells count="131">
    <mergeCell ref="AL36:AL41"/>
    <mergeCell ref="J39:J41"/>
    <mergeCell ref="I36:I41"/>
    <mergeCell ref="J36:J38"/>
    <mergeCell ref="AJ36:AJ41"/>
    <mergeCell ref="G36:G41"/>
    <mergeCell ref="H36:H41"/>
    <mergeCell ref="A36:A41"/>
    <mergeCell ref="B36:B41"/>
    <mergeCell ref="C36:C41"/>
    <mergeCell ref="D36:D41"/>
    <mergeCell ref="E36:E41"/>
    <mergeCell ref="F36:F41"/>
    <mergeCell ref="AK36:AK41"/>
    <mergeCell ref="I30:I35"/>
    <mergeCell ref="J30:J32"/>
    <mergeCell ref="AJ30:AJ35"/>
    <mergeCell ref="AK30:AK35"/>
    <mergeCell ref="AL30:AL35"/>
    <mergeCell ref="J33:J35"/>
    <mergeCell ref="AL24:AL29"/>
    <mergeCell ref="J27:J29"/>
    <mergeCell ref="I24:I29"/>
    <mergeCell ref="J24:J26"/>
    <mergeCell ref="AJ24:AJ29"/>
    <mergeCell ref="AK24:AK29"/>
    <mergeCell ref="A30:A35"/>
    <mergeCell ref="B30:B35"/>
    <mergeCell ref="C30:C35"/>
    <mergeCell ref="D30:D35"/>
    <mergeCell ref="E30:E35"/>
    <mergeCell ref="F30:F35"/>
    <mergeCell ref="G30:G35"/>
    <mergeCell ref="H30:H35"/>
    <mergeCell ref="H24:H29"/>
    <mergeCell ref="AK18:AK23"/>
    <mergeCell ref="AL18:AL23"/>
    <mergeCell ref="J21:J23"/>
    <mergeCell ref="A24:A29"/>
    <mergeCell ref="B24:B29"/>
    <mergeCell ref="C24:C29"/>
    <mergeCell ref="D24:D29"/>
    <mergeCell ref="E24:E29"/>
    <mergeCell ref="F24:F29"/>
    <mergeCell ref="G24:G29"/>
    <mergeCell ref="G18:G23"/>
    <mergeCell ref="H18:H23"/>
    <mergeCell ref="I18:I23"/>
    <mergeCell ref="J18:J20"/>
    <mergeCell ref="AJ18:AJ23"/>
    <mergeCell ref="A18:A23"/>
    <mergeCell ref="B18:B23"/>
    <mergeCell ref="C18:C23"/>
    <mergeCell ref="D18:D23"/>
    <mergeCell ref="E18:E23"/>
    <mergeCell ref="F18:F23"/>
    <mergeCell ref="I12:I17"/>
    <mergeCell ref="J12:J14"/>
    <mergeCell ref="AJ12:AJ17"/>
    <mergeCell ref="AK12:AK17"/>
    <mergeCell ref="AL12:AL17"/>
    <mergeCell ref="J15:J17"/>
    <mergeCell ref="AK10:AK11"/>
    <mergeCell ref="AL10:AL11"/>
    <mergeCell ref="AF10:AF11"/>
    <mergeCell ref="AG10:AG11"/>
    <mergeCell ref="AH10:AH11"/>
    <mergeCell ref="AI10:AI11"/>
    <mergeCell ref="AJ10:AJ11"/>
    <mergeCell ref="P10:P11"/>
    <mergeCell ref="Q10:Q11"/>
    <mergeCell ref="R10:R11"/>
    <mergeCell ref="A12:A17"/>
    <mergeCell ref="B12:B17"/>
    <mergeCell ref="C12:C17"/>
    <mergeCell ref="D12:D17"/>
    <mergeCell ref="E12:E17"/>
    <mergeCell ref="F12:F17"/>
    <mergeCell ref="G12:G17"/>
    <mergeCell ref="H12:H17"/>
    <mergeCell ref="AE10:AE11"/>
    <mergeCell ref="Y10:Y11"/>
    <mergeCell ref="Z10:Z11"/>
    <mergeCell ref="AA10:AA11"/>
    <mergeCell ref="AB10:AB11"/>
    <mergeCell ref="AC10:AC11"/>
    <mergeCell ref="AD10:AD11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N1:Q1"/>
    <mergeCell ref="N2:Q2"/>
    <mergeCell ref="N3:Q3"/>
    <mergeCell ref="N5:Q5"/>
    <mergeCell ref="A10:A11"/>
    <mergeCell ref="B10:B11"/>
    <mergeCell ref="C10:C11"/>
    <mergeCell ref="D10:D11"/>
    <mergeCell ref="E10:E11"/>
    <mergeCell ref="F10:F11"/>
    <mergeCell ref="G10:G11"/>
    <mergeCell ref="B1:D5"/>
    <mergeCell ref="E1:M5"/>
    <mergeCell ref="H10:H11"/>
    <mergeCell ref="I10:I11"/>
    <mergeCell ref="J10:J11"/>
    <mergeCell ref="K10:K11"/>
    <mergeCell ref="L10:L11"/>
    <mergeCell ref="B6:D6"/>
    <mergeCell ref="E6:M6"/>
    <mergeCell ref="N6:Q6"/>
    <mergeCell ref="J42:J44"/>
    <mergeCell ref="AJ42:AJ47"/>
    <mergeCell ref="AK42:AK47"/>
    <mergeCell ref="AL42:AL47"/>
    <mergeCell ref="J45:J47"/>
    <mergeCell ref="A42:A47"/>
    <mergeCell ref="B42:B47"/>
    <mergeCell ref="C42:C47"/>
    <mergeCell ref="D42:D47"/>
    <mergeCell ref="E42:E47"/>
    <mergeCell ref="F42:F47"/>
    <mergeCell ref="G42:G47"/>
    <mergeCell ref="H42:H47"/>
    <mergeCell ref="I42:I4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7EA5-6E9C-4329-A9D6-07A8079DEF5C}">
  <dimension ref="A1:AM253"/>
  <sheetViews>
    <sheetView topLeftCell="A8" zoomScale="90" zoomScaleNormal="90" workbookViewId="0">
      <pane xSplit="1" ySplit="1" topLeftCell="B9" activePane="bottomRight" state="frozen"/>
      <selection activeCell="A8" sqref="A8"/>
      <selection pane="topRight" activeCell="B8" sqref="B8"/>
      <selection pane="bottomLeft" activeCell="A9" sqref="A9"/>
      <selection pane="bottomRight" activeCell="B109" sqref="B109"/>
    </sheetView>
  </sheetViews>
  <sheetFormatPr baseColWidth="10" defaultColWidth="11.453125" defaultRowHeight="13" x14ac:dyDescent="0.3"/>
  <cols>
    <col min="1" max="1" width="15.81640625" style="4" customWidth="1"/>
    <col min="2" max="3" width="26.7265625" style="4" customWidth="1"/>
    <col min="4" max="4" width="24.7265625" style="4" customWidth="1"/>
    <col min="5" max="5" width="22.453125" style="4" customWidth="1"/>
    <col min="6" max="6" width="14.54296875" style="4" customWidth="1"/>
    <col min="7" max="7" width="23.453125" style="4" customWidth="1"/>
    <col min="8" max="8" width="18" style="4" customWidth="1"/>
    <col min="9" max="9" width="11.1796875" style="4" customWidth="1"/>
    <col min="10" max="10" width="28.54296875" style="4" customWidth="1"/>
    <col min="11" max="11" width="17" style="4" customWidth="1"/>
    <col min="12" max="12" width="11.1796875" style="4" customWidth="1"/>
    <col min="13" max="13" width="11.7265625" style="3" customWidth="1"/>
    <col min="14" max="34" width="10.7265625" style="3" customWidth="1"/>
    <col min="35" max="35" width="16" style="3" customWidth="1"/>
    <col min="36" max="36" width="44" style="3" customWidth="1"/>
    <col min="37" max="37" width="12.54296875" style="4" customWidth="1"/>
    <col min="38" max="38" width="34.54296875" style="4" customWidth="1"/>
    <col min="39" max="39" width="21.26953125" style="4" customWidth="1"/>
    <col min="40" max="40" width="2.26953125" style="4" customWidth="1"/>
    <col min="41" max="16384" width="11.453125" style="4"/>
  </cols>
  <sheetData>
    <row r="1" spans="1:39" s="13" customFormat="1" ht="12.75" customHeight="1" x14ac:dyDescent="0.35">
      <c r="B1" s="174"/>
      <c r="C1" s="174"/>
      <c r="D1" s="175"/>
      <c r="E1" s="156" t="s">
        <v>0</v>
      </c>
      <c r="F1" s="150"/>
      <c r="G1" s="150"/>
      <c r="H1" s="150"/>
      <c r="I1" s="150"/>
      <c r="J1" s="150"/>
      <c r="K1" s="150"/>
      <c r="L1" s="150"/>
      <c r="M1" s="157"/>
      <c r="N1" s="156" t="s">
        <v>50</v>
      </c>
      <c r="O1" s="151"/>
      <c r="P1" s="151"/>
      <c r="Q1" s="152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9" s="13" customFormat="1" ht="12.75" customHeight="1" x14ac:dyDescent="0.35">
      <c r="B2" s="176"/>
      <c r="C2" s="176"/>
      <c r="D2" s="177"/>
      <c r="E2" s="158"/>
      <c r="F2" s="153"/>
      <c r="G2" s="153"/>
      <c r="H2" s="153"/>
      <c r="I2" s="153"/>
      <c r="J2" s="153"/>
      <c r="K2" s="153"/>
      <c r="L2" s="153"/>
      <c r="M2" s="159"/>
      <c r="N2" s="198" t="s">
        <v>51</v>
      </c>
      <c r="O2" s="163"/>
      <c r="P2" s="163"/>
      <c r="Q2" s="16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9" s="13" customFormat="1" ht="15.75" customHeight="1" x14ac:dyDescent="0.35">
      <c r="B3" s="176"/>
      <c r="C3" s="176"/>
      <c r="D3" s="177"/>
      <c r="E3" s="158"/>
      <c r="F3" s="153"/>
      <c r="G3" s="153"/>
      <c r="H3" s="153"/>
      <c r="I3" s="153"/>
      <c r="J3" s="153"/>
      <c r="K3" s="153"/>
      <c r="L3" s="153"/>
      <c r="M3" s="159"/>
      <c r="N3" s="158"/>
      <c r="O3" s="154"/>
      <c r="P3" s="154"/>
      <c r="Q3" s="155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1:39" s="13" customFormat="1" ht="12.75" customHeight="1" x14ac:dyDescent="0.35">
      <c r="B4" s="176"/>
      <c r="C4" s="176"/>
      <c r="D4" s="177"/>
      <c r="E4" s="158"/>
      <c r="F4" s="153"/>
      <c r="G4" s="153"/>
      <c r="H4" s="153"/>
      <c r="I4" s="153"/>
      <c r="J4" s="153"/>
      <c r="K4" s="153"/>
      <c r="L4" s="153"/>
      <c r="M4" s="159"/>
      <c r="N4" s="39"/>
      <c r="O4" s="15"/>
      <c r="P4" s="15"/>
      <c r="Q4" s="16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9" s="13" customFormat="1" ht="20.25" customHeight="1" x14ac:dyDescent="0.35">
      <c r="B5" s="178"/>
      <c r="C5" s="178"/>
      <c r="D5" s="179"/>
      <c r="E5" s="160"/>
      <c r="F5" s="161"/>
      <c r="G5" s="161"/>
      <c r="H5" s="161"/>
      <c r="I5" s="161"/>
      <c r="J5" s="161"/>
      <c r="K5" s="161"/>
      <c r="L5" s="161"/>
      <c r="M5" s="162"/>
      <c r="N5" s="199" t="s">
        <v>52</v>
      </c>
      <c r="O5" s="166"/>
      <c r="P5" s="166"/>
      <c r="Q5" s="167"/>
      <c r="R5" s="14"/>
      <c r="S5" s="14"/>
      <c r="T5" s="14"/>
      <c r="U5" s="14" t="s">
        <v>31</v>
      </c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9" ht="15.75" customHeight="1" x14ac:dyDescent="0.3">
      <c r="B6" s="200" t="s">
        <v>29</v>
      </c>
      <c r="C6" s="201"/>
      <c r="D6" s="202"/>
      <c r="E6" s="203" t="s">
        <v>34</v>
      </c>
      <c r="F6" s="204"/>
      <c r="G6" s="204"/>
      <c r="H6" s="204"/>
      <c r="I6" s="204"/>
      <c r="J6" s="204"/>
      <c r="K6" s="204"/>
      <c r="L6" s="204"/>
      <c r="M6" s="205"/>
      <c r="N6" s="203" t="s">
        <v>53</v>
      </c>
      <c r="O6" s="204"/>
      <c r="P6" s="204"/>
      <c r="Q6" s="205"/>
    </row>
    <row r="7" spans="1:39" s="13" customFormat="1" ht="16.5" customHeight="1" x14ac:dyDescent="0.35">
      <c r="E7" s="10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9" s="13" customFormat="1" ht="15.5" x14ac:dyDescent="0.35">
      <c r="B8" s="5" t="s">
        <v>165</v>
      </c>
      <c r="C8" s="10"/>
      <c r="D8" s="12"/>
      <c r="E8" s="40"/>
      <c r="L8" s="41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42"/>
      <c r="AA8" s="14"/>
      <c r="AB8" s="14"/>
      <c r="AC8" s="14"/>
      <c r="AD8" s="14"/>
      <c r="AE8" s="42"/>
      <c r="AF8" s="14"/>
      <c r="AG8" s="14"/>
      <c r="AH8" s="14"/>
      <c r="AI8" s="14"/>
      <c r="AJ8" s="42"/>
    </row>
    <row r="9" spans="1:39" s="13" customFormat="1" ht="16" thickBot="1" x14ac:dyDescent="0.4">
      <c r="B9" s="5"/>
      <c r="C9" s="5"/>
      <c r="D9" s="5"/>
      <c r="E9" s="10"/>
      <c r="M9" s="14"/>
      <c r="N9" s="14"/>
      <c r="O9" s="43"/>
      <c r="P9" s="43"/>
      <c r="Q9" s="44"/>
      <c r="R9" s="43"/>
      <c r="S9" s="43"/>
      <c r="T9" s="43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43"/>
      <c r="AI9" s="43"/>
      <c r="AJ9" s="43"/>
      <c r="AK9" s="45"/>
      <c r="AL9" s="45"/>
      <c r="AM9" s="45"/>
    </row>
    <row r="10" spans="1:39" s="2" customFormat="1" ht="22.9" customHeight="1" thickTop="1" x14ac:dyDescent="0.25">
      <c r="A10" s="113" t="s">
        <v>41</v>
      </c>
      <c r="B10" s="113" t="s">
        <v>35</v>
      </c>
      <c r="C10" s="113" t="s">
        <v>1</v>
      </c>
      <c r="D10" s="145" t="s">
        <v>2</v>
      </c>
      <c r="E10" s="130" t="s">
        <v>32</v>
      </c>
      <c r="F10" s="130" t="s">
        <v>36</v>
      </c>
      <c r="G10" s="130" t="s">
        <v>33</v>
      </c>
      <c r="H10" s="130" t="s">
        <v>37</v>
      </c>
      <c r="I10" s="130" t="s">
        <v>144</v>
      </c>
      <c r="J10" s="145" t="s">
        <v>3</v>
      </c>
      <c r="K10" s="145" t="s">
        <v>28</v>
      </c>
      <c r="L10" s="145" t="s">
        <v>4</v>
      </c>
      <c r="M10" s="145" t="s">
        <v>5</v>
      </c>
      <c r="N10" s="113" t="s">
        <v>6</v>
      </c>
      <c r="O10" s="145" t="s">
        <v>7</v>
      </c>
      <c r="P10" s="145" t="s">
        <v>8</v>
      </c>
      <c r="Q10" s="145" t="s">
        <v>9</v>
      </c>
      <c r="R10" s="145" t="s">
        <v>10</v>
      </c>
      <c r="S10" s="145" t="s">
        <v>11</v>
      </c>
      <c r="T10" s="113" t="s">
        <v>12</v>
      </c>
      <c r="U10" s="113" t="s">
        <v>13</v>
      </c>
      <c r="V10" s="145" t="s">
        <v>14</v>
      </c>
      <c r="W10" s="147" t="s">
        <v>15</v>
      </c>
      <c r="X10" s="145" t="s">
        <v>16</v>
      </c>
      <c r="Y10" s="145" t="s">
        <v>17</v>
      </c>
      <c r="Z10" s="145" t="s">
        <v>18</v>
      </c>
      <c r="AA10" s="145" t="s">
        <v>19</v>
      </c>
      <c r="AB10" s="145" t="s">
        <v>20</v>
      </c>
      <c r="AC10" s="145" t="s">
        <v>21</v>
      </c>
      <c r="AD10" s="145" t="s">
        <v>22</v>
      </c>
      <c r="AE10" s="113" t="s">
        <v>23</v>
      </c>
      <c r="AF10" s="145" t="s">
        <v>24</v>
      </c>
      <c r="AG10" s="145" t="s">
        <v>25</v>
      </c>
      <c r="AH10" s="130" t="s">
        <v>145</v>
      </c>
      <c r="AI10" s="145" t="s">
        <v>26</v>
      </c>
      <c r="AJ10" s="145" t="s">
        <v>27</v>
      </c>
      <c r="AK10" s="130" t="s">
        <v>43</v>
      </c>
      <c r="AL10" s="145" t="s">
        <v>42</v>
      </c>
    </row>
    <row r="11" spans="1:39" s="2" customFormat="1" ht="22.9" customHeight="1" thickBot="1" x14ac:dyDescent="0.3">
      <c r="A11" s="114"/>
      <c r="B11" s="114"/>
      <c r="C11" s="114"/>
      <c r="D11" s="149"/>
      <c r="E11" s="131"/>
      <c r="F11" s="131"/>
      <c r="G11" s="131"/>
      <c r="H11" s="131"/>
      <c r="I11" s="131"/>
      <c r="J11" s="149"/>
      <c r="K11" s="165"/>
      <c r="L11" s="149"/>
      <c r="M11" s="149"/>
      <c r="N11" s="114"/>
      <c r="O11" s="149"/>
      <c r="P11" s="149"/>
      <c r="Q11" s="149"/>
      <c r="R11" s="146"/>
      <c r="S11" s="149"/>
      <c r="T11" s="144"/>
      <c r="U11" s="144"/>
      <c r="V11" s="146"/>
      <c r="W11" s="148"/>
      <c r="X11" s="149"/>
      <c r="Y11" s="146"/>
      <c r="Z11" s="146"/>
      <c r="AA11" s="146"/>
      <c r="AB11" s="146"/>
      <c r="AC11" s="146"/>
      <c r="AD11" s="146"/>
      <c r="AE11" s="144"/>
      <c r="AF11" s="146"/>
      <c r="AG11" s="149"/>
      <c r="AH11" s="131"/>
      <c r="AI11" s="149"/>
      <c r="AJ11" s="186"/>
      <c r="AK11" s="131"/>
      <c r="AL11" s="149"/>
    </row>
    <row r="12" spans="1:39" s="36" customFormat="1" ht="22.9" customHeight="1" thickTop="1" x14ac:dyDescent="0.25">
      <c r="A12" s="95" t="s">
        <v>153</v>
      </c>
      <c r="B12" s="98" t="s">
        <v>55</v>
      </c>
      <c r="C12" s="210" t="s">
        <v>90</v>
      </c>
      <c r="D12" s="110" t="s">
        <v>91</v>
      </c>
      <c r="E12" s="89" t="s">
        <v>92</v>
      </c>
      <c r="F12" s="89" t="s">
        <v>173</v>
      </c>
      <c r="G12" s="89" t="s">
        <v>48</v>
      </c>
      <c r="H12" s="89" t="s">
        <v>63</v>
      </c>
      <c r="I12" s="92">
        <f>K13</f>
        <v>0.66666666666666663</v>
      </c>
      <c r="J12" s="86" t="s">
        <v>93</v>
      </c>
      <c r="K12" s="17" t="s">
        <v>38</v>
      </c>
      <c r="L12" s="17" t="s">
        <v>38</v>
      </c>
      <c r="M12" s="17" t="s">
        <v>38</v>
      </c>
      <c r="N12" s="18" t="s">
        <v>38</v>
      </c>
      <c r="O12" s="17" t="s">
        <v>38</v>
      </c>
      <c r="P12" s="18" t="s">
        <v>38</v>
      </c>
      <c r="Q12" s="17" t="s">
        <v>38</v>
      </c>
      <c r="R12" s="18" t="s">
        <v>38</v>
      </c>
      <c r="S12" s="17" t="s">
        <v>38</v>
      </c>
      <c r="T12" s="18" t="s">
        <v>38</v>
      </c>
      <c r="U12" s="17" t="s">
        <v>38</v>
      </c>
      <c r="V12" s="18" t="s">
        <v>38</v>
      </c>
      <c r="W12" s="17" t="s">
        <v>38</v>
      </c>
      <c r="X12" s="18" t="s">
        <v>38</v>
      </c>
      <c r="Y12" s="17" t="s">
        <v>38</v>
      </c>
      <c r="Z12" s="18" t="s">
        <v>38</v>
      </c>
      <c r="AA12" s="17" t="s">
        <v>38</v>
      </c>
      <c r="AB12" s="18" t="s">
        <v>38</v>
      </c>
      <c r="AC12" s="17" t="s">
        <v>38</v>
      </c>
      <c r="AD12" s="18" t="s">
        <v>38</v>
      </c>
      <c r="AE12" s="17" t="s">
        <v>38</v>
      </c>
      <c r="AF12" s="18" t="s">
        <v>38</v>
      </c>
      <c r="AG12" s="17" t="s">
        <v>38</v>
      </c>
      <c r="AH12" s="18" t="s">
        <v>38</v>
      </c>
      <c r="AI12" s="19"/>
      <c r="AJ12" s="77" t="s">
        <v>94</v>
      </c>
      <c r="AK12" s="80"/>
      <c r="AL12" s="217" t="s">
        <v>98</v>
      </c>
    </row>
    <row r="13" spans="1:39" s="36" customFormat="1" ht="22.9" customHeight="1" x14ac:dyDescent="0.25">
      <c r="A13" s="96"/>
      <c r="B13" s="99"/>
      <c r="C13" s="102"/>
      <c r="D13" s="111"/>
      <c r="E13" s="90"/>
      <c r="F13" s="90"/>
      <c r="G13" s="90"/>
      <c r="H13" s="90"/>
      <c r="I13" s="93"/>
      <c r="J13" s="187"/>
      <c r="K13" s="33">
        <f t="shared" ref="K13:AH13" si="0">IF(K15&lt;&gt;0,+K15/K17,0%)</f>
        <v>0.66666666666666663</v>
      </c>
      <c r="L13" s="20">
        <f t="shared" si="0"/>
        <v>0</v>
      </c>
      <c r="M13" s="20">
        <f t="shared" si="0"/>
        <v>0</v>
      </c>
      <c r="N13" s="21">
        <f t="shared" si="0"/>
        <v>0</v>
      </c>
      <c r="O13" s="20">
        <f t="shared" si="0"/>
        <v>0</v>
      </c>
      <c r="P13" s="21">
        <f t="shared" si="0"/>
        <v>0</v>
      </c>
      <c r="Q13" s="20">
        <f t="shared" si="0"/>
        <v>0.33333333333333331</v>
      </c>
      <c r="R13" s="21">
        <f t="shared" si="0"/>
        <v>0.33333333333333331</v>
      </c>
      <c r="S13" s="20">
        <f t="shared" si="0"/>
        <v>0</v>
      </c>
      <c r="T13" s="21">
        <f t="shared" si="0"/>
        <v>0.33333333333333331</v>
      </c>
      <c r="U13" s="20">
        <f t="shared" si="0"/>
        <v>0.33333333333333331</v>
      </c>
      <c r="V13" s="21">
        <f t="shared" si="0"/>
        <v>0.66666666666666663</v>
      </c>
      <c r="W13" s="20">
        <f t="shared" si="0"/>
        <v>0</v>
      </c>
      <c r="X13" s="21">
        <f t="shared" si="0"/>
        <v>0.66666666666666663</v>
      </c>
      <c r="Y13" s="20">
        <f t="shared" si="0"/>
        <v>0</v>
      </c>
      <c r="Z13" s="21">
        <f t="shared" si="0"/>
        <v>0.66666666666666663</v>
      </c>
      <c r="AA13" s="20">
        <f t="shared" si="0"/>
        <v>0</v>
      </c>
      <c r="AB13" s="21">
        <f t="shared" si="0"/>
        <v>0.66666666666666663</v>
      </c>
      <c r="AC13" s="20">
        <f t="shared" si="0"/>
        <v>0</v>
      </c>
      <c r="AD13" s="21">
        <f t="shared" si="0"/>
        <v>0.66666666666666663</v>
      </c>
      <c r="AE13" s="20">
        <f t="shared" si="0"/>
        <v>0</v>
      </c>
      <c r="AF13" s="21">
        <f t="shared" si="0"/>
        <v>0.66666666666666663</v>
      </c>
      <c r="AG13" s="20">
        <f t="shared" si="0"/>
        <v>0</v>
      </c>
      <c r="AH13" s="21">
        <f t="shared" si="0"/>
        <v>0.66666666666666663</v>
      </c>
      <c r="AI13" s="22"/>
      <c r="AJ13" s="78"/>
      <c r="AK13" s="81"/>
      <c r="AL13" s="218"/>
    </row>
    <row r="14" spans="1:39" s="36" customFormat="1" ht="22.9" customHeight="1" thickBot="1" x14ac:dyDescent="0.3">
      <c r="A14" s="96"/>
      <c r="B14" s="99"/>
      <c r="C14" s="102"/>
      <c r="D14" s="111"/>
      <c r="E14" s="90"/>
      <c r="F14" s="90"/>
      <c r="G14" s="90"/>
      <c r="H14" s="90"/>
      <c r="I14" s="93"/>
      <c r="J14" s="188"/>
      <c r="K14" s="23" t="s">
        <v>39</v>
      </c>
      <c r="L14" s="23" t="s">
        <v>39</v>
      </c>
      <c r="M14" s="23" t="s">
        <v>39</v>
      </c>
      <c r="N14" s="24" t="s">
        <v>39</v>
      </c>
      <c r="O14" s="23" t="s">
        <v>39</v>
      </c>
      <c r="P14" s="24" t="s">
        <v>39</v>
      </c>
      <c r="Q14" s="23" t="s">
        <v>39</v>
      </c>
      <c r="R14" s="24" t="s">
        <v>39</v>
      </c>
      <c r="S14" s="23" t="s">
        <v>39</v>
      </c>
      <c r="T14" s="24" t="s">
        <v>39</v>
      </c>
      <c r="U14" s="23" t="s">
        <v>39</v>
      </c>
      <c r="V14" s="24" t="s">
        <v>39</v>
      </c>
      <c r="W14" s="23" t="s">
        <v>39</v>
      </c>
      <c r="X14" s="24" t="s">
        <v>39</v>
      </c>
      <c r="Y14" s="23" t="s">
        <v>39</v>
      </c>
      <c r="Z14" s="24" t="s">
        <v>39</v>
      </c>
      <c r="AA14" s="23" t="s">
        <v>39</v>
      </c>
      <c r="AB14" s="24" t="s">
        <v>39</v>
      </c>
      <c r="AC14" s="23" t="s">
        <v>39</v>
      </c>
      <c r="AD14" s="24" t="s">
        <v>39</v>
      </c>
      <c r="AE14" s="23" t="s">
        <v>39</v>
      </c>
      <c r="AF14" s="24" t="s">
        <v>39</v>
      </c>
      <c r="AG14" s="23" t="s">
        <v>39</v>
      </c>
      <c r="AH14" s="24" t="s">
        <v>39</v>
      </c>
      <c r="AI14" s="22"/>
      <c r="AJ14" s="78"/>
      <c r="AK14" s="81"/>
      <c r="AL14" s="218"/>
    </row>
    <row r="15" spans="1:39" s="36" customFormat="1" ht="22.9" customHeight="1" thickTop="1" x14ac:dyDescent="0.25">
      <c r="A15" s="96"/>
      <c r="B15" s="99"/>
      <c r="C15" s="102"/>
      <c r="D15" s="111"/>
      <c r="E15" s="90"/>
      <c r="F15" s="90"/>
      <c r="G15" s="90"/>
      <c r="H15" s="90"/>
      <c r="I15" s="93"/>
      <c r="J15" s="86" t="s">
        <v>95</v>
      </c>
      <c r="K15" s="34">
        <v>2</v>
      </c>
      <c r="L15" s="54"/>
      <c r="M15" s="54"/>
      <c r="N15" s="55">
        <f>+L15+M15</f>
        <v>0</v>
      </c>
      <c r="O15" s="54"/>
      <c r="P15" s="55">
        <f t="shared" ref="P15:AH15" si="1">+N15+O15</f>
        <v>0</v>
      </c>
      <c r="Q15" s="54">
        <v>1</v>
      </c>
      <c r="R15" s="55">
        <f t="shared" si="1"/>
        <v>1</v>
      </c>
      <c r="S15" s="54"/>
      <c r="T15" s="55">
        <f t="shared" si="1"/>
        <v>1</v>
      </c>
      <c r="U15" s="54">
        <v>1</v>
      </c>
      <c r="V15" s="55">
        <f t="shared" si="1"/>
        <v>2</v>
      </c>
      <c r="W15" s="54"/>
      <c r="X15" s="55">
        <f t="shared" si="1"/>
        <v>2</v>
      </c>
      <c r="Y15" s="54"/>
      <c r="Z15" s="55">
        <f t="shared" si="1"/>
        <v>2</v>
      </c>
      <c r="AA15" s="54">
        <v>0</v>
      </c>
      <c r="AB15" s="55">
        <f t="shared" si="1"/>
        <v>2</v>
      </c>
      <c r="AC15" s="54"/>
      <c r="AD15" s="55">
        <f t="shared" si="1"/>
        <v>2</v>
      </c>
      <c r="AE15" s="54"/>
      <c r="AF15" s="55">
        <f t="shared" si="1"/>
        <v>2</v>
      </c>
      <c r="AG15" s="54"/>
      <c r="AH15" s="55">
        <f t="shared" si="1"/>
        <v>2</v>
      </c>
      <c r="AI15" s="26">
        <f>AH13/K13</f>
        <v>1</v>
      </c>
      <c r="AJ15" s="78"/>
      <c r="AK15" s="81"/>
      <c r="AL15" s="218"/>
    </row>
    <row r="16" spans="1:39" s="36" customFormat="1" ht="22.9" customHeight="1" x14ac:dyDescent="0.25">
      <c r="A16" s="96"/>
      <c r="B16" s="99"/>
      <c r="C16" s="102"/>
      <c r="D16" s="111"/>
      <c r="E16" s="90"/>
      <c r="F16" s="90"/>
      <c r="G16" s="90"/>
      <c r="H16" s="90"/>
      <c r="I16" s="93"/>
      <c r="J16" s="87"/>
      <c r="K16" s="27" t="s">
        <v>40</v>
      </c>
      <c r="L16" s="57" t="s">
        <v>40</v>
      </c>
      <c r="M16" s="57" t="s">
        <v>40</v>
      </c>
      <c r="N16" s="58" t="s">
        <v>40</v>
      </c>
      <c r="O16" s="57" t="s">
        <v>40</v>
      </c>
      <c r="P16" s="58" t="s">
        <v>40</v>
      </c>
      <c r="Q16" s="57" t="s">
        <v>40</v>
      </c>
      <c r="R16" s="58" t="s">
        <v>40</v>
      </c>
      <c r="S16" s="57" t="s">
        <v>40</v>
      </c>
      <c r="T16" s="58" t="s">
        <v>40</v>
      </c>
      <c r="U16" s="57" t="s">
        <v>40</v>
      </c>
      <c r="V16" s="58" t="s">
        <v>40</v>
      </c>
      <c r="W16" s="57" t="s">
        <v>40</v>
      </c>
      <c r="X16" s="58" t="s">
        <v>40</v>
      </c>
      <c r="Y16" s="57" t="s">
        <v>40</v>
      </c>
      <c r="Z16" s="58" t="s">
        <v>40</v>
      </c>
      <c r="AA16" s="57" t="s">
        <v>40</v>
      </c>
      <c r="AB16" s="58" t="s">
        <v>40</v>
      </c>
      <c r="AC16" s="57" t="s">
        <v>40</v>
      </c>
      <c r="AD16" s="58" t="s">
        <v>40</v>
      </c>
      <c r="AE16" s="57" t="s">
        <v>40</v>
      </c>
      <c r="AF16" s="58" t="s">
        <v>40</v>
      </c>
      <c r="AG16" s="57" t="s">
        <v>40</v>
      </c>
      <c r="AH16" s="58" t="s">
        <v>40</v>
      </c>
      <c r="AI16" s="22"/>
      <c r="AJ16" s="78"/>
      <c r="AK16" s="81"/>
      <c r="AL16" s="218"/>
    </row>
    <row r="17" spans="1:38" s="36" customFormat="1" ht="22.9" customHeight="1" thickBot="1" x14ac:dyDescent="0.3">
      <c r="A17" s="97"/>
      <c r="B17" s="100"/>
      <c r="C17" s="103"/>
      <c r="D17" s="112"/>
      <c r="E17" s="91"/>
      <c r="F17" s="91"/>
      <c r="G17" s="91"/>
      <c r="H17" s="91"/>
      <c r="I17" s="94"/>
      <c r="J17" s="88"/>
      <c r="K17" s="35">
        <v>3</v>
      </c>
      <c r="L17" s="59">
        <v>3</v>
      </c>
      <c r="M17" s="59">
        <v>3</v>
      </c>
      <c r="N17" s="60">
        <v>3</v>
      </c>
      <c r="O17" s="59">
        <v>3</v>
      </c>
      <c r="P17" s="60">
        <v>3</v>
      </c>
      <c r="Q17" s="59">
        <v>3</v>
      </c>
      <c r="R17" s="60">
        <v>3</v>
      </c>
      <c r="S17" s="59">
        <v>3</v>
      </c>
      <c r="T17" s="60">
        <v>3</v>
      </c>
      <c r="U17" s="59">
        <v>3</v>
      </c>
      <c r="V17" s="60">
        <v>3</v>
      </c>
      <c r="W17" s="59">
        <v>3</v>
      </c>
      <c r="X17" s="60">
        <v>3</v>
      </c>
      <c r="Y17" s="59">
        <v>3</v>
      </c>
      <c r="Z17" s="60">
        <v>3</v>
      </c>
      <c r="AA17" s="59">
        <v>3</v>
      </c>
      <c r="AB17" s="60">
        <v>3</v>
      </c>
      <c r="AC17" s="59">
        <v>3</v>
      </c>
      <c r="AD17" s="60">
        <v>3</v>
      </c>
      <c r="AE17" s="59">
        <v>3</v>
      </c>
      <c r="AF17" s="60">
        <v>3</v>
      </c>
      <c r="AG17" s="59">
        <v>3</v>
      </c>
      <c r="AH17" s="60">
        <v>3</v>
      </c>
      <c r="AI17" s="30"/>
      <c r="AJ17" s="79"/>
      <c r="AK17" s="82"/>
      <c r="AL17" s="219"/>
    </row>
    <row r="18" spans="1:38" s="36" customFormat="1" ht="22.9" customHeight="1" thickTop="1" x14ac:dyDescent="0.25">
      <c r="A18" s="95" t="s">
        <v>149</v>
      </c>
      <c r="B18" s="98" t="s">
        <v>55</v>
      </c>
      <c r="C18" s="210" t="s">
        <v>96</v>
      </c>
      <c r="D18" s="110" t="s">
        <v>91</v>
      </c>
      <c r="E18" s="89" t="s">
        <v>92</v>
      </c>
      <c r="F18" s="89" t="s">
        <v>173</v>
      </c>
      <c r="G18" s="89" t="s">
        <v>48</v>
      </c>
      <c r="H18" s="89" t="s">
        <v>63</v>
      </c>
      <c r="I18" s="92">
        <f>K19</f>
        <v>0.66666666666666663</v>
      </c>
      <c r="J18" s="86" t="s">
        <v>93</v>
      </c>
      <c r="K18" s="17" t="s">
        <v>38</v>
      </c>
      <c r="L18" s="17" t="s">
        <v>38</v>
      </c>
      <c r="M18" s="17" t="s">
        <v>38</v>
      </c>
      <c r="N18" s="18" t="s">
        <v>38</v>
      </c>
      <c r="O18" s="17" t="s">
        <v>38</v>
      </c>
      <c r="P18" s="18" t="s">
        <v>38</v>
      </c>
      <c r="Q18" s="17" t="s">
        <v>38</v>
      </c>
      <c r="R18" s="18" t="s">
        <v>38</v>
      </c>
      <c r="S18" s="17" t="s">
        <v>38</v>
      </c>
      <c r="T18" s="18" t="s">
        <v>38</v>
      </c>
      <c r="U18" s="17" t="s">
        <v>38</v>
      </c>
      <c r="V18" s="18" t="s">
        <v>38</v>
      </c>
      <c r="W18" s="17" t="s">
        <v>38</v>
      </c>
      <c r="X18" s="18" t="s">
        <v>38</v>
      </c>
      <c r="Y18" s="17" t="s">
        <v>38</v>
      </c>
      <c r="Z18" s="18" t="s">
        <v>38</v>
      </c>
      <c r="AA18" s="17" t="s">
        <v>38</v>
      </c>
      <c r="AB18" s="18" t="s">
        <v>38</v>
      </c>
      <c r="AC18" s="17" t="s">
        <v>38</v>
      </c>
      <c r="AD18" s="18" t="s">
        <v>38</v>
      </c>
      <c r="AE18" s="17" t="s">
        <v>38</v>
      </c>
      <c r="AF18" s="18" t="s">
        <v>38</v>
      </c>
      <c r="AG18" s="17" t="s">
        <v>38</v>
      </c>
      <c r="AH18" s="18" t="s">
        <v>38</v>
      </c>
      <c r="AI18" s="19"/>
      <c r="AJ18" s="77" t="s">
        <v>94</v>
      </c>
      <c r="AK18" s="80"/>
      <c r="AL18" s="83" t="s">
        <v>99</v>
      </c>
    </row>
    <row r="19" spans="1:38" s="36" customFormat="1" ht="22.9" customHeight="1" x14ac:dyDescent="0.25">
      <c r="A19" s="96"/>
      <c r="B19" s="99"/>
      <c r="C19" s="102"/>
      <c r="D19" s="111"/>
      <c r="E19" s="90"/>
      <c r="F19" s="90"/>
      <c r="G19" s="90"/>
      <c r="H19" s="90"/>
      <c r="I19" s="93"/>
      <c r="J19" s="187"/>
      <c r="K19" s="33">
        <f t="shared" ref="K19:AH19" si="2">IF(K21&lt;&gt;0,+K21/K23,0%)</f>
        <v>0.66666666666666663</v>
      </c>
      <c r="L19" s="20">
        <f t="shared" si="2"/>
        <v>0</v>
      </c>
      <c r="M19" s="20">
        <f t="shared" si="2"/>
        <v>0</v>
      </c>
      <c r="N19" s="21">
        <f t="shared" si="2"/>
        <v>0</v>
      </c>
      <c r="O19" s="20">
        <f t="shared" si="2"/>
        <v>0</v>
      </c>
      <c r="P19" s="21">
        <f t="shared" si="2"/>
        <v>0</v>
      </c>
      <c r="Q19" s="20">
        <f t="shared" si="2"/>
        <v>0.33333333333333331</v>
      </c>
      <c r="R19" s="21">
        <f t="shared" si="2"/>
        <v>0.33333333333333331</v>
      </c>
      <c r="S19" s="20">
        <f t="shared" si="2"/>
        <v>0</v>
      </c>
      <c r="T19" s="21">
        <f t="shared" si="2"/>
        <v>0.33333333333333331</v>
      </c>
      <c r="U19" s="20">
        <f t="shared" si="2"/>
        <v>0.33333333333333331</v>
      </c>
      <c r="V19" s="21">
        <f t="shared" si="2"/>
        <v>0.66666666666666663</v>
      </c>
      <c r="W19" s="20">
        <f t="shared" si="2"/>
        <v>0</v>
      </c>
      <c r="X19" s="21">
        <f t="shared" si="2"/>
        <v>0.66666666666666663</v>
      </c>
      <c r="Y19" s="20">
        <f t="shared" si="2"/>
        <v>0</v>
      </c>
      <c r="Z19" s="21">
        <f t="shared" si="2"/>
        <v>0.66666666666666663</v>
      </c>
      <c r="AA19" s="20">
        <f t="shared" si="2"/>
        <v>0</v>
      </c>
      <c r="AB19" s="21">
        <f t="shared" si="2"/>
        <v>0.66666666666666663</v>
      </c>
      <c r="AC19" s="20">
        <f t="shared" si="2"/>
        <v>0</v>
      </c>
      <c r="AD19" s="21">
        <f t="shared" si="2"/>
        <v>0.66666666666666663</v>
      </c>
      <c r="AE19" s="20">
        <f t="shared" si="2"/>
        <v>0</v>
      </c>
      <c r="AF19" s="21">
        <f t="shared" si="2"/>
        <v>0.66666666666666663</v>
      </c>
      <c r="AG19" s="20">
        <f t="shared" si="2"/>
        <v>0</v>
      </c>
      <c r="AH19" s="21">
        <f t="shared" si="2"/>
        <v>0.66666666666666663</v>
      </c>
      <c r="AI19" s="22"/>
      <c r="AJ19" s="78"/>
      <c r="AK19" s="81"/>
      <c r="AL19" s="84"/>
    </row>
    <row r="20" spans="1:38" s="36" customFormat="1" ht="22.9" customHeight="1" thickBot="1" x14ac:dyDescent="0.3">
      <c r="A20" s="96"/>
      <c r="B20" s="99"/>
      <c r="C20" s="102"/>
      <c r="D20" s="111"/>
      <c r="E20" s="90"/>
      <c r="F20" s="90"/>
      <c r="G20" s="90"/>
      <c r="H20" s="90"/>
      <c r="I20" s="93"/>
      <c r="J20" s="188"/>
      <c r="K20" s="23" t="s">
        <v>39</v>
      </c>
      <c r="L20" s="23" t="s">
        <v>39</v>
      </c>
      <c r="M20" s="23" t="s">
        <v>39</v>
      </c>
      <c r="N20" s="24" t="s">
        <v>39</v>
      </c>
      <c r="O20" s="23" t="s">
        <v>39</v>
      </c>
      <c r="P20" s="24" t="s">
        <v>39</v>
      </c>
      <c r="Q20" s="23" t="s">
        <v>39</v>
      </c>
      <c r="R20" s="24" t="s">
        <v>39</v>
      </c>
      <c r="S20" s="23" t="s">
        <v>39</v>
      </c>
      <c r="T20" s="24" t="s">
        <v>39</v>
      </c>
      <c r="U20" s="23" t="s">
        <v>39</v>
      </c>
      <c r="V20" s="24" t="s">
        <v>39</v>
      </c>
      <c r="W20" s="23" t="s">
        <v>39</v>
      </c>
      <c r="X20" s="24" t="s">
        <v>39</v>
      </c>
      <c r="Y20" s="23" t="s">
        <v>39</v>
      </c>
      <c r="Z20" s="24" t="s">
        <v>39</v>
      </c>
      <c r="AA20" s="23" t="s">
        <v>39</v>
      </c>
      <c r="AB20" s="24" t="s">
        <v>39</v>
      </c>
      <c r="AC20" s="23" t="s">
        <v>39</v>
      </c>
      <c r="AD20" s="24" t="s">
        <v>39</v>
      </c>
      <c r="AE20" s="23" t="s">
        <v>39</v>
      </c>
      <c r="AF20" s="24" t="s">
        <v>39</v>
      </c>
      <c r="AG20" s="23" t="s">
        <v>39</v>
      </c>
      <c r="AH20" s="24" t="s">
        <v>39</v>
      </c>
      <c r="AI20" s="22"/>
      <c r="AJ20" s="78"/>
      <c r="AK20" s="81"/>
      <c r="AL20" s="84"/>
    </row>
    <row r="21" spans="1:38" s="36" customFormat="1" ht="22.9" customHeight="1" thickTop="1" x14ac:dyDescent="0.25">
      <c r="A21" s="96"/>
      <c r="B21" s="99"/>
      <c r="C21" s="102"/>
      <c r="D21" s="111"/>
      <c r="E21" s="90"/>
      <c r="F21" s="90"/>
      <c r="G21" s="90"/>
      <c r="H21" s="90"/>
      <c r="I21" s="93"/>
      <c r="J21" s="86" t="s">
        <v>95</v>
      </c>
      <c r="K21" s="34">
        <v>2</v>
      </c>
      <c r="L21" s="54"/>
      <c r="M21" s="54"/>
      <c r="N21" s="55">
        <f>+L21+M21</f>
        <v>0</v>
      </c>
      <c r="O21" s="54"/>
      <c r="P21" s="55">
        <f t="shared" ref="P21:AH21" si="3">+N21+O21</f>
        <v>0</v>
      </c>
      <c r="Q21" s="54">
        <v>1</v>
      </c>
      <c r="R21" s="55">
        <f t="shared" si="3"/>
        <v>1</v>
      </c>
      <c r="S21" s="54"/>
      <c r="T21" s="55">
        <f t="shared" si="3"/>
        <v>1</v>
      </c>
      <c r="U21" s="54">
        <v>1</v>
      </c>
      <c r="V21" s="55">
        <f t="shared" si="3"/>
        <v>2</v>
      </c>
      <c r="W21" s="54"/>
      <c r="X21" s="55">
        <f t="shared" si="3"/>
        <v>2</v>
      </c>
      <c r="Y21" s="54"/>
      <c r="Z21" s="55">
        <f t="shared" si="3"/>
        <v>2</v>
      </c>
      <c r="AA21" s="54">
        <v>0</v>
      </c>
      <c r="AB21" s="55">
        <f t="shared" si="3"/>
        <v>2</v>
      </c>
      <c r="AC21" s="54"/>
      <c r="AD21" s="55">
        <f t="shared" si="3"/>
        <v>2</v>
      </c>
      <c r="AE21" s="54"/>
      <c r="AF21" s="55">
        <f t="shared" si="3"/>
        <v>2</v>
      </c>
      <c r="AG21" s="54"/>
      <c r="AH21" s="55">
        <f t="shared" si="3"/>
        <v>2</v>
      </c>
      <c r="AI21" s="26">
        <f>AH19/K19</f>
        <v>1</v>
      </c>
      <c r="AJ21" s="78"/>
      <c r="AK21" s="81"/>
      <c r="AL21" s="84"/>
    </row>
    <row r="22" spans="1:38" s="36" customFormat="1" ht="22.9" customHeight="1" x14ac:dyDescent="0.25">
      <c r="A22" s="96"/>
      <c r="B22" s="99"/>
      <c r="C22" s="102"/>
      <c r="D22" s="111"/>
      <c r="E22" s="90"/>
      <c r="F22" s="90"/>
      <c r="G22" s="90"/>
      <c r="H22" s="90"/>
      <c r="I22" s="93"/>
      <c r="J22" s="87"/>
      <c r="K22" s="27" t="s">
        <v>40</v>
      </c>
      <c r="L22" s="57" t="s">
        <v>40</v>
      </c>
      <c r="M22" s="57" t="s">
        <v>40</v>
      </c>
      <c r="N22" s="58" t="s">
        <v>40</v>
      </c>
      <c r="O22" s="57" t="s">
        <v>40</v>
      </c>
      <c r="P22" s="58" t="s">
        <v>40</v>
      </c>
      <c r="Q22" s="57" t="s">
        <v>40</v>
      </c>
      <c r="R22" s="58" t="s">
        <v>40</v>
      </c>
      <c r="S22" s="57" t="s">
        <v>40</v>
      </c>
      <c r="T22" s="58" t="s">
        <v>40</v>
      </c>
      <c r="U22" s="57" t="s">
        <v>40</v>
      </c>
      <c r="V22" s="58" t="s">
        <v>40</v>
      </c>
      <c r="W22" s="57" t="s">
        <v>40</v>
      </c>
      <c r="X22" s="58" t="s">
        <v>40</v>
      </c>
      <c r="Y22" s="57" t="s">
        <v>40</v>
      </c>
      <c r="Z22" s="58" t="s">
        <v>40</v>
      </c>
      <c r="AA22" s="57" t="s">
        <v>40</v>
      </c>
      <c r="AB22" s="58" t="s">
        <v>40</v>
      </c>
      <c r="AC22" s="57" t="s">
        <v>40</v>
      </c>
      <c r="AD22" s="58" t="s">
        <v>40</v>
      </c>
      <c r="AE22" s="57" t="s">
        <v>40</v>
      </c>
      <c r="AF22" s="58" t="s">
        <v>40</v>
      </c>
      <c r="AG22" s="57" t="s">
        <v>40</v>
      </c>
      <c r="AH22" s="58" t="s">
        <v>40</v>
      </c>
      <c r="AI22" s="22"/>
      <c r="AJ22" s="78"/>
      <c r="AK22" s="81"/>
      <c r="AL22" s="84"/>
    </row>
    <row r="23" spans="1:38" s="36" customFormat="1" ht="22.9" customHeight="1" thickBot="1" x14ac:dyDescent="0.3">
      <c r="A23" s="97"/>
      <c r="B23" s="100"/>
      <c r="C23" s="103"/>
      <c r="D23" s="112"/>
      <c r="E23" s="91"/>
      <c r="F23" s="91"/>
      <c r="G23" s="91"/>
      <c r="H23" s="91"/>
      <c r="I23" s="94"/>
      <c r="J23" s="88"/>
      <c r="K23" s="35">
        <v>3</v>
      </c>
      <c r="L23" s="59">
        <v>3</v>
      </c>
      <c r="M23" s="59">
        <v>3</v>
      </c>
      <c r="N23" s="60">
        <v>3</v>
      </c>
      <c r="O23" s="59">
        <v>3</v>
      </c>
      <c r="P23" s="60">
        <v>3</v>
      </c>
      <c r="Q23" s="59">
        <v>3</v>
      </c>
      <c r="R23" s="60">
        <v>3</v>
      </c>
      <c r="S23" s="59">
        <v>3</v>
      </c>
      <c r="T23" s="60">
        <v>3</v>
      </c>
      <c r="U23" s="59">
        <v>3</v>
      </c>
      <c r="V23" s="60">
        <v>3</v>
      </c>
      <c r="W23" s="59">
        <v>3</v>
      </c>
      <c r="X23" s="60">
        <v>3</v>
      </c>
      <c r="Y23" s="59">
        <v>3</v>
      </c>
      <c r="Z23" s="60">
        <v>3</v>
      </c>
      <c r="AA23" s="59">
        <v>3</v>
      </c>
      <c r="AB23" s="60">
        <v>3</v>
      </c>
      <c r="AC23" s="59">
        <v>3</v>
      </c>
      <c r="AD23" s="60">
        <v>3</v>
      </c>
      <c r="AE23" s="59">
        <v>3</v>
      </c>
      <c r="AF23" s="60">
        <v>3</v>
      </c>
      <c r="AG23" s="59">
        <v>3</v>
      </c>
      <c r="AH23" s="60">
        <v>3</v>
      </c>
      <c r="AI23" s="30"/>
      <c r="AJ23" s="79"/>
      <c r="AK23" s="82"/>
      <c r="AL23" s="85"/>
    </row>
    <row r="24" spans="1:38" s="36" customFormat="1" ht="22.9" customHeight="1" thickTop="1" x14ac:dyDescent="0.25">
      <c r="A24" s="95" t="s">
        <v>151</v>
      </c>
      <c r="B24" s="98" t="s">
        <v>55</v>
      </c>
      <c r="C24" s="210" t="s">
        <v>97</v>
      </c>
      <c r="D24" s="110" t="s">
        <v>91</v>
      </c>
      <c r="E24" s="89" t="s">
        <v>92</v>
      </c>
      <c r="F24" s="89" t="s">
        <v>173</v>
      </c>
      <c r="G24" s="89" t="s">
        <v>48</v>
      </c>
      <c r="H24" s="89" t="s">
        <v>63</v>
      </c>
      <c r="I24" s="92">
        <f>K25</f>
        <v>0.66666666666666663</v>
      </c>
      <c r="J24" s="86" t="s">
        <v>93</v>
      </c>
      <c r="K24" s="17" t="s">
        <v>38</v>
      </c>
      <c r="L24" s="17" t="s">
        <v>38</v>
      </c>
      <c r="M24" s="17" t="s">
        <v>38</v>
      </c>
      <c r="N24" s="18" t="s">
        <v>38</v>
      </c>
      <c r="O24" s="17" t="s">
        <v>38</v>
      </c>
      <c r="P24" s="18" t="s">
        <v>38</v>
      </c>
      <c r="Q24" s="17" t="s">
        <v>38</v>
      </c>
      <c r="R24" s="18" t="s">
        <v>38</v>
      </c>
      <c r="S24" s="17" t="s">
        <v>38</v>
      </c>
      <c r="T24" s="18" t="s">
        <v>38</v>
      </c>
      <c r="U24" s="17" t="s">
        <v>38</v>
      </c>
      <c r="V24" s="18" t="s">
        <v>38</v>
      </c>
      <c r="W24" s="17" t="s">
        <v>38</v>
      </c>
      <c r="X24" s="18" t="s">
        <v>38</v>
      </c>
      <c r="Y24" s="17" t="s">
        <v>38</v>
      </c>
      <c r="Z24" s="18" t="s">
        <v>38</v>
      </c>
      <c r="AA24" s="17" t="s">
        <v>38</v>
      </c>
      <c r="AB24" s="18" t="s">
        <v>38</v>
      </c>
      <c r="AC24" s="17" t="s">
        <v>38</v>
      </c>
      <c r="AD24" s="18" t="s">
        <v>38</v>
      </c>
      <c r="AE24" s="17" t="s">
        <v>38</v>
      </c>
      <c r="AF24" s="18" t="s">
        <v>38</v>
      </c>
      <c r="AG24" s="17" t="s">
        <v>38</v>
      </c>
      <c r="AH24" s="18" t="s">
        <v>38</v>
      </c>
      <c r="AI24" s="19"/>
      <c r="AJ24" s="77" t="s">
        <v>94</v>
      </c>
      <c r="AK24" s="80"/>
      <c r="AL24" s="217" t="s">
        <v>100</v>
      </c>
    </row>
    <row r="25" spans="1:38" s="36" customFormat="1" ht="22.9" customHeight="1" x14ac:dyDescent="0.25">
      <c r="A25" s="96"/>
      <c r="B25" s="99"/>
      <c r="C25" s="102"/>
      <c r="D25" s="111"/>
      <c r="E25" s="90"/>
      <c r="F25" s="90"/>
      <c r="G25" s="90"/>
      <c r="H25" s="90"/>
      <c r="I25" s="93"/>
      <c r="J25" s="187"/>
      <c r="K25" s="33">
        <f t="shared" ref="K25:AH25" si="4">IF(K27&lt;&gt;0,+K27/K29,0%)</f>
        <v>0.66666666666666663</v>
      </c>
      <c r="L25" s="20">
        <f t="shared" si="4"/>
        <v>0</v>
      </c>
      <c r="M25" s="20">
        <f t="shared" si="4"/>
        <v>0</v>
      </c>
      <c r="N25" s="21">
        <f t="shared" si="4"/>
        <v>0</v>
      </c>
      <c r="O25" s="20">
        <f t="shared" si="4"/>
        <v>0</v>
      </c>
      <c r="P25" s="21">
        <f t="shared" si="4"/>
        <v>0</v>
      </c>
      <c r="Q25" s="20">
        <f t="shared" si="4"/>
        <v>0.33333333333333331</v>
      </c>
      <c r="R25" s="21">
        <f t="shared" si="4"/>
        <v>0.33333333333333331</v>
      </c>
      <c r="S25" s="20">
        <f t="shared" si="4"/>
        <v>0</v>
      </c>
      <c r="T25" s="21">
        <f t="shared" si="4"/>
        <v>0.33333333333333331</v>
      </c>
      <c r="U25" s="20">
        <f t="shared" si="4"/>
        <v>0.33333333333333331</v>
      </c>
      <c r="V25" s="21">
        <f t="shared" si="4"/>
        <v>0.66666666666666663</v>
      </c>
      <c r="W25" s="20">
        <f t="shared" si="4"/>
        <v>0</v>
      </c>
      <c r="X25" s="21">
        <f t="shared" si="4"/>
        <v>0.66666666666666663</v>
      </c>
      <c r="Y25" s="20">
        <f t="shared" si="4"/>
        <v>0</v>
      </c>
      <c r="Z25" s="21">
        <f t="shared" si="4"/>
        <v>0.66666666666666663</v>
      </c>
      <c r="AA25" s="20">
        <f t="shared" si="4"/>
        <v>0</v>
      </c>
      <c r="AB25" s="21">
        <f t="shared" si="4"/>
        <v>0.66666666666666663</v>
      </c>
      <c r="AC25" s="20">
        <f t="shared" si="4"/>
        <v>0</v>
      </c>
      <c r="AD25" s="21">
        <f t="shared" si="4"/>
        <v>0.66666666666666663</v>
      </c>
      <c r="AE25" s="20">
        <f t="shared" si="4"/>
        <v>0</v>
      </c>
      <c r="AF25" s="21">
        <f t="shared" si="4"/>
        <v>0.66666666666666663</v>
      </c>
      <c r="AG25" s="20">
        <f t="shared" si="4"/>
        <v>0</v>
      </c>
      <c r="AH25" s="21">
        <f t="shared" si="4"/>
        <v>0.66666666666666663</v>
      </c>
      <c r="AI25" s="22"/>
      <c r="AJ25" s="78"/>
      <c r="AK25" s="81"/>
      <c r="AL25" s="218"/>
    </row>
    <row r="26" spans="1:38" s="36" customFormat="1" ht="22.9" customHeight="1" thickBot="1" x14ac:dyDescent="0.3">
      <c r="A26" s="96"/>
      <c r="B26" s="99"/>
      <c r="C26" s="102"/>
      <c r="D26" s="111"/>
      <c r="E26" s="90"/>
      <c r="F26" s="90"/>
      <c r="G26" s="90"/>
      <c r="H26" s="90"/>
      <c r="I26" s="93"/>
      <c r="J26" s="188"/>
      <c r="K26" s="23" t="s">
        <v>39</v>
      </c>
      <c r="L26" s="23" t="s">
        <v>39</v>
      </c>
      <c r="M26" s="23" t="s">
        <v>39</v>
      </c>
      <c r="N26" s="24" t="s">
        <v>39</v>
      </c>
      <c r="O26" s="23" t="s">
        <v>39</v>
      </c>
      <c r="P26" s="24" t="s">
        <v>39</v>
      </c>
      <c r="Q26" s="23" t="s">
        <v>39</v>
      </c>
      <c r="R26" s="24" t="s">
        <v>39</v>
      </c>
      <c r="S26" s="23" t="s">
        <v>39</v>
      </c>
      <c r="T26" s="24" t="s">
        <v>39</v>
      </c>
      <c r="U26" s="23" t="s">
        <v>39</v>
      </c>
      <c r="V26" s="24" t="s">
        <v>39</v>
      </c>
      <c r="W26" s="23" t="s">
        <v>39</v>
      </c>
      <c r="X26" s="24" t="s">
        <v>39</v>
      </c>
      <c r="Y26" s="23" t="s">
        <v>39</v>
      </c>
      <c r="Z26" s="24" t="s">
        <v>39</v>
      </c>
      <c r="AA26" s="23" t="s">
        <v>39</v>
      </c>
      <c r="AB26" s="24" t="s">
        <v>39</v>
      </c>
      <c r="AC26" s="23" t="s">
        <v>39</v>
      </c>
      <c r="AD26" s="24" t="s">
        <v>39</v>
      </c>
      <c r="AE26" s="23" t="s">
        <v>39</v>
      </c>
      <c r="AF26" s="24" t="s">
        <v>39</v>
      </c>
      <c r="AG26" s="23" t="s">
        <v>39</v>
      </c>
      <c r="AH26" s="24" t="s">
        <v>39</v>
      </c>
      <c r="AI26" s="22"/>
      <c r="AJ26" s="78"/>
      <c r="AK26" s="81"/>
      <c r="AL26" s="218"/>
    </row>
    <row r="27" spans="1:38" s="36" customFormat="1" ht="22.9" customHeight="1" thickTop="1" x14ac:dyDescent="0.25">
      <c r="A27" s="96"/>
      <c r="B27" s="99"/>
      <c r="C27" s="102"/>
      <c r="D27" s="111"/>
      <c r="E27" s="90"/>
      <c r="F27" s="90"/>
      <c r="G27" s="90"/>
      <c r="H27" s="90"/>
      <c r="I27" s="93"/>
      <c r="J27" s="86" t="s">
        <v>95</v>
      </c>
      <c r="K27" s="34">
        <v>2</v>
      </c>
      <c r="L27" s="54"/>
      <c r="M27" s="54"/>
      <c r="N27" s="55">
        <f>+L27+M27</f>
        <v>0</v>
      </c>
      <c r="O27" s="54"/>
      <c r="P27" s="55">
        <f t="shared" ref="P27:AH27" si="5">+N27+O27</f>
        <v>0</v>
      </c>
      <c r="Q27" s="54">
        <v>1</v>
      </c>
      <c r="R27" s="55">
        <f t="shared" si="5"/>
        <v>1</v>
      </c>
      <c r="S27" s="54"/>
      <c r="T27" s="55">
        <f t="shared" si="5"/>
        <v>1</v>
      </c>
      <c r="U27" s="54">
        <v>1</v>
      </c>
      <c r="V27" s="55">
        <f t="shared" si="5"/>
        <v>2</v>
      </c>
      <c r="W27" s="54"/>
      <c r="X27" s="55">
        <f t="shared" si="5"/>
        <v>2</v>
      </c>
      <c r="Y27" s="54"/>
      <c r="Z27" s="55">
        <f t="shared" si="5"/>
        <v>2</v>
      </c>
      <c r="AA27" s="54">
        <v>0</v>
      </c>
      <c r="AB27" s="55">
        <f t="shared" si="5"/>
        <v>2</v>
      </c>
      <c r="AC27" s="54"/>
      <c r="AD27" s="55">
        <f t="shared" si="5"/>
        <v>2</v>
      </c>
      <c r="AE27" s="54"/>
      <c r="AF27" s="55">
        <f t="shared" si="5"/>
        <v>2</v>
      </c>
      <c r="AG27" s="54"/>
      <c r="AH27" s="55">
        <f t="shared" si="5"/>
        <v>2</v>
      </c>
      <c r="AI27" s="26">
        <f>AH25/K25</f>
        <v>1</v>
      </c>
      <c r="AJ27" s="78"/>
      <c r="AK27" s="81"/>
      <c r="AL27" s="218"/>
    </row>
    <row r="28" spans="1:38" s="36" customFormat="1" ht="22.9" customHeight="1" x14ac:dyDescent="0.25">
      <c r="A28" s="96"/>
      <c r="B28" s="99"/>
      <c r="C28" s="102"/>
      <c r="D28" s="111"/>
      <c r="E28" s="90"/>
      <c r="F28" s="90"/>
      <c r="G28" s="90"/>
      <c r="H28" s="90"/>
      <c r="I28" s="93"/>
      <c r="J28" s="87"/>
      <c r="K28" s="27" t="s">
        <v>40</v>
      </c>
      <c r="L28" s="57" t="s">
        <v>40</v>
      </c>
      <c r="M28" s="57" t="s">
        <v>40</v>
      </c>
      <c r="N28" s="58" t="s">
        <v>40</v>
      </c>
      <c r="O28" s="57" t="s">
        <v>40</v>
      </c>
      <c r="P28" s="58" t="s">
        <v>40</v>
      </c>
      <c r="Q28" s="57" t="s">
        <v>40</v>
      </c>
      <c r="R28" s="58" t="s">
        <v>40</v>
      </c>
      <c r="S28" s="57" t="s">
        <v>40</v>
      </c>
      <c r="T28" s="58" t="s">
        <v>40</v>
      </c>
      <c r="U28" s="57" t="s">
        <v>40</v>
      </c>
      <c r="V28" s="58" t="s">
        <v>40</v>
      </c>
      <c r="W28" s="57" t="s">
        <v>40</v>
      </c>
      <c r="X28" s="58" t="s">
        <v>40</v>
      </c>
      <c r="Y28" s="57" t="s">
        <v>40</v>
      </c>
      <c r="Z28" s="58" t="s">
        <v>40</v>
      </c>
      <c r="AA28" s="57" t="s">
        <v>40</v>
      </c>
      <c r="AB28" s="58" t="s">
        <v>40</v>
      </c>
      <c r="AC28" s="57" t="s">
        <v>40</v>
      </c>
      <c r="AD28" s="58" t="s">
        <v>40</v>
      </c>
      <c r="AE28" s="57" t="s">
        <v>40</v>
      </c>
      <c r="AF28" s="58" t="s">
        <v>40</v>
      </c>
      <c r="AG28" s="57" t="s">
        <v>40</v>
      </c>
      <c r="AH28" s="58" t="s">
        <v>40</v>
      </c>
      <c r="AI28" s="22"/>
      <c r="AJ28" s="78"/>
      <c r="AK28" s="81"/>
      <c r="AL28" s="218"/>
    </row>
    <row r="29" spans="1:38" s="36" customFormat="1" ht="22.9" customHeight="1" thickBot="1" x14ac:dyDescent="0.3">
      <c r="A29" s="97"/>
      <c r="B29" s="100"/>
      <c r="C29" s="103"/>
      <c r="D29" s="112"/>
      <c r="E29" s="91"/>
      <c r="F29" s="91"/>
      <c r="G29" s="91"/>
      <c r="H29" s="91"/>
      <c r="I29" s="94"/>
      <c r="J29" s="88"/>
      <c r="K29" s="35">
        <v>3</v>
      </c>
      <c r="L29" s="59">
        <v>3</v>
      </c>
      <c r="M29" s="59">
        <v>3</v>
      </c>
      <c r="N29" s="60">
        <v>3</v>
      </c>
      <c r="O29" s="59">
        <v>3</v>
      </c>
      <c r="P29" s="60">
        <v>3</v>
      </c>
      <c r="Q29" s="59">
        <v>3</v>
      </c>
      <c r="R29" s="60">
        <v>3</v>
      </c>
      <c r="S29" s="59">
        <v>3</v>
      </c>
      <c r="T29" s="60">
        <v>3</v>
      </c>
      <c r="U29" s="59">
        <v>3</v>
      </c>
      <c r="V29" s="60">
        <v>3</v>
      </c>
      <c r="W29" s="59">
        <v>3</v>
      </c>
      <c r="X29" s="60">
        <v>3</v>
      </c>
      <c r="Y29" s="59">
        <v>3</v>
      </c>
      <c r="Z29" s="60">
        <v>3</v>
      </c>
      <c r="AA29" s="59">
        <v>3</v>
      </c>
      <c r="AB29" s="60">
        <v>3</v>
      </c>
      <c r="AC29" s="59">
        <v>3</v>
      </c>
      <c r="AD29" s="60">
        <v>3</v>
      </c>
      <c r="AE29" s="59">
        <v>3</v>
      </c>
      <c r="AF29" s="60">
        <v>3</v>
      </c>
      <c r="AG29" s="59">
        <v>3</v>
      </c>
      <c r="AH29" s="60">
        <v>3</v>
      </c>
      <c r="AI29" s="30"/>
      <c r="AJ29" s="79"/>
      <c r="AK29" s="82"/>
      <c r="AL29" s="219"/>
    </row>
    <row r="30" spans="1:38" s="36" customFormat="1" ht="22.9" customHeight="1" thickTop="1" x14ac:dyDescent="0.25">
      <c r="A30" s="95" t="s">
        <v>164</v>
      </c>
      <c r="B30" s="98" t="s">
        <v>55</v>
      </c>
      <c r="C30" s="210" t="s">
        <v>101</v>
      </c>
      <c r="D30" s="110" t="s">
        <v>91</v>
      </c>
      <c r="E30" s="89" t="s">
        <v>92</v>
      </c>
      <c r="F30" s="89" t="s">
        <v>173</v>
      </c>
      <c r="G30" s="89" t="s">
        <v>48</v>
      </c>
      <c r="H30" s="89" t="s">
        <v>63</v>
      </c>
      <c r="I30" s="92">
        <f>K31</f>
        <v>0.66666666666666663</v>
      </c>
      <c r="J30" s="86" t="s">
        <v>93</v>
      </c>
      <c r="K30" s="17" t="s">
        <v>38</v>
      </c>
      <c r="L30" s="17" t="s">
        <v>38</v>
      </c>
      <c r="M30" s="17" t="s">
        <v>38</v>
      </c>
      <c r="N30" s="18" t="s">
        <v>38</v>
      </c>
      <c r="O30" s="17" t="s">
        <v>38</v>
      </c>
      <c r="P30" s="18" t="s">
        <v>38</v>
      </c>
      <c r="Q30" s="17" t="s">
        <v>38</v>
      </c>
      <c r="R30" s="18" t="s">
        <v>38</v>
      </c>
      <c r="S30" s="17" t="s">
        <v>38</v>
      </c>
      <c r="T30" s="18" t="s">
        <v>38</v>
      </c>
      <c r="U30" s="17" t="s">
        <v>38</v>
      </c>
      <c r="V30" s="18" t="s">
        <v>38</v>
      </c>
      <c r="W30" s="17" t="s">
        <v>38</v>
      </c>
      <c r="X30" s="18" t="s">
        <v>38</v>
      </c>
      <c r="Y30" s="17" t="s">
        <v>38</v>
      </c>
      <c r="Z30" s="18" t="s">
        <v>38</v>
      </c>
      <c r="AA30" s="17" t="s">
        <v>38</v>
      </c>
      <c r="AB30" s="18" t="s">
        <v>38</v>
      </c>
      <c r="AC30" s="17" t="s">
        <v>38</v>
      </c>
      <c r="AD30" s="18" t="s">
        <v>38</v>
      </c>
      <c r="AE30" s="17" t="s">
        <v>38</v>
      </c>
      <c r="AF30" s="18" t="s">
        <v>38</v>
      </c>
      <c r="AG30" s="17" t="s">
        <v>38</v>
      </c>
      <c r="AH30" s="18" t="s">
        <v>38</v>
      </c>
      <c r="AI30" s="19"/>
      <c r="AJ30" s="77" t="s">
        <v>94</v>
      </c>
      <c r="AK30" s="80"/>
      <c r="AL30" s="217" t="s">
        <v>102</v>
      </c>
    </row>
    <row r="31" spans="1:38" s="36" customFormat="1" ht="22.9" customHeight="1" x14ac:dyDescent="0.25">
      <c r="A31" s="96"/>
      <c r="B31" s="99"/>
      <c r="C31" s="102"/>
      <c r="D31" s="111"/>
      <c r="E31" s="90"/>
      <c r="F31" s="90"/>
      <c r="G31" s="90"/>
      <c r="H31" s="90"/>
      <c r="I31" s="93"/>
      <c r="J31" s="187"/>
      <c r="K31" s="33">
        <f t="shared" ref="K31:AH31" si="6">IF(K33&lt;&gt;0,+K33/K35,0%)</f>
        <v>0.66666666666666663</v>
      </c>
      <c r="L31" s="20">
        <f t="shared" si="6"/>
        <v>0</v>
      </c>
      <c r="M31" s="20">
        <f t="shared" si="6"/>
        <v>0</v>
      </c>
      <c r="N31" s="21">
        <f t="shared" si="6"/>
        <v>0</v>
      </c>
      <c r="O31" s="20">
        <f t="shared" si="6"/>
        <v>0</v>
      </c>
      <c r="P31" s="21">
        <f t="shared" si="6"/>
        <v>0</v>
      </c>
      <c r="Q31" s="20">
        <f t="shared" si="6"/>
        <v>0.33333333333333331</v>
      </c>
      <c r="R31" s="21">
        <f t="shared" si="6"/>
        <v>0.33333333333333331</v>
      </c>
      <c r="S31" s="20">
        <f t="shared" si="6"/>
        <v>0</v>
      </c>
      <c r="T31" s="21">
        <f t="shared" si="6"/>
        <v>0.33333333333333331</v>
      </c>
      <c r="U31" s="20">
        <f t="shared" si="6"/>
        <v>0.33333333333333331</v>
      </c>
      <c r="V31" s="21">
        <f t="shared" si="6"/>
        <v>0.66666666666666663</v>
      </c>
      <c r="W31" s="20">
        <f t="shared" si="6"/>
        <v>0</v>
      </c>
      <c r="X31" s="21">
        <f t="shared" si="6"/>
        <v>0.66666666666666663</v>
      </c>
      <c r="Y31" s="20">
        <f t="shared" si="6"/>
        <v>0</v>
      </c>
      <c r="Z31" s="21">
        <f t="shared" si="6"/>
        <v>0.66666666666666663</v>
      </c>
      <c r="AA31" s="20">
        <f t="shared" si="6"/>
        <v>0</v>
      </c>
      <c r="AB31" s="21">
        <f t="shared" si="6"/>
        <v>0.66666666666666663</v>
      </c>
      <c r="AC31" s="20">
        <f t="shared" si="6"/>
        <v>0</v>
      </c>
      <c r="AD31" s="21">
        <f t="shared" si="6"/>
        <v>0.66666666666666663</v>
      </c>
      <c r="AE31" s="20">
        <f t="shared" si="6"/>
        <v>0</v>
      </c>
      <c r="AF31" s="21">
        <f t="shared" si="6"/>
        <v>0.66666666666666663</v>
      </c>
      <c r="AG31" s="20">
        <f t="shared" si="6"/>
        <v>0</v>
      </c>
      <c r="AH31" s="21">
        <f t="shared" si="6"/>
        <v>0.66666666666666663</v>
      </c>
      <c r="AI31" s="22"/>
      <c r="AJ31" s="78"/>
      <c r="AK31" s="81"/>
      <c r="AL31" s="218"/>
    </row>
    <row r="32" spans="1:38" s="36" customFormat="1" ht="22.9" customHeight="1" thickBot="1" x14ac:dyDescent="0.3">
      <c r="A32" s="96"/>
      <c r="B32" s="99"/>
      <c r="C32" s="102"/>
      <c r="D32" s="111"/>
      <c r="E32" s="90"/>
      <c r="F32" s="90"/>
      <c r="G32" s="90"/>
      <c r="H32" s="90"/>
      <c r="I32" s="93"/>
      <c r="J32" s="188"/>
      <c r="K32" s="23" t="s">
        <v>39</v>
      </c>
      <c r="L32" s="23" t="s">
        <v>39</v>
      </c>
      <c r="M32" s="23" t="s">
        <v>39</v>
      </c>
      <c r="N32" s="24" t="s">
        <v>39</v>
      </c>
      <c r="O32" s="23" t="s">
        <v>39</v>
      </c>
      <c r="P32" s="24" t="s">
        <v>39</v>
      </c>
      <c r="Q32" s="23" t="s">
        <v>39</v>
      </c>
      <c r="R32" s="24" t="s">
        <v>39</v>
      </c>
      <c r="S32" s="23" t="s">
        <v>39</v>
      </c>
      <c r="T32" s="24" t="s">
        <v>39</v>
      </c>
      <c r="U32" s="23" t="s">
        <v>39</v>
      </c>
      <c r="V32" s="24" t="s">
        <v>39</v>
      </c>
      <c r="W32" s="23" t="s">
        <v>39</v>
      </c>
      <c r="X32" s="24" t="s">
        <v>39</v>
      </c>
      <c r="Y32" s="23" t="s">
        <v>39</v>
      </c>
      <c r="Z32" s="24" t="s">
        <v>39</v>
      </c>
      <c r="AA32" s="23" t="s">
        <v>39</v>
      </c>
      <c r="AB32" s="24" t="s">
        <v>39</v>
      </c>
      <c r="AC32" s="23" t="s">
        <v>39</v>
      </c>
      <c r="AD32" s="24" t="s">
        <v>39</v>
      </c>
      <c r="AE32" s="23" t="s">
        <v>39</v>
      </c>
      <c r="AF32" s="24" t="s">
        <v>39</v>
      </c>
      <c r="AG32" s="23" t="s">
        <v>39</v>
      </c>
      <c r="AH32" s="24" t="s">
        <v>39</v>
      </c>
      <c r="AI32" s="22"/>
      <c r="AJ32" s="78"/>
      <c r="AK32" s="81"/>
      <c r="AL32" s="218"/>
    </row>
    <row r="33" spans="1:38" s="36" customFormat="1" ht="22.9" customHeight="1" thickTop="1" x14ac:dyDescent="0.25">
      <c r="A33" s="96"/>
      <c r="B33" s="99"/>
      <c r="C33" s="102"/>
      <c r="D33" s="111"/>
      <c r="E33" s="90"/>
      <c r="F33" s="90"/>
      <c r="G33" s="90"/>
      <c r="H33" s="90"/>
      <c r="I33" s="93"/>
      <c r="J33" s="86" t="s">
        <v>95</v>
      </c>
      <c r="K33" s="34">
        <v>2</v>
      </c>
      <c r="L33" s="54"/>
      <c r="M33" s="54"/>
      <c r="N33" s="55">
        <f>+L33+M33</f>
        <v>0</v>
      </c>
      <c r="O33" s="54"/>
      <c r="P33" s="55">
        <f t="shared" ref="P33:AH33" si="7">+N33+O33</f>
        <v>0</v>
      </c>
      <c r="Q33" s="54">
        <v>1</v>
      </c>
      <c r="R33" s="55">
        <f t="shared" si="7"/>
        <v>1</v>
      </c>
      <c r="S33" s="54"/>
      <c r="T33" s="55">
        <f t="shared" si="7"/>
        <v>1</v>
      </c>
      <c r="U33" s="54">
        <v>1</v>
      </c>
      <c r="V33" s="55">
        <f t="shared" si="7"/>
        <v>2</v>
      </c>
      <c r="W33" s="54"/>
      <c r="X33" s="55">
        <f t="shared" si="7"/>
        <v>2</v>
      </c>
      <c r="Y33" s="54"/>
      <c r="Z33" s="55">
        <f t="shared" si="7"/>
        <v>2</v>
      </c>
      <c r="AA33" s="54">
        <v>0</v>
      </c>
      <c r="AB33" s="55">
        <f t="shared" si="7"/>
        <v>2</v>
      </c>
      <c r="AC33" s="54"/>
      <c r="AD33" s="55">
        <f t="shared" si="7"/>
        <v>2</v>
      </c>
      <c r="AE33" s="54"/>
      <c r="AF33" s="55">
        <f t="shared" si="7"/>
        <v>2</v>
      </c>
      <c r="AG33" s="54"/>
      <c r="AH33" s="55">
        <f t="shared" si="7"/>
        <v>2</v>
      </c>
      <c r="AI33" s="26">
        <f>AH31/K31</f>
        <v>1</v>
      </c>
      <c r="AJ33" s="78"/>
      <c r="AK33" s="81"/>
      <c r="AL33" s="218"/>
    </row>
    <row r="34" spans="1:38" s="36" customFormat="1" ht="22.9" customHeight="1" x14ac:dyDescent="0.25">
      <c r="A34" s="96"/>
      <c r="B34" s="99"/>
      <c r="C34" s="102"/>
      <c r="D34" s="111"/>
      <c r="E34" s="90"/>
      <c r="F34" s="90"/>
      <c r="G34" s="90"/>
      <c r="H34" s="90"/>
      <c r="I34" s="93"/>
      <c r="J34" s="87"/>
      <c r="K34" s="27" t="s">
        <v>40</v>
      </c>
      <c r="L34" s="57" t="s">
        <v>40</v>
      </c>
      <c r="M34" s="57" t="s">
        <v>40</v>
      </c>
      <c r="N34" s="58" t="s">
        <v>40</v>
      </c>
      <c r="O34" s="57" t="s">
        <v>40</v>
      </c>
      <c r="P34" s="58" t="s">
        <v>40</v>
      </c>
      <c r="Q34" s="57" t="s">
        <v>40</v>
      </c>
      <c r="R34" s="58" t="s">
        <v>40</v>
      </c>
      <c r="S34" s="57" t="s">
        <v>40</v>
      </c>
      <c r="T34" s="58" t="s">
        <v>40</v>
      </c>
      <c r="U34" s="57" t="s">
        <v>40</v>
      </c>
      <c r="V34" s="58" t="s">
        <v>40</v>
      </c>
      <c r="W34" s="57" t="s">
        <v>40</v>
      </c>
      <c r="X34" s="58" t="s">
        <v>40</v>
      </c>
      <c r="Y34" s="57" t="s">
        <v>40</v>
      </c>
      <c r="Z34" s="58" t="s">
        <v>40</v>
      </c>
      <c r="AA34" s="57" t="s">
        <v>40</v>
      </c>
      <c r="AB34" s="58" t="s">
        <v>40</v>
      </c>
      <c r="AC34" s="57" t="s">
        <v>40</v>
      </c>
      <c r="AD34" s="58" t="s">
        <v>40</v>
      </c>
      <c r="AE34" s="57" t="s">
        <v>40</v>
      </c>
      <c r="AF34" s="58" t="s">
        <v>40</v>
      </c>
      <c r="AG34" s="57" t="s">
        <v>40</v>
      </c>
      <c r="AH34" s="58" t="s">
        <v>40</v>
      </c>
      <c r="AI34" s="22"/>
      <c r="AJ34" s="78"/>
      <c r="AK34" s="81"/>
      <c r="AL34" s="218"/>
    </row>
    <row r="35" spans="1:38" s="36" customFormat="1" ht="22.9" customHeight="1" thickBot="1" x14ac:dyDescent="0.3">
      <c r="A35" s="97"/>
      <c r="B35" s="100"/>
      <c r="C35" s="103"/>
      <c r="D35" s="112"/>
      <c r="E35" s="91"/>
      <c r="F35" s="91"/>
      <c r="G35" s="91"/>
      <c r="H35" s="91"/>
      <c r="I35" s="94"/>
      <c r="J35" s="88"/>
      <c r="K35" s="35">
        <v>3</v>
      </c>
      <c r="L35" s="59">
        <v>3</v>
      </c>
      <c r="M35" s="59">
        <v>3</v>
      </c>
      <c r="N35" s="60">
        <v>3</v>
      </c>
      <c r="O35" s="59">
        <v>3</v>
      </c>
      <c r="P35" s="60">
        <v>3</v>
      </c>
      <c r="Q35" s="59">
        <v>3</v>
      </c>
      <c r="R35" s="60">
        <v>3</v>
      </c>
      <c r="S35" s="59">
        <v>3</v>
      </c>
      <c r="T35" s="60">
        <v>3</v>
      </c>
      <c r="U35" s="59">
        <v>3</v>
      </c>
      <c r="V35" s="60">
        <v>3</v>
      </c>
      <c r="W35" s="59">
        <v>3</v>
      </c>
      <c r="X35" s="60">
        <v>3</v>
      </c>
      <c r="Y35" s="59">
        <v>3</v>
      </c>
      <c r="Z35" s="60">
        <v>3</v>
      </c>
      <c r="AA35" s="59">
        <v>3</v>
      </c>
      <c r="AB35" s="60">
        <v>3</v>
      </c>
      <c r="AC35" s="59">
        <v>3</v>
      </c>
      <c r="AD35" s="60">
        <v>3</v>
      </c>
      <c r="AE35" s="59">
        <v>3</v>
      </c>
      <c r="AF35" s="60">
        <v>3</v>
      </c>
      <c r="AG35" s="59">
        <v>3</v>
      </c>
      <c r="AH35" s="60">
        <v>3</v>
      </c>
      <c r="AI35" s="30"/>
      <c r="AJ35" s="79"/>
      <c r="AK35" s="82"/>
      <c r="AL35" s="219"/>
    </row>
    <row r="36" spans="1:38" s="36" customFormat="1" ht="22.9" customHeight="1" thickTop="1" x14ac:dyDescent="0.25">
      <c r="A36" s="95" t="s">
        <v>155</v>
      </c>
      <c r="B36" s="98" t="s">
        <v>55</v>
      </c>
      <c r="C36" s="210" t="s">
        <v>103</v>
      </c>
      <c r="D36" s="110" t="s">
        <v>91</v>
      </c>
      <c r="E36" s="89" t="s">
        <v>92</v>
      </c>
      <c r="F36" s="89" t="s">
        <v>173</v>
      </c>
      <c r="G36" s="89" t="s">
        <v>48</v>
      </c>
      <c r="H36" s="89" t="s">
        <v>63</v>
      </c>
      <c r="I36" s="92">
        <f>K37</f>
        <v>0.66666666666666663</v>
      </c>
      <c r="J36" s="86" t="s">
        <v>93</v>
      </c>
      <c r="K36" s="17" t="s">
        <v>38</v>
      </c>
      <c r="L36" s="17" t="s">
        <v>38</v>
      </c>
      <c r="M36" s="17" t="s">
        <v>38</v>
      </c>
      <c r="N36" s="18" t="s">
        <v>38</v>
      </c>
      <c r="O36" s="17" t="s">
        <v>38</v>
      </c>
      <c r="P36" s="18" t="s">
        <v>38</v>
      </c>
      <c r="Q36" s="17" t="s">
        <v>38</v>
      </c>
      <c r="R36" s="18" t="s">
        <v>38</v>
      </c>
      <c r="S36" s="17" t="s">
        <v>38</v>
      </c>
      <c r="T36" s="18" t="s">
        <v>38</v>
      </c>
      <c r="U36" s="17" t="s">
        <v>38</v>
      </c>
      <c r="V36" s="18" t="s">
        <v>38</v>
      </c>
      <c r="W36" s="17" t="s">
        <v>38</v>
      </c>
      <c r="X36" s="18" t="s">
        <v>38</v>
      </c>
      <c r="Y36" s="17" t="s">
        <v>38</v>
      </c>
      <c r="Z36" s="18" t="s">
        <v>38</v>
      </c>
      <c r="AA36" s="17" t="s">
        <v>38</v>
      </c>
      <c r="AB36" s="18" t="s">
        <v>38</v>
      </c>
      <c r="AC36" s="17" t="s">
        <v>38</v>
      </c>
      <c r="AD36" s="18" t="s">
        <v>38</v>
      </c>
      <c r="AE36" s="17" t="s">
        <v>38</v>
      </c>
      <c r="AF36" s="18" t="s">
        <v>38</v>
      </c>
      <c r="AG36" s="17" t="s">
        <v>38</v>
      </c>
      <c r="AH36" s="18" t="s">
        <v>38</v>
      </c>
      <c r="AI36" s="19"/>
      <c r="AJ36" s="77" t="s">
        <v>94</v>
      </c>
      <c r="AK36" s="80"/>
      <c r="AL36" s="217" t="s">
        <v>104</v>
      </c>
    </row>
    <row r="37" spans="1:38" s="36" customFormat="1" ht="22.9" customHeight="1" x14ac:dyDescent="0.25">
      <c r="A37" s="96"/>
      <c r="B37" s="99"/>
      <c r="C37" s="102"/>
      <c r="D37" s="111"/>
      <c r="E37" s="90"/>
      <c r="F37" s="90"/>
      <c r="G37" s="90"/>
      <c r="H37" s="90"/>
      <c r="I37" s="93"/>
      <c r="J37" s="187"/>
      <c r="K37" s="33">
        <f t="shared" ref="K37:AH37" si="8">IF(K39&lt;&gt;0,+K39/K41,0%)</f>
        <v>0.66666666666666663</v>
      </c>
      <c r="L37" s="20">
        <f t="shared" si="8"/>
        <v>0</v>
      </c>
      <c r="M37" s="20">
        <f t="shared" si="8"/>
        <v>0</v>
      </c>
      <c r="N37" s="21">
        <f t="shared" si="8"/>
        <v>0</v>
      </c>
      <c r="O37" s="20">
        <f t="shared" si="8"/>
        <v>0</v>
      </c>
      <c r="P37" s="21">
        <f t="shared" si="8"/>
        <v>0</v>
      </c>
      <c r="Q37" s="20">
        <f t="shared" si="8"/>
        <v>0.33333333333333331</v>
      </c>
      <c r="R37" s="21">
        <f t="shared" si="8"/>
        <v>0.33333333333333331</v>
      </c>
      <c r="S37" s="20">
        <f t="shared" si="8"/>
        <v>0</v>
      </c>
      <c r="T37" s="21">
        <f t="shared" si="8"/>
        <v>0.33333333333333331</v>
      </c>
      <c r="U37" s="20">
        <f t="shared" si="8"/>
        <v>0.33333333333333331</v>
      </c>
      <c r="V37" s="21">
        <f t="shared" si="8"/>
        <v>0.66666666666666663</v>
      </c>
      <c r="W37" s="20">
        <f t="shared" si="8"/>
        <v>0</v>
      </c>
      <c r="X37" s="21">
        <f t="shared" si="8"/>
        <v>0.66666666666666663</v>
      </c>
      <c r="Y37" s="20">
        <f t="shared" si="8"/>
        <v>0</v>
      </c>
      <c r="Z37" s="21">
        <f t="shared" si="8"/>
        <v>0.66666666666666663</v>
      </c>
      <c r="AA37" s="20">
        <f t="shared" si="8"/>
        <v>0</v>
      </c>
      <c r="AB37" s="21">
        <f t="shared" si="8"/>
        <v>0.66666666666666663</v>
      </c>
      <c r="AC37" s="20">
        <f t="shared" si="8"/>
        <v>0</v>
      </c>
      <c r="AD37" s="21">
        <f t="shared" si="8"/>
        <v>0.66666666666666663</v>
      </c>
      <c r="AE37" s="20">
        <f t="shared" si="8"/>
        <v>0</v>
      </c>
      <c r="AF37" s="21">
        <f t="shared" si="8"/>
        <v>0.66666666666666663</v>
      </c>
      <c r="AG37" s="20">
        <f t="shared" si="8"/>
        <v>0</v>
      </c>
      <c r="AH37" s="21">
        <f t="shared" si="8"/>
        <v>0.66666666666666663</v>
      </c>
      <c r="AI37" s="22"/>
      <c r="AJ37" s="78"/>
      <c r="AK37" s="81"/>
      <c r="AL37" s="218"/>
    </row>
    <row r="38" spans="1:38" s="36" customFormat="1" ht="22.9" customHeight="1" thickBot="1" x14ac:dyDescent="0.3">
      <c r="A38" s="96"/>
      <c r="B38" s="99"/>
      <c r="C38" s="102"/>
      <c r="D38" s="111"/>
      <c r="E38" s="90"/>
      <c r="F38" s="90"/>
      <c r="G38" s="90"/>
      <c r="H38" s="90"/>
      <c r="I38" s="93"/>
      <c r="J38" s="188"/>
      <c r="K38" s="23" t="s">
        <v>39</v>
      </c>
      <c r="L38" s="23" t="s">
        <v>39</v>
      </c>
      <c r="M38" s="23" t="s">
        <v>39</v>
      </c>
      <c r="N38" s="24" t="s">
        <v>39</v>
      </c>
      <c r="O38" s="23" t="s">
        <v>39</v>
      </c>
      <c r="P38" s="24" t="s">
        <v>39</v>
      </c>
      <c r="Q38" s="23" t="s">
        <v>39</v>
      </c>
      <c r="R38" s="24" t="s">
        <v>39</v>
      </c>
      <c r="S38" s="23" t="s">
        <v>39</v>
      </c>
      <c r="T38" s="24" t="s">
        <v>39</v>
      </c>
      <c r="U38" s="23" t="s">
        <v>39</v>
      </c>
      <c r="V38" s="24" t="s">
        <v>39</v>
      </c>
      <c r="W38" s="23" t="s">
        <v>39</v>
      </c>
      <c r="X38" s="24" t="s">
        <v>39</v>
      </c>
      <c r="Y38" s="23" t="s">
        <v>39</v>
      </c>
      <c r="Z38" s="24" t="s">
        <v>39</v>
      </c>
      <c r="AA38" s="23" t="s">
        <v>39</v>
      </c>
      <c r="AB38" s="24" t="s">
        <v>39</v>
      </c>
      <c r="AC38" s="23" t="s">
        <v>39</v>
      </c>
      <c r="AD38" s="24" t="s">
        <v>39</v>
      </c>
      <c r="AE38" s="23" t="s">
        <v>39</v>
      </c>
      <c r="AF38" s="24" t="s">
        <v>39</v>
      </c>
      <c r="AG38" s="23" t="s">
        <v>39</v>
      </c>
      <c r="AH38" s="24" t="s">
        <v>39</v>
      </c>
      <c r="AI38" s="22"/>
      <c r="AJ38" s="78"/>
      <c r="AK38" s="81"/>
      <c r="AL38" s="218"/>
    </row>
    <row r="39" spans="1:38" s="36" customFormat="1" ht="22.9" customHeight="1" thickTop="1" x14ac:dyDescent="0.25">
      <c r="A39" s="96"/>
      <c r="B39" s="99"/>
      <c r="C39" s="102"/>
      <c r="D39" s="111"/>
      <c r="E39" s="90"/>
      <c r="F39" s="90"/>
      <c r="G39" s="90"/>
      <c r="H39" s="90"/>
      <c r="I39" s="93"/>
      <c r="J39" s="86" t="s">
        <v>95</v>
      </c>
      <c r="K39" s="34">
        <v>2</v>
      </c>
      <c r="L39" s="54"/>
      <c r="M39" s="54"/>
      <c r="N39" s="55">
        <f>+L39+M39</f>
        <v>0</v>
      </c>
      <c r="O39" s="54"/>
      <c r="P39" s="55">
        <f t="shared" ref="P39:AH39" si="9">+N39+O39</f>
        <v>0</v>
      </c>
      <c r="Q39" s="54">
        <v>1</v>
      </c>
      <c r="R39" s="55">
        <f t="shared" si="9"/>
        <v>1</v>
      </c>
      <c r="S39" s="54"/>
      <c r="T39" s="55">
        <f t="shared" si="9"/>
        <v>1</v>
      </c>
      <c r="U39" s="54">
        <v>1</v>
      </c>
      <c r="V39" s="55">
        <f t="shared" si="9"/>
        <v>2</v>
      </c>
      <c r="W39" s="54"/>
      <c r="X39" s="55">
        <f t="shared" si="9"/>
        <v>2</v>
      </c>
      <c r="Y39" s="54"/>
      <c r="Z39" s="55">
        <f t="shared" si="9"/>
        <v>2</v>
      </c>
      <c r="AA39" s="54">
        <v>0</v>
      </c>
      <c r="AB39" s="55">
        <f t="shared" si="9"/>
        <v>2</v>
      </c>
      <c r="AC39" s="54"/>
      <c r="AD39" s="55">
        <f t="shared" si="9"/>
        <v>2</v>
      </c>
      <c r="AE39" s="54"/>
      <c r="AF39" s="55">
        <f t="shared" si="9"/>
        <v>2</v>
      </c>
      <c r="AG39" s="54"/>
      <c r="AH39" s="55">
        <f t="shared" si="9"/>
        <v>2</v>
      </c>
      <c r="AI39" s="26">
        <f>AH37/K37</f>
        <v>1</v>
      </c>
      <c r="AJ39" s="78"/>
      <c r="AK39" s="81"/>
      <c r="AL39" s="218"/>
    </row>
    <row r="40" spans="1:38" s="36" customFormat="1" ht="22.9" customHeight="1" x14ac:dyDescent="0.25">
      <c r="A40" s="96"/>
      <c r="B40" s="99"/>
      <c r="C40" s="102"/>
      <c r="D40" s="111"/>
      <c r="E40" s="90"/>
      <c r="F40" s="90"/>
      <c r="G40" s="90"/>
      <c r="H40" s="90"/>
      <c r="I40" s="93"/>
      <c r="J40" s="87"/>
      <c r="K40" s="27" t="s">
        <v>40</v>
      </c>
      <c r="L40" s="57" t="s">
        <v>40</v>
      </c>
      <c r="M40" s="57" t="s">
        <v>40</v>
      </c>
      <c r="N40" s="58" t="s">
        <v>40</v>
      </c>
      <c r="O40" s="57" t="s">
        <v>40</v>
      </c>
      <c r="P40" s="58" t="s">
        <v>40</v>
      </c>
      <c r="Q40" s="57" t="s">
        <v>40</v>
      </c>
      <c r="R40" s="58" t="s">
        <v>40</v>
      </c>
      <c r="S40" s="57" t="s">
        <v>40</v>
      </c>
      <c r="T40" s="58" t="s">
        <v>40</v>
      </c>
      <c r="U40" s="57" t="s">
        <v>40</v>
      </c>
      <c r="V40" s="58" t="s">
        <v>40</v>
      </c>
      <c r="W40" s="57" t="s">
        <v>40</v>
      </c>
      <c r="X40" s="58" t="s">
        <v>40</v>
      </c>
      <c r="Y40" s="57" t="s">
        <v>40</v>
      </c>
      <c r="Z40" s="58" t="s">
        <v>40</v>
      </c>
      <c r="AA40" s="57" t="s">
        <v>40</v>
      </c>
      <c r="AB40" s="58" t="s">
        <v>40</v>
      </c>
      <c r="AC40" s="57" t="s">
        <v>40</v>
      </c>
      <c r="AD40" s="58" t="s">
        <v>40</v>
      </c>
      <c r="AE40" s="57" t="s">
        <v>40</v>
      </c>
      <c r="AF40" s="58" t="s">
        <v>40</v>
      </c>
      <c r="AG40" s="57" t="s">
        <v>40</v>
      </c>
      <c r="AH40" s="58" t="s">
        <v>40</v>
      </c>
      <c r="AI40" s="22"/>
      <c r="AJ40" s="78"/>
      <c r="AK40" s="81"/>
      <c r="AL40" s="218"/>
    </row>
    <row r="41" spans="1:38" s="36" customFormat="1" ht="22.9" customHeight="1" thickBot="1" x14ac:dyDescent="0.3">
      <c r="A41" s="97"/>
      <c r="B41" s="100"/>
      <c r="C41" s="103"/>
      <c r="D41" s="112"/>
      <c r="E41" s="91"/>
      <c r="F41" s="91"/>
      <c r="G41" s="91"/>
      <c r="H41" s="91"/>
      <c r="I41" s="94"/>
      <c r="J41" s="88"/>
      <c r="K41" s="35">
        <v>3</v>
      </c>
      <c r="L41" s="59">
        <v>3</v>
      </c>
      <c r="M41" s="59">
        <v>3</v>
      </c>
      <c r="N41" s="60">
        <v>3</v>
      </c>
      <c r="O41" s="59">
        <v>3</v>
      </c>
      <c r="P41" s="60">
        <v>3</v>
      </c>
      <c r="Q41" s="59">
        <v>3</v>
      </c>
      <c r="R41" s="60">
        <v>3</v>
      </c>
      <c r="S41" s="59">
        <v>3</v>
      </c>
      <c r="T41" s="60">
        <v>3</v>
      </c>
      <c r="U41" s="59">
        <v>3</v>
      </c>
      <c r="V41" s="60">
        <v>3</v>
      </c>
      <c r="W41" s="59">
        <v>3</v>
      </c>
      <c r="X41" s="60">
        <v>3</v>
      </c>
      <c r="Y41" s="59">
        <v>3</v>
      </c>
      <c r="Z41" s="60">
        <v>3</v>
      </c>
      <c r="AA41" s="59">
        <v>3</v>
      </c>
      <c r="AB41" s="60">
        <v>3</v>
      </c>
      <c r="AC41" s="59">
        <v>3</v>
      </c>
      <c r="AD41" s="60">
        <v>3</v>
      </c>
      <c r="AE41" s="59">
        <v>3</v>
      </c>
      <c r="AF41" s="60">
        <v>3</v>
      </c>
      <c r="AG41" s="59">
        <v>3</v>
      </c>
      <c r="AH41" s="60">
        <v>3</v>
      </c>
      <c r="AI41" s="30"/>
      <c r="AJ41" s="79"/>
      <c r="AK41" s="82"/>
      <c r="AL41" s="219"/>
    </row>
    <row r="42" spans="1:38" s="36" customFormat="1" ht="22.9" customHeight="1" thickTop="1" x14ac:dyDescent="0.25">
      <c r="A42" s="95" t="s">
        <v>162</v>
      </c>
      <c r="B42" s="98" t="s">
        <v>55</v>
      </c>
      <c r="C42" s="210" t="s">
        <v>105</v>
      </c>
      <c r="D42" s="110" t="s">
        <v>91</v>
      </c>
      <c r="E42" s="89" t="s">
        <v>92</v>
      </c>
      <c r="F42" s="89" t="s">
        <v>173</v>
      </c>
      <c r="G42" s="89" t="s">
        <v>48</v>
      </c>
      <c r="H42" s="89" t="s">
        <v>63</v>
      </c>
      <c r="I42" s="92">
        <f>K43</f>
        <v>0.66666666666666663</v>
      </c>
      <c r="J42" s="86" t="s">
        <v>93</v>
      </c>
      <c r="K42" s="17" t="s">
        <v>38</v>
      </c>
      <c r="L42" s="17" t="s">
        <v>38</v>
      </c>
      <c r="M42" s="17" t="s">
        <v>38</v>
      </c>
      <c r="N42" s="18" t="s">
        <v>38</v>
      </c>
      <c r="O42" s="17" t="s">
        <v>38</v>
      </c>
      <c r="P42" s="18" t="s">
        <v>38</v>
      </c>
      <c r="Q42" s="17" t="s">
        <v>38</v>
      </c>
      <c r="R42" s="18" t="s">
        <v>38</v>
      </c>
      <c r="S42" s="17" t="s">
        <v>38</v>
      </c>
      <c r="T42" s="18" t="s">
        <v>38</v>
      </c>
      <c r="U42" s="17" t="s">
        <v>38</v>
      </c>
      <c r="V42" s="18" t="s">
        <v>38</v>
      </c>
      <c r="W42" s="17" t="s">
        <v>38</v>
      </c>
      <c r="X42" s="18" t="s">
        <v>38</v>
      </c>
      <c r="Y42" s="17" t="s">
        <v>38</v>
      </c>
      <c r="Z42" s="18" t="s">
        <v>38</v>
      </c>
      <c r="AA42" s="17" t="s">
        <v>38</v>
      </c>
      <c r="AB42" s="18" t="s">
        <v>38</v>
      </c>
      <c r="AC42" s="17" t="s">
        <v>38</v>
      </c>
      <c r="AD42" s="18" t="s">
        <v>38</v>
      </c>
      <c r="AE42" s="17" t="s">
        <v>38</v>
      </c>
      <c r="AF42" s="18" t="s">
        <v>38</v>
      </c>
      <c r="AG42" s="17" t="s">
        <v>38</v>
      </c>
      <c r="AH42" s="18" t="s">
        <v>38</v>
      </c>
      <c r="AI42" s="19"/>
      <c r="AJ42" s="77" t="s">
        <v>94</v>
      </c>
      <c r="AK42" s="80"/>
      <c r="AL42" s="217" t="s">
        <v>106</v>
      </c>
    </row>
    <row r="43" spans="1:38" s="36" customFormat="1" ht="22.9" customHeight="1" x14ac:dyDescent="0.25">
      <c r="A43" s="96"/>
      <c r="B43" s="99"/>
      <c r="C43" s="102"/>
      <c r="D43" s="111"/>
      <c r="E43" s="90"/>
      <c r="F43" s="90"/>
      <c r="G43" s="90"/>
      <c r="H43" s="90"/>
      <c r="I43" s="93"/>
      <c r="J43" s="187"/>
      <c r="K43" s="33">
        <f t="shared" ref="K43:AH43" si="10">IF(K45&lt;&gt;0,+K45/K47,0%)</f>
        <v>0.66666666666666663</v>
      </c>
      <c r="L43" s="20">
        <f t="shared" si="10"/>
        <v>0</v>
      </c>
      <c r="M43" s="20">
        <f t="shared" si="10"/>
        <v>0</v>
      </c>
      <c r="N43" s="21">
        <f t="shared" si="10"/>
        <v>0</v>
      </c>
      <c r="O43" s="20">
        <f t="shared" si="10"/>
        <v>0</v>
      </c>
      <c r="P43" s="21">
        <f t="shared" si="10"/>
        <v>0</v>
      </c>
      <c r="Q43" s="20">
        <f t="shared" si="10"/>
        <v>0.33333333333333331</v>
      </c>
      <c r="R43" s="21">
        <f t="shared" si="10"/>
        <v>0.33333333333333331</v>
      </c>
      <c r="S43" s="20">
        <f t="shared" si="10"/>
        <v>0</v>
      </c>
      <c r="T43" s="21">
        <f t="shared" si="10"/>
        <v>0.33333333333333331</v>
      </c>
      <c r="U43" s="20">
        <f t="shared" si="10"/>
        <v>0.33333333333333331</v>
      </c>
      <c r="V43" s="21">
        <f t="shared" si="10"/>
        <v>0.66666666666666663</v>
      </c>
      <c r="W43" s="20">
        <f t="shared" si="10"/>
        <v>0</v>
      </c>
      <c r="X43" s="21">
        <f t="shared" si="10"/>
        <v>0.66666666666666663</v>
      </c>
      <c r="Y43" s="20">
        <f t="shared" si="10"/>
        <v>0</v>
      </c>
      <c r="Z43" s="21">
        <f t="shared" si="10"/>
        <v>0.66666666666666663</v>
      </c>
      <c r="AA43" s="20">
        <f t="shared" si="10"/>
        <v>0</v>
      </c>
      <c r="AB43" s="21">
        <f t="shared" si="10"/>
        <v>0.66666666666666663</v>
      </c>
      <c r="AC43" s="20">
        <f t="shared" si="10"/>
        <v>0</v>
      </c>
      <c r="AD43" s="21">
        <f t="shared" si="10"/>
        <v>0.66666666666666663</v>
      </c>
      <c r="AE43" s="20">
        <f t="shared" si="10"/>
        <v>0</v>
      </c>
      <c r="AF43" s="21">
        <f t="shared" si="10"/>
        <v>0.66666666666666663</v>
      </c>
      <c r="AG43" s="20">
        <f t="shared" si="10"/>
        <v>0</v>
      </c>
      <c r="AH43" s="21">
        <f t="shared" si="10"/>
        <v>0.66666666666666663</v>
      </c>
      <c r="AI43" s="22"/>
      <c r="AJ43" s="78"/>
      <c r="AK43" s="81"/>
      <c r="AL43" s="218"/>
    </row>
    <row r="44" spans="1:38" s="36" customFormat="1" ht="22.9" customHeight="1" thickBot="1" x14ac:dyDescent="0.3">
      <c r="A44" s="96"/>
      <c r="B44" s="99"/>
      <c r="C44" s="102"/>
      <c r="D44" s="111"/>
      <c r="E44" s="90"/>
      <c r="F44" s="90"/>
      <c r="G44" s="90"/>
      <c r="H44" s="90"/>
      <c r="I44" s="93"/>
      <c r="J44" s="188"/>
      <c r="K44" s="23" t="s">
        <v>39</v>
      </c>
      <c r="L44" s="23" t="s">
        <v>39</v>
      </c>
      <c r="M44" s="23" t="s">
        <v>39</v>
      </c>
      <c r="N44" s="24" t="s">
        <v>39</v>
      </c>
      <c r="O44" s="23" t="s">
        <v>39</v>
      </c>
      <c r="P44" s="24" t="s">
        <v>39</v>
      </c>
      <c r="Q44" s="23" t="s">
        <v>39</v>
      </c>
      <c r="R44" s="24" t="s">
        <v>39</v>
      </c>
      <c r="S44" s="23" t="s">
        <v>39</v>
      </c>
      <c r="T44" s="24" t="s">
        <v>39</v>
      </c>
      <c r="U44" s="23" t="s">
        <v>39</v>
      </c>
      <c r="V44" s="24" t="s">
        <v>39</v>
      </c>
      <c r="W44" s="23" t="s">
        <v>39</v>
      </c>
      <c r="X44" s="24" t="s">
        <v>39</v>
      </c>
      <c r="Y44" s="23" t="s">
        <v>39</v>
      </c>
      <c r="Z44" s="24" t="s">
        <v>39</v>
      </c>
      <c r="AA44" s="23" t="s">
        <v>39</v>
      </c>
      <c r="AB44" s="24" t="s">
        <v>39</v>
      </c>
      <c r="AC44" s="23" t="s">
        <v>39</v>
      </c>
      <c r="AD44" s="24" t="s">
        <v>39</v>
      </c>
      <c r="AE44" s="23" t="s">
        <v>39</v>
      </c>
      <c r="AF44" s="24" t="s">
        <v>39</v>
      </c>
      <c r="AG44" s="23" t="s">
        <v>39</v>
      </c>
      <c r="AH44" s="24" t="s">
        <v>39</v>
      </c>
      <c r="AI44" s="22"/>
      <c r="AJ44" s="78"/>
      <c r="AK44" s="81"/>
      <c r="AL44" s="218"/>
    </row>
    <row r="45" spans="1:38" s="36" customFormat="1" ht="22.9" customHeight="1" thickTop="1" x14ac:dyDescent="0.25">
      <c r="A45" s="96"/>
      <c r="B45" s="99"/>
      <c r="C45" s="102"/>
      <c r="D45" s="111"/>
      <c r="E45" s="90"/>
      <c r="F45" s="90"/>
      <c r="G45" s="90"/>
      <c r="H45" s="90"/>
      <c r="I45" s="93"/>
      <c r="J45" s="86" t="s">
        <v>95</v>
      </c>
      <c r="K45" s="34">
        <v>2</v>
      </c>
      <c r="L45" s="54"/>
      <c r="M45" s="54"/>
      <c r="N45" s="55">
        <f>+L45+M45</f>
        <v>0</v>
      </c>
      <c r="O45" s="54"/>
      <c r="P45" s="55">
        <f t="shared" ref="P45:AH45" si="11">+N45+O45</f>
        <v>0</v>
      </c>
      <c r="Q45" s="54">
        <v>1</v>
      </c>
      <c r="R45" s="55">
        <f t="shared" si="11"/>
        <v>1</v>
      </c>
      <c r="S45" s="54"/>
      <c r="T45" s="55">
        <f t="shared" si="11"/>
        <v>1</v>
      </c>
      <c r="U45" s="54">
        <v>1</v>
      </c>
      <c r="V45" s="55">
        <f t="shared" si="11"/>
        <v>2</v>
      </c>
      <c r="W45" s="54"/>
      <c r="X45" s="55">
        <f t="shared" si="11"/>
        <v>2</v>
      </c>
      <c r="Y45" s="54"/>
      <c r="Z45" s="55">
        <f t="shared" si="11"/>
        <v>2</v>
      </c>
      <c r="AA45" s="54">
        <v>0</v>
      </c>
      <c r="AB45" s="55">
        <f t="shared" si="11"/>
        <v>2</v>
      </c>
      <c r="AC45" s="54"/>
      <c r="AD45" s="55">
        <f t="shared" si="11"/>
        <v>2</v>
      </c>
      <c r="AE45" s="54"/>
      <c r="AF45" s="55">
        <f t="shared" si="11"/>
        <v>2</v>
      </c>
      <c r="AG45" s="54"/>
      <c r="AH45" s="55">
        <f t="shared" si="11"/>
        <v>2</v>
      </c>
      <c r="AI45" s="26">
        <f>AH43/K43</f>
        <v>1</v>
      </c>
      <c r="AJ45" s="78"/>
      <c r="AK45" s="81"/>
      <c r="AL45" s="218"/>
    </row>
    <row r="46" spans="1:38" s="36" customFormat="1" ht="22.9" customHeight="1" x14ac:dyDescent="0.25">
      <c r="A46" s="96"/>
      <c r="B46" s="99"/>
      <c r="C46" s="102"/>
      <c r="D46" s="111"/>
      <c r="E46" s="90"/>
      <c r="F46" s="90"/>
      <c r="G46" s="90"/>
      <c r="H46" s="90"/>
      <c r="I46" s="93"/>
      <c r="J46" s="87"/>
      <c r="K46" s="27" t="s">
        <v>40</v>
      </c>
      <c r="L46" s="57" t="s">
        <v>40</v>
      </c>
      <c r="M46" s="57" t="s">
        <v>40</v>
      </c>
      <c r="N46" s="58" t="s">
        <v>40</v>
      </c>
      <c r="O46" s="57" t="s">
        <v>40</v>
      </c>
      <c r="P46" s="58" t="s">
        <v>40</v>
      </c>
      <c r="Q46" s="57" t="s">
        <v>40</v>
      </c>
      <c r="R46" s="58" t="s">
        <v>40</v>
      </c>
      <c r="S46" s="57" t="s">
        <v>40</v>
      </c>
      <c r="T46" s="58" t="s">
        <v>40</v>
      </c>
      <c r="U46" s="57" t="s">
        <v>40</v>
      </c>
      <c r="V46" s="58" t="s">
        <v>40</v>
      </c>
      <c r="W46" s="57" t="s">
        <v>40</v>
      </c>
      <c r="X46" s="58" t="s">
        <v>40</v>
      </c>
      <c r="Y46" s="57" t="s">
        <v>40</v>
      </c>
      <c r="Z46" s="58" t="s">
        <v>40</v>
      </c>
      <c r="AA46" s="57" t="s">
        <v>40</v>
      </c>
      <c r="AB46" s="58" t="s">
        <v>40</v>
      </c>
      <c r="AC46" s="57" t="s">
        <v>40</v>
      </c>
      <c r="AD46" s="58" t="s">
        <v>40</v>
      </c>
      <c r="AE46" s="57" t="s">
        <v>40</v>
      </c>
      <c r="AF46" s="58" t="s">
        <v>40</v>
      </c>
      <c r="AG46" s="57" t="s">
        <v>40</v>
      </c>
      <c r="AH46" s="58" t="s">
        <v>40</v>
      </c>
      <c r="AI46" s="22"/>
      <c r="AJ46" s="78"/>
      <c r="AK46" s="81"/>
      <c r="AL46" s="218"/>
    </row>
    <row r="47" spans="1:38" s="36" customFormat="1" ht="22.9" customHeight="1" thickBot="1" x14ac:dyDescent="0.3">
      <c r="A47" s="97"/>
      <c r="B47" s="100"/>
      <c r="C47" s="103"/>
      <c r="D47" s="112"/>
      <c r="E47" s="91"/>
      <c r="F47" s="91"/>
      <c r="G47" s="91"/>
      <c r="H47" s="91"/>
      <c r="I47" s="94"/>
      <c r="J47" s="88"/>
      <c r="K47" s="35">
        <v>3</v>
      </c>
      <c r="L47" s="59">
        <v>3</v>
      </c>
      <c r="M47" s="59">
        <v>3</v>
      </c>
      <c r="N47" s="60">
        <v>3</v>
      </c>
      <c r="O47" s="59">
        <v>3</v>
      </c>
      <c r="P47" s="60">
        <v>3</v>
      </c>
      <c r="Q47" s="59">
        <v>3</v>
      </c>
      <c r="R47" s="60">
        <v>3</v>
      </c>
      <c r="S47" s="59">
        <v>3</v>
      </c>
      <c r="T47" s="60">
        <v>3</v>
      </c>
      <c r="U47" s="59">
        <v>3</v>
      </c>
      <c r="V47" s="60">
        <v>3</v>
      </c>
      <c r="W47" s="59">
        <v>3</v>
      </c>
      <c r="X47" s="60">
        <v>3</v>
      </c>
      <c r="Y47" s="59">
        <v>3</v>
      </c>
      <c r="Z47" s="60">
        <v>3</v>
      </c>
      <c r="AA47" s="59">
        <v>3</v>
      </c>
      <c r="AB47" s="60">
        <v>3</v>
      </c>
      <c r="AC47" s="59">
        <v>3</v>
      </c>
      <c r="AD47" s="60">
        <v>3</v>
      </c>
      <c r="AE47" s="59">
        <v>3</v>
      </c>
      <c r="AF47" s="60">
        <v>3</v>
      </c>
      <c r="AG47" s="59">
        <v>3</v>
      </c>
      <c r="AH47" s="60">
        <v>3</v>
      </c>
      <c r="AI47" s="30"/>
      <c r="AJ47" s="79"/>
      <c r="AK47" s="82"/>
      <c r="AL47" s="219"/>
    </row>
    <row r="48" spans="1:38" s="36" customFormat="1" ht="22.9" customHeight="1" thickTop="1" x14ac:dyDescent="0.25">
      <c r="A48" s="95" t="s">
        <v>150</v>
      </c>
      <c r="B48" s="98" t="s">
        <v>55</v>
      </c>
      <c r="C48" s="210" t="s">
        <v>107</v>
      </c>
      <c r="D48" s="110" t="s">
        <v>91</v>
      </c>
      <c r="E48" s="89" t="s">
        <v>92</v>
      </c>
      <c r="F48" s="89" t="s">
        <v>173</v>
      </c>
      <c r="G48" s="89" t="s">
        <v>48</v>
      </c>
      <c r="H48" s="89" t="s">
        <v>63</v>
      </c>
      <c r="I48" s="92">
        <f>K49</f>
        <v>0.66666666666666663</v>
      </c>
      <c r="J48" s="86" t="s">
        <v>93</v>
      </c>
      <c r="K48" s="17" t="s">
        <v>38</v>
      </c>
      <c r="L48" s="17" t="s">
        <v>38</v>
      </c>
      <c r="M48" s="17" t="s">
        <v>38</v>
      </c>
      <c r="N48" s="18" t="s">
        <v>38</v>
      </c>
      <c r="O48" s="17" t="s">
        <v>38</v>
      </c>
      <c r="P48" s="18" t="s">
        <v>38</v>
      </c>
      <c r="Q48" s="17" t="s">
        <v>38</v>
      </c>
      <c r="R48" s="18" t="s">
        <v>38</v>
      </c>
      <c r="S48" s="17" t="s">
        <v>38</v>
      </c>
      <c r="T48" s="18" t="s">
        <v>38</v>
      </c>
      <c r="U48" s="17" t="s">
        <v>38</v>
      </c>
      <c r="V48" s="18" t="s">
        <v>38</v>
      </c>
      <c r="W48" s="17" t="s">
        <v>38</v>
      </c>
      <c r="X48" s="18" t="s">
        <v>38</v>
      </c>
      <c r="Y48" s="17" t="s">
        <v>38</v>
      </c>
      <c r="Z48" s="18" t="s">
        <v>38</v>
      </c>
      <c r="AA48" s="17" t="s">
        <v>38</v>
      </c>
      <c r="AB48" s="18" t="s">
        <v>38</v>
      </c>
      <c r="AC48" s="17" t="s">
        <v>38</v>
      </c>
      <c r="AD48" s="18" t="s">
        <v>38</v>
      </c>
      <c r="AE48" s="17" t="s">
        <v>38</v>
      </c>
      <c r="AF48" s="18" t="s">
        <v>38</v>
      </c>
      <c r="AG48" s="17" t="s">
        <v>38</v>
      </c>
      <c r="AH48" s="18" t="s">
        <v>38</v>
      </c>
      <c r="AI48" s="19"/>
      <c r="AJ48" s="77" t="s">
        <v>94</v>
      </c>
      <c r="AK48" s="80"/>
      <c r="AL48" s="217" t="s">
        <v>108</v>
      </c>
    </row>
    <row r="49" spans="1:38" s="36" customFormat="1" ht="22.9" customHeight="1" x14ac:dyDescent="0.25">
      <c r="A49" s="96"/>
      <c r="B49" s="99"/>
      <c r="C49" s="102"/>
      <c r="D49" s="111"/>
      <c r="E49" s="90"/>
      <c r="F49" s="90"/>
      <c r="G49" s="90"/>
      <c r="H49" s="90"/>
      <c r="I49" s="93"/>
      <c r="J49" s="187"/>
      <c r="K49" s="33">
        <f t="shared" ref="K49:AH49" si="12">IF(K51&lt;&gt;0,+K51/K53,0%)</f>
        <v>0.66666666666666663</v>
      </c>
      <c r="L49" s="20">
        <f t="shared" si="12"/>
        <v>0</v>
      </c>
      <c r="M49" s="20">
        <f t="shared" si="12"/>
        <v>0</v>
      </c>
      <c r="N49" s="21">
        <f t="shared" si="12"/>
        <v>0</v>
      </c>
      <c r="O49" s="20">
        <f t="shared" si="12"/>
        <v>0</v>
      </c>
      <c r="P49" s="21">
        <f t="shared" si="12"/>
        <v>0</v>
      </c>
      <c r="Q49" s="20">
        <f t="shared" si="12"/>
        <v>0.33333333333333331</v>
      </c>
      <c r="R49" s="21">
        <f t="shared" si="12"/>
        <v>0.33333333333333331</v>
      </c>
      <c r="S49" s="20">
        <f t="shared" si="12"/>
        <v>0</v>
      </c>
      <c r="T49" s="21">
        <f t="shared" si="12"/>
        <v>0.33333333333333331</v>
      </c>
      <c r="U49" s="20">
        <f t="shared" si="12"/>
        <v>0.33333333333333331</v>
      </c>
      <c r="V49" s="21">
        <f t="shared" si="12"/>
        <v>0.66666666666666663</v>
      </c>
      <c r="W49" s="20">
        <f t="shared" si="12"/>
        <v>0</v>
      </c>
      <c r="X49" s="21">
        <f t="shared" si="12"/>
        <v>0.66666666666666663</v>
      </c>
      <c r="Y49" s="20">
        <f t="shared" si="12"/>
        <v>0</v>
      </c>
      <c r="Z49" s="21">
        <f t="shared" si="12"/>
        <v>0.66666666666666663</v>
      </c>
      <c r="AA49" s="20">
        <f t="shared" si="12"/>
        <v>0</v>
      </c>
      <c r="AB49" s="21">
        <f t="shared" si="12"/>
        <v>0.66666666666666663</v>
      </c>
      <c r="AC49" s="20">
        <f t="shared" si="12"/>
        <v>0</v>
      </c>
      <c r="AD49" s="21">
        <f t="shared" si="12"/>
        <v>0.66666666666666663</v>
      </c>
      <c r="AE49" s="20">
        <f t="shared" si="12"/>
        <v>0</v>
      </c>
      <c r="AF49" s="21">
        <f t="shared" si="12"/>
        <v>0.66666666666666663</v>
      </c>
      <c r="AG49" s="20">
        <f t="shared" si="12"/>
        <v>0</v>
      </c>
      <c r="AH49" s="21">
        <f t="shared" si="12"/>
        <v>0.66666666666666663</v>
      </c>
      <c r="AI49" s="22"/>
      <c r="AJ49" s="78"/>
      <c r="AK49" s="81"/>
      <c r="AL49" s="218"/>
    </row>
    <row r="50" spans="1:38" s="36" customFormat="1" ht="22.9" customHeight="1" thickBot="1" x14ac:dyDescent="0.3">
      <c r="A50" s="96"/>
      <c r="B50" s="99"/>
      <c r="C50" s="102"/>
      <c r="D50" s="111"/>
      <c r="E50" s="90"/>
      <c r="F50" s="90"/>
      <c r="G50" s="90"/>
      <c r="H50" s="90"/>
      <c r="I50" s="93"/>
      <c r="J50" s="188"/>
      <c r="K50" s="23" t="s">
        <v>39</v>
      </c>
      <c r="L50" s="23" t="s">
        <v>39</v>
      </c>
      <c r="M50" s="23" t="s">
        <v>39</v>
      </c>
      <c r="N50" s="24" t="s">
        <v>39</v>
      </c>
      <c r="O50" s="23" t="s">
        <v>39</v>
      </c>
      <c r="P50" s="24" t="s">
        <v>39</v>
      </c>
      <c r="Q50" s="23" t="s">
        <v>39</v>
      </c>
      <c r="R50" s="24" t="s">
        <v>39</v>
      </c>
      <c r="S50" s="23" t="s">
        <v>39</v>
      </c>
      <c r="T50" s="24" t="s">
        <v>39</v>
      </c>
      <c r="U50" s="23" t="s">
        <v>39</v>
      </c>
      <c r="V50" s="24" t="s">
        <v>39</v>
      </c>
      <c r="W50" s="23" t="s">
        <v>39</v>
      </c>
      <c r="X50" s="24" t="s">
        <v>39</v>
      </c>
      <c r="Y50" s="23" t="s">
        <v>39</v>
      </c>
      <c r="Z50" s="24" t="s">
        <v>39</v>
      </c>
      <c r="AA50" s="23" t="s">
        <v>39</v>
      </c>
      <c r="AB50" s="24" t="s">
        <v>39</v>
      </c>
      <c r="AC50" s="23" t="s">
        <v>39</v>
      </c>
      <c r="AD50" s="24" t="s">
        <v>39</v>
      </c>
      <c r="AE50" s="23" t="s">
        <v>39</v>
      </c>
      <c r="AF50" s="24" t="s">
        <v>39</v>
      </c>
      <c r="AG50" s="23" t="s">
        <v>39</v>
      </c>
      <c r="AH50" s="24" t="s">
        <v>39</v>
      </c>
      <c r="AI50" s="22"/>
      <c r="AJ50" s="78"/>
      <c r="AK50" s="81"/>
      <c r="AL50" s="218"/>
    </row>
    <row r="51" spans="1:38" s="36" customFormat="1" ht="22.9" customHeight="1" thickTop="1" x14ac:dyDescent="0.25">
      <c r="A51" s="96"/>
      <c r="B51" s="99"/>
      <c r="C51" s="102"/>
      <c r="D51" s="111"/>
      <c r="E51" s="90"/>
      <c r="F51" s="90"/>
      <c r="G51" s="90"/>
      <c r="H51" s="90"/>
      <c r="I51" s="93"/>
      <c r="J51" s="86" t="s">
        <v>95</v>
      </c>
      <c r="K51" s="34">
        <v>2</v>
      </c>
      <c r="L51" s="54"/>
      <c r="M51" s="54"/>
      <c r="N51" s="55">
        <f>+L51+M51</f>
        <v>0</v>
      </c>
      <c r="O51" s="54"/>
      <c r="P51" s="55">
        <f t="shared" ref="P51:AH51" si="13">+N51+O51</f>
        <v>0</v>
      </c>
      <c r="Q51" s="54">
        <v>1</v>
      </c>
      <c r="R51" s="55">
        <f t="shared" si="13"/>
        <v>1</v>
      </c>
      <c r="S51" s="54"/>
      <c r="T51" s="55">
        <f t="shared" si="13"/>
        <v>1</v>
      </c>
      <c r="U51" s="54">
        <v>1</v>
      </c>
      <c r="V51" s="55">
        <f t="shared" si="13"/>
        <v>2</v>
      </c>
      <c r="W51" s="54"/>
      <c r="X51" s="55">
        <f t="shared" si="13"/>
        <v>2</v>
      </c>
      <c r="Y51" s="54"/>
      <c r="Z51" s="55">
        <f t="shared" si="13"/>
        <v>2</v>
      </c>
      <c r="AA51" s="54">
        <v>0</v>
      </c>
      <c r="AB51" s="55">
        <f t="shared" si="13"/>
        <v>2</v>
      </c>
      <c r="AC51" s="54"/>
      <c r="AD51" s="55">
        <f t="shared" si="13"/>
        <v>2</v>
      </c>
      <c r="AE51" s="54"/>
      <c r="AF51" s="55">
        <f t="shared" si="13"/>
        <v>2</v>
      </c>
      <c r="AG51" s="54"/>
      <c r="AH51" s="55">
        <f t="shared" si="13"/>
        <v>2</v>
      </c>
      <c r="AI51" s="26">
        <f>AH49/K49</f>
        <v>1</v>
      </c>
      <c r="AJ51" s="78"/>
      <c r="AK51" s="81"/>
      <c r="AL51" s="218"/>
    </row>
    <row r="52" spans="1:38" s="36" customFormat="1" ht="22.9" customHeight="1" x14ac:dyDescent="0.25">
      <c r="A52" s="96"/>
      <c r="B52" s="99"/>
      <c r="C52" s="102"/>
      <c r="D52" s="111"/>
      <c r="E52" s="90"/>
      <c r="F52" s="90"/>
      <c r="G52" s="90"/>
      <c r="H52" s="90"/>
      <c r="I52" s="93"/>
      <c r="J52" s="87"/>
      <c r="K52" s="27" t="s">
        <v>40</v>
      </c>
      <c r="L52" s="57" t="s">
        <v>40</v>
      </c>
      <c r="M52" s="57" t="s">
        <v>40</v>
      </c>
      <c r="N52" s="58" t="s">
        <v>40</v>
      </c>
      <c r="O52" s="57" t="s">
        <v>40</v>
      </c>
      <c r="P52" s="58" t="s">
        <v>40</v>
      </c>
      <c r="Q52" s="57" t="s">
        <v>40</v>
      </c>
      <c r="R52" s="58" t="s">
        <v>40</v>
      </c>
      <c r="S52" s="57" t="s">
        <v>40</v>
      </c>
      <c r="T52" s="58" t="s">
        <v>40</v>
      </c>
      <c r="U52" s="57" t="s">
        <v>40</v>
      </c>
      <c r="V52" s="58" t="s">
        <v>40</v>
      </c>
      <c r="W52" s="57" t="s">
        <v>40</v>
      </c>
      <c r="X52" s="58" t="s">
        <v>40</v>
      </c>
      <c r="Y52" s="57" t="s">
        <v>40</v>
      </c>
      <c r="Z52" s="58" t="s">
        <v>40</v>
      </c>
      <c r="AA52" s="57" t="s">
        <v>40</v>
      </c>
      <c r="AB52" s="58" t="s">
        <v>40</v>
      </c>
      <c r="AC52" s="57" t="s">
        <v>40</v>
      </c>
      <c r="AD52" s="58" t="s">
        <v>40</v>
      </c>
      <c r="AE52" s="57" t="s">
        <v>40</v>
      </c>
      <c r="AF52" s="58" t="s">
        <v>40</v>
      </c>
      <c r="AG52" s="57" t="s">
        <v>40</v>
      </c>
      <c r="AH52" s="58" t="s">
        <v>40</v>
      </c>
      <c r="AI52" s="22"/>
      <c r="AJ52" s="78"/>
      <c r="AK52" s="81"/>
      <c r="AL52" s="218"/>
    </row>
    <row r="53" spans="1:38" s="36" customFormat="1" ht="22.9" customHeight="1" thickBot="1" x14ac:dyDescent="0.3">
      <c r="A53" s="97"/>
      <c r="B53" s="100"/>
      <c r="C53" s="103"/>
      <c r="D53" s="112"/>
      <c r="E53" s="91"/>
      <c r="F53" s="91"/>
      <c r="G53" s="91"/>
      <c r="H53" s="91"/>
      <c r="I53" s="94"/>
      <c r="J53" s="88"/>
      <c r="K53" s="35">
        <v>3</v>
      </c>
      <c r="L53" s="59">
        <v>3</v>
      </c>
      <c r="M53" s="59">
        <v>3</v>
      </c>
      <c r="N53" s="60">
        <v>3</v>
      </c>
      <c r="O53" s="59">
        <v>3</v>
      </c>
      <c r="P53" s="60">
        <v>3</v>
      </c>
      <c r="Q53" s="59">
        <v>3</v>
      </c>
      <c r="R53" s="60">
        <v>3</v>
      </c>
      <c r="S53" s="59">
        <v>3</v>
      </c>
      <c r="T53" s="60">
        <v>3</v>
      </c>
      <c r="U53" s="59">
        <v>3</v>
      </c>
      <c r="V53" s="60">
        <v>3</v>
      </c>
      <c r="W53" s="59">
        <v>3</v>
      </c>
      <c r="X53" s="60">
        <v>3</v>
      </c>
      <c r="Y53" s="59">
        <v>3</v>
      </c>
      <c r="Z53" s="60">
        <v>3</v>
      </c>
      <c r="AA53" s="59">
        <v>3</v>
      </c>
      <c r="AB53" s="60">
        <v>3</v>
      </c>
      <c r="AC53" s="59">
        <v>3</v>
      </c>
      <c r="AD53" s="60">
        <v>3</v>
      </c>
      <c r="AE53" s="59">
        <v>3</v>
      </c>
      <c r="AF53" s="60">
        <v>3</v>
      </c>
      <c r="AG53" s="59">
        <v>3</v>
      </c>
      <c r="AH53" s="60">
        <v>3</v>
      </c>
      <c r="AI53" s="30"/>
      <c r="AJ53" s="79"/>
      <c r="AK53" s="82"/>
      <c r="AL53" s="219"/>
    </row>
    <row r="54" spans="1:38" s="36" customFormat="1" ht="22.9" customHeight="1" thickTop="1" x14ac:dyDescent="0.25">
      <c r="A54" s="95" t="s">
        <v>159</v>
      </c>
      <c r="B54" s="98" t="s">
        <v>55</v>
      </c>
      <c r="C54" s="210" t="s">
        <v>109</v>
      </c>
      <c r="D54" s="110" t="s">
        <v>91</v>
      </c>
      <c r="E54" s="89" t="s">
        <v>92</v>
      </c>
      <c r="F54" s="89" t="s">
        <v>173</v>
      </c>
      <c r="G54" s="89" t="s">
        <v>48</v>
      </c>
      <c r="H54" s="89" t="s">
        <v>63</v>
      </c>
      <c r="I54" s="92">
        <f>K55</f>
        <v>0.66666666666666663</v>
      </c>
      <c r="J54" s="86" t="s">
        <v>93</v>
      </c>
      <c r="K54" s="17" t="s">
        <v>38</v>
      </c>
      <c r="L54" s="17" t="s">
        <v>38</v>
      </c>
      <c r="M54" s="17" t="s">
        <v>38</v>
      </c>
      <c r="N54" s="18" t="s">
        <v>38</v>
      </c>
      <c r="O54" s="17" t="s">
        <v>38</v>
      </c>
      <c r="P54" s="18" t="s">
        <v>38</v>
      </c>
      <c r="Q54" s="17" t="s">
        <v>38</v>
      </c>
      <c r="R54" s="18" t="s">
        <v>38</v>
      </c>
      <c r="S54" s="17" t="s">
        <v>38</v>
      </c>
      <c r="T54" s="18" t="s">
        <v>38</v>
      </c>
      <c r="U54" s="17" t="s">
        <v>38</v>
      </c>
      <c r="V54" s="18" t="s">
        <v>38</v>
      </c>
      <c r="W54" s="17" t="s">
        <v>38</v>
      </c>
      <c r="X54" s="18" t="s">
        <v>38</v>
      </c>
      <c r="Y54" s="17" t="s">
        <v>38</v>
      </c>
      <c r="Z54" s="18" t="s">
        <v>38</v>
      </c>
      <c r="AA54" s="17" t="s">
        <v>38</v>
      </c>
      <c r="AB54" s="18" t="s">
        <v>38</v>
      </c>
      <c r="AC54" s="17" t="s">
        <v>38</v>
      </c>
      <c r="AD54" s="18" t="s">
        <v>38</v>
      </c>
      <c r="AE54" s="17" t="s">
        <v>38</v>
      </c>
      <c r="AF54" s="18" t="s">
        <v>38</v>
      </c>
      <c r="AG54" s="17" t="s">
        <v>38</v>
      </c>
      <c r="AH54" s="18" t="s">
        <v>38</v>
      </c>
      <c r="AI54" s="19"/>
      <c r="AJ54" s="77" t="s">
        <v>94</v>
      </c>
      <c r="AK54" s="80"/>
      <c r="AL54" s="83" t="s">
        <v>110</v>
      </c>
    </row>
    <row r="55" spans="1:38" s="36" customFormat="1" ht="22.9" customHeight="1" x14ac:dyDescent="0.25">
      <c r="A55" s="96"/>
      <c r="B55" s="99"/>
      <c r="C55" s="102"/>
      <c r="D55" s="111"/>
      <c r="E55" s="90"/>
      <c r="F55" s="90"/>
      <c r="G55" s="90"/>
      <c r="H55" s="90"/>
      <c r="I55" s="93"/>
      <c r="J55" s="187"/>
      <c r="K55" s="33">
        <f t="shared" ref="K55:AH55" si="14">IF(K57&lt;&gt;0,+K57/K59,0%)</f>
        <v>0.66666666666666663</v>
      </c>
      <c r="L55" s="20">
        <f t="shared" si="14"/>
        <v>0</v>
      </c>
      <c r="M55" s="20">
        <f t="shared" si="14"/>
        <v>0</v>
      </c>
      <c r="N55" s="21">
        <f t="shared" si="14"/>
        <v>0</v>
      </c>
      <c r="O55" s="20">
        <f t="shared" si="14"/>
        <v>0</v>
      </c>
      <c r="P55" s="21">
        <f t="shared" si="14"/>
        <v>0</v>
      </c>
      <c r="Q55" s="20">
        <f t="shared" si="14"/>
        <v>0.33333333333333331</v>
      </c>
      <c r="R55" s="21">
        <f t="shared" si="14"/>
        <v>0.33333333333333331</v>
      </c>
      <c r="S55" s="20">
        <f t="shared" si="14"/>
        <v>0</v>
      </c>
      <c r="T55" s="21">
        <f t="shared" si="14"/>
        <v>0.33333333333333331</v>
      </c>
      <c r="U55" s="20">
        <f t="shared" si="14"/>
        <v>0.33333333333333331</v>
      </c>
      <c r="V55" s="21">
        <f t="shared" si="14"/>
        <v>0.66666666666666663</v>
      </c>
      <c r="W55" s="20">
        <f t="shared" si="14"/>
        <v>0</v>
      </c>
      <c r="X55" s="21">
        <f t="shared" si="14"/>
        <v>0.66666666666666663</v>
      </c>
      <c r="Y55" s="20">
        <f t="shared" si="14"/>
        <v>0</v>
      </c>
      <c r="Z55" s="21">
        <f t="shared" si="14"/>
        <v>0.66666666666666663</v>
      </c>
      <c r="AA55" s="20">
        <f t="shared" si="14"/>
        <v>0</v>
      </c>
      <c r="AB55" s="21">
        <f t="shared" si="14"/>
        <v>0.66666666666666663</v>
      </c>
      <c r="AC55" s="20">
        <f t="shared" si="14"/>
        <v>0</v>
      </c>
      <c r="AD55" s="21">
        <f t="shared" si="14"/>
        <v>0.66666666666666663</v>
      </c>
      <c r="AE55" s="20">
        <f t="shared" si="14"/>
        <v>0</v>
      </c>
      <c r="AF55" s="21">
        <f t="shared" si="14"/>
        <v>0.66666666666666663</v>
      </c>
      <c r="AG55" s="20">
        <f t="shared" si="14"/>
        <v>0</v>
      </c>
      <c r="AH55" s="21">
        <f t="shared" si="14"/>
        <v>0.66666666666666663</v>
      </c>
      <c r="AI55" s="22"/>
      <c r="AJ55" s="78"/>
      <c r="AK55" s="81"/>
      <c r="AL55" s="84"/>
    </row>
    <row r="56" spans="1:38" s="36" customFormat="1" ht="22.9" customHeight="1" thickBot="1" x14ac:dyDescent="0.3">
      <c r="A56" s="96"/>
      <c r="B56" s="99"/>
      <c r="C56" s="102"/>
      <c r="D56" s="111"/>
      <c r="E56" s="90"/>
      <c r="F56" s="90"/>
      <c r="G56" s="90"/>
      <c r="H56" s="90"/>
      <c r="I56" s="93"/>
      <c r="J56" s="188"/>
      <c r="K56" s="23" t="s">
        <v>39</v>
      </c>
      <c r="L56" s="23" t="s">
        <v>39</v>
      </c>
      <c r="M56" s="23" t="s">
        <v>39</v>
      </c>
      <c r="N56" s="24" t="s">
        <v>39</v>
      </c>
      <c r="O56" s="23" t="s">
        <v>39</v>
      </c>
      <c r="P56" s="24" t="s">
        <v>39</v>
      </c>
      <c r="Q56" s="23" t="s">
        <v>39</v>
      </c>
      <c r="R56" s="24" t="s">
        <v>39</v>
      </c>
      <c r="S56" s="23" t="s">
        <v>39</v>
      </c>
      <c r="T56" s="24" t="s">
        <v>39</v>
      </c>
      <c r="U56" s="23" t="s">
        <v>39</v>
      </c>
      <c r="V56" s="24" t="s">
        <v>39</v>
      </c>
      <c r="W56" s="23" t="s">
        <v>39</v>
      </c>
      <c r="X56" s="24" t="s">
        <v>39</v>
      </c>
      <c r="Y56" s="23" t="s">
        <v>39</v>
      </c>
      <c r="Z56" s="24" t="s">
        <v>39</v>
      </c>
      <c r="AA56" s="23" t="s">
        <v>39</v>
      </c>
      <c r="AB56" s="24" t="s">
        <v>39</v>
      </c>
      <c r="AC56" s="23" t="s">
        <v>39</v>
      </c>
      <c r="AD56" s="24" t="s">
        <v>39</v>
      </c>
      <c r="AE56" s="23" t="s">
        <v>39</v>
      </c>
      <c r="AF56" s="24" t="s">
        <v>39</v>
      </c>
      <c r="AG56" s="23" t="s">
        <v>39</v>
      </c>
      <c r="AH56" s="24" t="s">
        <v>39</v>
      </c>
      <c r="AI56" s="22"/>
      <c r="AJ56" s="78"/>
      <c r="AK56" s="81"/>
      <c r="AL56" s="84"/>
    </row>
    <row r="57" spans="1:38" s="36" customFormat="1" ht="22" customHeight="1" thickTop="1" x14ac:dyDescent="0.25">
      <c r="A57" s="96"/>
      <c r="B57" s="99"/>
      <c r="C57" s="102"/>
      <c r="D57" s="111"/>
      <c r="E57" s="90"/>
      <c r="F57" s="90"/>
      <c r="G57" s="90"/>
      <c r="H57" s="90"/>
      <c r="I57" s="93"/>
      <c r="J57" s="86" t="s">
        <v>95</v>
      </c>
      <c r="K57" s="34">
        <v>2</v>
      </c>
      <c r="L57" s="54"/>
      <c r="M57" s="54"/>
      <c r="N57" s="55">
        <f>+L57+M57</f>
        <v>0</v>
      </c>
      <c r="O57" s="54"/>
      <c r="P57" s="55">
        <f t="shared" ref="P57:AH57" si="15">+N57+O57</f>
        <v>0</v>
      </c>
      <c r="Q57" s="54">
        <v>1</v>
      </c>
      <c r="R57" s="55">
        <f t="shared" si="15"/>
        <v>1</v>
      </c>
      <c r="S57" s="54"/>
      <c r="T57" s="55">
        <f t="shared" si="15"/>
        <v>1</v>
      </c>
      <c r="U57" s="54">
        <v>1</v>
      </c>
      <c r="V57" s="55">
        <f t="shared" si="15"/>
        <v>2</v>
      </c>
      <c r="W57" s="54"/>
      <c r="X57" s="55">
        <f t="shared" si="15"/>
        <v>2</v>
      </c>
      <c r="Y57" s="54"/>
      <c r="Z57" s="55">
        <f t="shared" si="15"/>
        <v>2</v>
      </c>
      <c r="AA57" s="54">
        <v>0</v>
      </c>
      <c r="AB57" s="55">
        <f t="shared" si="15"/>
        <v>2</v>
      </c>
      <c r="AC57" s="54"/>
      <c r="AD57" s="55">
        <f t="shared" si="15"/>
        <v>2</v>
      </c>
      <c r="AE57" s="54"/>
      <c r="AF57" s="55">
        <f t="shared" si="15"/>
        <v>2</v>
      </c>
      <c r="AG57" s="54"/>
      <c r="AH57" s="55">
        <f t="shared" si="15"/>
        <v>2</v>
      </c>
      <c r="AI57" s="26">
        <f>AH55/K55</f>
        <v>1</v>
      </c>
      <c r="AJ57" s="78"/>
      <c r="AK57" s="81"/>
      <c r="AL57" s="84"/>
    </row>
    <row r="58" spans="1:38" s="36" customFormat="1" ht="22.9" customHeight="1" x14ac:dyDescent="0.25">
      <c r="A58" s="96"/>
      <c r="B58" s="99"/>
      <c r="C58" s="102"/>
      <c r="D58" s="111"/>
      <c r="E58" s="90"/>
      <c r="F58" s="90"/>
      <c r="G58" s="90"/>
      <c r="H58" s="90"/>
      <c r="I58" s="93"/>
      <c r="J58" s="87"/>
      <c r="K58" s="27" t="s">
        <v>40</v>
      </c>
      <c r="L58" s="57" t="s">
        <v>40</v>
      </c>
      <c r="M58" s="57" t="s">
        <v>40</v>
      </c>
      <c r="N58" s="58" t="s">
        <v>40</v>
      </c>
      <c r="O58" s="57" t="s">
        <v>40</v>
      </c>
      <c r="P58" s="58" t="s">
        <v>40</v>
      </c>
      <c r="Q58" s="57" t="s">
        <v>40</v>
      </c>
      <c r="R58" s="58" t="s">
        <v>40</v>
      </c>
      <c r="S58" s="57" t="s">
        <v>40</v>
      </c>
      <c r="T58" s="58" t="s">
        <v>40</v>
      </c>
      <c r="U58" s="57" t="s">
        <v>40</v>
      </c>
      <c r="V58" s="58" t="s">
        <v>40</v>
      </c>
      <c r="W58" s="57" t="s">
        <v>40</v>
      </c>
      <c r="X58" s="58" t="s">
        <v>40</v>
      </c>
      <c r="Y58" s="57" t="s">
        <v>40</v>
      </c>
      <c r="Z58" s="58" t="s">
        <v>40</v>
      </c>
      <c r="AA58" s="57" t="s">
        <v>40</v>
      </c>
      <c r="AB58" s="58" t="s">
        <v>40</v>
      </c>
      <c r="AC58" s="57" t="s">
        <v>40</v>
      </c>
      <c r="AD58" s="58" t="s">
        <v>40</v>
      </c>
      <c r="AE58" s="57" t="s">
        <v>40</v>
      </c>
      <c r="AF58" s="58" t="s">
        <v>40</v>
      </c>
      <c r="AG58" s="57" t="s">
        <v>40</v>
      </c>
      <c r="AH58" s="58" t="s">
        <v>40</v>
      </c>
      <c r="AI58" s="22"/>
      <c r="AJ58" s="78"/>
      <c r="AK58" s="81"/>
      <c r="AL58" s="84"/>
    </row>
    <row r="59" spans="1:38" s="36" customFormat="1" ht="22.9" customHeight="1" thickBot="1" x14ac:dyDescent="0.3">
      <c r="A59" s="97"/>
      <c r="B59" s="100"/>
      <c r="C59" s="103"/>
      <c r="D59" s="112"/>
      <c r="E59" s="91"/>
      <c r="F59" s="91"/>
      <c r="G59" s="91"/>
      <c r="H59" s="91"/>
      <c r="I59" s="94"/>
      <c r="J59" s="88"/>
      <c r="K59" s="35">
        <v>3</v>
      </c>
      <c r="L59" s="59">
        <v>3</v>
      </c>
      <c r="M59" s="59">
        <v>3</v>
      </c>
      <c r="N59" s="60">
        <v>3</v>
      </c>
      <c r="O59" s="59">
        <v>3</v>
      </c>
      <c r="P59" s="60">
        <v>3</v>
      </c>
      <c r="Q59" s="59">
        <v>3</v>
      </c>
      <c r="R59" s="60">
        <v>3</v>
      </c>
      <c r="S59" s="59">
        <v>3</v>
      </c>
      <c r="T59" s="60">
        <v>3</v>
      </c>
      <c r="U59" s="59">
        <v>3</v>
      </c>
      <c r="V59" s="60">
        <v>3</v>
      </c>
      <c r="W59" s="59">
        <v>3</v>
      </c>
      <c r="X59" s="60">
        <v>3</v>
      </c>
      <c r="Y59" s="59">
        <v>3</v>
      </c>
      <c r="Z59" s="60">
        <v>3</v>
      </c>
      <c r="AA59" s="59">
        <v>3</v>
      </c>
      <c r="AB59" s="60">
        <v>3</v>
      </c>
      <c r="AC59" s="59">
        <v>3</v>
      </c>
      <c r="AD59" s="60">
        <v>3</v>
      </c>
      <c r="AE59" s="59">
        <v>3</v>
      </c>
      <c r="AF59" s="60">
        <v>3</v>
      </c>
      <c r="AG59" s="59">
        <v>3</v>
      </c>
      <c r="AH59" s="60">
        <v>3</v>
      </c>
      <c r="AI59" s="30"/>
      <c r="AJ59" s="79"/>
      <c r="AK59" s="82"/>
      <c r="AL59" s="85"/>
    </row>
    <row r="60" spans="1:38" s="36" customFormat="1" ht="22.9" customHeight="1" thickTop="1" x14ac:dyDescent="0.25">
      <c r="A60" s="95" t="s">
        <v>161</v>
      </c>
      <c r="B60" s="98" t="s">
        <v>55</v>
      </c>
      <c r="C60" s="210" t="s">
        <v>111</v>
      </c>
      <c r="D60" s="110" t="s">
        <v>91</v>
      </c>
      <c r="E60" s="89" t="s">
        <v>92</v>
      </c>
      <c r="F60" s="89" t="s">
        <v>173</v>
      </c>
      <c r="G60" s="89" t="s">
        <v>48</v>
      </c>
      <c r="H60" s="89" t="s">
        <v>63</v>
      </c>
      <c r="I60" s="92">
        <f>K61</f>
        <v>0.66666666666666663</v>
      </c>
      <c r="J60" s="86" t="s">
        <v>93</v>
      </c>
      <c r="K60" s="17" t="s">
        <v>38</v>
      </c>
      <c r="L60" s="17" t="s">
        <v>38</v>
      </c>
      <c r="M60" s="17" t="s">
        <v>38</v>
      </c>
      <c r="N60" s="18" t="s">
        <v>38</v>
      </c>
      <c r="O60" s="17" t="s">
        <v>38</v>
      </c>
      <c r="P60" s="18" t="s">
        <v>38</v>
      </c>
      <c r="Q60" s="17" t="s">
        <v>38</v>
      </c>
      <c r="R60" s="18" t="s">
        <v>38</v>
      </c>
      <c r="S60" s="17" t="s">
        <v>38</v>
      </c>
      <c r="T60" s="18" t="s">
        <v>38</v>
      </c>
      <c r="U60" s="17" t="s">
        <v>38</v>
      </c>
      <c r="V60" s="18" t="s">
        <v>38</v>
      </c>
      <c r="W60" s="17" t="s">
        <v>38</v>
      </c>
      <c r="X60" s="18" t="s">
        <v>38</v>
      </c>
      <c r="Y60" s="17" t="s">
        <v>38</v>
      </c>
      <c r="Z60" s="18" t="s">
        <v>38</v>
      </c>
      <c r="AA60" s="17" t="s">
        <v>38</v>
      </c>
      <c r="AB60" s="18" t="s">
        <v>38</v>
      </c>
      <c r="AC60" s="17" t="s">
        <v>38</v>
      </c>
      <c r="AD60" s="18" t="s">
        <v>38</v>
      </c>
      <c r="AE60" s="17" t="s">
        <v>38</v>
      </c>
      <c r="AF60" s="18" t="s">
        <v>38</v>
      </c>
      <c r="AG60" s="17" t="s">
        <v>38</v>
      </c>
      <c r="AH60" s="18" t="s">
        <v>38</v>
      </c>
      <c r="AI60" s="19"/>
      <c r="AJ60" s="77" t="s">
        <v>94</v>
      </c>
      <c r="AK60" s="80"/>
      <c r="AL60" s="217" t="s">
        <v>112</v>
      </c>
    </row>
    <row r="61" spans="1:38" s="36" customFormat="1" ht="22.9" customHeight="1" x14ac:dyDescent="0.25">
      <c r="A61" s="96"/>
      <c r="B61" s="99"/>
      <c r="C61" s="102"/>
      <c r="D61" s="111"/>
      <c r="E61" s="90"/>
      <c r="F61" s="90"/>
      <c r="G61" s="90"/>
      <c r="H61" s="90"/>
      <c r="I61" s="93"/>
      <c r="J61" s="187"/>
      <c r="K61" s="33">
        <f t="shared" ref="K61:AH61" si="16">IF(K63&lt;&gt;0,+K63/K65,0%)</f>
        <v>0.66666666666666663</v>
      </c>
      <c r="L61" s="20">
        <f t="shared" si="16"/>
        <v>0</v>
      </c>
      <c r="M61" s="20">
        <f t="shared" si="16"/>
        <v>0</v>
      </c>
      <c r="N61" s="21">
        <f t="shared" si="16"/>
        <v>0</v>
      </c>
      <c r="O61" s="20">
        <f t="shared" si="16"/>
        <v>0</v>
      </c>
      <c r="P61" s="21">
        <f t="shared" si="16"/>
        <v>0</v>
      </c>
      <c r="Q61" s="20">
        <f t="shared" si="16"/>
        <v>0.33333333333333331</v>
      </c>
      <c r="R61" s="21">
        <f t="shared" si="16"/>
        <v>0.33333333333333331</v>
      </c>
      <c r="S61" s="20">
        <f t="shared" si="16"/>
        <v>0</v>
      </c>
      <c r="T61" s="21">
        <f t="shared" si="16"/>
        <v>0.33333333333333331</v>
      </c>
      <c r="U61" s="20">
        <f t="shared" si="16"/>
        <v>0.33333333333333331</v>
      </c>
      <c r="V61" s="21">
        <f t="shared" si="16"/>
        <v>0.66666666666666663</v>
      </c>
      <c r="W61" s="20">
        <f t="shared" si="16"/>
        <v>0</v>
      </c>
      <c r="X61" s="21">
        <f t="shared" si="16"/>
        <v>0.66666666666666663</v>
      </c>
      <c r="Y61" s="20">
        <f t="shared" si="16"/>
        <v>0</v>
      </c>
      <c r="Z61" s="21">
        <f t="shared" si="16"/>
        <v>0.66666666666666663</v>
      </c>
      <c r="AA61" s="20">
        <f t="shared" si="16"/>
        <v>0</v>
      </c>
      <c r="AB61" s="21">
        <f t="shared" si="16"/>
        <v>0.66666666666666663</v>
      </c>
      <c r="AC61" s="20">
        <f t="shared" si="16"/>
        <v>0</v>
      </c>
      <c r="AD61" s="21">
        <f t="shared" si="16"/>
        <v>0.66666666666666663</v>
      </c>
      <c r="AE61" s="20">
        <f t="shared" si="16"/>
        <v>0</v>
      </c>
      <c r="AF61" s="21">
        <f t="shared" si="16"/>
        <v>0.66666666666666663</v>
      </c>
      <c r="AG61" s="20">
        <f t="shared" si="16"/>
        <v>0</v>
      </c>
      <c r="AH61" s="21">
        <f t="shared" si="16"/>
        <v>0.66666666666666663</v>
      </c>
      <c r="AI61" s="22"/>
      <c r="AJ61" s="78"/>
      <c r="AK61" s="81"/>
      <c r="AL61" s="218"/>
    </row>
    <row r="62" spans="1:38" s="36" customFormat="1" ht="22.9" customHeight="1" thickBot="1" x14ac:dyDescent="0.3">
      <c r="A62" s="96"/>
      <c r="B62" s="99"/>
      <c r="C62" s="102"/>
      <c r="D62" s="111"/>
      <c r="E62" s="90"/>
      <c r="F62" s="90"/>
      <c r="G62" s="90"/>
      <c r="H62" s="90"/>
      <c r="I62" s="93"/>
      <c r="J62" s="188"/>
      <c r="K62" s="23" t="s">
        <v>39</v>
      </c>
      <c r="L62" s="23" t="s">
        <v>39</v>
      </c>
      <c r="M62" s="23" t="s">
        <v>39</v>
      </c>
      <c r="N62" s="24" t="s">
        <v>39</v>
      </c>
      <c r="O62" s="23" t="s">
        <v>39</v>
      </c>
      <c r="P62" s="24" t="s">
        <v>39</v>
      </c>
      <c r="Q62" s="23" t="s">
        <v>39</v>
      </c>
      <c r="R62" s="24" t="s">
        <v>39</v>
      </c>
      <c r="S62" s="23" t="s">
        <v>39</v>
      </c>
      <c r="T62" s="24" t="s">
        <v>39</v>
      </c>
      <c r="U62" s="23" t="s">
        <v>39</v>
      </c>
      <c r="V62" s="24" t="s">
        <v>39</v>
      </c>
      <c r="W62" s="23" t="s">
        <v>39</v>
      </c>
      <c r="X62" s="24" t="s">
        <v>39</v>
      </c>
      <c r="Y62" s="23" t="s">
        <v>39</v>
      </c>
      <c r="Z62" s="24" t="s">
        <v>39</v>
      </c>
      <c r="AA62" s="23" t="s">
        <v>39</v>
      </c>
      <c r="AB62" s="24" t="s">
        <v>39</v>
      </c>
      <c r="AC62" s="23" t="s">
        <v>39</v>
      </c>
      <c r="AD62" s="24" t="s">
        <v>39</v>
      </c>
      <c r="AE62" s="23" t="s">
        <v>39</v>
      </c>
      <c r="AF62" s="24" t="s">
        <v>39</v>
      </c>
      <c r="AG62" s="23" t="s">
        <v>39</v>
      </c>
      <c r="AH62" s="24" t="s">
        <v>39</v>
      </c>
      <c r="AI62" s="22"/>
      <c r="AJ62" s="78"/>
      <c r="AK62" s="81"/>
      <c r="AL62" s="218"/>
    </row>
    <row r="63" spans="1:38" s="36" customFormat="1" ht="22.9" customHeight="1" thickTop="1" x14ac:dyDescent="0.25">
      <c r="A63" s="96"/>
      <c r="B63" s="99"/>
      <c r="C63" s="102"/>
      <c r="D63" s="111"/>
      <c r="E63" s="90"/>
      <c r="F63" s="90"/>
      <c r="G63" s="90"/>
      <c r="H63" s="90"/>
      <c r="I63" s="93"/>
      <c r="J63" s="86" t="s">
        <v>95</v>
      </c>
      <c r="K63" s="34">
        <v>2</v>
      </c>
      <c r="L63" s="54"/>
      <c r="M63" s="54"/>
      <c r="N63" s="55">
        <f>+L63+M63</f>
        <v>0</v>
      </c>
      <c r="O63" s="54"/>
      <c r="P63" s="55">
        <f t="shared" ref="P63:AH63" si="17">+N63+O63</f>
        <v>0</v>
      </c>
      <c r="Q63" s="54">
        <v>1</v>
      </c>
      <c r="R63" s="55">
        <f t="shared" si="17"/>
        <v>1</v>
      </c>
      <c r="S63" s="54"/>
      <c r="T63" s="55">
        <f t="shared" si="17"/>
        <v>1</v>
      </c>
      <c r="U63" s="54">
        <v>1</v>
      </c>
      <c r="V63" s="55">
        <f t="shared" si="17"/>
        <v>2</v>
      </c>
      <c r="W63" s="54"/>
      <c r="X63" s="55">
        <f t="shared" si="17"/>
        <v>2</v>
      </c>
      <c r="Y63" s="54"/>
      <c r="Z63" s="55">
        <f t="shared" si="17"/>
        <v>2</v>
      </c>
      <c r="AA63" s="54">
        <v>0</v>
      </c>
      <c r="AB63" s="55">
        <f t="shared" si="17"/>
        <v>2</v>
      </c>
      <c r="AC63" s="54"/>
      <c r="AD63" s="55">
        <f t="shared" si="17"/>
        <v>2</v>
      </c>
      <c r="AE63" s="54"/>
      <c r="AF63" s="55">
        <f t="shared" si="17"/>
        <v>2</v>
      </c>
      <c r="AG63" s="54"/>
      <c r="AH63" s="55">
        <f t="shared" si="17"/>
        <v>2</v>
      </c>
      <c r="AI63" s="26">
        <f>AH61/K61</f>
        <v>1</v>
      </c>
      <c r="AJ63" s="78"/>
      <c r="AK63" s="81"/>
      <c r="AL63" s="218"/>
    </row>
    <row r="64" spans="1:38" s="36" customFormat="1" ht="22.9" customHeight="1" x14ac:dyDescent="0.25">
      <c r="A64" s="96"/>
      <c r="B64" s="99"/>
      <c r="C64" s="102"/>
      <c r="D64" s="111"/>
      <c r="E64" s="90"/>
      <c r="F64" s="90"/>
      <c r="G64" s="90"/>
      <c r="H64" s="90"/>
      <c r="I64" s="93"/>
      <c r="J64" s="87"/>
      <c r="K64" s="27" t="s">
        <v>40</v>
      </c>
      <c r="L64" s="57" t="s">
        <v>40</v>
      </c>
      <c r="M64" s="57" t="s">
        <v>40</v>
      </c>
      <c r="N64" s="58" t="s">
        <v>40</v>
      </c>
      <c r="O64" s="57" t="s">
        <v>40</v>
      </c>
      <c r="P64" s="58" t="s">
        <v>40</v>
      </c>
      <c r="Q64" s="57" t="s">
        <v>40</v>
      </c>
      <c r="R64" s="58" t="s">
        <v>40</v>
      </c>
      <c r="S64" s="57" t="s">
        <v>40</v>
      </c>
      <c r="T64" s="58" t="s">
        <v>40</v>
      </c>
      <c r="U64" s="57" t="s">
        <v>40</v>
      </c>
      <c r="V64" s="58" t="s">
        <v>40</v>
      </c>
      <c r="W64" s="57" t="s">
        <v>40</v>
      </c>
      <c r="X64" s="58" t="s">
        <v>40</v>
      </c>
      <c r="Y64" s="57" t="s">
        <v>40</v>
      </c>
      <c r="Z64" s="58" t="s">
        <v>40</v>
      </c>
      <c r="AA64" s="57" t="s">
        <v>40</v>
      </c>
      <c r="AB64" s="58" t="s">
        <v>40</v>
      </c>
      <c r="AC64" s="57" t="s">
        <v>40</v>
      </c>
      <c r="AD64" s="58" t="s">
        <v>40</v>
      </c>
      <c r="AE64" s="57" t="s">
        <v>40</v>
      </c>
      <c r="AF64" s="58" t="s">
        <v>40</v>
      </c>
      <c r="AG64" s="57" t="s">
        <v>40</v>
      </c>
      <c r="AH64" s="58" t="s">
        <v>40</v>
      </c>
      <c r="AI64" s="22"/>
      <c r="AJ64" s="78"/>
      <c r="AK64" s="81"/>
      <c r="AL64" s="218"/>
    </row>
    <row r="65" spans="1:38" s="36" customFormat="1" ht="22.9" customHeight="1" thickBot="1" x14ac:dyDescent="0.3">
      <c r="A65" s="97"/>
      <c r="B65" s="100"/>
      <c r="C65" s="103"/>
      <c r="D65" s="112"/>
      <c r="E65" s="91"/>
      <c r="F65" s="91"/>
      <c r="G65" s="91"/>
      <c r="H65" s="91"/>
      <c r="I65" s="94"/>
      <c r="J65" s="88"/>
      <c r="K65" s="35">
        <v>3</v>
      </c>
      <c r="L65" s="59">
        <v>3</v>
      </c>
      <c r="M65" s="59">
        <v>3</v>
      </c>
      <c r="N65" s="60">
        <v>3</v>
      </c>
      <c r="O65" s="59">
        <v>3</v>
      </c>
      <c r="P65" s="60">
        <v>3</v>
      </c>
      <c r="Q65" s="59">
        <v>3</v>
      </c>
      <c r="R65" s="60">
        <v>3</v>
      </c>
      <c r="S65" s="59">
        <v>3</v>
      </c>
      <c r="T65" s="60">
        <v>3</v>
      </c>
      <c r="U65" s="59">
        <v>3</v>
      </c>
      <c r="V65" s="60">
        <v>3</v>
      </c>
      <c r="W65" s="59">
        <v>3</v>
      </c>
      <c r="X65" s="60">
        <v>3</v>
      </c>
      <c r="Y65" s="59">
        <v>3</v>
      </c>
      <c r="Z65" s="60">
        <v>3</v>
      </c>
      <c r="AA65" s="59">
        <v>3</v>
      </c>
      <c r="AB65" s="60">
        <v>3</v>
      </c>
      <c r="AC65" s="59">
        <v>3</v>
      </c>
      <c r="AD65" s="60">
        <v>3</v>
      </c>
      <c r="AE65" s="59">
        <v>3</v>
      </c>
      <c r="AF65" s="60">
        <v>3</v>
      </c>
      <c r="AG65" s="59">
        <v>3</v>
      </c>
      <c r="AH65" s="60">
        <v>3</v>
      </c>
      <c r="AI65" s="30"/>
      <c r="AJ65" s="79"/>
      <c r="AK65" s="82"/>
      <c r="AL65" s="219"/>
    </row>
    <row r="66" spans="1:38" s="36" customFormat="1" ht="22.9" customHeight="1" thickTop="1" x14ac:dyDescent="0.25">
      <c r="A66" s="95" t="s">
        <v>154</v>
      </c>
      <c r="B66" s="98" t="s">
        <v>55</v>
      </c>
      <c r="C66" s="210" t="s">
        <v>113</v>
      </c>
      <c r="D66" s="110" t="s">
        <v>91</v>
      </c>
      <c r="E66" s="89" t="s">
        <v>92</v>
      </c>
      <c r="F66" s="89" t="s">
        <v>173</v>
      </c>
      <c r="G66" s="89" t="s">
        <v>48</v>
      </c>
      <c r="H66" s="89" t="s">
        <v>63</v>
      </c>
      <c r="I66" s="92">
        <f>K67</f>
        <v>0.66666666666666663</v>
      </c>
      <c r="J66" s="86" t="s">
        <v>93</v>
      </c>
      <c r="K66" s="17" t="s">
        <v>38</v>
      </c>
      <c r="L66" s="17" t="s">
        <v>38</v>
      </c>
      <c r="M66" s="17" t="s">
        <v>38</v>
      </c>
      <c r="N66" s="18" t="s">
        <v>38</v>
      </c>
      <c r="O66" s="17" t="s">
        <v>38</v>
      </c>
      <c r="P66" s="18" t="s">
        <v>38</v>
      </c>
      <c r="Q66" s="17" t="s">
        <v>38</v>
      </c>
      <c r="R66" s="18" t="s">
        <v>38</v>
      </c>
      <c r="S66" s="17" t="s">
        <v>38</v>
      </c>
      <c r="T66" s="18" t="s">
        <v>38</v>
      </c>
      <c r="U66" s="17" t="s">
        <v>38</v>
      </c>
      <c r="V66" s="18" t="s">
        <v>38</v>
      </c>
      <c r="W66" s="17" t="s">
        <v>38</v>
      </c>
      <c r="X66" s="18" t="s">
        <v>38</v>
      </c>
      <c r="Y66" s="17" t="s">
        <v>38</v>
      </c>
      <c r="Z66" s="18" t="s">
        <v>38</v>
      </c>
      <c r="AA66" s="17" t="s">
        <v>38</v>
      </c>
      <c r="AB66" s="18" t="s">
        <v>38</v>
      </c>
      <c r="AC66" s="17" t="s">
        <v>38</v>
      </c>
      <c r="AD66" s="18" t="s">
        <v>38</v>
      </c>
      <c r="AE66" s="17" t="s">
        <v>38</v>
      </c>
      <c r="AF66" s="18" t="s">
        <v>38</v>
      </c>
      <c r="AG66" s="17" t="s">
        <v>38</v>
      </c>
      <c r="AH66" s="18" t="s">
        <v>38</v>
      </c>
      <c r="AI66" s="19"/>
      <c r="AJ66" s="77" t="s">
        <v>94</v>
      </c>
      <c r="AK66" s="80"/>
      <c r="AL66" s="83" t="s">
        <v>114</v>
      </c>
    </row>
    <row r="67" spans="1:38" s="36" customFormat="1" ht="22.9" customHeight="1" x14ac:dyDescent="0.25">
      <c r="A67" s="96"/>
      <c r="B67" s="99"/>
      <c r="C67" s="102"/>
      <c r="D67" s="111"/>
      <c r="E67" s="90"/>
      <c r="F67" s="90"/>
      <c r="G67" s="90"/>
      <c r="H67" s="90"/>
      <c r="I67" s="93"/>
      <c r="J67" s="187"/>
      <c r="K67" s="33">
        <f t="shared" ref="K67:AH67" si="18">IF(K69&lt;&gt;0,+K69/K71,0%)</f>
        <v>0.66666666666666663</v>
      </c>
      <c r="L67" s="20">
        <f t="shared" si="18"/>
        <v>0</v>
      </c>
      <c r="M67" s="20">
        <f t="shared" si="18"/>
        <v>0</v>
      </c>
      <c r="N67" s="21">
        <f t="shared" si="18"/>
        <v>0</v>
      </c>
      <c r="O67" s="20">
        <f t="shared" si="18"/>
        <v>0</v>
      </c>
      <c r="P67" s="21">
        <f t="shared" si="18"/>
        <v>0</v>
      </c>
      <c r="Q67" s="20">
        <f t="shared" si="18"/>
        <v>0.33333333333333331</v>
      </c>
      <c r="R67" s="21">
        <f t="shared" si="18"/>
        <v>0.33333333333333331</v>
      </c>
      <c r="S67" s="20">
        <f t="shared" si="18"/>
        <v>0</v>
      </c>
      <c r="T67" s="21">
        <f t="shared" si="18"/>
        <v>0.33333333333333331</v>
      </c>
      <c r="U67" s="20">
        <f t="shared" si="18"/>
        <v>0.33333333333333331</v>
      </c>
      <c r="V67" s="21">
        <f t="shared" si="18"/>
        <v>0.66666666666666663</v>
      </c>
      <c r="W67" s="20">
        <f t="shared" si="18"/>
        <v>0</v>
      </c>
      <c r="X67" s="21">
        <f t="shared" si="18"/>
        <v>0.66666666666666663</v>
      </c>
      <c r="Y67" s="20">
        <f t="shared" si="18"/>
        <v>0</v>
      </c>
      <c r="Z67" s="21">
        <f t="shared" si="18"/>
        <v>0.66666666666666663</v>
      </c>
      <c r="AA67" s="20">
        <f t="shared" si="18"/>
        <v>0</v>
      </c>
      <c r="AB67" s="21">
        <f t="shared" si="18"/>
        <v>0.66666666666666663</v>
      </c>
      <c r="AC67" s="20">
        <f t="shared" si="18"/>
        <v>0</v>
      </c>
      <c r="AD67" s="21">
        <f t="shared" si="18"/>
        <v>0.66666666666666663</v>
      </c>
      <c r="AE67" s="20">
        <f t="shared" si="18"/>
        <v>0</v>
      </c>
      <c r="AF67" s="21">
        <f t="shared" si="18"/>
        <v>0.66666666666666663</v>
      </c>
      <c r="AG67" s="20">
        <f t="shared" si="18"/>
        <v>0</v>
      </c>
      <c r="AH67" s="21">
        <f t="shared" si="18"/>
        <v>0.66666666666666663</v>
      </c>
      <c r="AI67" s="22"/>
      <c r="AJ67" s="78"/>
      <c r="AK67" s="81"/>
      <c r="AL67" s="84"/>
    </row>
    <row r="68" spans="1:38" s="36" customFormat="1" ht="22.9" customHeight="1" thickBot="1" x14ac:dyDescent="0.3">
      <c r="A68" s="96"/>
      <c r="B68" s="99"/>
      <c r="C68" s="102"/>
      <c r="D68" s="111"/>
      <c r="E68" s="90"/>
      <c r="F68" s="90"/>
      <c r="G68" s="90"/>
      <c r="H68" s="90"/>
      <c r="I68" s="93"/>
      <c r="J68" s="188"/>
      <c r="K68" s="23" t="s">
        <v>39</v>
      </c>
      <c r="L68" s="23" t="s">
        <v>39</v>
      </c>
      <c r="M68" s="23" t="s">
        <v>39</v>
      </c>
      <c r="N68" s="24" t="s">
        <v>39</v>
      </c>
      <c r="O68" s="23" t="s">
        <v>39</v>
      </c>
      <c r="P68" s="24" t="s">
        <v>39</v>
      </c>
      <c r="Q68" s="23" t="s">
        <v>39</v>
      </c>
      <c r="R68" s="24" t="s">
        <v>39</v>
      </c>
      <c r="S68" s="23" t="s">
        <v>39</v>
      </c>
      <c r="T68" s="24" t="s">
        <v>39</v>
      </c>
      <c r="U68" s="23" t="s">
        <v>39</v>
      </c>
      <c r="V68" s="24" t="s">
        <v>39</v>
      </c>
      <c r="W68" s="23" t="s">
        <v>39</v>
      </c>
      <c r="X68" s="24" t="s">
        <v>39</v>
      </c>
      <c r="Y68" s="23" t="s">
        <v>39</v>
      </c>
      <c r="Z68" s="24" t="s">
        <v>39</v>
      </c>
      <c r="AA68" s="23" t="s">
        <v>39</v>
      </c>
      <c r="AB68" s="24" t="s">
        <v>39</v>
      </c>
      <c r="AC68" s="23" t="s">
        <v>39</v>
      </c>
      <c r="AD68" s="24" t="s">
        <v>39</v>
      </c>
      <c r="AE68" s="23" t="s">
        <v>39</v>
      </c>
      <c r="AF68" s="24" t="s">
        <v>39</v>
      </c>
      <c r="AG68" s="23" t="s">
        <v>39</v>
      </c>
      <c r="AH68" s="24" t="s">
        <v>39</v>
      </c>
      <c r="AI68" s="22"/>
      <c r="AJ68" s="78"/>
      <c r="AK68" s="81"/>
      <c r="AL68" s="84"/>
    </row>
    <row r="69" spans="1:38" s="36" customFormat="1" ht="22.9" customHeight="1" thickTop="1" x14ac:dyDescent="0.25">
      <c r="A69" s="96"/>
      <c r="B69" s="99"/>
      <c r="C69" s="102"/>
      <c r="D69" s="111"/>
      <c r="E69" s="90"/>
      <c r="F69" s="90"/>
      <c r="G69" s="90"/>
      <c r="H69" s="90"/>
      <c r="I69" s="93"/>
      <c r="J69" s="86" t="s">
        <v>95</v>
      </c>
      <c r="K69" s="34">
        <v>2</v>
      </c>
      <c r="L69" s="54"/>
      <c r="M69" s="54"/>
      <c r="N69" s="55">
        <f>+L69+M69</f>
        <v>0</v>
      </c>
      <c r="O69" s="54"/>
      <c r="P69" s="55">
        <f t="shared" ref="P69:AH69" si="19">+N69+O69</f>
        <v>0</v>
      </c>
      <c r="Q69" s="54">
        <v>1</v>
      </c>
      <c r="R69" s="55">
        <f t="shared" si="19"/>
        <v>1</v>
      </c>
      <c r="S69" s="54"/>
      <c r="T69" s="55">
        <f t="shared" si="19"/>
        <v>1</v>
      </c>
      <c r="U69" s="54">
        <v>1</v>
      </c>
      <c r="V69" s="55">
        <f t="shared" si="19"/>
        <v>2</v>
      </c>
      <c r="W69" s="54"/>
      <c r="X69" s="55">
        <f t="shared" si="19"/>
        <v>2</v>
      </c>
      <c r="Y69" s="54"/>
      <c r="Z69" s="55">
        <f t="shared" si="19"/>
        <v>2</v>
      </c>
      <c r="AA69" s="54">
        <v>0</v>
      </c>
      <c r="AB69" s="55">
        <f t="shared" si="19"/>
        <v>2</v>
      </c>
      <c r="AC69" s="54"/>
      <c r="AD69" s="55">
        <f t="shared" si="19"/>
        <v>2</v>
      </c>
      <c r="AE69" s="54"/>
      <c r="AF69" s="55">
        <f t="shared" si="19"/>
        <v>2</v>
      </c>
      <c r="AG69" s="54"/>
      <c r="AH69" s="55">
        <f t="shared" si="19"/>
        <v>2</v>
      </c>
      <c r="AI69" s="26">
        <f>AH67/K67</f>
        <v>1</v>
      </c>
      <c r="AJ69" s="78"/>
      <c r="AK69" s="81"/>
      <c r="AL69" s="84"/>
    </row>
    <row r="70" spans="1:38" s="36" customFormat="1" ht="22.9" customHeight="1" x14ac:dyDescent="0.25">
      <c r="A70" s="96"/>
      <c r="B70" s="99"/>
      <c r="C70" s="102"/>
      <c r="D70" s="111"/>
      <c r="E70" s="90"/>
      <c r="F70" s="90"/>
      <c r="G70" s="90"/>
      <c r="H70" s="90"/>
      <c r="I70" s="93"/>
      <c r="J70" s="87"/>
      <c r="K70" s="27" t="s">
        <v>40</v>
      </c>
      <c r="L70" s="57" t="s">
        <v>40</v>
      </c>
      <c r="M70" s="57" t="s">
        <v>40</v>
      </c>
      <c r="N70" s="58" t="s">
        <v>40</v>
      </c>
      <c r="O70" s="57" t="s">
        <v>40</v>
      </c>
      <c r="P70" s="58" t="s">
        <v>40</v>
      </c>
      <c r="Q70" s="57" t="s">
        <v>40</v>
      </c>
      <c r="R70" s="58" t="s">
        <v>40</v>
      </c>
      <c r="S70" s="57" t="s">
        <v>40</v>
      </c>
      <c r="T70" s="58" t="s">
        <v>40</v>
      </c>
      <c r="U70" s="57" t="s">
        <v>40</v>
      </c>
      <c r="V70" s="58" t="s">
        <v>40</v>
      </c>
      <c r="W70" s="57" t="s">
        <v>40</v>
      </c>
      <c r="X70" s="58" t="s">
        <v>40</v>
      </c>
      <c r="Y70" s="57" t="s">
        <v>40</v>
      </c>
      <c r="Z70" s="58" t="s">
        <v>40</v>
      </c>
      <c r="AA70" s="57" t="s">
        <v>40</v>
      </c>
      <c r="AB70" s="58" t="s">
        <v>40</v>
      </c>
      <c r="AC70" s="57" t="s">
        <v>40</v>
      </c>
      <c r="AD70" s="58" t="s">
        <v>40</v>
      </c>
      <c r="AE70" s="57" t="s">
        <v>40</v>
      </c>
      <c r="AF70" s="58" t="s">
        <v>40</v>
      </c>
      <c r="AG70" s="57" t="s">
        <v>40</v>
      </c>
      <c r="AH70" s="58" t="s">
        <v>40</v>
      </c>
      <c r="AI70" s="22"/>
      <c r="AJ70" s="78"/>
      <c r="AK70" s="81"/>
      <c r="AL70" s="84"/>
    </row>
    <row r="71" spans="1:38" s="36" customFormat="1" ht="22.9" customHeight="1" thickBot="1" x14ac:dyDescent="0.3">
      <c r="A71" s="97"/>
      <c r="B71" s="100"/>
      <c r="C71" s="103"/>
      <c r="D71" s="112"/>
      <c r="E71" s="91"/>
      <c r="F71" s="91"/>
      <c r="G71" s="91"/>
      <c r="H71" s="91"/>
      <c r="I71" s="94"/>
      <c r="J71" s="88"/>
      <c r="K71" s="35">
        <v>3</v>
      </c>
      <c r="L71" s="59">
        <v>3</v>
      </c>
      <c r="M71" s="59">
        <v>3</v>
      </c>
      <c r="N71" s="60">
        <v>3</v>
      </c>
      <c r="O71" s="59">
        <v>3</v>
      </c>
      <c r="P71" s="60">
        <v>3</v>
      </c>
      <c r="Q71" s="59">
        <v>3</v>
      </c>
      <c r="R71" s="60">
        <v>3</v>
      </c>
      <c r="S71" s="59">
        <v>3</v>
      </c>
      <c r="T71" s="60">
        <v>3</v>
      </c>
      <c r="U71" s="59">
        <v>3</v>
      </c>
      <c r="V71" s="60">
        <v>3</v>
      </c>
      <c r="W71" s="59">
        <v>3</v>
      </c>
      <c r="X71" s="60">
        <v>3</v>
      </c>
      <c r="Y71" s="59">
        <v>3</v>
      </c>
      <c r="Z71" s="60">
        <v>3</v>
      </c>
      <c r="AA71" s="59">
        <v>3</v>
      </c>
      <c r="AB71" s="60">
        <v>3</v>
      </c>
      <c r="AC71" s="59">
        <v>3</v>
      </c>
      <c r="AD71" s="60">
        <v>3</v>
      </c>
      <c r="AE71" s="59">
        <v>3</v>
      </c>
      <c r="AF71" s="60">
        <v>3</v>
      </c>
      <c r="AG71" s="59">
        <v>3</v>
      </c>
      <c r="AH71" s="60">
        <v>3</v>
      </c>
      <c r="AI71" s="30"/>
      <c r="AJ71" s="79"/>
      <c r="AK71" s="82"/>
      <c r="AL71" s="85"/>
    </row>
    <row r="72" spans="1:38" s="36" customFormat="1" ht="22.9" customHeight="1" thickTop="1" x14ac:dyDescent="0.25">
      <c r="A72" s="95" t="s">
        <v>152</v>
      </c>
      <c r="B72" s="98" t="s">
        <v>55</v>
      </c>
      <c r="C72" s="210" t="s">
        <v>115</v>
      </c>
      <c r="D72" s="110" t="s">
        <v>91</v>
      </c>
      <c r="E72" s="89" t="s">
        <v>92</v>
      </c>
      <c r="F72" s="89" t="s">
        <v>173</v>
      </c>
      <c r="G72" s="89" t="s">
        <v>48</v>
      </c>
      <c r="H72" s="89" t="s">
        <v>63</v>
      </c>
      <c r="I72" s="92">
        <f>K73</f>
        <v>0.66666666666666663</v>
      </c>
      <c r="J72" s="86" t="s">
        <v>93</v>
      </c>
      <c r="K72" s="17" t="s">
        <v>38</v>
      </c>
      <c r="L72" s="17" t="s">
        <v>38</v>
      </c>
      <c r="M72" s="17" t="s">
        <v>38</v>
      </c>
      <c r="N72" s="18" t="s">
        <v>38</v>
      </c>
      <c r="O72" s="17" t="s">
        <v>38</v>
      </c>
      <c r="P72" s="18" t="s">
        <v>38</v>
      </c>
      <c r="Q72" s="17" t="s">
        <v>38</v>
      </c>
      <c r="R72" s="18" t="s">
        <v>38</v>
      </c>
      <c r="S72" s="17" t="s">
        <v>38</v>
      </c>
      <c r="T72" s="18" t="s">
        <v>38</v>
      </c>
      <c r="U72" s="17" t="s">
        <v>38</v>
      </c>
      <c r="V72" s="18" t="s">
        <v>38</v>
      </c>
      <c r="W72" s="17" t="s">
        <v>38</v>
      </c>
      <c r="X72" s="18" t="s">
        <v>38</v>
      </c>
      <c r="Y72" s="17" t="s">
        <v>38</v>
      </c>
      <c r="Z72" s="18" t="s">
        <v>38</v>
      </c>
      <c r="AA72" s="17" t="s">
        <v>38</v>
      </c>
      <c r="AB72" s="18" t="s">
        <v>38</v>
      </c>
      <c r="AC72" s="17" t="s">
        <v>38</v>
      </c>
      <c r="AD72" s="18" t="s">
        <v>38</v>
      </c>
      <c r="AE72" s="17" t="s">
        <v>38</v>
      </c>
      <c r="AF72" s="18" t="s">
        <v>38</v>
      </c>
      <c r="AG72" s="17" t="s">
        <v>38</v>
      </c>
      <c r="AH72" s="18" t="s">
        <v>38</v>
      </c>
      <c r="AI72" s="19"/>
      <c r="AJ72" s="77" t="s">
        <v>94</v>
      </c>
      <c r="AK72" s="80"/>
      <c r="AL72" s="83" t="s">
        <v>116</v>
      </c>
    </row>
    <row r="73" spans="1:38" s="36" customFormat="1" ht="22.9" customHeight="1" x14ac:dyDescent="0.25">
      <c r="A73" s="96"/>
      <c r="B73" s="99"/>
      <c r="C73" s="102"/>
      <c r="D73" s="111"/>
      <c r="E73" s="90"/>
      <c r="F73" s="90"/>
      <c r="G73" s="90"/>
      <c r="H73" s="90"/>
      <c r="I73" s="93"/>
      <c r="J73" s="187"/>
      <c r="K73" s="33">
        <f t="shared" ref="K73:AH73" si="20">IF(K75&lt;&gt;0,+K75/K77,0%)</f>
        <v>0.66666666666666663</v>
      </c>
      <c r="L73" s="20">
        <f t="shared" si="20"/>
        <v>0</v>
      </c>
      <c r="M73" s="20">
        <f t="shared" si="20"/>
        <v>0</v>
      </c>
      <c r="N73" s="21">
        <f t="shared" si="20"/>
        <v>0</v>
      </c>
      <c r="O73" s="20">
        <f t="shared" si="20"/>
        <v>0</v>
      </c>
      <c r="P73" s="21">
        <f t="shared" si="20"/>
        <v>0</v>
      </c>
      <c r="Q73" s="20">
        <f t="shared" si="20"/>
        <v>0.33333333333333331</v>
      </c>
      <c r="R73" s="21">
        <f t="shared" si="20"/>
        <v>0.33333333333333331</v>
      </c>
      <c r="S73" s="20">
        <f t="shared" si="20"/>
        <v>0</v>
      </c>
      <c r="T73" s="21">
        <f t="shared" si="20"/>
        <v>0.33333333333333331</v>
      </c>
      <c r="U73" s="20">
        <f t="shared" si="20"/>
        <v>0.33333333333333331</v>
      </c>
      <c r="V73" s="21">
        <f t="shared" si="20"/>
        <v>0.66666666666666663</v>
      </c>
      <c r="W73" s="20">
        <f t="shared" si="20"/>
        <v>0</v>
      </c>
      <c r="X73" s="21">
        <f t="shared" si="20"/>
        <v>0.66666666666666663</v>
      </c>
      <c r="Y73" s="20">
        <f t="shared" si="20"/>
        <v>0</v>
      </c>
      <c r="Z73" s="21">
        <f t="shared" si="20"/>
        <v>0.66666666666666663</v>
      </c>
      <c r="AA73" s="20">
        <f t="shared" si="20"/>
        <v>0</v>
      </c>
      <c r="AB73" s="21">
        <f t="shared" si="20"/>
        <v>0.66666666666666663</v>
      </c>
      <c r="AC73" s="20">
        <f t="shared" si="20"/>
        <v>0</v>
      </c>
      <c r="AD73" s="21">
        <f t="shared" si="20"/>
        <v>0.66666666666666663</v>
      </c>
      <c r="AE73" s="20">
        <f t="shared" si="20"/>
        <v>0</v>
      </c>
      <c r="AF73" s="21">
        <f t="shared" si="20"/>
        <v>0.66666666666666663</v>
      </c>
      <c r="AG73" s="20">
        <f t="shared" si="20"/>
        <v>0</v>
      </c>
      <c r="AH73" s="21">
        <f t="shared" si="20"/>
        <v>0.66666666666666663</v>
      </c>
      <c r="AI73" s="22"/>
      <c r="AJ73" s="78"/>
      <c r="AK73" s="81"/>
      <c r="AL73" s="84"/>
    </row>
    <row r="74" spans="1:38" s="36" customFormat="1" ht="22.9" customHeight="1" thickBot="1" x14ac:dyDescent="0.3">
      <c r="A74" s="96"/>
      <c r="B74" s="99"/>
      <c r="C74" s="102"/>
      <c r="D74" s="111"/>
      <c r="E74" s="90"/>
      <c r="F74" s="90"/>
      <c r="G74" s="90"/>
      <c r="H74" s="90"/>
      <c r="I74" s="93"/>
      <c r="J74" s="188"/>
      <c r="K74" s="23" t="s">
        <v>39</v>
      </c>
      <c r="L74" s="23" t="s">
        <v>39</v>
      </c>
      <c r="M74" s="23" t="s">
        <v>39</v>
      </c>
      <c r="N74" s="24" t="s">
        <v>39</v>
      </c>
      <c r="O74" s="23" t="s">
        <v>39</v>
      </c>
      <c r="P74" s="24" t="s">
        <v>39</v>
      </c>
      <c r="Q74" s="23" t="s">
        <v>39</v>
      </c>
      <c r="R74" s="24" t="s">
        <v>39</v>
      </c>
      <c r="S74" s="23" t="s">
        <v>39</v>
      </c>
      <c r="T74" s="24" t="s">
        <v>39</v>
      </c>
      <c r="U74" s="23" t="s">
        <v>39</v>
      </c>
      <c r="V74" s="24" t="s">
        <v>39</v>
      </c>
      <c r="W74" s="23" t="s">
        <v>39</v>
      </c>
      <c r="X74" s="24" t="s">
        <v>39</v>
      </c>
      <c r="Y74" s="23" t="s">
        <v>39</v>
      </c>
      <c r="Z74" s="24" t="s">
        <v>39</v>
      </c>
      <c r="AA74" s="23" t="s">
        <v>39</v>
      </c>
      <c r="AB74" s="24" t="s">
        <v>39</v>
      </c>
      <c r="AC74" s="23" t="s">
        <v>39</v>
      </c>
      <c r="AD74" s="24" t="s">
        <v>39</v>
      </c>
      <c r="AE74" s="23" t="s">
        <v>39</v>
      </c>
      <c r="AF74" s="24" t="s">
        <v>39</v>
      </c>
      <c r="AG74" s="23" t="s">
        <v>39</v>
      </c>
      <c r="AH74" s="24" t="s">
        <v>39</v>
      </c>
      <c r="AI74" s="22"/>
      <c r="AJ74" s="78"/>
      <c r="AK74" s="81"/>
      <c r="AL74" s="84"/>
    </row>
    <row r="75" spans="1:38" s="36" customFormat="1" ht="22.9" customHeight="1" thickTop="1" x14ac:dyDescent="0.25">
      <c r="A75" s="96"/>
      <c r="B75" s="99"/>
      <c r="C75" s="102"/>
      <c r="D75" s="111"/>
      <c r="E75" s="90"/>
      <c r="F75" s="90"/>
      <c r="G75" s="90"/>
      <c r="H75" s="90"/>
      <c r="I75" s="93"/>
      <c r="J75" s="86" t="s">
        <v>95</v>
      </c>
      <c r="K75" s="34">
        <v>2</v>
      </c>
      <c r="L75" s="54"/>
      <c r="M75" s="54"/>
      <c r="N75" s="55">
        <f>+L75+M75</f>
        <v>0</v>
      </c>
      <c r="O75" s="54"/>
      <c r="P75" s="55">
        <f t="shared" ref="P75:AH75" si="21">+N75+O75</f>
        <v>0</v>
      </c>
      <c r="Q75" s="54">
        <v>1</v>
      </c>
      <c r="R75" s="55">
        <f t="shared" si="21"/>
        <v>1</v>
      </c>
      <c r="S75" s="54"/>
      <c r="T75" s="55">
        <f t="shared" si="21"/>
        <v>1</v>
      </c>
      <c r="U75" s="54">
        <v>1</v>
      </c>
      <c r="V75" s="55">
        <f t="shared" si="21"/>
        <v>2</v>
      </c>
      <c r="W75" s="54"/>
      <c r="X75" s="55">
        <f t="shared" si="21"/>
        <v>2</v>
      </c>
      <c r="Y75" s="54"/>
      <c r="Z75" s="55">
        <f t="shared" si="21"/>
        <v>2</v>
      </c>
      <c r="AA75" s="54">
        <v>0</v>
      </c>
      <c r="AB75" s="55">
        <f t="shared" si="21"/>
        <v>2</v>
      </c>
      <c r="AC75" s="54"/>
      <c r="AD75" s="55">
        <f t="shared" si="21"/>
        <v>2</v>
      </c>
      <c r="AE75" s="54"/>
      <c r="AF75" s="55">
        <f t="shared" si="21"/>
        <v>2</v>
      </c>
      <c r="AG75" s="54"/>
      <c r="AH75" s="55">
        <f t="shared" si="21"/>
        <v>2</v>
      </c>
      <c r="AI75" s="26">
        <f>AH73/K73</f>
        <v>1</v>
      </c>
      <c r="AJ75" s="78"/>
      <c r="AK75" s="81"/>
      <c r="AL75" s="84"/>
    </row>
    <row r="76" spans="1:38" s="36" customFormat="1" ht="22.9" customHeight="1" x14ac:dyDescent="0.25">
      <c r="A76" s="96"/>
      <c r="B76" s="99"/>
      <c r="C76" s="102"/>
      <c r="D76" s="111"/>
      <c r="E76" s="90"/>
      <c r="F76" s="90"/>
      <c r="G76" s="90"/>
      <c r="H76" s="90"/>
      <c r="I76" s="93"/>
      <c r="J76" s="87"/>
      <c r="K76" s="27" t="s">
        <v>40</v>
      </c>
      <c r="L76" s="57" t="s">
        <v>40</v>
      </c>
      <c r="M76" s="57" t="s">
        <v>40</v>
      </c>
      <c r="N76" s="58" t="s">
        <v>40</v>
      </c>
      <c r="O76" s="57" t="s">
        <v>40</v>
      </c>
      <c r="P76" s="58" t="s">
        <v>40</v>
      </c>
      <c r="Q76" s="57" t="s">
        <v>40</v>
      </c>
      <c r="R76" s="58" t="s">
        <v>40</v>
      </c>
      <c r="S76" s="57" t="s">
        <v>40</v>
      </c>
      <c r="T76" s="58" t="s">
        <v>40</v>
      </c>
      <c r="U76" s="57" t="s">
        <v>40</v>
      </c>
      <c r="V76" s="58" t="s">
        <v>40</v>
      </c>
      <c r="W76" s="57" t="s">
        <v>40</v>
      </c>
      <c r="X76" s="58" t="s">
        <v>40</v>
      </c>
      <c r="Y76" s="57" t="s">
        <v>40</v>
      </c>
      <c r="Z76" s="58" t="s">
        <v>40</v>
      </c>
      <c r="AA76" s="57" t="s">
        <v>40</v>
      </c>
      <c r="AB76" s="58" t="s">
        <v>40</v>
      </c>
      <c r="AC76" s="57" t="s">
        <v>40</v>
      </c>
      <c r="AD76" s="58" t="s">
        <v>40</v>
      </c>
      <c r="AE76" s="57" t="s">
        <v>40</v>
      </c>
      <c r="AF76" s="58" t="s">
        <v>40</v>
      </c>
      <c r="AG76" s="57" t="s">
        <v>40</v>
      </c>
      <c r="AH76" s="58" t="s">
        <v>40</v>
      </c>
      <c r="AI76" s="22"/>
      <c r="AJ76" s="78"/>
      <c r="AK76" s="81"/>
      <c r="AL76" s="84"/>
    </row>
    <row r="77" spans="1:38" s="36" customFormat="1" ht="22.9" customHeight="1" thickBot="1" x14ac:dyDescent="0.3">
      <c r="A77" s="97"/>
      <c r="B77" s="100"/>
      <c r="C77" s="103"/>
      <c r="D77" s="112"/>
      <c r="E77" s="91"/>
      <c r="F77" s="91"/>
      <c r="G77" s="91"/>
      <c r="H77" s="91"/>
      <c r="I77" s="94"/>
      <c r="J77" s="88"/>
      <c r="K77" s="35">
        <v>3</v>
      </c>
      <c r="L77" s="59">
        <v>3</v>
      </c>
      <c r="M77" s="59">
        <v>3</v>
      </c>
      <c r="N77" s="60">
        <v>3</v>
      </c>
      <c r="O77" s="59">
        <v>3</v>
      </c>
      <c r="P77" s="60">
        <v>3</v>
      </c>
      <c r="Q77" s="59">
        <v>3</v>
      </c>
      <c r="R77" s="60">
        <v>3</v>
      </c>
      <c r="S77" s="59">
        <v>3</v>
      </c>
      <c r="T77" s="60">
        <v>3</v>
      </c>
      <c r="U77" s="59">
        <v>3</v>
      </c>
      <c r="V77" s="60">
        <v>3</v>
      </c>
      <c r="W77" s="59">
        <v>3</v>
      </c>
      <c r="X77" s="60">
        <v>3</v>
      </c>
      <c r="Y77" s="59">
        <v>3</v>
      </c>
      <c r="Z77" s="60">
        <v>3</v>
      </c>
      <c r="AA77" s="59">
        <v>3</v>
      </c>
      <c r="AB77" s="60">
        <v>3</v>
      </c>
      <c r="AC77" s="59">
        <v>3</v>
      </c>
      <c r="AD77" s="60">
        <v>3</v>
      </c>
      <c r="AE77" s="59">
        <v>3</v>
      </c>
      <c r="AF77" s="60">
        <v>3</v>
      </c>
      <c r="AG77" s="59">
        <v>3</v>
      </c>
      <c r="AH77" s="60">
        <v>3</v>
      </c>
      <c r="AI77" s="30"/>
      <c r="AJ77" s="79"/>
      <c r="AK77" s="82"/>
      <c r="AL77" s="85"/>
    </row>
    <row r="78" spans="1:38" s="36" customFormat="1" ht="22.9" customHeight="1" thickTop="1" x14ac:dyDescent="0.25">
      <c r="A78" s="95" t="s">
        <v>157</v>
      </c>
      <c r="B78" s="98" t="s">
        <v>55</v>
      </c>
      <c r="C78" s="210" t="s">
        <v>117</v>
      </c>
      <c r="D78" s="110" t="s">
        <v>91</v>
      </c>
      <c r="E78" s="89" t="s">
        <v>92</v>
      </c>
      <c r="F78" s="89" t="s">
        <v>173</v>
      </c>
      <c r="G78" s="89" t="s">
        <v>48</v>
      </c>
      <c r="H78" s="89" t="s">
        <v>63</v>
      </c>
      <c r="I78" s="92">
        <f>K79</f>
        <v>0.66666666666666663</v>
      </c>
      <c r="J78" s="86" t="s">
        <v>93</v>
      </c>
      <c r="K78" s="17" t="s">
        <v>38</v>
      </c>
      <c r="L78" s="17" t="s">
        <v>38</v>
      </c>
      <c r="M78" s="17" t="s">
        <v>38</v>
      </c>
      <c r="N78" s="18" t="s">
        <v>38</v>
      </c>
      <c r="O78" s="17" t="s">
        <v>38</v>
      </c>
      <c r="P78" s="18" t="s">
        <v>38</v>
      </c>
      <c r="Q78" s="17" t="s">
        <v>38</v>
      </c>
      <c r="R78" s="18" t="s">
        <v>38</v>
      </c>
      <c r="S78" s="17" t="s">
        <v>38</v>
      </c>
      <c r="T78" s="18" t="s">
        <v>38</v>
      </c>
      <c r="U78" s="17" t="s">
        <v>38</v>
      </c>
      <c r="V78" s="18" t="s">
        <v>38</v>
      </c>
      <c r="W78" s="17" t="s">
        <v>38</v>
      </c>
      <c r="X78" s="18" t="s">
        <v>38</v>
      </c>
      <c r="Y78" s="17" t="s">
        <v>38</v>
      </c>
      <c r="Z78" s="18" t="s">
        <v>38</v>
      </c>
      <c r="AA78" s="17" t="s">
        <v>38</v>
      </c>
      <c r="AB78" s="18" t="s">
        <v>38</v>
      </c>
      <c r="AC78" s="17" t="s">
        <v>38</v>
      </c>
      <c r="AD78" s="18" t="s">
        <v>38</v>
      </c>
      <c r="AE78" s="17" t="s">
        <v>38</v>
      </c>
      <c r="AF78" s="18" t="s">
        <v>38</v>
      </c>
      <c r="AG78" s="17" t="s">
        <v>38</v>
      </c>
      <c r="AH78" s="18" t="s">
        <v>38</v>
      </c>
      <c r="AI78" s="19"/>
      <c r="AJ78" s="77" t="s">
        <v>94</v>
      </c>
      <c r="AK78" s="80"/>
      <c r="AL78" s="217" t="s">
        <v>118</v>
      </c>
    </row>
    <row r="79" spans="1:38" s="36" customFormat="1" ht="22.9" customHeight="1" x14ac:dyDescent="0.25">
      <c r="A79" s="96"/>
      <c r="B79" s="99"/>
      <c r="C79" s="102"/>
      <c r="D79" s="111"/>
      <c r="E79" s="90"/>
      <c r="F79" s="90"/>
      <c r="G79" s="90"/>
      <c r="H79" s="90"/>
      <c r="I79" s="93"/>
      <c r="J79" s="187"/>
      <c r="K79" s="33">
        <f t="shared" ref="K79:AH79" si="22">IF(K81&lt;&gt;0,+K81/K83,0%)</f>
        <v>0.66666666666666663</v>
      </c>
      <c r="L79" s="20">
        <f t="shared" si="22"/>
        <v>0</v>
      </c>
      <c r="M79" s="20">
        <f t="shared" si="22"/>
        <v>0</v>
      </c>
      <c r="N79" s="21">
        <f t="shared" si="22"/>
        <v>0</v>
      </c>
      <c r="O79" s="20">
        <f t="shared" si="22"/>
        <v>0</v>
      </c>
      <c r="P79" s="21">
        <f t="shared" si="22"/>
        <v>0</v>
      </c>
      <c r="Q79" s="20">
        <f t="shared" si="22"/>
        <v>0.33333333333333331</v>
      </c>
      <c r="R79" s="21">
        <f t="shared" si="22"/>
        <v>0.33333333333333331</v>
      </c>
      <c r="S79" s="20">
        <f t="shared" si="22"/>
        <v>0</v>
      </c>
      <c r="T79" s="21">
        <f t="shared" si="22"/>
        <v>0.33333333333333331</v>
      </c>
      <c r="U79" s="20">
        <f t="shared" si="22"/>
        <v>0.33333333333333331</v>
      </c>
      <c r="V79" s="21">
        <f t="shared" si="22"/>
        <v>0.66666666666666663</v>
      </c>
      <c r="W79" s="20">
        <f t="shared" si="22"/>
        <v>0</v>
      </c>
      <c r="X79" s="21">
        <f t="shared" si="22"/>
        <v>0.66666666666666663</v>
      </c>
      <c r="Y79" s="20">
        <f t="shared" si="22"/>
        <v>0</v>
      </c>
      <c r="Z79" s="21">
        <f t="shared" si="22"/>
        <v>0.66666666666666663</v>
      </c>
      <c r="AA79" s="20">
        <f t="shared" si="22"/>
        <v>0</v>
      </c>
      <c r="AB79" s="21">
        <f t="shared" si="22"/>
        <v>0.66666666666666663</v>
      </c>
      <c r="AC79" s="20">
        <f t="shared" si="22"/>
        <v>0</v>
      </c>
      <c r="AD79" s="21">
        <f t="shared" si="22"/>
        <v>0.66666666666666663</v>
      </c>
      <c r="AE79" s="20">
        <f t="shared" si="22"/>
        <v>0</v>
      </c>
      <c r="AF79" s="21">
        <f t="shared" si="22"/>
        <v>0.66666666666666663</v>
      </c>
      <c r="AG79" s="20">
        <f t="shared" si="22"/>
        <v>0</v>
      </c>
      <c r="AH79" s="21">
        <f t="shared" si="22"/>
        <v>0.66666666666666663</v>
      </c>
      <c r="AI79" s="22"/>
      <c r="AJ79" s="78"/>
      <c r="AK79" s="81"/>
      <c r="AL79" s="218"/>
    </row>
    <row r="80" spans="1:38" s="36" customFormat="1" ht="22.9" customHeight="1" thickBot="1" x14ac:dyDescent="0.3">
      <c r="A80" s="96"/>
      <c r="B80" s="99"/>
      <c r="C80" s="102"/>
      <c r="D80" s="111"/>
      <c r="E80" s="90"/>
      <c r="F80" s="90"/>
      <c r="G80" s="90"/>
      <c r="H80" s="90"/>
      <c r="I80" s="93"/>
      <c r="J80" s="188"/>
      <c r="K80" s="23" t="s">
        <v>39</v>
      </c>
      <c r="L80" s="23" t="s">
        <v>39</v>
      </c>
      <c r="M80" s="23" t="s">
        <v>39</v>
      </c>
      <c r="N80" s="24" t="s">
        <v>39</v>
      </c>
      <c r="O80" s="23" t="s">
        <v>39</v>
      </c>
      <c r="P80" s="24" t="s">
        <v>39</v>
      </c>
      <c r="Q80" s="23" t="s">
        <v>39</v>
      </c>
      <c r="R80" s="24" t="s">
        <v>39</v>
      </c>
      <c r="S80" s="23" t="s">
        <v>39</v>
      </c>
      <c r="T80" s="24" t="s">
        <v>39</v>
      </c>
      <c r="U80" s="23" t="s">
        <v>39</v>
      </c>
      <c r="V80" s="24" t="s">
        <v>39</v>
      </c>
      <c r="W80" s="23" t="s">
        <v>39</v>
      </c>
      <c r="X80" s="24" t="s">
        <v>39</v>
      </c>
      <c r="Y80" s="23" t="s">
        <v>39</v>
      </c>
      <c r="Z80" s="24" t="s">
        <v>39</v>
      </c>
      <c r="AA80" s="23" t="s">
        <v>39</v>
      </c>
      <c r="AB80" s="24" t="s">
        <v>39</v>
      </c>
      <c r="AC80" s="23" t="s">
        <v>39</v>
      </c>
      <c r="AD80" s="24" t="s">
        <v>39</v>
      </c>
      <c r="AE80" s="23" t="s">
        <v>39</v>
      </c>
      <c r="AF80" s="24" t="s">
        <v>39</v>
      </c>
      <c r="AG80" s="23" t="s">
        <v>39</v>
      </c>
      <c r="AH80" s="24" t="s">
        <v>39</v>
      </c>
      <c r="AI80" s="22"/>
      <c r="AJ80" s="78"/>
      <c r="AK80" s="81"/>
      <c r="AL80" s="218"/>
    </row>
    <row r="81" spans="1:38" s="36" customFormat="1" ht="22.9" customHeight="1" thickTop="1" x14ac:dyDescent="0.25">
      <c r="A81" s="96"/>
      <c r="B81" s="99"/>
      <c r="C81" s="102"/>
      <c r="D81" s="111"/>
      <c r="E81" s="90"/>
      <c r="F81" s="90"/>
      <c r="G81" s="90"/>
      <c r="H81" s="90"/>
      <c r="I81" s="93"/>
      <c r="J81" s="86" t="s">
        <v>95</v>
      </c>
      <c r="K81" s="34">
        <v>2</v>
      </c>
      <c r="L81" s="54"/>
      <c r="M81" s="54"/>
      <c r="N81" s="55">
        <f>+L81+M81</f>
        <v>0</v>
      </c>
      <c r="O81" s="54"/>
      <c r="P81" s="55">
        <f t="shared" ref="P81:AH81" si="23">+N81+O81</f>
        <v>0</v>
      </c>
      <c r="Q81" s="54">
        <v>1</v>
      </c>
      <c r="R81" s="55">
        <f t="shared" si="23"/>
        <v>1</v>
      </c>
      <c r="S81" s="54"/>
      <c r="T81" s="55">
        <f t="shared" si="23"/>
        <v>1</v>
      </c>
      <c r="U81" s="54">
        <v>1</v>
      </c>
      <c r="V81" s="55">
        <f t="shared" si="23"/>
        <v>2</v>
      </c>
      <c r="W81" s="54"/>
      <c r="X81" s="55">
        <f t="shared" si="23"/>
        <v>2</v>
      </c>
      <c r="Y81" s="54"/>
      <c r="Z81" s="55">
        <f t="shared" si="23"/>
        <v>2</v>
      </c>
      <c r="AA81" s="54">
        <v>0</v>
      </c>
      <c r="AB81" s="55">
        <f t="shared" si="23"/>
        <v>2</v>
      </c>
      <c r="AC81" s="54"/>
      <c r="AD81" s="55">
        <f t="shared" si="23"/>
        <v>2</v>
      </c>
      <c r="AE81" s="54"/>
      <c r="AF81" s="55">
        <f t="shared" si="23"/>
        <v>2</v>
      </c>
      <c r="AG81" s="54"/>
      <c r="AH81" s="55">
        <f t="shared" si="23"/>
        <v>2</v>
      </c>
      <c r="AI81" s="26">
        <f>AH79/K79</f>
        <v>1</v>
      </c>
      <c r="AJ81" s="78"/>
      <c r="AK81" s="81"/>
      <c r="AL81" s="218"/>
    </row>
    <row r="82" spans="1:38" s="36" customFormat="1" ht="22.9" customHeight="1" x14ac:dyDescent="0.25">
      <c r="A82" s="96"/>
      <c r="B82" s="99"/>
      <c r="C82" s="102"/>
      <c r="D82" s="111"/>
      <c r="E82" s="90"/>
      <c r="F82" s="90"/>
      <c r="G82" s="90"/>
      <c r="H82" s="90"/>
      <c r="I82" s="93"/>
      <c r="J82" s="87"/>
      <c r="K82" s="27" t="s">
        <v>40</v>
      </c>
      <c r="L82" s="57" t="s">
        <v>40</v>
      </c>
      <c r="M82" s="57" t="s">
        <v>40</v>
      </c>
      <c r="N82" s="58" t="s">
        <v>40</v>
      </c>
      <c r="O82" s="57" t="s">
        <v>40</v>
      </c>
      <c r="P82" s="58" t="s">
        <v>40</v>
      </c>
      <c r="Q82" s="57" t="s">
        <v>40</v>
      </c>
      <c r="R82" s="58" t="s">
        <v>40</v>
      </c>
      <c r="S82" s="57" t="s">
        <v>40</v>
      </c>
      <c r="T82" s="58" t="s">
        <v>40</v>
      </c>
      <c r="U82" s="57" t="s">
        <v>40</v>
      </c>
      <c r="V82" s="58" t="s">
        <v>40</v>
      </c>
      <c r="W82" s="57" t="s">
        <v>40</v>
      </c>
      <c r="X82" s="58" t="s">
        <v>40</v>
      </c>
      <c r="Y82" s="57" t="s">
        <v>40</v>
      </c>
      <c r="Z82" s="58" t="s">
        <v>40</v>
      </c>
      <c r="AA82" s="57" t="s">
        <v>40</v>
      </c>
      <c r="AB82" s="58" t="s">
        <v>40</v>
      </c>
      <c r="AC82" s="57" t="s">
        <v>40</v>
      </c>
      <c r="AD82" s="58" t="s">
        <v>40</v>
      </c>
      <c r="AE82" s="57" t="s">
        <v>40</v>
      </c>
      <c r="AF82" s="58" t="s">
        <v>40</v>
      </c>
      <c r="AG82" s="57" t="s">
        <v>40</v>
      </c>
      <c r="AH82" s="58" t="s">
        <v>40</v>
      </c>
      <c r="AI82" s="22"/>
      <c r="AJ82" s="78"/>
      <c r="AK82" s="81"/>
      <c r="AL82" s="218"/>
    </row>
    <row r="83" spans="1:38" s="36" customFormat="1" ht="22.9" customHeight="1" thickBot="1" x14ac:dyDescent="0.3">
      <c r="A83" s="97"/>
      <c r="B83" s="100"/>
      <c r="C83" s="103"/>
      <c r="D83" s="112"/>
      <c r="E83" s="91"/>
      <c r="F83" s="91"/>
      <c r="G83" s="91"/>
      <c r="H83" s="91"/>
      <c r="I83" s="94"/>
      <c r="J83" s="88"/>
      <c r="K83" s="35">
        <v>3</v>
      </c>
      <c r="L83" s="59">
        <v>3</v>
      </c>
      <c r="M83" s="59">
        <v>3</v>
      </c>
      <c r="N83" s="60">
        <v>3</v>
      </c>
      <c r="O83" s="59">
        <v>3</v>
      </c>
      <c r="P83" s="60">
        <v>3</v>
      </c>
      <c r="Q83" s="59">
        <v>3</v>
      </c>
      <c r="R83" s="60">
        <v>3</v>
      </c>
      <c r="S83" s="59">
        <v>3</v>
      </c>
      <c r="T83" s="60">
        <v>3</v>
      </c>
      <c r="U83" s="59">
        <v>3</v>
      </c>
      <c r="V83" s="60">
        <v>3</v>
      </c>
      <c r="W83" s="59">
        <v>3</v>
      </c>
      <c r="X83" s="60">
        <v>3</v>
      </c>
      <c r="Y83" s="59">
        <v>3</v>
      </c>
      <c r="Z83" s="60">
        <v>3</v>
      </c>
      <c r="AA83" s="59">
        <v>3</v>
      </c>
      <c r="AB83" s="60">
        <v>3</v>
      </c>
      <c r="AC83" s="59">
        <v>3</v>
      </c>
      <c r="AD83" s="60">
        <v>3</v>
      </c>
      <c r="AE83" s="59">
        <v>3</v>
      </c>
      <c r="AF83" s="60">
        <v>3</v>
      </c>
      <c r="AG83" s="59">
        <v>3</v>
      </c>
      <c r="AH83" s="60">
        <v>3</v>
      </c>
      <c r="AI83" s="30"/>
      <c r="AJ83" s="79"/>
      <c r="AK83" s="82"/>
      <c r="AL83" s="219"/>
    </row>
    <row r="84" spans="1:38" s="36" customFormat="1" ht="22.9" customHeight="1" thickTop="1" x14ac:dyDescent="0.25">
      <c r="A84" s="95" t="s">
        <v>156</v>
      </c>
      <c r="B84" s="98" t="s">
        <v>55</v>
      </c>
      <c r="C84" s="210" t="s">
        <v>119</v>
      </c>
      <c r="D84" s="110" t="s">
        <v>91</v>
      </c>
      <c r="E84" s="89" t="s">
        <v>92</v>
      </c>
      <c r="F84" s="89" t="s">
        <v>173</v>
      </c>
      <c r="G84" s="89" t="s">
        <v>48</v>
      </c>
      <c r="H84" s="89" t="s">
        <v>63</v>
      </c>
      <c r="I84" s="92">
        <f>K85</f>
        <v>0.66666666666666663</v>
      </c>
      <c r="J84" s="86" t="s">
        <v>93</v>
      </c>
      <c r="K84" s="17" t="s">
        <v>38</v>
      </c>
      <c r="L84" s="17" t="s">
        <v>38</v>
      </c>
      <c r="M84" s="17" t="s">
        <v>38</v>
      </c>
      <c r="N84" s="18" t="s">
        <v>38</v>
      </c>
      <c r="O84" s="17" t="s">
        <v>38</v>
      </c>
      <c r="P84" s="18" t="s">
        <v>38</v>
      </c>
      <c r="Q84" s="17" t="s">
        <v>38</v>
      </c>
      <c r="R84" s="18" t="s">
        <v>38</v>
      </c>
      <c r="S84" s="17" t="s">
        <v>38</v>
      </c>
      <c r="T84" s="18" t="s">
        <v>38</v>
      </c>
      <c r="U84" s="17" t="s">
        <v>38</v>
      </c>
      <c r="V84" s="18" t="s">
        <v>38</v>
      </c>
      <c r="W84" s="17" t="s">
        <v>38</v>
      </c>
      <c r="X84" s="18" t="s">
        <v>38</v>
      </c>
      <c r="Y84" s="17" t="s">
        <v>38</v>
      </c>
      <c r="Z84" s="18" t="s">
        <v>38</v>
      </c>
      <c r="AA84" s="17" t="s">
        <v>38</v>
      </c>
      <c r="AB84" s="18" t="s">
        <v>38</v>
      </c>
      <c r="AC84" s="17" t="s">
        <v>38</v>
      </c>
      <c r="AD84" s="18" t="s">
        <v>38</v>
      </c>
      <c r="AE84" s="17" t="s">
        <v>38</v>
      </c>
      <c r="AF84" s="18" t="s">
        <v>38</v>
      </c>
      <c r="AG84" s="17" t="s">
        <v>38</v>
      </c>
      <c r="AH84" s="18" t="s">
        <v>38</v>
      </c>
      <c r="AI84" s="19"/>
      <c r="AJ84" s="77" t="s">
        <v>94</v>
      </c>
      <c r="AK84" s="80"/>
      <c r="AL84" s="217" t="s">
        <v>120</v>
      </c>
    </row>
    <row r="85" spans="1:38" s="36" customFormat="1" ht="22.9" customHeight="1" x14ac:dyDescent="0.25">
      <c r="A85" s="96"/>
      <c r="B85" s="99"/>
      <c r="C85" s="102"/>
      <c r="D85" s="111"/>
      <c r="E85" s="90"/>
      <c r="F85" s="90"/>
      <c r="G85" s="90"/>
      <c r="H85" s="90"/>
      <c r="I85" s="93"/>
      <c r="J85" s="187"/>
      <c r="K85" s="33">
        <f t="shared" ref="K85:AH85" si="24">IF(K87&lt;&gt;0,+K87/K89,0%)</f>
        <v>0.66666666666666663</v>
      </c>
      <c r="L85" s="20">
        <f t="shared" si="24"/>
        <v>0</v>
      </c>
      <c r="M85" s="20">
        <f t="shared" si="24"/>
        <v>0</v>
      </c>
      <c r="N85" s="21">
        <f t="shared" si="24"/>
        <v>0</v>
      </c>
      <c r="O85" s="20">
        <f t="shared" si="24"/>
        <v>0</v>
      </c>
      <c r="P85" s="21">
        <f t="shared" si="24"/>
        <v>0</v>
      </c>
      <c r="Q85" s="20">
        <f t="shared" si="24"/>
        <v>0.33333333333333331</v>
      </c>
      <c r="R85" s="21">
        <f t="shared" si="24"/>
        <v>0.33333333333333331</v>
      </c>
      <c r="S85" s="20">
        <f t="shared" si="24"/>
        <v>0</v>
      </c>
      <c r="T85" s="21">
        <f t="shared" si="24"/>
        <v>0.33333333333333331</v>
      </c>
      <c r="U85" s="20">
        <f t="shared" si="24"/>
        <v>0.33333333333333331</v>
      </c>
      <c r="V85" s="21">
        <f t="shared" si="24"/>
        <v>0.66666666666666663</v>
      </c>
      <c r="W85" s="20">
        <f t="shared" si="24"/>
        <v>0</v>
      </c>
      <c r="X85" s="21">
        <f t="shared" si="24"/>
        <v>0.66666666666666663</v>
      </c>
      <c r="Y85" s="20">
        <f t="shared" si="24"/>
        <v>0</v>
      </c>
      <c r="Z85" s="21">
        <f t="shared" si="24"/>
        <v>0.66666666666666663</v>
      </c>
      <c r="AA85" s="20">
        <f t="shared" si="24"/>
        <v>0</v>
      </c>
      <c r="AB85" s="21">
        <f t="shared" si="24"/>
        <v>0.66666666666666663</v>
      </c>
      <c r="AC85" s="20">
        <f t="shared" si="24"/>
        <v>0</v>
      </c>
      <c r="AD85" s="21">
        <f t="shared" si="24"/>
        <v>0.66666666666666663</v>
      </c>
      <c r="AE85" s="20">
        <f t="shared" si="24"/>
        <v>0</v>
      </c>
      <c r="AF85" s="21">
        <f t="shared" si="24"/>
        <v>0.66666666666666663</v>
      </c>
      <c r="AG85" s="20">
        <f t="shared" si="24"/>
        <v>0</v>
      </c>
      <c r="AH85" s="21">
        <f t="shared" si="24"/>
        <v>0.66666666666666663</v>
      </c>
      <c r="AI85" s="22"/>
      <c r="AJ85" s="78"/>
      <c r="AK85" s="81"/>
      <c r="AL85" s="218"/>
    </row>
    <row r="86" spans="1:38" s="36" customFormat="1" ht="22.9" customHeight="1" thickBot="1" x14ac:dyDescent="0.3">
      <c r="A86" s="96"/>
      <c r="B86" s="99"/>
      <c r="C86" s="102"/>
      <c r="D86" s="111"/>
      <c r="E86" s="90"/>
      <c r="F86" s="90"/>
      <c r="G86" s="90"/>
      <c r="H86" s="90"/>
      <c r="I86" s="93"/>
      <c r="J86" s="188"/>
      <c r="K86" s="23" t="s">
        <v>39</v>
      </c>
      <c r="L86" s="23" t="s">
        <v>39</v>
      </c>
      <c r="M86" s="23" t="s">
        <v>39</v>
      </c>
      <c r="N86" s="24" t="s">
        <v>39</v>
      </c>
      <c r="O86" s="23" t="s">
        <v>39</v>
      </c>
      <c r="P86" s="24" t="s">
        <v>39</v>
      </c>
      <c r="Q86" s="23" t="s">
        <v>39</v>
      </c>
      <c r="R86" s="24" t="s">
        <v>39</v>
      </c>
      <c r="S86" s="23" t="s">
        <v>39</v>
      </c>
      <c r="T86" s="24" t="s">
        <v>39</v>
      </c>
      <c r="U86" s="23" t="s">
        <v>39</v>
      </c>
      <c r="V86" s="24" t="s">
        <v>39</v>
      </c>
      <c r="W86" s="23" t="s">
        <v>39</v>
      </c>
      <c r="X86" s="24" t="s">
        <v>39</v>
      </c>
      <c r="Y86" s="23" t="s">
        <v>39</v>
      </c>
      <c r="Z86" s="24" t="s">
        <v>39</v>
      </c>
      <c r="AA86" s="23" t="s">
        <v>39</v>
      </c>
      <c r="AB86" s="24" t="s">
        <v>39</v>
      </c>
      <c r="AC86" s="23" t="s">
        <v>39</v>
      </c>
      <c r="AD86" s="24" t="s">
        <v>39</v>
      </c>
      <c r="AE86" s="23" t="s">
        <v>39</v>
      </c>
      <c r="AF86" s="24" t="s">
        <v>39</v>
      </c>
      <c r="AG86" s="23" t="s">
        <v>39</v>
      </c>
      <c r="AH86" s="24" t="s">
        <v>39</v>
      </c>
      <c r="AI86" s="22"/>
      <c r="AJ86" s="78"/>
      <c r="AK86" s="81"/>
      <c r="AL86" s="218"/>
    </row>
    <row r="87" spans="1:38" s="36" customFormat="1" ht="22.9" customHeight="1" thickTop="1" x14ac:dyDescent="0.25">
      <c r="A87" s="96"/>
      <c r="B87" s="99"/>
      <c r="C87" s="102"/>
      <c r="D87" s="111"/>
      <c r="E87" s="90"/>
      <c r="F87" s="90"/>
      <c r="G87" s="90"/>
      <c r="H87" s="90"/>
      <c r="I87" s="93"/>
      <c r="J87" s="86" t="s">
        <v>95</v>
      </c>
      <c r="K87" s="34">
        <v>2</v>
      </c>
      <c r="L87" s="54"/>
      <c r="M87" s="54"/>
      <c r="N87" s="55">
        <f>+L87+M87</f>
        <v>0</v>
      </c>
      <c r="O87" s="54"/>
      <c r="P87" s="55">
        <f t="shared" ref="P87:AH87" si="25">+N87+O87</f>
        <v>0</v>
      </c>
      <c r="Q87" s="54">
        <v>1</v>
      </c>
      <c r="R87" s="55">
        <f t="shared" si="25"/>
        <v>1</v>
      </c>
      <c r="S87" s="54"/>
      <c r="T87" s="55">
        <f t="shared" si="25"/>
        <v>1</v>
      </c>
      <c r="U87" s="54">
        <v>1</v>
      </c>
      <c r="V87" s="55">
        <f t="shared" si="25"/>
        <v>2</v>
      </c>
      <c r="W87" s="54"/>
      <c r="X87" s="55">
        <f t="shared" si="25"/>
        <v>2</v>
      </c>
      <c r="Y87" s="54"/>
      <c r="Z87" s="55">
        <f t="shared" si="25"/>
        <v>2</v>
      </c>
      <c r="AA87" s="54">
        <v>0</v>
      </c>
      <c r="AB87" s="55">
        <f t="shared" si="25"/>
        <v>2</v>
      </c>
      <c r="AC87" s="54"/>
      <c r="AD87" s="55">
        <f t="shared" si="25"/>
        <v>2</v>
      </c>
      <c r="AE87" s="54"/>
      <c r="AF87" s="55">
        <f t="shared" si="25"/>
        <v>2</v>
      </c>
      <c r="AG87" s="54"/>
      <c r="AH87" s="55">
        <f t="shared" si="25"/>
        <v>2</v>
      </c>
      <c r="AI87" s="26">
        <f>AH85/K85</f>
        <v>1</v>
      </c>
      <c r="AJ87" s="78"/>
      <c r="AK87" s="81"/>
      <c r="AL87" s="218"/>
    </row>
    <row r="88" spans="1:38" s="36" customFormat="1" ht="22.9" customHeight="1" x14ac:dyDescent="0.25">
      <c r="A88" s="96"/>
      <c r="B88" s="99"/>
      <c r="C88" s="102"/>
      <c r="D88" s="111"/>
      <c r="E88" s="90"/>
      <c r="F88" s="90"/>
      <c r="G88" s="90"/>
      <c r="H88" s="90"/>
      <c r="I88" s="93"/>
      <c r="J88" s="87"/>
      <c r="K88" s="27" t="s">
        <v>40</v>
      </c>
      <c r="L88" s="57" t="s">
        <v>40</v>
      </c>
      <c r="M88" s="57" t="s">
        <v>40</v>
      </c>
      <c r="N88" s="58" t="s">
        <v>40</v>
      </c>
      <c r="O88" s="57" t="s">
        <v>40</v>
      </c>
      <c r="P88" s="58" t="s">
        <v>40</v>
      </c>
      <c r="Q88" s="57" t="s">
        <v>40</v>
      </c>
      <c r="R88" s="58" t="s">
        <v>40</v>
      </c>
      <c r="S88" s="57" t="s">
        <v>40</v>
      </c>
      <c r="T88" s="58" t="s">
        <v>40</v>
      </c>
      <c r="U88" s="57" t="s">
        <v>40</v>
      </c>
      <c r="V88" s="58" t="s">
        <v>40</v>
      </c>
      <c r="W88" s="57" t="s">
        <v>40</v>
      </c>
      <c r="X88" s="58" t="s">
        <v>40</v>
      </c>
      <c r="Y88" s="57" t="s">
        <v>40</v>
      </c>
      <c r="Z88" s="58" t="s">
        <v>40</v>
      </c>
      <c r="AA88" s="57" t="s">
        <v>40</v>
      </c>
      <c r="AB88" s="58" t="s">
        <v>40</v>
      </c>
      <c r="AC88" s="57" t="s">
        <v>40</v>
      </c>
      <c r="AD88" s="58" t="s">
        <v>40</v>
      </c>
      <c r="AE88" s="57" t="s">
        <v>40</v>
      </c>
      <c r="AF88" s="58" t="s">
        <v>40</v>
      </c>
      <c r="AG88" s="57" t="s">
        <v>40</v>
      </c>
      <c r="AH88" s="58" t="s">
        <v>40</v>
      </c>
      <c r="AI88" s="22"/>
      <c r="AJ88" s="78"/>
      <c r="AK88" s="81"/>
      <c r="AL88" s="218"/>
    </row>
    <row r="89" spans="1:38" s="36" customFormat="1" ht="22.9" customHeight="1" thickBot="1" x14ac:dyDescent="0.3">
      <c r="A89" s="97"/>
      <c r="B89" s="100"/>
      <c r="C89" s="103"/>
      <c r="D89" s="112"/>
      <c r="E89" s="91"/>
      <c r="F89" s="91"/>
      <c r="G89" s="91"/>
      <c r="H89" s="91"/>
      <c r="I89" s="94"/>
      <c r="J89" s="88"/>
      <c r="K89" s="35">
        <v>3</v>
      </c>
      <c r="L89" s="59">
        <v>3</v>
      </c>
      <c r="M89" s="59">
        <v>3</v>
      </c>
      <c r="N89" s="60">
        <v>3</v>
      </c>
      <c r="O89" s="59">
        <v>3</v>
      </c>
      <c r="P89" s="60">
        <v>3</v>
      </c>
      <c r="Q89" s="59">
        <v>3</v>
      </c>
      <c r="R89" s="60">
        <v>3</v>
      </c>
      <c r="S89" s="59">
        <v>3</v>
      </c>
      <c r="T89" s="60">
        <v>3</v>
      </c>
      <c r="U89" s="59">
        <v>3</v>
      </c>
      <c r="V89" s="60">
        <v>3</v>
      </c>
      <c r="W89" s="59">
        <v>3</v>
      </c>
      <c r="X89" s="60">
        <v>3</v>
      </c>
      <c r="Y89" s="59">
        <v>3</v>
      </c>
      <c r="Z89" s="60">
        <v>3</v>
      </c>
      <c r="AA89" s="59">
        <v>3</v>
      </c>
      <c r="AB89" s="60">
        <v>3</v>
      </c>
      <c r="AC89" s="59">
        <v>3</v>
      </c>
      <c r="AD89" s="60">
        <v>3</v>
      </c>
      <c r="AE89" s="59">
        <v>3</v>
      </c>
      <c r="AF89" s="60">
        <v>3</v>
      </c>
      <c r="AG89" s="59">
        <v>3</v>
      </c>
      <c r="AH89" s="60">
        <v>3</v>
      </c>
      <c r="AI89" s="30"/>
      <c r="AJ89" s="79"/>
      <c r="AK89" s="82"/>
      <c r="AL89" s="219"/>
    </row>
    <row r="90" spans="1:38" s="36" customFormat="1" ht="22.9" customHeight="1" thickTop="1" x14ac:dyDescent="0.25">
      <c r="A90" s="95" t="s">
        <v>163</v>
      </c>
      <c r="B90" s="98" t="s">
        <v>55</v>
      </c>
      <c r="C90" s="210" t="s">
        <v>121</v>
      </c>
      <c r="D90" s="110" t="s">
        <v>91</v>
      </c>
      <c r="E90" s="89" t="s">
        <v>92</v>
      </c>
      <c r="F90" s="89" t="s">
        <v>173</v>
      </c>
      <c r="G90" s="89" t="s">
        <v>48</v>
      </c>
      <c r="H90" s="89" t="s">
        <v>63</v>
      </c>
      <c r="I90" s="92">
        <f>K91</f>
        <v>0.66666666666666663</v>
      </c>
      <c r="J90" s="86" t="s">
        <v>93</v>
      </c>
      <c r="K90" s="17" t="s">
        <v>38</v>
      </c>
      <c r="L90" s="17" t="s">
        <v>38</v>
      </c>
      <c r="M90" s="17" t="s">
        <v>38</v>
      </c>
      <c r="N90" s="18" t="s">
        <v>38</v>
      </c>
      <c r="O90" s="17" t="s">
        <v>38</v>
      </c>
      <c r="P90" s="18" t="s">
        <v>38</v>
      </c>
      <c r="Q90" s="17" t="s">
        <v>38</v>
      </c>
      <c r="R90" s="18" t="s">
        <v>38</v>
      </c>
      <c r="S90" s="17" t="s">
        <v>38</v>
      </c>
      <c r="T90" s="18" t="s">
        <v>38</v>
      </c>
      <c r="U90" s="17" t="s">
        <v>38</v>
      </c>
      <c r="V90" s="18" t="s">
        <v>38</v>
      </c>
      <c r="W90" s="17" t="s">
        <v>38</v>
      </c>
      <c r="X90" s="18" t="s">
        <v>38</v>
      </c>
      <c r="Y90" s="17" t="s">
        <v>38</v>
      </c>
      <c r="Z90" s="18" t="s">
        <v>38</v>
      </c>
      <c r="AA90" s="17" t="s">
        <v>38</v>
      </c>
      <c r="AB90" s="18" t="s">
        <v>38</v>
      </c>
      <c r="AC90" s="17" t="s">
        <v>38</v>
      </c>
      <c r="AD90" s="18" t="s">
        <v>38</v>
      </c>
      <c r="AE90" s="17" t="s">
        <v>38</v>
      </c>
      <c r="AF90" s="18" t="s">
        <v>38</v>
      </c>
      <c r="AG90" s="17" t="s">
        <v>38</v>
      </c>
      <c r="AH90" s="18" t="s">
        <v>38</v>
      </c>
      <c r="AI90" s="19"/>
      <c r="AJ90" s="77" t="s">
        <v>94</v>
      </c>
      <c r="AK90" s="80"/>
      <c r="AL90" s="217" t="s">
        <v>122</v>
      </c>
    </row>
    <row r="91" spans="1:38" s="36" customFormat="1" ht="22.9" customHeight="1" x14ac:dyDescent="0.25">
      <c r="A91" s="96"/>
      <c r="B91" s="99"/>
      <c r="C91" s="102"/>
      <c r="D91" s="111"/>
      <c r="E91" s="90"/>
      <c r="F91" s="90"/>
      <c r="G91" s="90"/>
      <c r="H91" s="90"/>
      <c r="I91" s="93"/>
      <c r="J91" s="187"/>
      <c r="K91" s="33">
        <f t="shared" ref="K91:AH91" si="26">IF(K93&lt;&gt;0,+K93/K95,0%)</f>
        <v>0.66666666666666663</v>
      </c>
      <c r="L91" s="20">
        <f t="shared" si="26"/>
        <v>0</v>
      </c>
      <c r="M91" s="20">
        <f t="shared" si="26"/>
        <v>0</v>
      </c>
      <c r="N91" s="21">
        <f t="shared" si="26"/>
        <v>0</v>
      </c>
      <c r="O91" s="20">
        <f t="shared" si="26"/>
        <v>0</v>
      </c>
      <c r="P91" s="21">
        <f t="shared" si="26"/>
        <v>0</v>
      </c>
      <c r="Q91" s="20">
        <f t="shared" si="26"/>
        <v>0.33333333333333331</v>
      </c>
      <c r="R91" s="21">
        <f t="shared" si="26"/>
        <v>0.33333333333333331</v>
      </c>
      <c r="S91" s="20">
        <f t="shared" si="26"/>
        <v>0</v>
      </c>
      <c r="T91" s="21">
        <f t="shared" si="26"/>
        <v>0.33333333333333331</v>
      </c>
      <c r="U91" s="20">
        <f t="shared" si="26"/>
        <v>0.33333333333333331</v>
      </c>
      <c r="V91" s="21">
        <f t="shared" si="26"/>
        <v>0.66666666666666663</v>
      </c>
      <c r="W91" s="20">
        <f t="shared" si="26"/>
        <v>0</v>
      </c>
      <c r="X91" s="21">
        <f t="shared" si="26"/>
        <v>0.66666666666666663</v>
      </c>
      <c r="Y91" s="20">
        <f t="shared" si="26"/>
        <v>0</v>
      </c>
      <c r="Z91" s="21">
        <f t="shared" si="26"/>
        <v>0.66666666666666663</v>
      </c>
      <c r="AA91" s="20">
        <f t="shared" si="26"/>
        <v>0</v>
      </c>
      <c r="AB91" s="21">
        <f t="shared" si="26"/>
        <v>0.66666666666666663</v>
      </c>
      <c r="AC91" s="20">
        <f t="shared" si="26"/>
        <v>0</v>
      </c>
      <c r="AD91" s="21">
        <f t="shared" si="26"/>
        <v>0.66666666666666663</v>
      </c>
      <c r="AE91" s="20">
        <f t="shared" si="26"/>
        <v>0</v>
      </c>
      <c r="AF91" s="21">
        <f t="shared" si="26"/>
        <v>0.66666666666666663</v>
      </c>
      <c r="AG91" s="20">
        <f t="shared" si="26"/>
        <v>0</v>
      </c>
      <c r="AH91" s="21">
        <f t="shared" si="26"/>
        <v>0.66666666666666663</v>
      </c>
      <c r="AI91" s="22"/>
      <c r="AJ91" s="78"/>
      <c r="AK91" s="81"/>
      <c r="AL91" s="218"/>
    </row>
    <row r="92" spans="1:38" s="36" customFormat="1" ht="22.9" customHeight="1" thickBot="1" x14ac:dyDescent="0.3">
      <c r="A92" s="96"/>
      <c r="B92" s="99"/>
      <c r="C92" s="102"/>
      <c r="D92" s="111"/>
      <c r="E92" s="90"/>
      <c r="F92" s="90"/>
      <c r="G92" s="90"/>
      <c r="H92" s="90"/>
      <c r="I92" s="93"/>
      <c r="J92" s="188"/>
      <c r="K92" s="23" t="s">
        <v>39</v>
      </c>
      <c r="L92" s="23" t="s">
        <v>39</v>
      </c>
      <c r="M92" s="23" t="s">
        <v>39</v>
      </c>
      <c r="N92" s="24" t="s">
        <v>39</v>
      </c>
      <c r="O92" s="23" t="s">
        <v>39</v>
      </c>
      <c r="P92" s="24" t="s">
        <v>39</v>
      </c>
      <c r="Q92" s="23" t="s">
        <v>39</v>
      </c>
      <c r="R92" s="24" t="s">
        <v>39</v>
      </c>
      <c r="S92" s="23" t="s">
        <v>39</v>
      </c>
      <c r="T92" s="24" t="s">
        <v>39</v>
      </c>
      <c r="U92" s="23" t="s">
        <v>39</v>
      </c>
      <c r="V92" s="24" t="s">
        <v>39</v>
      </c>
      <c r="W92" s="23" t="s">
        <v>39</v>
      </c>
      <c r="X92" s="24" t="s">
        <v>39</v>
      </c>
      <c r="Y92" s="23" t="s">
        <v>39</v>
      </c>
      <c r="Z92" s="24" t="s">
        <v>39</v>
      </c>
      <c r="AA92" s="23" t="s">
        <v>39</v>
      </c>
      <c r="AB92" s="24" t="s">
        <v>39</v>
      </c>
      <c r="AC92" s="23" t="s">
        <v>39</v>
      </c>
      <c r="AD92" s="24" t="s">
        <v>39</v>
      </c>
      <c r="AE92" s="23" t="s">
        <v>39</v>
      </c>
      <c r="AF92" s="24" t="s">
        <v>39</v>
      </c>
      <c r="AG92" s="23" t="s">
        <v>39</v>
      </c>
      <c r="AH92" s="24" t="s">
        <v>39</v>
      </c>
      <c r="AI92" s="22"/>
      <c r="AJ92" s="78"/>
      <c r="AK92" s="81"/>
      <c r="AL92" s="218"/>
    </row>
    <row r="93" spans="1:38" s="36" customFormat="1" ht="22.9" customHeight="1" thickTop="1" x14ac:dyDescent="0.25">
      <c r="A93" s="96"/>
      <c r="B93" s="99"/>
      <c r="C93" s="102"/>
      <c r="D93" s="111"/>
      <c r="E93" s="90"/>
      <c r="F93" s="90"/>
      <c r="G93" s="90"/>
      <c r="H93" s="90"/>
      <c r="I93" s="93"/>
      <c r="J93" s="86" t="s">
        <v>95</v>
      </c>
      <c r="K93" s="34">
        <v>2</v>
      </c>
      <c r="L93" s="54"/>
      <c r="M93" s="54"/>
      <c r="N93" s="55">
        <f>+L93+M93</f>
        <v>0</v>
      </c>
      <c r="O93" s="54"/>
      <c r="P93" s="55">
        <f t="shared" ref="P93:AH93" si="27">+N93+O93</f>
        <v>0</v>
      </c>
      <c r="Q93" s="54">
        <v>1</v>
      </c>
      <c r="R93" s="55">
        <f t="shared" si="27"/>
        <v>1</v>
      </c>
      <c r="S93" s="54"/>
      <c r="T93" s="55">
        <f t="shared" si="27"/>
        <v>1</v>
      </c>
      <c r="U93" s="54">
        <v>1</v>
      </c>
      <c r="V93" s="55">
        <f t="shared" si="27"/>
        <v>2</v>
      </c>
      <c r="W93" s="54"/>
      <c r="X93" s="55">
        <f t="shared" si="27"/>
        <v>2</v>
      </c>
      <c r="Y93" s="54"/>
      <c r="Z93" s="55">
        <f t="shared" si="27"/>
        <v>2</v>
      </c>
      <c r="AA93" s="54">
        <v>0</v>
      </c>
      <c r="AB93" s="55">
        <f t="shared" si="27"/>
        <v>2</v>
      </c>
      <c r="AC93" s="54"/>
      <c r="AD93" s="55">
        <f t="shared" si="27"/>
        <v>2</v>
      </c>
      <c r="AE93" s="54"/>
      <c r="AF93" s="55">
        <f t="shared" si="27"/>
        <v>2</v>
      </c>
      <c r="AG93" s="54"/>
      <c r="AH93" s="55">
        <f t="shared" si="27"/>
        <v>2</v>
      </c>
      <c r="AI93" s="26">
        <f>AH91/K91</f>
        <v>1</v>
      </c>
      <c r="AJ93" s="78"/>
      <c r="AK93" s="81"/>
      <c r="AL93" s="218"/>
    </row>
    <row r="94" spans="1:38" s="36" customFormat="1" ht="22.9" customHeight="1" x14ac:dyDescent="0.25">
      <c r="A94" s="96"/>
      <c r="B94" s="99"/>
      <c r="C94" s="102"/>
      <c r="D94" s="111"/>
      <c r="E94" s="90"/>
      <c r="F94" s="90"/>
      <c r="G94" s="90"/>
      <c r="H94" s="90"/>
      <c r="I94" s="93"/>
      <c r="J94" s="87"/>
      <c r="K94" s="27" t="s">
        <v>40</v>
      </c>
      <c r="L94" s="57" t="s">
        <v>40</v>
      </c>
      <c r="M94" s="57" t="s">
        <v>40</v>
      </c>
      <c r="N94" s="58" t="s">
        <v>40</v>
      </c>
      <c r="O94" s="57" t="s">
        <v>40</v>
      </c>
      <c r="P94" s="58" t="s">
        <v>40</v>
      </c>
      <c r="Q94" s="57" t="s">
        <v>40</v>
      </c>
      <c r="R94" s="58" t="s">
        <v>40</v>
      </c>
      <c r="S94" s="57" t="s">
        <v>40</v>
      </c>
      <c r="T94" s="58" t="s">
        <v>40</v>
      </c>
      <c r="U94" s="57" t="s">
        <v>40</v>
      </c>
      <c r="V94" s="58" t="s">
        <v>40</v>
      </c>
      <c r="W94" s="57" t="s">
        <v>40</v>
      </c>
      <c r="X94" s="58" t="s">
        <v>40</v>
      </c>
      <c r="Y94" s="57" t="s">
        <v>40</v>
      </c>
      <c r="Z94" s="58" t="s">
        <v>40</v>
      </c>
      <c r="AA94" s="57" t="s">
        <v>40</v>
      </c>
      <c r="AB94" s="58" t="s">
        <v>40</v>
      </c>
      <c r="AC94" s="57" t="s">
        <v>40</v>
      </c>
      <c r="AD94" s="58" t="s">
        <v>40</v>
      </c>
      <c r="AE94" s="57" t="s">
        <v>40</v>
      </c>
      <c r="AF94" s="58" t="s">
        <v>40</v>
      </c>
      <c r="AG94" s="57" t="s">
        <v>40</v>
      </c>
      <c r="AH94" s="58" t="s">
        <v>40</v>
      </c>
      <c r="AI94" s="22"/>
      <c r="AJ94" s="78"/>
      <c r="AK94" s="81"/>
      <c r="AL94" s="218"/>
    </row>
    <row r="95" spans="1:38" s="36" customFormat="1" ht="22.9" customHeight="1" thickBot="1" x14ac:dyDescent="0.3">
      <c r="A95" s="97"/>
      <c r="B95" s="100"/>
      <c r="C95" s="103"/>
      <c r="D95" s="112"/>
      <c r="E95" s="91"/>
      <c r="F95" s="91"/>
      <c r="G95" s="91"/>
      <c r="H95" s="91"/>
      <c r="I95" s="94"/>
      <c r="J95" s="88"/>
      <c r="K95" s="35">
        <v>3</v>
      </c>
      <c r="L95" s="59">
        <v>3</v>
      </c>
      <c r="M95" s="59">
        <v>3</v>
      </c>
      <c r="N95" s="60">
        <v>3</v>
      </c>
      <c r="O95" s="59">
        <v>3</v>
      </c>
      <c r="P95" s="60">
        <v>3</v>
      </c>
      <c r="Q95" s="59">
        <v>3</v>
      </c>
      <c r="R95" s="60">
        <v>3</v>
      </c>
      <c r="S95" s="59">
        <v>3</v>
      </c>
      <c r="T95" s="60">
        <v>3</v>
      </c>
      <c r="U95" s="59">
        <v>3</v>
      </c>
      <c r="V95" s="60">
        <v>3</v>
      </c>
      <c r="W95" s="59">
        <v>3</v>
      </c>
      <c r="X95" s="60">
        <v>3</v>
      </c>
      <c r="Y95" s="59">
        <v>3</v>
      </c>
      <c r="Z95" s="60">
        <v>3</v>
      </c>
      <c r="AA95" s="59">
        <v>3</v>
      </c>
      <c r="AB95" s="60">
        <v>3</v>
      </c>
      <c r="AC95" s="59">
        <v>3</v>
      </c>
      <c r="AD95" s="60">
        <v>3</v>
      </c>
      <c r="AE95" s="59">
        <v>3</v>
      </c>
      <c r="AF95" s="60">
        <v>3</v>
      </c>
      <c r="AG95" s="59">
        <v>3</v>
      </c>
      <c r="AH95" s="60">
        <v>3</v>
      </c>
      <c r="AI95" s="30"/>
      <c r="AJ95" s="79"/>
      <c r="AK95" s="82"/>
      <c r="AL95" s="219"/>
    </row>
    <row r="96" spans="1:38" s="36" customFormat="1" ht="22.9" customHeight="1" thickTop="1" x14ac:dyDescent="0.25">
      <c r="A96" s="95" t="s">
        <v>158</v>
      </c>
      <c r="B96" s="98" t="s">
        <v>55</v>
      </c>
      <c r="C96" s="210" t="s">
        <v>123</v>
      </c>
      <c r="D96" s="110" t="s">
        <v>91</v>
      </c>
      <c r="E96" s="89" t="s">
        <v>92</v>
      </c>
      <c r="F96" s="89" t="s">
        <v>173</v>
      </c>
      <c r="G96" s="89" t="s">
        <v>48</v>
      </c>
      <c r="H96" s="89" t="s">
        <v>63</v>
      </c>
      <c r="I96" s="92">
        <f>K97</f>
        <v>0.66666666666666663</v>
      </c>
      <c r="J96" s="86" t="s">
        <v>93</v>
      </c>
      <c r="K96" s="17" t="s">
        <v>38</v>
      </c>
      <c r="L96" s="17" t="s">
        <v>38</v>
      </c>
      <c r="M96" s="17" t="s">
        <v>38</v>
      </c>
      <c r="N96" s="18" t="s">
        <v>38</v>
      </c>
      <c r="O96" s="17" t="s">
        <v>38</v>
      </c>
      <c r="P96" s="18" t="s">
        <v>38</v>
      </c>
      <c r="Q96" s="17" t="s">
        <v>38</v>
      </c>
      <c r="R96" s="18" t="s">
        <v>38</v>
      </c>
      <c r="S96" s="17" t="s">
        <v>38</v>
      </c>
      <c r="T96" s="18" t="s">
        <v>38</v>
      </c>
      <c r="U96" s="17" t="s">
        <v>38</v>
      </c>
      <c r="V96" s="18" t="s">
        <v>38</v>
      </c>
      <c r="W96" s="17" t="s">
        <v>38</v>
      </c>
      <c r="X96" s="18" t="s">
        <v>38</v>
      </c>
      <c r="Y96" s="17" t="s">
        <v>38</v>
      </c>
      <c r="Z96" s="18" t="s">
        <v>38</v>
      </c>
      <c r="AA96" s="17" t="s">
        <v>38</v>
      </c>
      <c r="AB96" s="18" t="s">
        <v>38</v>
      </c>
      <c r="AC96" s="17" t="s">
        <v>38</v>
      </c>
      <c r="AD96" s="18" t="s">
        <v>38</v>
      </c>
      <c r="AE96" s="17" t="s">
        <v>38</v>
      </c>
      <c r="AF96" s="18" t="s">
        <v>38</v>
      </c>
      <c r="AG96" s="17" t="s">
        <v>38</v>
      </c>
      <c r="AH96" s="18" t="s">
        <v>38</v>
      </c>
      <c r="AI96" s="19"/>
      <c r="AJ96" s="77" t="s">
        <v>94</v>
      </c>
      <c r="AK96" s="80"/>
      <c r="AL96" s="217" t="s">
        <v>124</v>
      </c>
    </row>
    <row r="97" spans="1:38" s="36" customFormat="1" ht="22.9" customHeight="1" x14ac:dyDescent="0.25">
      <c r="A97" s="96"/>
      <c r="B97" s="99"/>
      <c r="C97" s="102"/>
      <c r="D97" s="111"/>
      <c r="E97" s="90"/>
      <c r="F97" s="90"/>
      <c r="G97" s="90"/>
      <c r="H97" s="90"/>
      <c r="I97" s="93"/>
      <c r="J97" s="187"/>
      <c r="K97" s="33">
        <f t="shared" ref="K97:AH97" si="28">IF(K99&lt;&gt;0,+K99/K101,0%)</f>
        <v>0.66666666666666663</v>
      </c>
      <c r="L97" s="20">
        <f t="shared" si="28"/>
        <v>0</v>
      </c>
      <c r="M97" s="20">
        <f t="shared" si="28"/>
        <v>0</v>
      </c>
      <c r="N97" s="21">
        <f t="shared" si="28"/>
        <v>0</v>
      </c>
      <c r="O97" s="20">
        <f t="shared" si="28"/>
        <v>0</v>
      </c>
      <c r="P97" s="21">
        <f t="shared" si="28"/>
        <v>0</v>
      </c>
      <c r="Q97" s="20">
        <f t="shared" si="28"/>
        <v>0.33333333333333331</v>
      </c>
      <c r="R97" s="21">
        <f t="shared" si="28"/>
        <v>0.33333333333333331</v>
      </c>
      <c r="S97" s="20">
        <f t="shared" si="28"/>
        <v>0</v>
      </c>
      <c r="T97" s="21">
        <f t="shared" si="28"/>
        <v>0.33333333333333331</v>
      </c>
      <c r="U97" s="20">
        <f t="shared" si="28"/>
        <v>0.33333333333333331</v>
      </c>
      <c r="V97" s="21">
        <f t="shared" si="28"/>
        <v>0.66666666666666663</v>
      </c>
      <c r="W97" s="20">
        <f t="shared" si="28"/>
        <v>0</v>
      </c>
      <c r="X97" s="21">
        <f t="shared" si="28"/>
        <v>0.66666666666666663</v>
      </c>
      <c r="Y97" s="20">
        <f t="shared" si="28"/>
        <v>0</v>
      </c>
      <c r="Z97" s="21">
        <f t="shared" si="28"/>
        <v>0.66666666666666663</v>
      </c>
      <c r="AA97" s="20">
        <f t="shared" si="28"/>
        <v>0</v>
      </c>
      <c r="AB97" s="21">
        <f t="shared" si="28"/>
        <v>0.66666666666666663</v>
      </c>
      <c r="AC97" s="20">
        <f t="shared" si="28"/>
        <v>0</v>
      </c>
      <c r="AD97" s="21">
        <f t="shared" si="28"/>
        <v>0.66666666666666663</v>
      </c>
      <c r="AE97" s="20">
        <f t="shared" si="28"/>
        <v>0</v>
      </c>
      <c r="AF97" s="21">
        <f t="shared" si="28"/>
        <v>0.66666666666666663</v>
      </c>
      <c r="AG97" s="20">
        <f t="shared" si="28"/>
        <v>0</v>
      </c>
      <c r="AH97" s="21">
        <f t="shared" si="28"/>
        <v>0.66666666666666663</v>
      </c>
      <c r="AI97" s="22"/>
      <c r="AJ97" s="78"/>
      <c r="AK97" s="81"/>
      <c r="AL97" s="218"/>
    </row>
    <row r="98" spans="1:38" s="36" customFormat="1" ht="22.9" customHeight="1" thickBot="1" x14ac:dyDescent="0.3">
      <c r="A98" s="96"/>
      <c r="B98" s="99"/>
      <c r="C98" s="102"/>
      <c r="D98" s="111"/>
      <c r="E98" s="90"/>
      <c r="F98" s="90"/>
      <c r="G98" s="90"/>
      <c r="H98" s="90"/>
      <c r="I98" s="93"/>
      <c r="J98" s="188"/>
      <c r="K98" s="23" t="s">
        <v>39</v>
      </c>
      <c r="L98" s="23" t="s">
        <v>39</v>
      </c>
      <c r="M98" s="23" t="s">
        <v>39</v>
      </c>
      <c r="N98" s="24" t="s">
        <v>39</v>
      </c>
      <c r="O98" s="23" t="s">
        <v>39</v>
      </c>
      <c r="P98" s="24" t="s">
        <v>39</v>
      </c>
      <c r="Q98" s="23" t="s">
        <v>39</v>
      </c>
      <c r="R98" s="24" t="s">
        <v>39</v>
      </c>
      <c r="S98" s="23" t="s">
        <v>39</v>
      </c>
      <c r="T98" s="24" t="s">
        <v>39</v>
      </c>
      <c r="U98" s="23" t="s">
        <v>39</v>
      </c>
      <c r="V98" s="24" t="s">
        <v>39</v>
      </c>
      <c r="W98" s="23" t="s">
        <v>39</v>
      </c>
      <c r="X98" s="24" t="s">
        <v>39</v>
      </c>
      <c r="Y98" s="23" t="s">
        <v>39</v>
      </c>
      <c r="Z98" s="24" t="s">
        <v>39</v>
      </c>
      <c r="AA98" s="23" t="s">
        <v>39</v>
      </c>
      <c r="AB98" s="24" t="s">
        <v>39</v>
      </c>
      <c r="AC98" s="23" t="s">
        <v>39</v>
      </c>
      <c r="AD98" s="24" t="s">
        <v>39</v>
      </c>
      <c r="AE98" s="23" t="s">
        <v>39</v>
      </c>
      <c r="AF98" s="24" t="s">
        <v>39</v>
      </c>
      <c r="AG98" s="23" t="s">
        <v>39</v>
      </c>
      <c r="AH98" s="24" t="s">
        <v>39</v>
      </c>
      <c r="AI98" s="22"/>
      <c r="AJ98" s="78"/>
      <c r="AK98" s="81"/>
      <c r="AL98" s="218"/>
    </row>
    <row r="99" spans="1:38" s="36" customFormat="1" ht="22.9" customHeight="1" thickTop="1" x14ac:dyDescent="0.25">
      <c r="A99" s="96"/>
      <c r="B99" s="99"/>
      <c r="C99" s="102"/>
      <c r="D99" s="111"/>
      <c r="E99" s="90"/>
      <c r="F99" s="90"/>
      <c r="G99" s="90"/>
      <c r="H99" s="90"/>
      <c r="I99" s="93"/>
      <c r="J99" s="86" t="s">
        <v>95</v>
      </c>
      <c r="K99" s="34">
        <v>2</v>
      </c>
      <c r="L99" s="54"/>
      <c r="M99" s="54"/>
      <c r="N99" s="55">
        <f>+L99+M99</f>
        <v>0</v>
      </c>
      <c r="O99" s="54"/>
      <c r="P99" s="55">
        <f t="shared" ref="P99:AH99" si="29">+N99+O99</f>
        <v>0</v>
      </c>
      <c r="Q99" s="54">
        <v>1</v>
      </c>
      <c r="R99" s="55">
        <f t="shared" si="29"/>
        <v>1</v>
      </c>
      <c r="S99" s="54"/>
      <c r="T99" s="55">
        <f t="shared" si="29"/>
        <v>1</v>
      </c>
      <c r="U99" s="54">
        <v>1</v>
      </c>
      <c r="V99" s="55">
        <f t="shared" si="29"/>
        <v>2</v>
      </c>
      <c r="W99" s="54"/>
      <c r="X99" s="55">
        <f t="shared" si="29"/>
        <v>2</v>
      </c>
      <c r="Y99" s="54"/>
      <c r="Z99" s="55">
        <f t="shared" si="29"/>
        <v>2</v>
      </c>
      <c r="AA99" s="54">
        <v>0</v>
      </c>
      <c r="AB99" s="55">
        <f t="shared" si="29"/>
        <v>2</v>
      </c>
      <c r="AC99" s="54"/>
      <c r="AD99" s="55">
        <f t="shared" si="29"/>
        <v>2</v>
      </c>
      <c r="AE99" s="54"/>
      <c r="AF99" s="55">
        <f t="shared" si="29"/>
        <v>2</v>
      </c>
      <c r="AG99" s="54"/>
      <c r="AH99" s="55">
        <f t="shared" si="29"/>
        <v>2</v>
      </c>
      <c r="AI99" s="26">
        <f>AH97/K97</f>
        <v>1</v>
      </c>
      <c r="AJ99" s="78"/>
      <c r="AK99" s="81"/>
      <c r="AL99" s="218"/>
    </row>
    <row r="100" spans="1:38" s="36" customFormat="1" ht="22.9" customHeight="1" x14ac:dyDescent="0.25">
      <c r="A100" s="96"/>
      <c r="B100" s="99"/>
      <c r="C100" s="102"/>
      <c r="D100" s="111"/>
      <c r="E100" s="90"/>
      <c r="F100" s="90"/>
      <c r="G100" s="90"/>
      <c r="H100" s="90"/>
      <c r="I100" s="93"/>
      <c r="J100" s="87"/>
      <c r="K100" s="27" t="s">
        <v>40</v>
      </c>
      <c r="L100" s="57" t="s">
        <v>40</v>
      </c>
      <c r="M100" s="57" t="s">
        <v>40</v>
      </c>
      <c r="N100" s="58" t="s">
        <v>40</v>
      </c>
      <c r="O100" s="57" t="s">
        <v>40</v>
      </c>
      <c r="P100" s="58" t="s">
        <v>40</v>
      </c>
      <c r="Q100" s="57" t="s">
        <v>40</v>
      </c>
      <c r="R100" s="58" t="s">
        <v>40</v>
      </c>
      <c r="S100" s="57" t="s">
        <v>40</v>
      </c>
      <c r="T100" s="58" t="s">
        <v>40</v>
      </c>
      <c r="U100" s="57" t="s">
        <v>40</v>
      </c>
      <c r="V100" s="58" t="s">
        <v>40</v>
      </c>
      <c r="W100" s="57" t="s">
        <v>40</v>
      </c>
      <c r="X100" s="58" t="s">
        <v>40</v>
      </c>
      <c r="Y100" s="57" t="s">
        <v>40</v>
      </c>
      <c r="Z100" s="58" t="s">
        <v>40</v>
      </c>
      <c r="AA100" s="57" t="s">
        <v>40</v>
      </c>
      <c r="AB100" s="58" t="s">
        <v>40</v>
      </c>
      <c r="AC100" s="57" t="s">
        <v>40</v>
      </c>
      <c r="AD100" s="58" t="s">
        <v>40</v>
      </c>
      <c r="AE100" s="57" t="s">
        <v>40</v>
      </c>
      <c r="AF100" s="58" t="s">
        <v>40</v>
      </c>
      <c r="AG100" s="57" t="s">
        <v>40</v>
      </c>
      <c r="AH100" s="58" t="s">
        <v>40</v>
      </c>
      <c r="AI100" s="22"/>
      <c r="AJ100" s="78"/>
      <c r="AK100" s="81"/>
      <c r="AL100" s="218"/>
    </row>
    <row r="101" spans="1:38" s="36" customFormat="1" ht="22.9" customHeight="1" thickBot="1" x14ac:dyDescent="0.3">
      <c r="A101" s="97"/>
      <c r="B101" s="100"/>
      <c r="C101" s="103"/>
      <c r="D101" s="112"/>
      <c r="E101" s="91"/>
      <c r="F101" s="91"/>
      <c r="G101" s="91"/>
      <c r="H101" s="91"/>
      <c r="I101" s="94"/>
      <c r="J101" s="88"/>
      <c r="K101" s="35">
        <v>3</v>
      </c>
      <c r="L101" s="59">
        <v>3</v>
      </c>
      <c r="M101" s="59">
        <v>3</v>
      </c>
      <c r="N101" s="60">
        <v>3</v>
      </c>
      <c r="O101" s="59">
        <v>3</v>
      </c>
      <c r="P101" s="60">
        <v>3</v>
      </c>
      <c r="Q101" s="59">
        <v>3</v>
      </c>
      <c r="R101" s="60">
        <v>3</v>
      </c>
      <c r="S101" s="59">
        <v>3</v>
      </c>
      <c r="T101" s="60">
        <v>3</v>
      </c>
      <c r="U101" s="59">
        <v>3</v>
      </c>
      <c r="V101" s="60">
        <v>3</v>
      </c>
      <c r="W101" s="59">
        <v>3</v>
      </c>
      <c r="X101" s="60">
        <v>3</v>
      </c>
      <c r="Y101" s="59">
        <v>3</v>
      </c>
      <c r="Z101" s="60">
        <v>3</v>
      </c>
      <c r="AA101" s="59">
        <v>3</v>
      </c>
      <c r="AB101" s="60">
        <v>3</v>
      </c>
      <c r="AC101" s="59">
        <v>3</v>
      </c>
      <c r="AD101" s="60">
        <v>3</v>
      </c>
      <c r="AE101" s="59">
        <v>3</v>
      </c>
      <c r="AF101" s="60">
        <v>3</v>
      </c>
      <c r="AG101" s="59">
        <v>3</v>
      </c>
      <c r="AH101" s="60">
        <v>3</v>
      </c>
      <c r="AI101" s="30"/>
      <c r="AJ101" s="79"/>
      <c r="AK101" s="82"/>
      <c r="AL101" s="219"/>
    </row>
    <row r="102" spans="1:38" s="36" customFormat="1" ht="22.9" customHeight="1" thickTop="1" x14ac:dyDescent="0.25">
      <c r="A102" s="95" t="s">
        <v>160</v>
      </c>
      <c r="B102" s="98" t="s">
        <v>55</v>
      </c>
      <c r="C102" s="210" t="s">
        <v>125</v>
      </c>
      <c r="D102" s="110" t="s">
        <v>91</v>
      </c>
      <c r="E102" s="89" t="s">
        <v>92</v>
      </c>
      <c r="F102" s="89" t="s">
        <v>173</v>
      </c>
      <c r="G102" s="89" t="s">
        <v>48</v>
      </c>
      <c r="H102" s="89" t="s">
        <v>63</v>
      </c>
      <c r="I102" s="92">
        <f>K103</f>
        <v>0.66666666666666663</v>
      </c>
      <c r="J102" s="86" t="s">
        <v>93</v>
      </c>
      <c r="K102" s="17" t="s">
        <v>38</v>
      </c>
      <c r="L102" s="17" t="s">
        <v>38</v>
      </c>
      <c r="M102" s="17" t="s">
        <v>38</v>
      </c>
      <c r="N102" s="18" t="s">
        <v>38</v>
      </c>
      <c r="O102" s="17" t="s">
        <v>38</v>
      </c>
      <c r="P102" s="18" t="s">
        <v>38</v>
      </c>
      <c r="Q102" s="17" t="s">
        <v>38</v>
      </c>
      <c r="R102" s="18" t="s">
        <v>38</v>
      </c>
      <c r="S102" s="17" t="s">
        <v>38</v>
      </c>
      <c r="T102" s="18" t="s">
        <v>38</v>
      </c>
      <c r="U102" s="17" t="s">
        <v>38</v>
      </c>
      <c r="V102" s="18" t="s">
        <v>38</v>
      </c>
      <c r="W102" s="17" t="s">
        <v>38</v>
      </c>
      <c r="X102" s="18" t="s">
        <v>38</v>
      </c>
      <c r="Y102" s="17" t="s">
        <v>38</v>
      </c>
      <c r="Z102" s="18" t="s">
        <v>38</v>
      </c>
      <c r="AA102" s="17" t="s">
        <v>38</v>
      </c>
      <c r="AB102" s="18" t="s">
        <v>38</v>
      </c>
      <c r="AC102" s="17" t="s">
        <v>38</v>
      </c>
      <c r="AD102" s="18" t="s">
        <v>38</v>
      </c>
      <c r="AE102" s="17" t="s">
        <v>38</v>
      </c>
      <c r="AF102" s="18" t="s">
        <v>38</v>
      </c>
      <c r="AG102" s="17" t="s">
        <v>38</v>
      </c>
      <c r="AH102" s="18" t="s">
        <v>38</v>
      </c>
      <c r="AI102" s="19"/>
      <c r="AJ102" s="77" t="s">
        <v>94</v>
      </c>
      <c r="AK102" s="80"/>
      <c r="AL102" s="217" t="s">
        <v>126</v>
      </c>
    </row>
    <row r="103" spans="1:38" s="36" customFormat="1" ht="22.9" customHeight="1" x14ac:dyDescent="0.25">
      <c r="A103" s="96"/>
      <c r="B103" s="99"/>
      <c r="C103" s="102"/>
      <c r="D103" s="111"/>
      <c r="E103" s="90"/>
      <c r="F103" s="90"/>
      <c r="G103" s="90"/>
      <c r="H103" s="90"/>
      <c r="I103" s="93"/>
      <c r="J103" s="187"/>
      <c r="K103" s="33">
        <f t="shared" ref="K103:AH103" si="30">IF(K105&lt;&gt;0,+K105/K107,0%)</f>
        <v>0.66666666666666663</v>
      </c>
      <c r="L103" s="20">
        <f t="shared" si="30"/>
        <v>0</v>
      </c>
      <c r="M103" s="20">
        <f t="shared" si="30"/>
        <v>0</v>
      </c>
      <c r="N103" s="21">
        <f t="shared" si="30"/>
        <v>0</v>
      </c>
      <c r="O103" s="20">
        <f t="shared" si="30"/>
        <v>0</v>
      </c>
      <c r="P103" s="21">
        <f t="shared" si="30"/>
        <v>0</v>
      </c>
      <c r="Q103" s="20">
        <f t="shared" si="30"/>
        <v>0.33333333333333331</v>
      </c>
      <c r="R103" s="21">
        <f t="shared" si="30"/>
        <v>0.33333333333333331</v>
      </c>
      <c r="S103" s="20">
        <f t="shared" si="30"/>
        <v>0</v>
      </c>
      <c r="T103" s="21">
        <f t="shared" si="30"/>
        <v>0.33333333333333331</v>
      </c>
      <c r="U103" s="20">
        <f t="shared" si="30"/>
        <v>0.33333333333333331</v>
      </c>
      <c r="V103" s="21">
        <f t="shared" si="30"/>
        <v>0.66666666666666663</v>
      </c>
      <c r="W103" s="20">
        <f t="shared" si="30"/>
        <v>0</v>
      </c>
      <c r="X103" s="21">
        <f t="shared" si="30"/>
        <v>0.66666666666666663</v>
      </c>
      <c r="Y103" s="20">
        <f t="shared" si="30"/>
        <v>0</v>
      </c>
      <c r="Z103" s="21">
        <f t="shared" si="30"/>
        <v>0.66666666666666663</v>
      </c>
      <c r="AA103" s="20">
        <f t="shared" si="30"/>
        <v>0</v>
      </c>
      <c r="AB103" s="21">
        <f t="shared" si="30"/>
        <v>0.66666666666666663</v>
      </c>
      <c r="AC103" s="20">
        <f t="shared" si="30"/>
        <v>0</v>
      </c>
      <c r="AD103" s="21">
        <f t="shared" si="30"/>
        <v>0.66666666666666663</v>
      </c>
      <c r="AE103" s="20">
        <f t="shared" si="30"/>
        <v>0</v>
      </c>
      <c r="AF103" s="21">
        <f t="shared" si="30"/>
        <v>0.66666666666666663</v>
      </c>
      <c r="AG103" s="20">
        <f t="shared" si="30"/>
        <v>0</v>
      </c>
      <c r="AH103" s="21">
        <f t="shared" si="30"/>
        <v>0.66666666666666663</v>
      </c>
      <c r="AI103" s="22"/>
      <c r="AJ103" s="78"/>
      <c r="AK103" s="81"/>
      <c r="AL103" s="218"/>
    </row>
    <row r="104" spans="1:38" s="36" customFormat="1" ht="22.9" customHeight="1" thickBot="1" x14ac:dyDescent="0.3">
      <c r="A104" s="96"/>
      <c r="B104" s="99"/>
      <c r="C104" s="102"/>
      <c r="D104" s="111"/>
      <c r="E104" s="90"/>
      <c r="F104" s="90"/>
      <c r="G104" s="90"/>
      <c r="H104" s="90"/>
      <c r="I104" s="93"/>
      <c r="J104" s="188"/>
      <c r="K104" s="23" t="s">
        <v>39</v>
      </c>
      <c r="L104" s="23" t="s">
        <v>39</v>
      </c>
      <c r="M104" s="23" t="s">
        <v>39</v>
      </c>
      <c r="N104" s="24" t="s">
        <v>39</v>
      </c>
      <c r="O104" s="23" t="s">
        <v>39</v>
      </c>
      <c r="P104" s="24" t="s">
        <v>39</v>
      </c>
      <c r="Q104" s="23" t="s">
        <v>39</v>
      </c>
      <c r="R104" s="24" t="s">
        <v>39</v>
      </c>
      <c r="S104" s="23" t="s">
        <v>39</v>
      </c>
      <c r="T104" s="24" t="s">
        <v>39</v>
      </c>
      <c r="U104" s="23" t="s">
        <v>39</v>
      </c>
      <c r="V104" s="24" t="s">
        <v>39</v>
      </c>
      <c r="W104" s="23" t="s">
        <v>39</v>
      </c>
      <c r="X104" s="24" t="s">
        <v>39</v>
      </c>
      <c r="Y104" s="23" t="s">
        <v>39</v>
      </c>
      <c r="Z104" s="24" t="s">
        <v>39</v>
      </c>
      <c r="AA104" s="23" t="s">
        <v>39</v>
      </c>
      <c r="AB104" s="24" t="s">
        <v>39</v>
      </c>
      <c r="AC104" s="23" t="s">
        <v>39</v>
      </c>
      <c r="AD104" s="24" t="s">
        <v>39</v>
      </c>
      <c r="AE104" s="23" t="s">
        <v>39</v>
      </c>
      <c r="AF104" s="24" t="s">
        <v>39</v>
      </c>
      <c r="AG104" s="23" t="s">
        <v>39</v>
      </c>
      <c r="AH104" s="24" t="s">
        <v>39</v>
      </c>
      <c r="AI104" s="22"/>
      <c r="AJ104" s="78"/>
      <c r="AK104" s="81"/>
      <c r="AL104" s="218"/>
    </row>
    <row r="105" spans="1:38" s="36" customFormat="1" ht="22.9" customHeight="1" thickTop="1" x14ac:dyDescent="0.25">
      <c r="A105" s="96"/>
      <c r="B105" s="99"/>
      <c r="C105" s="102"/>
      <c r="D105" s="111"/>
      <c r="E105" s="90"/>
      <c r="F105" s="90"/>
      <c r="G105" s="90"/>
      <c r="H105" s="90"/>
      <c r="I105" s="93"/>
      <c r="J105" s="86" t="s">
        <v>95</v>
      </c>
      <c r="K105" s="34">
        <v>2</v>
      </c>
      <c r="L105" s="54"/>
      <c r="M105" s="54"/>
      <c r="N105" s="55">
        <f>+L105+M105</f>
        <v>0</v>
      </c>
      <c r="O105" s="54"/>
      <c r="P105" s="55">
        <f t="shared" ref="P105:AH105" si="31">+N105+O105</f>
        <v>0</v>
      </c>
      <c r="Q105" s="54">
        <v>1</v>
      </c>
      <c r="R105" s="55">
        <f t="shared" si="31"/>
        <v>1</v>
      </c>
      <c r="S105" s="54"/>
      <c r="T105" s="55">
        <f t="shared" si="31"/>
        <v>1</v>
      </c>
      <c r="U105" s="54">
        <v>1</v>
      </c>
      <c r="V105" s="55">
        <f t="shared" si="31"/>
        <v>2</v>
      </c>
      <c r="W105" s="54"/>
      <c r="X105" s="55">
        <f t="shared" si="31"/>
        <v>2</v>
      </c>
      <c r="Y105" s="54"/>
      <c r="Z105" s="55">
        <f t="shared" si="31"/>
        <v>2</v>
      </c>
      <c r="AA105" s="54">
        <v>0</v>
      </c>
      <c r="AB105" s="55">
        <f t="shared" si="31"/>
        <v>2</v>
      </c>
      <c r="AC105" s="54"/>
      <c r="AD105" s="55">
        <f t="shared" si="31"/>
        <v>2</v>
      </c>
      <c r="AE105" s="54"/>
      <c r="AF105" s="55">
        <f t="shared" si="31"/>
        <v>2</v>
      </c>
      <c r="AG105" s="54"/>
      <c r="AH105" s="55">
        <f t="shared" si="31"/>
        <v>2</v>
      </c>
      <c r="AI105" s="26">
        <f>AH103/K103</f>
        <v>1</v>
      </c>
      <c r="AJ105" s="78"/>
      <c r="AK105" s="81"/>
      <c r="AL105" s="218"/>
    </row>
    <row r="106" spans="1:38" s="36" customFormat="1" ht="22.9" customHeight="1" x14ac:dyDescent="0.25">
      <c r="A106" s="96"/>
      <c r="B106" s="99"/>
      <c r="C106" s="102"/>
      <c r="D106" s="111"/>
      <c r="E106" s="90"/>
      <c r="F106" s="90"/>
      <c r="G106" s="90"/>
      <c r="H106" s="90"/>
      <c r="I106" s="93"/>
      <c r="J106" s="87"/>
      <c r="K106" s="27" t="s">
        <v>40</v>
      </c>
      <c r="L106" s="57" t="s">
        <v>40</v>
      </c>
      <c r="M106" s="57" t="s">
        <v>40</v>
      </c>
      <c r="N106" s="58" t="s">
        <v>40</v>
      </c>
      <c r="O106" s="57" t="s">
        <v>40</v>
      </c>
      <c r="P106" s="58" t="s">
        <v>40</v>
      </c>
      <c r="Q106" s="57" t="s">
        <v>40</v>
      </c>
      <c r="R106" s="58" t="s">
        <v>40</v>
      </c>
      <c r="S106" s="57" t="s">
        <v>40</v>
      </c>
      <c r="T106" s="58" t="s">
        <v>40</v>
      </c>
      <c r="U106" s="57" t="s">
        <v>40</v>
      </c>
      <c r="V106" s="58" t="s">
        <v>40</v>
      </c>
      <c r="W106" s="57" t="s">
        <v>40</v>
      </c>
      <c r="X106" s="58" t="s">
        <v>40</v>
      </c>
      <c r="Y106" s="57" t="s">
        <v>40</v>
      </c>
      <c r="Z106" s="58" t="s">
        <v>40</v>
      </c>
      <c r="AA106" s="57" t="s">
        <v>40</v>
      </c>
      <c r="AB106" s="58" t="s">
        <v>40</v>
      </c>
      <c r="AC106" s="57" t="s">
        <v>40</v>
      </c>
      <c r="AD106" s="58" t="s">
        <v>40</v>
      </c>
      <c r="AE106" s="57" t="s">
        <v>40</v>
      </c>
      <c r="AF106" s="58" t="s">
        <v>40</v>
      </c>
      <c r="AG106" s="57" t="s">
        <v>40</v>
      </c>
      <c r="AH106" s="58" t="s">
        <v>40</v>
      </c>
      <c r="AI106" s="22"/>
      <c r="AJ106" s="78"/>
      <c r="AK106" s="81"/>
      <c r="AL106" s="218"/>
    </row>
    <row r="107" spans="1:38" s="36" customFormat="1" ht="22.9" customHeight="1" thickBot="1" x14ac:dyDescent="0.3">
      <c r="A107" s="97"/>
      <c r="B107" s="100"/>
      <c r="C107" s="103"/>
      <c r="D107" s="112"/>
      <c r="E107" s="91"/>
      <c r="F107" s="91"/>
      <c r="G107" s="91"/>
      <c r="H107" s="91"/>
      <c r="I107" s="94"/>
      <c r="J107" s="88"/>
      <c r="K107" s="35">
        <v>3</v>
      </c>
      <c r="L107" s="59">
        <v>3</v>
      </c>
      <c r="M107" s="59">
        <v>3</v>
      </c>
      <c r="N107" s="60">
        <v>3</v>
      </c>
      <c r="O107" s="59">
        <v>3</v>
      </c>
      <c r="P107" s="60">
        <v>3</v>
      </c>
      <c r="Q107" s="59">
        <v>3</v>
      </c>
      <c r="R107" s="60">
        <v>3</v>
      </c>
      <c r="S107" s="59">
        <v>3</v>
      </c>
      <c r="T107" s="60">
        <v>3</v>
      </c>
      <c r="U107" s="59">
        <v>3</v>
      </c>
      <c r="V107" s="60">
        <v>3</v>
      </c>
      <c r="W107" s="59">
        <v>3</v>
      </c>
      <c r="X107" s="60">
        <v>3</v>
      </c>
      <c r="Y107" s="59">
        <v>3</v>
      </c>
      <c r="Z107" s="60">
        <v>3</v>
      </c>
      <c r="AA107" s="59">
        <v>3</v>
      </c>
      <c r="AB107" s="60">
        <v>3</v>
      </c>
      <c r="AC107" s="59">
        <v>3</v>
      </c>
      <c r="AD107" s="60">
        <v>3</v>
      </c>
      <c r="AE107" s="59">
        <v>3</v>
      </c>
      <c r="AF107" s="60">
        <v>3</v>
      </c>
      <c r="AG107" s="59">
        <v>3</v>
      </c>
      <c r="AH107" s="60">
        <v>3</v>
      </c>
      <c r="AI107" s="30"/>
      <c r="AJ107" s="79"/>
      <c r="AK107" s="82"/>
      <c r="AL107" s="219"/>
    </row>
    <row r="108" spans="1:38" ht="13.5" thickTop="1" x14ac:dyDescent="0.3">
      <c r="L108" s="3"/>
      <c r="AJ108" s="4"/>
    </row>
    <row r="109" spans="1:38" x14ac:dyDescent="0.3">
      <c r="L109" s="3"/>
      <c r="AJ109" s="4"/>
    </row>
    <row r="110" spans="1:38" x14ac:dyDescent="0.3">
      <c r="L110" s="3"/>
      <c r="AJ110" s="4"/>
    </row>
    <row r="111" spans="1:38" x14ac:dyDescent="0.3">
      <c r="L111" s="3"/>
      <c r="AJ111" s="4"/>
    </row>
    <row r="112" spans="1:38" x14ac:dyDescent="0.3">
      <c r="L112" s="3"/>
      <c r="AJ112" s="4"/>
    </row>
    <row r="113" spans="12:36" x14ac:dyDescent="0.3">
      <c r="L113" s="3"/>
      <c r="AJ113" s="4"/>
    </row>
    <row r="114" spans="12:36" x14ac:dyDescent="0.3">
      <c r="L114" s="3"/>
      <c r="AJ114" s="4"/>
    </row>
    <row r="115" spans="12:36" x14ac:dyDescent="0.3">
      <c r="L115" s="3"/>
      <c r="AJ115" s="4"/>
    </row>
    <row r="116" spans="12:36" x14ac:dyDescent="0.3">
      <c r="L116" s="3"/>
      <c r="AJ116" s="4"/>
    </row>
    <row r="117" spans="12:36" x14ac:dyDescent="0.3">
      <c r="L117" s="3"/>
      <c r="AJ117" s="4"/>
    </row>
    <row r="118" spans="12:36" x14ac:dyDescent="0.3">
      <c r="L118" s="3"/>
      <c r="AJ118" s="4"/>
    </row>
    <row r="119" spans="12:36" x14ac:dyDescent="0.3">
      <c r="L119" s="3"/>
      <c r="AJ119" s="4"/>
    </row>
    <row r="120" spans="12:36" x14ac:dyDescent="0.3">
      <c r="L120" s="3"/>
      <c r="AJ120" s="4"/>
    </row>
    <row r="121" spans="12:36" x14ac:dyDescent="0.3">
      <c r="L121" s="3"/>
      <c r="AJ121" s="4"/>
    </row>
    <row r="122" spans="12:36" x14ac:dyDescent="0.3">
      <c r="L122" s="3"/>
      <c r="AJ122" s="4"/>
    </row>
    <row r="123" spans="12:36" x14ac:dyDescent="0.3">
      <c r="L123" s="3"/>
      <c r="AJ123" s="4"/>
    </row>
    <row r="124" spans="12:36" x14ac:dyDescent="0.3">
      <c r="L124" s="3"/>
      <c r="AJ124" s="4"/>
    </row>
    <row r="125" spans="12:36" x14ac:dyDescent="0.3">
      <c r="L125" s="3"/>
      <c r="AJ125" s="4"/>
    </row>
    <row r="126" spans="12:36" x14ac:dyDescent="0.3">
      <c r="L126" s="3"/>
      <c r="AJ126" s="4"/>
    </row>
    <row r="253" spans="5:5" x14ac:dyDescent="0.3">
      <c r="E253" s="4" t="s">
        <v>30</v>
      </c>
    </row>
  </sheetData>
  <mergeCells count="271">
    <mergeCell ref="N1:Q1"/>
    <mergeCell ref="N2:Q2"/>
    <mergeCell ref="N3:Q3"/>
    <mergeCell ref="N5:Q5"/>
    <mergeCell ref="A10:A11"/>
    <mergeCell ref="B10:B11"/>
    <mergeCell ref="C10:C11"/>
    <mergeCell ref="D10:D11"/>
    <mergeCell ref="E10:E11"/>
    <mergeCell ref="F10:F11"/>
    <mergeCell ref="G10:G11"/>
    <mergeCell ref="B1:D5"/>
    <mergeCell ref="E1:M5"/>
    <mergeCell ref="H10:H11"/>
    <mergeCell ref="I10:I11"/>
    <mergeCell ref="J10:J11"/>
    <mergeCell ref="K10:K11"/>
    <mergeCell ref="L10:L11"/>
    <mergeCell ref="M10:M11"/>
    <mergeCell ref="B6:D6"/>
    <mergeCell ref="E6:M6"/>
    <mergeCell ref="N6:Q6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R10:R11"/>
    <mergeCell ref="S10:S11"/>
    <mergeCell ref="AL10:AL11"/>
    <mergeCell ref="AF10:AF11"/>
    <mergeCell ref="AG10:AG11"/>
    <mergeCell ref="AH10:AH11"/>
    <mergeCell ref="AI10:AI11"/>
    <mergeCell ref="AJ10:AJ11"/>
    <mergeCell ref="AK10:AK11"/>
    <mergeCell ref="Z10:Z11"/>
    <mergeCell ref="AA10:AA11"/>
    <mergeCell ref="AB10:AB11"/>
    <mergeCell ref="AC10:AC11"/>
    <mergeCell ref="AD10:AD11"/>
    <mergeCell ref="AE10:AE11"/>
    <mergeCell ref="G12:G17"/>
    <mergeCell ref="H12:H17"/>
    <mergeCell ref="I12:I17"/>
    <mergeCell ref="F12:F17"/>
    <mergeCell ref="I42:I47"/>
    <mergeCell ref="J42:J44"/>
    <mergeCell ref="AJ42:AJ47"/>
    <mergeCell ref="I36:I41"/>
    <mergeCell ref="J36:J38"/>
    <mergeCell ref="AJ36:AJ41"/>
    <mergeCell ref="G24:G29"/>
    <mergeCell ref="H24:H29"/>
    <mergeCell ref="I24:I29"/>
    <mergeCell ref="H18:H23"/>
    <mergeCell ref="I18:I23"/>
    <mergeCell ref="G18:G23"/>
    <mergeCell ref="J18:J20"/>
    <mergeCell ref="J12:J14"/>
    <mergeCell ref="AJ12:AJ17"/>
    <mergeCell ref="J33:J35"/>
    <mergeCell ref="I30:I35"/>
    <mergeCell ref="J30:J32"/>
    <mergeCell ref="AJ30:AJ35"/>
    <mergeCell ref="AJ18:AJ23"/>
    <mergeCell ref="AK18:AK23"/>
    <mergeCell ref="AL18:AL23"/>
    <mergeCell ref="J21:J23"/>
    <mergeCell ref="AL30:AL35"/>
    <mergeCell ref="A24:A29"/>
    <mergeCell ref="B24:B29"/>
    <mergeCell ref="C24:C29"/>
    <mergeCell ref="D24:D29"/>
    <mergeCell ref="E24:E29"/>
    <mergeCell ref="F24:F29"/>
    <mergeCell ref="A18:A23"/>
    <mergeCell ref="B18:B23"/>
    <mergeCell ref="C18:C23"/>
    <mergeCell ref="D18:D23"/>
    <mergeCell ref="E18:E23"/>
    <mergeCell ref="F18:F23"/>
    <mergeCell ref="F36:F41"/>
    <mergeCell ref="G36:G41"/>
    <mergeCell ref="H36:H41"/>
    <mergeCell ref="G30:G35"/>
    <mergeCell ref="H30:H35"/>
    <mergeCell ref="AK12:AK17"/>
    <mergeCell ref="AL12:AL17"/>
    <mergeCell ref="J15:J17"/>
    <mergeCell ref="A30:A35"/>
    <mergeCell ref="B30:B35"/>
    <mergeCell ref="C30:C35"/>
    <mergeCell ref="D30:D35"/>
    <mergeCell ref="E30:E35"/>
    <mergeCell ref="F30:F35"/>
    <mergeCell ref="J24:J26"/>
    <mergeCell ref="AJ24:AJ29"/>
    <mergeCell ref="AK24:AK29"/>
    <mergeCell ref="AL24:AL29"/>
    <mergeCell ref="J27:J29"/>
    <mergeCell ref="A12:A17"/>
    <mergeCell ref="B12:B17"/>
    <mergeCell ref="C12:C17"/>
    <mergeCell ref="D12:D17"/>
    <mergeCell ref="E12:E17"/>
    <mergeCell ref="F48:F53"/>
    <mergeCell ref="G48:G53"/>
    <mergeCell ref="I54:I59"/>
    <mergeCell ref="J54:J56"/>
    <mergeCell ref="AK30:AK35"/>
    <mergeCell ref="AK36:AK41"/>
    <mergeCell ref="AL36:AL41"/>
    <mergeCell ref="J39:J41"/>
    <mergeCell ref="A42:A47"/>
    <mergeCell ref="B42:B47"/>
    <mergeCell ref="C42:C47"/>
    <mergeCell ref="D42:D47"/>
    <mergeCell ref="E42:E47"/>
    <mergeCell ref="F42:F47"/>
    <mergeCell ref="G42:G47"/>
    <mergeCell ref="H42:H47"/>
    <mergeCell ref="AK42:AK47"/>
    <mergeCell ref="AL42:AL47"/>
    <mergeCell ref="J45:J47"/>
    <mergeCell ref="A36:A41"/>
    <mergeCell ref="B36:B41"/>
    <mergeCell ref="C36:C41"/>
    <mergeCell ref="D36:D41"/>
    <mergeCell ref="E36:E41"/>
    <mergeCell ref="AJ54:AJ59"/>
    <mergeCell ref="AK54:AK59"/>
    <mergeCell ref="AL54:AL59"/>
    <mergeCell ref="J57:J59"/>
    <mergeCell ref="AL48:AL53"/>
    <mergeCell ref="J51:J53"/>
    <mergeCell ref="A54:A59"/>
    <mergeCell ref="B54:B59"/>
    <mergeCell ref="C54:C59"/>
    <mergeCell ref="D54:D59"/>
    <mergeCell ref="E54:E59"/>
    <mergeCell ref="F54:F59"/>
    <mergeCell ref="G54:G59"/>
    <mergeCell ref="H54:H59"/>
    <mergeCell ref="H48:H53"/>
    <mergeCell ref="I48:I53"/>
    <mergeCell ref="J48:J50"/>
    <mergeCell ref="AJ48:AJ53"/>
    <mergeCell ref="AK48:AK53"/>
    <mergeCell ref="A48:A53"/>
    <mergeCell ref="B48:B53"/>
    <mergeCell ref="C48:C53"/>
    <mergeCell ref="D48:D53"/>
    <mergeCell ref="E48:E53"/>
    <mergeCell ref="AK60:AK65"/>
    <mergeCell ref="AL60:AL65"/>
    <mergeCell ref="J63:J65"/>
    <mergeCell ref="A66:A71"/>
    <mergeCell ref="B66:B71"/>
    <mergeCell ref="C66:C71"/>
    <mergeCell ref="D66:D71"/>
    <mergeCell ref="E66:E71"/>
    <mergeCell ref="F66:F71"/>
    <mergeCell ref="G66:G71"/>
    <mergeCell ref="G60:G65"/>
    <mergeCell ref="H60:H65"/>
    <mergeCell ref="I60:I65"/>
    <mergeCell ref="J60:J62"/>
    <mergeCell ref="AJ60:AJ65"/>
    <mergeCell ref="A60:A65"/>
    <mergeCell ref="B60:B65"/>
    <mergeCell ref="C60:C65"/>
    <mergeCell ref="D60:D65"/>
    <mergeCell ref="E60:E65"/>
    <mergeCell ref="F60:F65"/>
    <mergeCell ref="I72:I77"/>
    <mergeCell ref="J72:J74"/>
    <mergeCell ref="AJ72:AJ77"/>
    <mergeCell ref="AK72:AK77"/>
    <mergeCell ref="AL72:AL77"/>
    <mergeCell ref="J75:J77"/>
    <mergeCell ref="AL66:AL71"/>
    <mergeCell ref="J69:J71"/>
    <mergeCell ref="A72:A77"/>
    <mergeCell ref="B72:B77"/>
    <mergeCell ref="C72:C77"/>
    <mergeCell ref="D72:D77"/>
    <mergeCell ref="E72:E77"/>
    <mergeCell ref="F72:F77"/>
    <mergeCell ref="G72:G77"/>
    <mergeCell ref="H72:H77"/>
    <mergeCell ref="H66:H71"/>
    <mergeCell ref="I66:I71"/>
    <mergeCell ref="J66:J68"/>
    <mergeCell ref="AJ66:AJ71"/>
    <mergeCell ref="AK66:AK71"/>
    <mergeCell ref="AK78:AK83"/>
    <mergeCell ref="AL78:AL83"/>
    <mergeCell ref="J81:J83"/>
    <mergeCell ref="A84:A89"/>
    <mergeCell ref="B84:B89"/>
    <mergeCell ref="C84:C89"/>
    <mergeCell ref="D84:D89"/>
    <mergeCell ref="E84:E89"/>
    <mergeCell ref="F84:F89"/>
    <mergeCell ref="G84:G89"/>
    <mergeCell ref="G78:G83"/>
    <mergeCell ref="H78:H83"/>
    <mergeCell ref="I78:I83"/>
    <mergeCell ref="J78:J80"/>
    <mergeCell ref="AJ78:AJ83"/>
    <mergeCell ref="A78:A83"/>
    <mergeCell ref="B78:B83"/>
    <mergeCell ref="C78:C83"/>
    <mergeCell ref="D78:D83"/>
    <mergeCell ref="E78:E83"/>
    <mergeCell ref="F78:F83"/>
    <mergeCell ref="I90:I95"/>
    <mergeCell ref="J90:J92"/>
    <mergeCell ref="AJ90:AJ95"/>
    <mergeCell ref="AK90:AK95"/>
    <mergeCell ref="AL90:AL95"/>
    <mergeCell ref="J93:J95"/>
    <mergeCell ref="AL84:AL89"/>
    <mergeCell ref="J87:J89"/>
    <mergeCell ref="A90:A95"/>
    <mergeCell ref="B90:B95"/>
    <mergeCell ref="C90:C95"/>
    <mergeCell ref="D90:D95"/>
    <mergeCell ref="E90:E95"/>
    <mergeCell ref="F90:F95"/>
    <mergeCell ref="G90:G95"/>
    <mergeCell ref="H90:H95"/>
    <mergeCell ref="H84:H89"/>
    <mergeCell ref="I84:I89"/>
    <mergeCell ref="J84:J86"/>
    <mergeCell ref="AJ84:AJ89"/>
    <mergeCell ref="AK84:AK89"/>
    <mergeCell ref="A102:A107"/>
    <mergeCell ref="B102:B107"/>
    <mergeCell ref="C102:C107"/>
    <mergeCell ref="D102:D107"/>
    <mergeCell ref="E102:E107"/>
    <mergeCell ref="F102:F107"/>
    <mergeCell ref="G102:G107"/>
    <mergeCell ref="G96:G101"/>
    <mergeCell ref="H96:H101"/>
    <mergeCell ref="A96:A101"/>
    <mergeCell ref="B96:B101"/>
    <mergeCell ref="C96:C101"/>
    <mergeCell ref="D96:D101"/>
    <mergeCell ref="E96:E101"/>
    <mergeCell ref="F96:F101"/>
    <mergeCell ref="AL102:AL107"/>
    <mergeCell ref="J105:J107"/>
    <mergeCell ref="H102:H107"/>
    <mergeCell ref="I102:I107"/>
    <mergeCell ref="J102:J104"/>
    <mergeCell ref="AJ102:AJ107"/>
    <mergeCell ref="AK102:AK107"/>
    <mergeCell ref="AK96:AK101"/>
    <mergeCell ref="AL96:AL101"/>
    <mergeCell ref="J99:J101"/>
    <mergeCell ref="I96:I101"/>
    <mergeCell ref="J96:J98"/>
    <mergeCell ref="AJ96:AJ10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CDC 2026</vt:lpstr>
      <vt:lpstr>PMG 2026</vt:lpstr>
      <vt:lpstr>Subtítulos 22 y 29</vt:lpstr>
      <vt:lpstr>Subtítulos 22</vt:lpstr>
      <vt:lpstr>'CDC 2026'!Área_de_impresión</vt:lpstr>
      <vt:lpstr>'CDC 2026'!Títulos_a_imprimir</vt:lpstr>
    </vt:vector>
  </TitlesOfParts>
  <Company>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creator>Salvador Aguilera</dc:creator>
  <cp:lastModifiedBy>Cesar Francisco Alfaro Valdes</cp:lastModifiedBy>
  <cp:lastPrinted>2012-03-08T20:51:00Z</cp:lastPrinted>
  <dcterms:created xsi:type="dcterms:W3CDTF">2008-08-20T14:03:15Z</dcterms:created>
  <dcterms:modified xsi:type="dcterms:W3CDTF">2026-02-05T12:37:10Z</dcterms:modified>
</cp:coreProperties>
</file>