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arla_adasme_ips_gob_cl/Documents/AVANCE-OCT-NOV-DIC-CDC-2025/Región  Tarapacá/"/>
    </mc:Choice>
  </mc:AlternateContent>
  <xr:revisionPtr revIDLastSave="162" documentId="13_ncr:1_{EAF040F0-B9FE-4678-8AD7-2ADF23F88ED6}" xr6:coauthVersionLast="47" xr6:coauthVersionMax="47" xr10:uidLastSave="{8521234F-40DB-44C2-9D2C-9D38949113CB}"/>
  <bookViews>
    <workbookView xWindow="-110" yWindow="-110" windowWidth="19420" windowHeight="11500" xr2:uid="{00000000-000D-0000-FFFF-FFFF00000000}"/>
  </bookViews>
  <sheets>
    <sheet name="CDC 2025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7" l="1"/>
  <c r="J14" i="7"/>
  <c r="H14" i="7"/>
  <c r="G24" i="7"/>
  <c r="I24" i="7" s="1"/>
  <c r="G22" i="7"/>
  <c r="I22" i="7" s="1"/>
  <c r="G18" i="7"/>
  <c r="I18" i="7" s="1"/>
  <c r="K18" i="7" s="1"/>
  <c r="E14" i="7"/>
  <c r="J44" i="7"/>
  <c r="H44" i="7"/>
  <c r="F44" i="7"/>
  <c r="E44" i="7"/>
  <c r="E38" i="7" l="1"/>
  <c r="E32" i="7"/>
  <c r="E26" i="7"/>
  <c r="E20" i="7"/>
  <c r="K24" i="7" l="1"/>
  <c r="K22" i="7"/>
  <c r="J38" i="7" l="1"/>
  <c r="H38" i="7"/>
  <c r="F38" i="7"/>
  <c r="J32" i="7"/>
  <c r="H32" i="7"/>
  <c r="F32" i="7"/>
  <c r="J26" i="7"/>
  <c r="H26" i="7"/>
  <c r="F26" i="7"/>
  <c r="J20" i="7"/>
  <c r="H20" i="7"/>
  <c r="F20" i="7"/>
  <c r="G16" i="7" l="1"/>
  <c r="G46" i="7"/>
  <c r="I16" i="7" l="1"/>
  <c r="G14" i="7"/>
  <c r="G44" i="7"/>
  <c r="I46" i="7"/>
  <c r="I14" i="7" l="1"/>
  <c r="K16" i="7"/>
  <c r="K14" i="7" s="1"/>
  <c r="L16" i="7" s="1"/>
  <c r="K46" i="7"/>
  <c r="K44" i="7" s="1"/>
  <c r="L46" i="7" s="1"/>
  <c r="I44" i="7"/>
  <c r="G40" i="7" l="1"/>
  <c r="G34" i="7"/>
  <c r="G28" i="7"/>
  <c r="I40" i="7" l="1"/>
  <c r="G38" i="7"/>
  <c r="I34" i="7"/>
  <c r="G32" i="7"/>
  <c r="I28" i="7"/>
  <c r="G26" i="7"/>
  <c r="G20" i="7"/>
  <c r="I38" i="7" l="1"/>
  <c r="K40" i="7"/>
  <c r="K38" i="7" s="1"/>
  <c r="I32" i="7"/>
  <c r="K34" i="7"/>
  <c r="K32" i="7" s="1"/>
  <c r="I26" i="7"/>
  <c r="K28" i="7"/>
  <c r="K26" i="7" s="1"/>
  <c r="I20" i="7"/>
  <c r="K20" i="7"/>
  <c r="L40" i="7" l="1"/>
  <c r="L28" i="7" l="1"/>
  <c r="L22" i="7"/>
  <c r="L34" i="7"/>
</calcChain>
</file>

<file path=xl/sharedStrings.xml><?xml version="1.0" encoding="utf-8"?>
<sst xmlns="http://schemas.openxmlformats.org/spreadsheetml/2006/main" count="178" uniqueCount="55">
  <si>
    <t>PLANTILLA SIG COMPROMISOS INSTITUCIONALES</t>
  </si>
  <si>
    <t>DEPARTAMENTO DE PLANIFICACION  Y DESARROLLO</t>
  </si>
  <si>
    <t>SUBDEPARTAMENTO GESTIÓN DE INDICADORES</t>
  </si>
  <si>
    <t>INSTITUCIONALES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</si>
  <si>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</si>
  <si>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</si>
  <si>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</si>
  <si>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</si>
  <si>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>CONVENIO DE DESEMPEÑO COLECTIVO - AÑO 2025</t>
  </si>
  <si>
    <t>DIRECCIÓN REGIONAL - REGIÓN TARAPACA</t>
  </si>
  <si>
    <t>NÚMERO</t>
  </si>
  <si>
    <t xml:space="preserve">INDICADOR </t>
  </si>
  <si>
    <t>FORMULA</t>
  </si>
  <si>
    <t>Operandos</t>
  </si>
  <si>
    <t>Operandos  Estimados Meta</t>
  </si>
  <si>
    <t>Oct.</t>
  </si>
  <si>
    <t>Acum Oct.</t>
  </si>
  <si>
    <t>Nov.</t>
  </si>
  <si>
    <t>Acum Nov.</t>
  </si>
  <si>
    <t>Dic.</t>
  </si>
  <si>
    <t>CUMPLIMIENTO 2025</t>
  </si>
  <si>
    <t>% Cumplimiento de Meta</t>
  </si>
  <si>
    <t>3.5.1.24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</si>
  <si>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</si>
  <si>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</si>
  <si>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</si>
  <si>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 xml:space="preserve">Valor indicador=   </t>
  </si>
  <si>
    <t xml:space="preserve">Operando 1=   </t>
  </si>
  <si>
    <t>N° Total de Beneficios Previsionales de las áreas Particulares, Públicos y SSS que se finiquitan en el año t)*100</t>
  </si>
  <si>
    <t xml:space="preserve">Operando 2=    </t>
  </si>
  <si>
    <t>1.3.1.4.1</t>
  </si>
  <si>
    <r>
      <t xml:space="preserve">Calidad/Producto
</t>
    </r>
    <r>
      <rPr>
        <sz val="8"/>
        <rFont val="Arial Narrow"/>
        <family val="2"/>
      </rPr>
      <t xml:space="preserve">Porcentaje de personas atendidas con tiempo de espera menor a 25 minutos en el año t
</t>
    </r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</si>
  <si>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</si>
  <si>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</si>
  <si>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</si>
  <si>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>1.3.1.57</t>
  </si>
  <si>
    <r>
      <t xml:space="preserve">Calidad/Producto
</t>
    </r>
    <r>
      <rPr>
        <sz val="8"/>
        <rFont val="Arial Narrow"/>
        <family val="2"/>
      </rPr>
      <t xml:space="preserve">Porcentaje de talleres orientados a mujeres rurales con enfoque de género implementados en la región en el año t. 
</t>
    </r>
  </si>
  <si>
    <t>(Número  de Talleres orientados a mujeres rurales con enfoque de género implementados  en la región en el año t / Número total de Talleres orientados a mujeres rurales con enfoque de  género programados en la región en el año t)* 100</t>
  </si>
  <si>
    <t>(Número  de Talleres orientados a mujeres rurales con enfoque de género implementados  en la región en el año t</t>
  </si>
  <si>
    <t xml:space="preserve"> Número total de Talleres orientados a mujeres rurales con enfoque de  género programados en la región en el año t)* 100</t>
  </si>
  <si>
    <t>1.3.1.58</t>
  </si>
  <si>
    <r>
      <t xml:space="preserve">Calidad/Producto
</t>
    </r>
    <r>
      <rPr>
        <sz val="8"/>
        <rFont val="Arial Narrow"/>
        <family val="2"/>
      </rPr>
      <t xml:space="preserve">Porcentaje de Municipalidades supervisadas en convenio. DR Tarapaca
</t>
    </r>
  </si>
  <si>
    <t>(Número de Municipalidades supervisadas en convenio / Número de Municipalidades en convenio) *100</t>
  </si>
  <si>
    <t>Número de Municipalidades supervisadas en convenio</t>
  </si>
  <si>
    <t xml:space="preserve"> Número de Municipalidades en convenio)*100</t>
  </si>
  <si>
    <t>1.3.1.59</t>
  </si>
  <si>
    <r>
      <t xml:space="preserve">Calidad/Producto
</t>
    </r>
    <r>
      <rPr>
        <sz val="8"/>
        <rFont val="Arial Narrow"/>
        <family val="2"/>
      </rPr>
      <t xml:space="preserve">Porcentaje de sesiones del Consejo de Soc. Civil Regional desarrolladas en el año t. DR Tarapaca
</t>
    </r>
  </si>
  <si>
    <t>Sumatoria de sesiones ordinarias del Consejo de Sociedad Civil Regional desarrolladas en el año t  /  Nº total de sesiones ordinarias del Consejo de Sociedad Civil Regional comprometidas en el año t)*100</t>
  </si>
  <si>
    <t xml:space="preserve">(Sumatoria de sesiones ordinarias del Consejo de Sociedad Civil Regional desarrolladas en el año t </t>
  </si>
  <si>
    <t xml:space="preserve"> Nº total de sesiones ordinarias del Consejo de Sociedad Civil Regional comprometidas en el año t)*100</t>
  </si>
  <si>
    <t>5.1.3.6.5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</si>
  <si>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Tarapacá)</t>
    </r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</si>
  <si>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</si>
  <si>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(Sumatoria de hitos de control cumplidos de ejecución presupuestaria a nivel del Subtítulo 22 dentro de los plazos establecidos</t>
  </si>
  <si>
    <t>N° total de hitos de control definidos de ejecución presupuestaria a nivel del Subtítulo 22) 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</si>
</sst>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>
    <font>
      <sz val="10"/>
      <name val="Arial"/>
    </font>
    <font>
      <sz val="10"/>
      <name val="Arial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sz val="12"/>
      <name val="Arial Narrow"/>
      <family val="2"/>
    </font>
    <font>
      <sz val="9"/>
      <name val="Arial Narrow"/>
      <family val="2"/>
    </font>
    <font>
      <b/>
      <u/>
      <sz val="8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color rgb="FFFF0000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8">
    <xf numFmtId="0" fontId="0" fillId="0" borderId="0" xfId="0"/>
    <xf numFmtId="0" fontId="5" fillId="0" borderId="0" xfId="0" applyFont="1"/>
    <xf numFmtId="164" fontId="5" fillId="0" borderId="0" xfId="0" applyNumberFormat="1" applyFont="1"/>
    <xf numFmtId="0" fontId="6" fillId="0" borderId="0" xfId="0" applyFont="1"/>
    <xf numFmtId="0" fontId="5" fillId="0" borderId="3" xfId="0" applyFont="1" applyBorder="1"/>
    <xf numFmtId="164" fontId="7" fillId="0" borderId="0" xfId="13" applyNumberFormat="1" applyFont="1" applyFill="1" applyBorder="1" applyAlignment="1">
      <alignment horizontal="right"/>
    </xf>
    <xf numFmtId="0" fontId="4" fillId="0" borderId="4" xfId="0" applyFont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10" fontId="4" fillId="7" borderId="6" xfId="1" applyNumberFormat="1" applyFont="1" applyFill="1" applyBorder="1" applyAlignment="1" applyProtection="1">
      <alignment horizontal="right" vertical="center"/>
    </xf>
    <xf numFmtId="10" fontId="4" fillId="2" borderId="7" xfId="1" applyNumberFormat="1" applyFont="1" applyFill="1" applyBorder="1" applyAlignment="1" applyProtection="1">
      <alignment vertical="center"/>
    </xf>
    <xf numFmtId="10" fontId="4" fillId="2" borderId="6" xfId="1" applyNumberFormat="1" applyFont="1" applyFill="1" applyBorder="1" applyAlignment="1">
      <alignment vertical="center"/>
    </xf>
    <xf numFmtId="10" fontId="4" fillId="3" borderId="6" xfId="1" applyNumberFormat="1" applyFont="1" applyFill="1" applyBorder="1" applyAlignment="1">
      <alignment vertical="center"/>
    </xf>
    <xf numFmtId="0" fontId="4" fillId="0" borderId="6" xfId="0" applyFont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3" fontId="4" fillId="3" borderId="6" xfId="0" applyNumberFormat="1" applyFont="1" applyFill="1" applyBorder="1" applyAlignment="1">
      <alignment horizontal="right" vertical="center" wrapText="1"/>
    </xf>
    <xf numFmtId="3" fontId="4" fillId="2" borderId="6" xfId="0" applyNumberFormat="1" applyFont="1" applyFill="1" applyBorder="1" applyAlignment="1">
      <alignment horizontal="right" vertical="center" wrapText="1"/>
    </xf>
    <xf numFmtId="10" fontId="4" fillId="0" borderId="6" xfId="1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left" vertical="center" wrapText="1"/>
    </xf>
    <xf numFmtId="3" fontId="4" fillId="2" borderId="7" xfId="0" applyNumberFormat="1" applyFont="1" applyFill="1" applyBorder="1" applyAlignment="1">
      <alignment horizontal="left" vertical="center" wrapText="1"/>
    </xf>
    <xf numFmtId="3" fontId="4" fillId="2" borderId="6" xfId="0" applyNumberFormat="1" applyFont="1" applyFill="1" applyBorder="1" applyAlignment="1">
      <alignment horizontal="left" vertical="center" wrapText="1"/>
    </xf>
    <xf numFmtId="3" fontId="4" fillId="3" borderId="8" xfId="0" applyNumberFormat="1" applyFont="1" applyFill="1" applyBorder="1" applyAlignment="1">
      <alignment horizontal="right" vertical="center" wrapText="1"/>
    </xf>
    <xf numFmtId="3" fontId="4" fillId="2" borderId="9" xfId="0" applyNumberFormat="1" applyFont="1" applyFill="1" applyBorder="1" applyAlignment="1">
      <alignment horizontal="right" vertical="center" wrapText="1"/>
    </xf>
    <xf numFmtId="10" fontId="4" fillId="0" borderId="4" xfId="1" applyNumberFormat="1" applyFont="1" applyBorder="1" applyAlignment="1">
      <alignment vertical="center"/>
    </xf>
    <xf numFmtId="10" fontId="4" fillId="0" borderId="6" xfId="1" applyNumberFormat="1" applyFont="1" applyBorder="1" applyAlignment="1">
      <alignment vertical="center"/>
    </xf>
    <xf numFmtId="10" fontId="4" fillId="0" borderId="8" xfId="1" applyNumberFormat="1" applyFont="1" applyBorder="1" applyAlignment="1">
      <alignment vertical="center"/>
    </xf>
    <xf numFmtId="10" fontId="4" fillId="5" borderId="4" xfId="1" applyNumberFormat="1" applyFont="1" applyFill="1" applyBorder="1" applyAlignment="1">
      <alignment vertical="center"/>
    </xf>
    <xf numFmtId="10" fontId="4" fillId="5" borderId="6" xfId="1" applyNumberFormat="1" applyFont="1" applyFill="1" applyBorder="1" applyAlignment="1">
      <alignment vertical="center"/>
    </xf>
    <xf numFmtId="10" fontId="4" fillId="0" borderId="4" xfId="1" applyNumberFormat="1" applyFont="1" applyBorder="1" applyAlignment="1">
      <alignment horizontal="center" vertical="center"/>
    </xf>
    <xf numFmtId="10" fontId="4" fillId="0" borderId="8" xfId="1" applyNumberFormat="1" applyFont="1" applyBorder="1" applyAlignment="1">
      <alignment horizontal="center" vertical="center"/>
    </xf>
    <xf numFmtId="10" fontId="4" fillId="5" borderId="6" xfId="1" applyNumberFormat="1" applyFont="1" applyFill="1" applyBorder="1" applyAlignment="1">
      <alignment horizontal="center" vertical="center"/>
    </xf>
    <xf numFmtId="0" fontId="4" fillId="0" borderId="0" xfId="0" applyFont="1"/>
    <xf numFmtId="0" fontId="4" fillId="9" borderId="0" xfId="0" applyFont="1" applyFill="1"/>
    <xf numFmtId="3" fontId="4" fillId="7" borderId="6" xfId="0" applyNumberFormat="1" applyFont="1" applyFill="1" applyBorder="1" applyAlignment="1">
      <alignment horizontal="right" vertical="center" wrapText="1"/>
    </xf>
    <xf numFmtId="3" fontId="4" fillId="7" borderId="8" xfId="0" applyNumberFormat="1" applyFont="1" applyFill="1" applyBorder="1" applyAlignment="1">
      <alignment horizontal="right" vertical="center" wrapText="1"/>
    </xf>
    <xf numFmtId="0" fontId="9" fillId="0" borderId="4" xfId="0" applyFont="1" applyBorder="1" applyAlignment="1">
      <alignment horizontal="left" vertical="center" wrapText="1"/>
    </xf>
    <xf numFmtId="9" fontId="9" fillId="0" borderId="4" xfId="1" applyFont="1" applyBorder="1" applyAlignment="1">
      <alignment vertical="center"/>
    </xf>
    <xf numFmtId="0" fontId="9" fillId="0" borderId="0" xfId="0" applyFont="1" applyProtection="1">
      <protection locked="0"/>
    </xf>
    <xf numFmtId="2" fontId="4" fillId="2" borderId="6" xfId="1" applyNumberFormat="1" applyFont="1" applyFill="1" applyBorder="1" applyAlignment="1">
      <alignment vertical="center"/>
    </xf>
    <xf numFmtId="2" fontId="4" fillId="3" borderId="6" xfId="1" applyNumberFormat="1" applyFont="1" applyFill="1" applyBorder="1" applyAlignment="1">
      <alignment vertical="center"/>
    </xf>
    <xf numFmtId="9" fontId="9" fillId="0" borderId="6" xfId="1" applyFont="1" applyBorder="1" applyAlignment="1">
      <alignment vertical="center"/>
    </xf>
    <xf numFmtId="10" fontId="9" fillId="0" borderId="6" xfId="1" applyNumberFormat="1" applyFont="1" applyBorder="1" applyAlignment="1">
      <alignment horizontal="center" vertical="center"/>
    </xf>
    <xf numFmtId="9" fontId="9" fillId="0" borderId="8" xfId="1" applyFont="1" applyBorder="1" applyAlignment="1">
      <alignment vertical="center"/>
    </xf>
    <xf numFmtId="0" fontId="9" fillId="0" borderId="6" xfId="0" applyFont="1" applyBorder="1" applyAlignment="1">
      <alignment horizontal="left" vertical="center" wrapText="1"/>
    </xf>
    <xf numFmtId="3" fontId="4" fillId="6" borderId="6" xfId="0" applyNumberFormat="1" applyFont="1" applyFill="1" applyBorder="1" applyAlignment="1">
      <alignment horizontal="right" vertical="center" wrapText="1"/>
    </xf>
    <xf numFmtId="10" fontId="10" fillId="10" borderId="6" xfId="1" applyNumberFormat="1" applyFont="1" applyFill="1" applyBorder="1" applyAlignment="1" applyProtection="1">
      <alignment horizontal="right" vertical="center"/>
    </xf>
    <xf numFmtId="0" fontId="9" fillId="0" borderId="19" xfId="0" applyFont="1" applyBorder="1" applyAlignment="1">
      <alignment horizontal="left" vertical="center" wrapText="1"/>
    </xf>
    <xf numFmtId="10" fontId="10" fillId="10" borderId="18" xfId="1" applyNumberFormat="1" applyFont="1" applyFill="1" applyBorder="1" applyAlignment="1" applyProtection="1">
      <alignment horizontal="right" vertical="center"/>
    </xf>
    <xf numFmtId="0" fontId="9" fillId="0" borderId="18" xfId="0" applyFont="1" applyBorder="1" applyAlignment="1">
      <alignment horizontal="left" vertical="center" wrapText="1"/>
    </xf>
    <xf numFmtId="9" fontId="4" fillId="0" borderId="4" xfId="1" applyFont="1" applyBorder="1" applyAlignment="1">
      <alignment vertical="center"/>
    </xf>
    <xf numFmtId="0" fontId="12" fillId="0" borderId="0" xfId="0" applyFont="1"/>
    <xf numFmtId="10" fontId="3" fillId="10" borderId="6" xfId="1" applyNumberFormat="1" applyFont="1" applyFill="1" applyBorder="1" applyAlignment="1" applyProtection="1">
      <alignment horizontal="right" vertical="center"/>
    </xf>
    <xf numFmtId="9" fontId="4" fillId="0" borderId="6" xfId="1" applyFont="1" applyBorder="1" applyAlignment="1">
      <alignment vertical="center"/>
    </xf>
    <xf numFmtId="3" fontId="9" fillId="3" borderId="6" xfId="0" applyNumberFormat="1" applyFont="1" applyFill="1" applyBorder="1" applyAlignment="1">
      <alignment horizontal="right" vertical="center" wrapText="1"/>
    </xf>
    <xf numFmtId="3" fontId="9" fillId="2" borderId="6" xfId="0" applyNumberFormat="1" applyFont="1" applyFill="1" applyBorder="1" applyAlignment="1">
      <alignment horizontal="right" vertical="center" wrapText="1"/>
    </xf>
    <xf numFmtId="3" fontId="9" fillId="0" borderId="6" xfId="0" applyNumberFormat="1" applyFont="1" applyBorder="1" applyAlignment="1">
      <alignment horizontal="left" vertical="center" wrapText="1"/>
    </xf>
    <xf numFmtId="3" fontId="9" fillId="2" borderId="7" xfId="0" applyNumberFormat="1" applyFont="1" applyFill="1" applyBorder="1" applyAlignment="1">
      <alignment horizontal="left" vertical="center" wrapText="1"/>
    </xf>
    <xf numFmtId="3" fontId="4" fillId="6" borderId="8" xfId="0" applyNumberFormat="1" applyFont="1" applyFill="1" applyBorder="1" applyAlignment="1">
      <alignment horizontal="right" vertical="center" wrapText="1"/>
    </xf>
    <xf numFmtId="3" fontId="9" fillId="3" borderId="8" xfId="0" applyNumberFormat="1" applyFont="1" applyFill="1" applyBorder="1" applyAlignment="1">
      <alignment horizontal="right" vertical="center" wrapText="1"/>
    </xf>
    <xf numFmtId="3" fontId="9" fillId="2" borderId="9" xfId="0" applyNumberFormat="1" applyFont="1" applyFill="1" applyBorder="1" applyAlignment="1">
      <alignment horizontal="right" vertical="center" wrapText="1"/>
    </xf>
    <xf numFmtId="9" fontId="4" fillId="0" borderId="8" xfId="1" applyFont="1" applyBorder="1" applyAlignment="1">
      <alignment vertical="center"/>
    </xf>
    <xf numFmtId="3" fontId="4" fillId="3" borderId="6" xfId="6" applyNumberFormat="1" applyFont="1" applyFill="1" applyBorder="1" applyAlignment="1">
      <alignment horizontal="right" vertical="center" wrapText="1"/>
    </xf>
    <xf numFmtId="3" fontId="4" fillId="2" borderId="6" xfId="6" applyNumberFormat="1" applyFont="1" applyFill="1" applyBorder="1" applyAlignment="1">
      <alignment horizontal="right" vertical="center" wrapText="1"/>
    </xf>
    <xf numFmtId="3" fontId="4" fillId="0" borderId="6" xfId="6" applyNumberFormat="1" applyFont="1" applyBorder="1" applyAlignment="1">
      <alignment horizontal="left" vertical="center" wrapText="1"/>
    </xf>
    <xf numFmtId="3" fontId="4" fillId="2" borderId="6" xfId="6" applyNumberFormat="1" applyFont="1" applyFill="1" applyBorder="1" applyAlignment="1">
      <alignment horizontal="left" vertical="center" wrapText="1"/>
    </xf>
    <xf numFmtId="3" fontId="4" fillId="3" borderId="8" xfId="6" applyNumberFormat="1" applyFont="1" applyFill="1" applyBorder="1" applyAlignment="1">
      <alignment horizontal="right" vertical="center" wrapText="1"/>
    </xf>
    <xf numFmtId="3" fontId="4" fillId="2" borderId="9" xfId="6" applyNumberFormat="1" applyFont="1" applyFill="1" applyBorder="1" applyAlignment="1">
      <alignment horizontal="right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13" xfId="0" applyFont="1" applyBorder="1" applyAlignment="1">
      <alignment horizontal="left" wrapText="1"/>
    </xf>
    <xf numFmtId="0" fontId="5" fillId="0" borderId="13" xfId="0" applyFont="1" applyBorder="1" applyAlignment="1">
      <alignment horizontal="left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wrapText="1"/>
    </xf>
    <xf numFmtId="0" fontId="5" fillId="0" borderId="12" xfId="0" applyFont="1" applyBorder="1" applyAlignment="1">
      <alignment horizontal="left" wrapText="1"/>
    </xf>
    <xf numFmtId="0" fontId="8" fillId="11" borderId="4" xfId="0" applyFont="1" applyFill="1" applyBorder="1" applyAlignment="1">
      <alignment horizontal="left" vertical="center" wrapText="1"/>
    </xf>
    <xf numFmtId="0" fontId="4" fillId="11" borderId="6" xfId="0" applyFont="1" applyFill="1" applyBorder="1" applyAlignment="1">
      <alignment horizontal="left" vertical="center"/>
    </xf>
    <xf numFmtId="0" fontId="4" fillId="11" borderId="8" xfId="0" applyFont="1" applyFill="1" applyBorder="1" applyAlignment="1">
      <alignment horizontal="left" vertical="center"/>
    </xf>
    <xf numFmtId="9" fontId="4" fillId="11" borderId="4" xfId="0" applyNumberFormat="1" applyFont="1" applyFill="1" applyBorder="1" applyAlignment="1">
      <alignment horizontal="center" vertical="center" wrapText="1"/>
    </xf>
    <xf numFmtId="9" fontId="4" fillId="11" borderId="6" xfId="0" applyNumberFormat="1" applyFont="1" applyFill="1" applyBorder="1" applyAlignment="1">
      <alignment horizontal="center" vertical="center" wrapText="1"/>
    </xf>
    <xf numFmtId="9" fontId="4" fillId="11" borderId="8" xfId="0" applyNumberFormat="1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center"/>
    </xf>
    <xf numFmtId="0" fontId="9" fillId="4" borderId="8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4" fillId="8" borderId="6" xfId="0" applyFont="1" applyFill="1" applyBorder="1" applyAlignment="1">
      <alignment horizontal="left" vertical="center"/>
    </xf>
    <xf numFmtId="0" fontId="4" fillId="8" borderId="8" xfId="0" applyFont="1" applyFill="1" applyBorder="1" applyAlignment="1">
      <alignment horizontal="left" vertical="center"/>
    </xf>
    <xf numFmtId="9" fontId="4" fillId="2" borderId="4" xfId="0" applyNumberFormat="1" applyFont="1" applyFill="1" applyBorder="1" applyAlignment="1">
      <alignment horizontal="center" vertical="center" wrapText="1"/>
    </xf>
    <xf numFmtId="9" fontId="4" fillId="2" borderId="6" xfId="0" applyNumberFormat="1" applyFont="1" applyFill="1" applyBorder="1" applyAlignment="1">
      <alignment horizontal="center" vertical="center" wrapText="1"/>
    </xf>
    <xf numFmtId="9" fontId="9" fillId="11" borderId="4" xfId="0" applyNumberFormat="1" applyFont="1" applyFill="1" applyBorder="1" applyAlignment="1">
      <alignment horizontal="left" vertical="center" wrapText="1"/>
    </xf>
    <xf numFmtId="9" fontId="9" fillId="11" borderId="6" xfId="0" applyNumberFormat="1" applyFont="1" applyFill="1" applyBorder="1" applyAlignment="1">
      <alignment horizontal="left" vertical="center" wrapText="1"/>
    </xf>
    <xf numFmtId="9" fontId="9" fillId="11" borderId="8" xfId="0" applyNumberFormat="1" applyFont="1" applyFill="1" applyBorder="1" applyAlignment="1">
      <alignment horizontal="left" vertical="center" wrapText="1"/>
    </xf>
    <xf numFmtId="1" fontId="4" fillId="4" borderId="4" xfId="0" applyNumberFormat="1" applyFont="1" applyFill="1" applyBorder="1" applyAlignment="1">
      <alignment horizontal="left" vertical="center" wrapText="1"/>
    </xf>
    <xf numFmtId="1" fontId="4" fillId="4" borderId="6" xfId="0" applyNumberFormat="1" applyFont="1" applyFill="1" applyBorder="1" applyAlignment="1">
      <alignment horizontal="left" vertical="center" wrapText="1"/>
    </xf>
    <xf numFmtId="1" fontId="4" fillId="4" borderId="8" xfId="0" applyNumberFormat="1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top" wrapText="1"/>
    </xf>
    <xf numFmtId="0" fontId="4" fillId="4" borderId="6" xfId="0" applyFont="1" applyFill="1" applyBorder="1" applyAlignment="1">
      <alignment horizontal="left" vertical="top"/>
    </xf>
    <xf numFmtId="0" fontId="4" fillId="4" borderId="8" xfId="0" applyFont="1" applyFill="1" applyBorder="1" applyAlignment="1">
      <alignment horizontal="left" vertical="top"/>
    </xf>
    <xf numFmtId="0" fontId="4" fillId="4" borderId="4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/>
    </xf>
    <xf numFmtId="0" fontId="4" fillId="4" borderId="8" xfId="0" applyFont="1" applyFill="1" applyBorder="1" applyAlignment="1">
      <alignment horizontal="left"/>
    </xf>
    <xf numFmtId="1" fontId="12" fillId="4" borderId="6" xfId="0" applyNumberFormat="1" applyFont="1" applyFill="1" applyBorder="1" applyAlignment="1">
      <alignment horizontal="left" vertical="center" wrapText="1"/>
    </xf>
    <xf numFmtId="1" fontId="12" fillId="4" borderId="8" xfId="0" applyNumberFormat="1" applyFont="1" applyFill="1" applyBorder="1" applyAlignment="1">
      <alignment horizontal="left" vertical="center" wrapText="1"/>
    </xf>
    <xf numFmtId="10" fontId="4" fillId="5" borderId="6" xfId="1" applyNumberFormat="1" applyFont="1" applyFill="1" applyBorder="1" applyAlignment="1">
      <alignment horizontal="center" vertical="center"/>
    </xf>
    <xf numFmtId="10" fontId="4" fillId="5" borderId="8" xfId="1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4" xfId="6" applyFont="1" applyFill="1" applyBorder="1" applyAlignment="1">
      <alignment horizontal="center" vertical="center" wrapText="1"/>
    </xf>
    <xf numFmtId="0" fontId="3" fillId="2" borderId="8" xfId="6" applyFont="1" applyFill="1" applyBorder="1" applyAlignment="1">
      <alignment horizontal="center" vertical="center" wrapText="1"/>
    </xf>
    <xf numFmtId="9" fontId="7" fillId="0" borderId="0" xfId="1" applyFont="1" applyFill="1" applyBorder="1" applyAlignment="1">
      <alignment horizontal="center" vertical="center"/>
    </xf>
    <xf numFmtId="9" fontId="9" fillId="4" borderId="6" xfId="0" applyNumberFormat="1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wrapText="1"/>
    </xf>
    <xf numFmtId="0" fontId="9" fillId="4" borderId="8" xfId="0" applyFont="1" applyFill="1" applyBorder="1" applyAlignment="1">
      <alignment wrapText="1"/>
    </xf>
    <xf numFmtId="9" fontId="9" fillId="4" borderId="4" xfId="0" applyNumberFormat="1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center" vertical="center"/>
    </xf>
    <xf numFmtId="0" fontId="4" fillId="11" borderId="8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6" xfId="0" applyFont="1" applyFill="1" applyBorder="1" applyAlignment="1"/>
    <xf numFmtId="0" fontId="9" fillId="4" borderId="8" xfId="0" applyFont="1" applyFill="1" applyBorder="1" applyAlignment="1"/>
  </cellXfs>
  <cellStyles count="14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3" xfId="7" xr:uid="{00000000-0005-0000-0000-000003000000}"/>
    <cellStyle name="Millares 3" xfId="12" xr:uid="{00000000-0005-0000-0000-000004000000}"/>
    <cellStyle name="Millares 4" xfId="13" xr:uid="{00000000-0005-0000-0000-000005000000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66FF33"/>
      <color rgb="FFFFFF99"/>
      <color rgb="FFCCFF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9"/>
  <sheetViews>
    <sheetView showGridLines="0" tabSelected="1" topLeftCell="A8" zoomScale="90" zoomScaleNormal="90" workbookViewId="0">
      <pane xSplit="2" ySplit="5" topLeftCell="C13" activePane="bottomRight" state="frozen"/>
      <selection pane="bottomRight" activeCell="E18" sqref="E18"/>
      <selection pane="bottomLeft" activeCell="A13" sqref="A13"/>
      <selection pane="topRight" activeCell="D8" sqref="D8"/>
    </sheetView>
  </sheetViews>
  <sheetFormatPr defaultColWidth="11.42578125" defaultRowHeight="12.95"/>
  <cols>
    <col min="1" max="1" width="11.42578125" style="1"/>
    <col min="2" max="3" width="30.7109375" style="1" customWidth="1"/>
    <col min="4" max="4" width="26.85546875" style="1" customWidth="1"/>
    <col min="5" max="5" width="13.42578125" style="1" customWidth="1"/>
    <col min="6" max="11" width="11.42578125" style="1"/>
    <col min="12" max="12" width="13" style="1" customWidth="1"/>
    <col min="13" max="16384" width="11.42578125" style="1"/>
  </cols>
  <sheetData>
    <row r="1" spans="1:12" s="3" customFormat="1" ht="15.75" customHeight="1">
      <c r="B1" s="78"/>
      <c r="C1" s="81" t="s">
        <v>0</v>
      </c>
      <c r="D1" s="82"/>
      <c r="E1" s="68" t="s">
        <v>1</v>
      </c>
    </row>
    <row r="2" spans="1:12" s="3" customFormat="1" ht="15.75" customHeight="1">
      <c r="B2" s="79"/>
      <c r="C2" s="83"/>
      <c r="D2" s="84"/>
      <c r="E2" s="69" t="s">
        <v>2</v>
      </c>
    </row>
    <row r="3" spans="1:12" s="3" customFormat="1" ht="15.75" customHeight="1">
      <c r="B3" s="79"/>
      <c r="C3" s="83"/>
      <c r="D3" s="84"/>
      <c r="E3" s="69" t="s">
        <v>3</v>
      </c>
    </row>
    <row r="4" spans="1:12" s="3" customFormat="1" ht="12.75" customHeight="1">
      <c r="B4" s="79"/>
      <c r="C4" s="83"/>
      <c r="D4" s="84"/>
      <c r="E4" s="70"/>
    </row>
    <row r="5" spans="1:12" s="3" customFormat="1" ht="13.5" customHeight="1">
      <c r="B5" s="80"/>
      <c r="C5" s="85"/>
      <c r="D5" s="86"/>
      <c r="E5" s="71" t="s">
        <v>4</v>
      </c>
    </row>
    <row r="6" spans="1:12" ht="13.5" customHeight="1">
      <c r="B6" s="4" t="s">
        <v>5</v>
      </c>
      <c r="C6" s="87" t="s">
        <v>6</v>
      </c>
      <c r="D6" s="88"/>
      <c r="E6" s="72" t="s">
        <v>7</v>
      </c>
    </row>
    <row r="8" spans="1:12" ht="15.6">
      <c r="B8" s="77" t="s">
        <v>8</v>
      </c>
      <c r="C8" s="77"/>
      <c r="D8" s="77"/>
      <c r="E8" s="5"/>
      <c r="F8" s="5"/>
      <c r="G8" s="124"/>
      <c r="H8" s="5"/>
      <c r="I8" s="124"/>
      <c r="J8" s="5"/>
      <c r="K8" s="124"/>
      <c r="L8" s="2"/>
    </row>
    <row r="9" spans="1:12" ht="15.6">
      <c r="B9" s="77" t="s">
        <v>9</v>
      </c>
      <c r="C9" s="77"/>
      <c r="D9" s="77"/>
      <c r="E9" s="5"/>
      <c r="F9" s="5"/>
      <c r="G9" s="124"/>
      <c r="H9" s="5"/>
      <c r="I9" s="124"/>
      <c r="J9" s="5"/>
      <c r="K9" s="124"/>
      <c r="L9" s="2"/>
    </row>
    <row r="10" spans="1:12" ht="13.5" thickBot="1">
      <c r="D10"/>
      <c r="E10"/>
    </row>
    <row r="11" spans="1:12" s="32" customFormat="1" ht="22.9" customHeight="1" thickTop="1">
      <c r="A11" s="73" t="s">
        <v>10</v>
      </c>
      <c r="B11" s="73" t="s">
        <v>11</v>
      </c>
      <c r="C11" s="75" t="s">
        <v>12</v>
      </c>
      <c r="D11" s="75" t="s">
        <v>13</v>
      </c>
      <c r="E11" s="75" t="s">
        <v>14</v>
      </c>
      <c r="F11" s="75" t="s">
        <v>15</v>
      </c>
      <c r="G11" s="75" t="s">
        <v>16</v>
      </c>
      <c r="H11" s="73" t="s">
        <v>17</v>
      </c>
      <c r="I11" s="75" t="s">
        <v>18</v>
      </c>
      <c r="J11" s="75" t="s">
        <v>19</v>
      </c>
      <c r="K11" s="122" t="s">
        <v>20</v>
      </c>
      <c r="L11" s="75" t="s">
        <v>21</v>
      </c>
    </row>
    <row r="12" spans="1:12" s="32" customFormat="1" ht="22.9" customHeight="1" thickBot="1">
      <c r="A12" s="74"/>
      <c r="B12" s="74"/>
      <c r="C12" s="76"/>
      <c r="D12" s="76"/>
      <c r="E12" s="129"/>
      <c r="F12" s="121"/>
      <c r="G12" s="121"/>
      <c r="H12" s="120"/>
      <c r="I12" s="121"/>
      <c r="J12" s="76"/>
      <c r="K12" s="123">
        <v>2018</v>
      </c>
      <c r="L12" s="76"/>
    </row>
    <row r="13" spans="1:12" s="38" customFormat="1" ht="22.9" customHeight="1" thickTop="1">
      <c r="A13" s="133" t="s">
        <v>22</v>
      </c>
      <c r="B13" s="95" t="s">
        <v>23</v>
      </c>
      <c r="C13" s="98" t="s">
        <v>24</v>
      </c>
      <c r="D13" s="107" t="s">
        <v>25</v>
      </c>
      <c r="E13" s="36" t="s">
        <v>26</v>
      </c>
      <c r="F13" s="6" t="s">
        <v>26</v>
      </c>
      <c r="G13" s="8" t="s">
        <v>26</v>
      </c>
      <c r="H13" s="6" t="s">
        <v>26</v>
      </c>
      <c r="I13" s="8" t="s">
        <v>26</v>
      </c>
      <c r="J13" s="6" t="s">
        <v>26</v>
      </c>
      <c r="K13" s="8" t="s">
        <v>26</v>
      </c>
      <c r="L13" s="37"/>
    </row>
    <row r="14" spans="1:12" s="38" customFormat="1" ht="22.9" customHeight="1">
      <c r="A14" s="134"/>
      <c r="B14" s="96"/>
      <c r="C14" s="136"/>
      <c r="D14" s="108"/>
      <c r="E14" s="46">
        <f>IF(E16&lt;&gt;0,+E16/E18,0%)</f>
        <v>0.85</v>
      </c>
      <c r="F14" s="40">
        <f>IF(F16&lt;&gt;0,ROUND(+F16/F18,4),0%)*100</f>
        <v>94.320000000000007</v>
      </c>
      <c r="G14" s="39" t="e">
        <f t="shared" ref="G14:I14" si="0">IF(G16&lt;&gt;0,+G16/G18,0%)</f>
        <v>#REF!</v>
      </c>
      <c r="H14" s="40">
        <f>IF(H16&lt;&gt;0,ROUND(+H16/H18,4),0%)*100</f>
        <v>94.48</v>
      </c>
      <c r="I14" s="39" t="e">
        <f t="shared" si="0"/>
        <v>#REF!</v>
      </c>
      <c r="J14" s="40">
        <f>IF(J16&lt;&gt;0,ROUND(+J16/J18,4),0%)*100</f>
        <v>94.52000000000001</v>
      </c>
      <c r="K14" s="39" t="e">
        <f>IF(K16&lt;&gt;0,+K16/K18,0%)</f>
        <v>#REF!</v>
      </c>
      <c r="L14" s="41"/>
    </row>
    <row r="15" spans="1:12" s="38" customFormat="1" ht="22.9" customHeight="1" thickBot="1">
      <c r="A15" s="134"/>
      <c r="B15" s="96"/>
      <c r="C15" s="136"/>
      <c r="D15" s="109"/>
      <c r="E15" s="44" t="s">
        <v>27</v>
      </c>
      <c r="F15" s="13" t="s">
        <v>27</v>
      </c>
      <c r="G15" s="15" t="s">
        <v>27</v>
      </c>
      <c r="H15" s="13" t="s">
        <v>27</v>
      </c>
      <c r="I15" s="15" t="s">
        <v>27</v>
      </c>
      <c r="J15" s="13" t="s">
        <v>27</v>
      </c>
      <c r="K15" s="15" t="s">
        <v>27</v>
      </c>
      <c r="L15" s="41"/>
    </row>
    <row r="16" spans="1:12" s="38" customFormat="1" ht="22.9" customHeight="1" thickTop="1">
      <c r="A16" s="134"/>
      <c r="B16" s="96"/>
      <c r="C16" s="136"/>
      <c r="D16" s="107" t="s">
        <v>28</v>
      </c>
      <c r="E16" s="45">
        <v>25500</v>
      </c>
      <c r="F16" s="34">
        <v>21237</v>
      </c>
      <c r="G16" s="17" t="e">
        <f>+#REF!+F16</f>
        <v>#REF!</v>
      </c>
      <c r="H16" s="34">
        <v>23177</v>
      </c>
      <c r="I16" s="17" t="e">
        <f>+G16+H16</f>
        <v>#REF!</v>
      </c>
      <c r="J16" s="34">
        <v>24830</v>
      </c>
      <c r="K16" s="17" t="e">
        <f>+I16+J16</f>
        <v>#REF!</v>
      </c>
      <c r="L16" s="42" t="e">
        <f>+K14/E14</f>
        <v>#REF!</v>
      </c>
    </row>
    <row r="17" spans="1:56" s="38" customFormat="1" ht="22.9" customHeight="1">
      <c r="A17" s="134"/>
      <c r="B17" s="96"/>
      <c r="C17" s="136"/>
      <c r="D17" s="108"/>
      <c r="E17" s="19" t="s">
        <v>29</v>
      </c>
      <c r="F17" s="19" t="s">
        <v>29</v>
      </c>
      <c r="G17" s="20" t="s">
        <v>29</v>
      </c>
      <c r="H17" s="19" t="s">
        <v>29</v>
      </c>
      <c r="I17" s="20" t="s">
        <v>29</v>
      </c>
      <c r="J17" s="19" t="s">
        <v>29</v>
      </c>
      <c r="K17" s="21" t="s">
        <v>29</v>
      </c>
      <c r="L17" s="41"/>
    </row>
    <row r="18" spans="1:56" s="38" customFormat="1" ht="22.9" customHeight="1">
      <c r="A18" s="135"/>
      <c r="B18" s="97"/>
      <c r="C18" s="137"/>
      <c r="D18" s="109"/>
      <c r="E18" s="45">
        <v>30000</v>
      </c>
      <c r="F18" s="35">
        <v>22517</v>
      </c>
      <c r="G18" s="23" t="e">
        <f>+#REF!+F18</f>
        <v>#REF!</v>
      </c>
      <c r="H18" s="35">
        <v>24531</v>
      </c>
      <c r="I18" s="23" t="e">
        <f>+G18+H18</f>
        <v>#REF!</v>
      </c>
      <c r="J18" s="35">
        <v>26269</v>
      </c>
      <c r="K18" s="23" t="e">
        <f>+I18+J18</f>
        <v>#REF!</v>
      </c>
      <c r="L18" s="43"/>
    </row>
    <row r="19" spans="1:56" s="32" customFormat="1" ht="22.9" customHeight="1" thickTop="1">
      <c r="A19" s="133" t="s">
        <v>30</v>
      </c>
      <c r="B19" s="99" t="s">
        <v>31</v>
      </c>
      <c r="C19" s="102" t="s">
        <v>32</v>
      </c>
      <c r="D19" s="128" t="s">
        <v>33</v>
      </c>
      <c r="E19" s="36" t="s">
        <v>26</v>
      </c>
      <c r="F19" s="6" t="s">
        <v>26</v>
      </c>
      <c r="G19" s="8" t="s">
        <v>26</v>
      </c>
      <c r="H19" s="6" t="s">
        <v>26</v>
      </c>
      <c r="I19" s="8" t="s">
        <v>26</v>
      </c>
      <c r="J19" s="6" t="s">
        <v>26</v>
      </c>
      <c r="K19" s="8" t="s">
        <v>26</v>
      </c>
      <c r="L19" s="24"/>
    </row>
    <row r="20" spans="1:56" s="32" customFormat="1" ht="22.9" customHeight="1">
      <c r="A20" s="134"/>
      <c r="B20" s="100"/>
      <c r="C20" s="103"/>
      <c r="D20" s="125"/>
      <c r="E20" s="46">
        <f>IF(E22&lt;&gt;0,+E22/E24,0%)</f>
        <v>0.97888714549510603</v>
      </c>
      <c r="F20" s="12">
        <f>IF(F22&lt;&gt;0,ROUND(+F22/F24,4),0%)</f>
        <v>0.98970000000000002</v>
      </c>
      <c r="G20" s="11" t="e">
        <f t="shared" ref="G20" si="1">IF(G22&lt;&gt;0,+G22/G24,0%)</f>
        <v>#REF!</v>
      </c>
      <c r="H20" s="12">
        <f>IF(H22&lt;&gt;0,ROUND(+H22/H24,4),0%)</f>
        <v>0.99009999999999998</v>
      </c>
      <c r="I20" s="11" t="e">
        <f t="shared" ref="I20" si="2">IF(I22&lt;&gt;0,+I22/I24,0%)</f>
        <v>#REF!</v>
      </c>
      <c r="J20" s="12">
        <f>IF(J22&lt;&gt;0,ROUND(+J22/J24,4),0%)</f>
        <v>0.99019999999999997</v>
      </c>
      <c r="K20" s="11" t="e">
        <f>IF(K22&lt;&gt;0,+K22/K24,0%)</f>
        <v>#REF!</v>
      </c>
      <c r="L20" s="25"/>
    </row>
    <row r="21" spans="1:56" s="32" customFormat="1" ht="22.9" customHeight="1" thickBot="1">
      <c r="A21" s="134"/>
      <c r="B21" s="100"/>
      <c r="C21" s="103"/>
      <c r="D21" s="127"/>
      <c r="E21" s="44" t="s">
        <v>27</v>
      </c>
      <c r="F21" s="13" t="s">
        <v>27</v>
      </c>
      <c r="G21" s="15" t="s">
        <v>27</v>
      </c>
      <c r="H21" s="13" t="s">
        <v>27</v>
      </c>
      <c r="I21" s="15" t="s">
        <v>27</v>
      </c>
      <c r="J21" s="13" t="s">
        <v>27</v>
      </c>
      <c r="K21" s="15" t="s">
        <v>27</v>
      </c>
      <c r="L21" s="25"/>
    </row>
    <row r="22" spans="1:56" s="32" customFormat="1" ht="22.9" customHeight="1" thickTop="1">
      <c r="A22" s="134"/>
      <c r="B22" s="100"/>
      <c r="C22" s="103"/>
      <c r="D22" s="125" t="s">
        <v>34</v>
      </c>
      <c r="E22" s="45">
        <v>91709</v>
      </c>
      <c r="F22" s="62">
        <v>63491</v>
      </c>
      <c r="G22" s="63" t="e">
        <f>+#REF!+F22</f>
        <v>#REF!</v>
      </c>
      <c r="H22" s="62">
        <v>67773</v>
      </c>
      <c r="I22" s="63" t="e">
        <f t="shared" ref="I22" si="3">+G22+H22</f>
        <v>#REF!</v>
      </c>
      <c r="J22" s="62">
        <v>73884</v>
      </c>
      <c r="K22" s="17" t="e">
        <f>+I22+J22</f>
        <v>#REF!</v>
      </c>
      <c r="L22" s="18" t="e">
        <f>+K20/E20</f>
        <v>#REF!</v>
      </c>
    </row>
    <row r="23" spans="1:56" s="32" customFormat="1" ht="22.9" customHeight="1">
      <c r="A23" s="134"/>
      <c r="B23" s="100"/>
      <c r="C23" s="103"/>
      <c r="D23" s="126"/>
      <c r="E23" s="19" t="s">
        <v>29</v>
      </c>
      <c r="F23" s="64" t="s">
        <v>29</v>
      </c>
      <c r="G23" s="65" t="s">
        <v>29</v>
      </c>
      <c r="H23" s="64" t="s">
        <v>29</v>
      </c>
      <c r="I23" s="65" t="s">
        <v>29</v>
      </c>
      <c r="J23" s="64" t="s">
        <v>29</v>
      </c>
      <c r="K23" s="20" t="s">
        <v>29</v>
      </c>
      <c r="L23" s="25"/>
    </row>
    <row r="24" spans="1:56" s="32" customFormat="1" ht="22.9" customHeight="1">
      <c r="A24" s="135"/>
      <c r="B24" s="101"/>
      <c r="C24" s="103"/>
      <c r="D24" s="127"/>
      <c r="E24" s="45">
        <v>93687</v>
      </c>
      <c r="F24" s="66">
        <v>64152</v>
      </c>
      <c r="G24" s="67" t="e">
        <f>+#REF!+F24</f>
        <v>#REF!</v>
      </c>
      <c r="H24" s="66">
        <v>68450</v>
      </c>
      <c r="I24" s="67" t="e">
        <f t="shared" ref="I24" si="4">+G24+H24</f>
        <v>#REF!</v>
      </c>
      <c r="J24" s="66">
        <v>74616</v>
      </c>
      <c r="K24" s="23" t="e">
        <f>+I24+J24</f>
        <v>#REF!</v>
      </c>
      <c r="L24" s="26"/>
    </row>
    <row r="25" spans="1:56" s="33" customFormat="1" ht="22.9" customHeight="1" thickTop="1">
      <c r="A25" s="130" t="s">
        <v>35</v>
      </c>
      <c r="B25" s="89" t="s">
        <v>36</v>
      </c>
      <c r="C25" s="92" t="s">
        <v>37</v>
      </c>
      <c r="D25" s="104" t="s">
        <v>38</v>
      </c>
      <c r="E25" s="36" t="s">
        <v>26</v>
      </c>
      <c r="F25" s="6" t="s">
        <v>26</v>
      </c>
      <c r="G25" s="8" t="s">
        <v>26</v>
      </c>
      <c r="H25" s="6" t="s">
        <v>26</v>
      </c>
      <c r="I25" s="8" t="s">
        <v>26</v>
      </c>
      <c r="J25" s="6" t="s">
        <v>26</v>
      </c>
      <c r="K25" s="8" t="s">
        <v>26</v>
      </c>
      <c r="L25" s="27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</row>
    <row r="26" spans="1:56" s="33" customFormat="1" ht="22.9" customHeight="1">
      <c r="A26" s="131"/>
      <c r="B26" s="90"/>
      <c r="C26" s="93"/>
      <c r="D26" s="105"/>
      <c r="E26" s="46">
        <f>IF(E28&lt;&gt;0,+E28/E30,0%)</f>
        <v>1</v>
      </c>
      <c r="F26" s="12">
        <f>IF(F28&lt;&gt;0,ROUND(+F28/F30,4),0%)</f>
        <v>0</v>
      </c>
      <c r="G26" s="11" t="e">
        <f t="shared" ref="G26" si="5">IF(G28&lt;&gt;0,+G28/G30,0%)</f>
        <v>#REF!</v>
      </c>
      <c r="H26" s="12">
        <f>IF(H28&lt;&gt;0,ROUND(+H28/H30,4),0%)</f>
        <v>0</v>
      </c>
      <c r="I26" s="11" t="e">
        <f t="shared" ref="I26" si="6">IF(I28&lt;&gt;0,+I28/I30,0%)</f>
        <v>#REF!</v>
      </c>
      <c r="J26" s="12">
        <f>IF(J28&lt;&gt;0,ROUND(+J28/J30,4),0%)</f>
        <v>0</v>
      </c>
      <c r="K26" s="11" t="e">
        <f>IF(K28&lt;&gt;0,+K28/K30,0%)</f>
        <v>#REF!</v>
      </c>
      <c r="L26" s="28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</row>
    <row r="27" spans="1:56" s="33" customFormat="1" ht="22.9" customHeight="1" thickBot="1">
      <c r="A27" s="131"/>
      <c r="B27" s="90"/>
      <c r="C27" s="93"/>
      <c r="D27" s="106"/>
      <c r="E27" s="44" t="s">
        <v>27</v>
      </c>
      <c r="F27" s="13" t="s">
        <v>27</v>
      </c>
      <c r="G27" s="15" t="s">
        <v>27</v>
      </c>
      <c r="H27" s="13" t="s">
        <v>27</v>
      </c>
      <c r="I27" s="15" t="s">
        <v>27</v>
      </c>
      <c r="J27" s="13" t="s">
        <v>27</v>
      </c>
      <c r="K27" s="15" t="s">
        <v>27</v>
      </c>
      <c r="L27" s="28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</row>
    <row r="28" spans="1:56" s="33" customFormat="1" ht="22.9" customHeight="1" thickTop="1">
      <c r="A28" s="131"/>
      <c r="B28" s="90"/>
      <c r="C28" s="93"/>
      <c r="D28" s="104" t="s">
        <v>39</v>
      </c>
      <c r="E28" s="45">
        <v>2</v>
      </c>
      <c r="F28" s="16">
        <v>0</v>
      </c>
      <c r="G28" s="17" t="e">
        <f>+#REF!+F28</f>
        <v>#REF!</v>
      </c>
      <c r="H28" s="16">
        <v>0</v>
      </c>
      <c r="I28" s="17" t="e">
        <f>+G28+H28</f>
        <v>#REF!</v>
      </c>
      <c r="J28" s="16">
        <v>0</v>
      </c>
      <c r="K28" s="17" t="e">
        <f>+I28+J28</f>
        <v>#REF!</v>
      </c>
      <c r="L28" s="31" t="e">
        <f>+K26/E26</f>
        <v>#REF!</v>
      </c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</row>
    <row r="29" spans="1:56" s="33" customFormat="1" ht="22.9" customHeight="1">
      <c r="A29" s="131"/>
      <c r="B29" s="90"/>
      <c r="C29" s="93"/>
      <c r="D29" s="105"/>
      <c r="E29" s="19" t="s">
        <v>29</v>
      </c>
      <c r="F29" s="19" t="s">
        <v>29</v>
      </c>
      <c r="G29" s="21" t="s">
        <v>29</v>
      </c>
      <c r="H29" s="19" t="s">
        <v>29</v>
      </c>
      <c r="I29" s="21" t="s">
        <v>29</v>
      </c>
      <c r="J29" s="19" t="s">
        <v>29</v>
      </c>
      <c r="K29" s="21" t="s">
        <v>29</v>
      </c>
      <c r="L29" s="118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</row>
    <row r="30" spans="1:56" s="33" customFormat="1" ht="22.9" customHeight="1">
      <c r="A30" s="132"/>
      <c r="B30" s="91"/>
      <c r="C30" s="93"/>
      <c r="D30" s="106"/>
      <c r="E30" s="45">
        <v>2</v>
      </c>
      <c r="F30" s="22">
        <v>2</v>
      </c>
      <c r="G30" s="23"/>
      <c r="H30" s="22">
        <v>2</v>
      </c>
      <c r="I30" s="23"/>
      <c r="J30" s="22">
        <v>2</v>
      </c>
      <c r="K30" s="23"/>
      <c r="L30" s="119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</row>
    <row r="31" spans="1:56" s="33" customFormat="1" ht="22.9" customHeight="1" thickTop="1">
      <c r="A31" s="130" t="s">
        <v>40</v>
      </c>
      <c r="B31" s="89" t="s">
        <v>41</v>
      </c>
      <c r="C31" s="92" t="s">
        <v>42</v>
      </c>
      <c r="D31" s="104" t="s">
        <v>43</v>
      </c>
      <c r="E31" s="47" t="s">
        <v>26</v>
      </c>
      <c r="F31" s="6" t="s">
        <v>26</v>
      </c>
      <c r="G31" s="8" t="s">
        <v>26</v>
      </c>
      <c r="H31" s="6" t="s">
        <v>26</v>
      </c>
      <c r="I31" s="8" t="s">
        <v>26</v>
      </c>
      <c r="J31" s="6" t="s">
        <v>26</v>
      </c>
      <c r="K31" s="8" t="s">
        <v>26</v>
      </c>
      <c r="L31" s="24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</row>
    <row r="32" spans="1:56" s="33" customFormat="1" ht="22.9" customHeight="1">
      <c r="A32" s="131"/>
      <c r="B32" s="90"/>
      <c r="C32" s="93"/>
      <c r="D32" s="105"/>
      <c r="E32" s="48">
        <f>IF(E34&lt;&gt;0,+E34/E36,0%)</f>
        <v>1</v>
      </c>
      <c r="F32" s="12">
        <f>IF(F34&lt;&gt;0,ROUND(+F34/F36,4),0%)</f>
        <v>0</v>
      </c>
      <c r="G32" s="11" t="e">
        <f t="shared" ref="G32" si="7">IF(G34&lt;&gt;0,+G34/G36,0%)</f>
        <v>#REF!</v>
      </c>
      <c r="H32" s="12">
        <f>IF(H34&lt;&gt;0,ROUND(+H34/H36,4),0%)</f>
        <v>0</v>
      </c>
      <c r="I32" s="11" t="e">
        <f t="shared" ref="I32" si="8">IF(I34&lt;&gt;0,+I34/I36,0%)</f>
        <v>#REF!</v>
      </c>
      <c r="J32" s="12">
        <f>IF(J34&lt;&gt;0,ROUND(+J34/J36,4),0%)</f>
        <v>0</v>
      </c>
      <c r="K32" s="11" t="e">
        <f>IF(K34&lt;&gt;0,+K34/K36,0%)</f>
        <v>#REF!</v>
      </c>
      <c r="L32" s="25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</row>
    <row r="33" spans="1:56" s="33" customFormat="1" ht="22.9" customHeight="1" thickBot="1">
      <c r="A33" s="131"/>
      <c r="B33" s="90"/>
      <c r="C33" s="93"/>
      <c r="D33" s="106"/>
      <c r="E33" s="49" t="s">
        <v>27</v>
      </c>
      <c r="F33" s="13" t="s">
        <v>27</v>
      </c>
      <c r="G33" s="15" t="s">
        <v>27</v>
      </c>
      <c r="H33" s="13" t="s">
        <v>27</v>
      </c>
      <c r="I33" s="15" t="s">
        <v>27</v>
      </c>
      <c r="J33" s="13" t="s">
        <v>27</v>
      </c>
      <c r="K33" s="15" t="s">
        <v>27</v>
      </c>
      <c r="L33" s="25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</row>
    <row r="34" spans="1:56" s="33" customFormat="1" ht="22.9" customHeight="1" thickTop="1">
      <c r="A34" s="131"/>
      <c r="B34" s="90"/>
      <c r="C34" s="93"/>
      <c r="D34" s="104" t="s">
        <v>44</v>
      </c>
      <c r="E34" s="45">
        <v>7</v>
      </c>
      <c r="F34" s="16">
        <v>0</v>
      </c>
      <c r="G34" s="17" t="e">
        <f>+#REF!+F34</f>
        <v>#REF!</v>
      </c>
      <c r="H34" s="16">
        <v>0</v>
      </c>
      <c r="I34" s="17" t="e">
        <f>+G34+H34</f>
        <v>#REF!</v>
      </c>
      <c r="J34" s="16">
        <v>0</v>
      </c>
      <c r="K34" s="17" t="e">
        <f>+I34+J34</f>
        <v>#REF!</v>
      </c>
      <c r="L34" s="18" t="e">
        <f>+K32/E32</f>
        <v>#REF!</v>
      </c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</row>
    <row r="35" spans="1:56" s="33" customFormat="1" ht="22.9" customHeight="1">
      <c r="A35" s="131"/>
      <c r="B35" s="90"/>
      <c r="C35" s="93"/>
      <c r="D35" s="105"/>
      <c r="E35" s="19" t="s">
        <v>29</v>
      </c>
      <c r="F35" s="19" t="s">
        <v>29</v>
      </c>
      <c r="G35" s="21" t="s">
        <v>29</v>
      </c>
      <c r="H35" s="19" t="s">
        <v>29</v>
      </c>
      <c r="I35" s="21" t="s">
        <v>29</v>
      </c>
      <c r="J35" s="19" t="s">
        <v>29</v>
      </c>
      <c r="K35" s="21" t="s">
        <v>29</v>
      </c>
      <c r="L35" s="25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</row>
    <row r="36" spans="1:56" s="33" customFormat="1" ht="22.9" customHeight="1">
      <c r="A36" s="132"/>
      <c r="B36" s="91"/>
      <c r="C36" s="94"/>
      <c r="D36" s="106"/>
      <c r="E36" s="45">
        <v>7</v>
      </c>
      <c r="F36" s="22">
        <v>7</v>
      </c>
      <c r="G36" s="23"/>
      <c r="H36" s="22">
        <v>7</v>
      </c>
      <c r="I36" s="23"/>
      <c r="J36" s="22">
        <v>7</v>
      </c>
      <c r="K36" s="23"/>
      <c r="L36" s="26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</row>
    <row r="37" spans="1:56" s="33" customFormat="1" ht="22.9" customHeight="1" thickTop="1">
      <c r="A37" s="130" t="s">
        <v>45</v>
      </c>
      <c r="B37" s="89" t="s">
        <v>46</v>
      </c>
      <c r="C37" s="92" t="s">
        <v>47</v>
      </c>
      <c r="D37" s="104" t="s">
        <v>48</v>
      </c>
      <c r="E37" s="47" t="s">
        <v>26</v>
      </c>
      <c r="F37" s="6" t="s">
        <v>26</v>
      </c>
      <c r="G37" s="8" t="s">
        <v>26</v>
      </c>
      <c r="H37" s="6" t="s">
        <v>26</v>
      </c>
      <c r="I37" s="8" t="s">
        <v>26</v>
      </c>
      <c r="J37" s="6" t="s">
        <v>26</v>
      </c>
      <c r="K37" s="8" t="s">
        <v>26</v>
      </c>
      <c r="L37" s="29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</row>
    <row r="38" spans="1:56" s="33" customFormat="1" ht="22.9" customHeight="1">
      <c r="A38" s="131"/>
      <c r="B38" s="90"/>
      <c r="C38" s="93"/>
      <c r="D38" s="105"/>
      <c r="E38" s="48">
        <f>IF(E40&lt;&gt;0,+E40/E42,0%)</f>
        <v>1</v>
      </c>
      <c r="F38" s="12">
        <f>IF(F40&lt;&gt;0,ROUND(+F40/F42,4),0%)</f>
        <v>0</v>
      </c>
      <c r="G38" s="11" t="e">
        <f t="shared" ref="G38" si="9">IF(G40&lt;&gt;0,+G40/G42,0%)</f>
        <v>#REF!</v>
      </c>
      <c r="H38" s="12">
        <f>IF(H40&lt;&gt;0,ROUND(+H40/H42,4),0%)</f>
        <v>0</v>
      </c>
      <c r="I38" s="11" t="e">
        <f t="shared" ref="I38" si="10">IF(I40&lt;&gt;0,+I40/I42,0%)</f>
        <v>#REF!</v>
      </c>
      <c r="J38" s="12">
        <f>IF(J40&lt;&gt;0,ROUND(+J40/J42,4),0%)</f>
        <v>0</v>
      </c>
      <c r="K38" s="11" t="e">
        <f>IF(K40&lt;&gt;0,+K40/K42,0%)</f>
        <v>#REF!</v>
      </c>
      <c r="L38" s="18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</row>
    <row r="39" spans="1:56" s="33" customFormat="1" ht="22.9" customHeight="1" thickBot="1">
      <c r="A39" s="131"/>
      <c r="B39" s="90"/>
      <c r="C39" s="93"/>
      <c r="D39" s="106"/>
      <c r="E39" s="49" t="s">
        <v>27</v>
      </c>
      <c r="F39" s="13" t="s">
        <v>27</v>
      </c>
      <c r="G39" s="15" t="s">
        <v>27</v>
      </c>
      <c r="H39" s="13" t="s">
        <v>27</v>
      </c>
      <c r="I39" s="15" t="s">
        <v>27</v>
      </c>
      <c r="J39" s="13" t="s">
        <v>27</v>
      </c>
      <c r="K39" s="15" t="s">
        <v>27</v>
      </c>
      <c r="L39" s="18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</row>
    <row r="40" spans="1:56" s="33" customFormat="1" ht="22.9" customHeight="1" thickTop="1">
      <c r="A40" s="131"/>
      <c r="B40" s="90"/>
      <c r="C40" s="93"/>
      <c r="D40" s="104" t="s">
        <v>49</v>
      </c>
      <c r="E40" s="45">
        <v>5</v>
      </c>
      <c r="F40" s="16">
        <v>0</v>
      </c>
      <c r="G40" s="17" t="e">
        <f>+#REF!+F40</f>
        <v>#REF!</v>
      </c>
      <c r="H40" s="16">
        <v>0</v>
      </c>
      <c r="I40" s="17" t="e">
        <f>+G40+H40</f>
        <v>#REF!</v>
      </c>
      <c r="J40" s="16">
        <v>0</v>
      </c>
      <c r="K40" s="17" t="e">
        <f>+I40+J40</f>
        <v>#REF!</v>
      </c>
      <c r="L40" s="18" t="e">
        <f>+K38/E38</f>
        <v>#REF!</v>
      </c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</row>
    <row r="41" spans="1:56" s="33" customFormat="1" ht="22.9" customHeight="1">
      <c r="A41" s="131"/>
      <c r="B41" s="90"/>
      <c r="C41" s="93"/>
      <c r="D41" s="105"/>
      <c r="E41" s="19" t="s">
        <v>29</v>
      </c>
      <c r="F41" s="19" t="s">
        <v>29</v>
      </c>
      <c r="G41" s="21" t="s">
        <v>29</v>
      </c>
      <c r="H41" s="19" t="s">
        <v>29</v>
      </c>
      <c r="I41" s="21" t="s">
        <v>29</v>
      </c>
      <c r="J41" s="19" t="s">
        <v>29</v>
      </c>
      <c r="K41" s="21" t="s">
        <v>29</v>
      </c>
      <c r="L41" s="18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</row>
    <row r="42" spans="1:56" s="33" customFormat="1" ht="22.9" customHeight="1">
      <c r="A42" s="132"/>
      <c r="B42" s="91"/>
      <c r="C42" s="94"/>
      <c r="D42" s="106"/>
      <c r="E42" s="45">
        <v>5</v>
      </c>
      <c r="F42" s="22">
        <v>5</v>
      </c>
      <c r="G42" s="23"/>
      <c r="H42" s="22">
        <v>5</v>
      </c>
      <c r="I42" s="23"/>
      <c r="J42" s="22">
        <v>5</v>
      </c>
      <c r="K42" s="23"/>
      <c r="L42" s="30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</row>
    <row r="43" spans="1:56" s="51" customFormat="1" ht="22.9" customHeight="1" thickTop="1">
      <c r="A43" s="133" t="s">
        <v>50</v>
      </c>
      <c r="B43" s="110" t="s">
        <v>51</v>
      </c>
      <c r="C43" s="113" t="s">
        <v>52</v>
      </c>
      <c r="D43" s="107" t="s">
        <v>53</v>
      </c>
      <c r="E43" s="6" t="s">
        <v>26</v>
      </c>
      <c r="F43" s="6" t="s">
        <v>26</v>
      </c>
      <c r="G43" s="7" t="s">
        <v>26</v>
      </c>
      <c r="H43" s="6" t="s">
        <v>26</v>
      </c>
      <c r="I43" s="7" t="s">
        <v>26</v>
      </c>
      <c r="J43" s="6" t="s">
        <v>26</v>
      </c>
      <c r="K43" s="7" t="s">
        <v>26</v>
      </c>
      <c r="L43" s="50"/>
    </row>
    <row r="44" spans="1:56" s="51" customFormat="1" ht="22.9" customHeight="1">
      <c r="A44" s="134"/>
      <c r="B44" s="111"/>
      <c r="C44" s="114"/>
      <c r="D44" s="116"/>
      <c r="E44" s="52">
        <f t="shared" ref="E44:K44" si="11">IF(E46&lt;&gt;0,+E46/E48,0%)</f>
        <v>0.66666666666666663</v>
      </c>
      <c r="F44" s="9">
        <f t="shared" si="11"/>
        <v>0</v>
      </c>
      <c r="G44" s="10" t="e">
        <f t="shared" si="11"/>
        <v>#REF!</v>
      </c>
      <c r="H44" s="9">
        <f t="shared" si="11"/>
        <v>0</v>
      </c>
      <c r="I44" s="10" t="e">
        <f t="shared" si="11"/>
        <v>#REF!</v>
      </c>
      <c r="J44" s="9">
        <f t="shared" si="11"/>
        <v>0</v>
      </c>
      <c r="K44" s="10" t="e">
        <f t="shared" si="11"/>
        <v>#REF!</v>
      </c>
      <c r="L44" s="53"/>
    </row>
    <row r="45" spans="1:56" s="51" customFormat="1" ht="22.9" customHeight="1" thickBot="1">
      <c r="A45" s="134"/>
      <c r="B45" s="111"/>
      <c r="C45" s="114"/>
      <c r="D45" s="117"/>
      <c r="E45" s="13" t="s">
        <v>27</v>
      </c>
      <c r="F45" s="13" t="s">
        <v>27</v>
      </c>
      <c r="G45" s="14" t="s">
        <v>27</v>
      </c>
      <c r="H45" s="13" t="s">
        <v>27</v>
      </c>
      <c r="I45" s="14" t="s">
        <v>27</v>
      </c>
      <c r="J45" s="13" t="s">
        <v>27</v>
      </c>
      <c r="K45" s="14" t="s">
        <v>27</v>
      </c>
      <c r="L45" s="53"/>
    </row>
    <row r="46" spans="1:56" s="51" customFormat="1" ht="22.9" customHeight="1" thickTop="1">
      <c r="A46" s="134"/>
      <c r="B46" s="111"/>
      <c r="C46" s="114"/>
      <c r="D46" s="107" t="s">
        <v>54</v>
      </c>
      <c r="E46" s="45">
        <v>2</v>
      </c>
      <c r="F46" s="54">
        <v>0</v>
      </c>
      <c r="G46" s="55" t="e">
        <f>+#REF!+F46</f>
        <v>#REF!</v>
      </c>
      <c r="H46" s="54">
        <v>0</v>
      </c>
      <c r="I46" s="55" t="e">
        <f t="shared" ref="I46:K46" si="12">+G46+H46</f>
        <v>#REF!</v>
      </c>
      <c r="J46" s="54">
        <v>0</v>
      </c>
      <c r="K46" s="55" t="e">
        <f t="shared" si="12"/>
        <v>#REF!</v>
      </c>
      <c r="L46" s="18" t="e">
        <f>K44/E44</f>
        <v>#REF!</v>
      </c>
    </row>
    <row r="47" spans="1:56" s="51" customFormat="1" ht="22.9" customHeight="1">
      <c r="A47" s="134"/>
      <c r="B47" s="111"/>
      <c r="C47" s="114"/>
      <c r="D47" s="108"/>
      <c r="E47" s="19" t="s">
        <v>29</v>
      </c>
      <c r="F47" s="56" t="s">
        <v>29</v>
      </c>
      <c r="G47" s="57" t="s">
        <v>29</v>
      </c>
      <c r="H47" s="56" t="s">
        <v>29</v>
      </c>
      <c r="I47" s="57" t="s">
        <v>29</v>
      </c>
      <c r="J47" s="56" t="s">
        <v>29</v>
      </c>
      <c r="K47" s="57" t="s">
        <v>29</v>
      </c>
      <c r="L47" s="53"/>
    </row>
    <row r="48" spans="1:56" s="51" customFormat="1" ht="22.9" customHeight="1" thickBot="1">
      <c r="A48" s="135"/>
      <c r="B48" s="112"/>
      <c r="C48" s="115"/>
      <c r="D48" s="109"/>
      <c r="E48" s="58">
        <v>3</v>
      </c>
      <c r="F48" s="59">
        <v>3</v>
      </c>
      <c r="G48" s="60">
        <v>3</v>
      </c>
      <c r="H48" s="59">
        <v>3</v>
      </c>
      <c r="I48" s="60">
        <v>3</v>
      </c>
      <c r="J48" s="59">
        <v>3</v>
      </c>
      <c r="K48" s="60">
        <v>3</v>
      </c>
      <c r="L48" s="61"/>
    </row>
    <row r="49" ht="13.5" thickTop="1"/>
  </sheetData>
  <mergeCells count="51">
    <mergeCell ref="A37:A42"/>
    <mergeCell ref="A43:A48"/>
    <mergeCell ref="A11:A12"/>
    <mergeCell ref="A13:A18"/>
    <mergeCell ref="A19:A24"/>
    <mergeCell ref="A25:A30"/>
    <mergeCell ref="A31:A36"/>
    <mergeCell ref="I8:I9"/>
    <mergeCell ref="K8:K9"/>
    <mergeCell ref="D22:D24"/>
    <mergeCell ref="D25:D27"/>
    <mergeCell ref="D28:D30"/>
    <mergeCell ref="G8:G9"/>
    <mergeCell ref="D19:D21"/>
    <mergeCell ref="D16:D18"/>
    <mergeCell ref="E11:E12"/>
    <mergeCell ref="F11:F12"/>
    <mergeCell ref="G11:G12"/>
    <mergeCell ref="L29:L30"/>
    <mergeCell ref="H11:H12"/>
    <mergeCell ref="I11:I12"/>
    <mergeCell ref="J11:J12"/>
    <mergeCell ref="K11:K12"/>
    <mergeCell ref="L11:L12"/>
    <mergeCell ref="D46:D48"/>
    <mergeCell ref="B43:B48"/>
    <mergeCell ref="C43:C48"/>
    <mergeCell ref="D37:D39"/>
    <mergeCell ref="D40:D42"/>
    <mergeCell ref="D43:D45"/>
    <mergeCell ref="B1:B5"/>
    <mergeCell ref="C1:D5"/>
    <mergeCell ref="C6:D6"/>
    <mergeCell ref="B37:B42"/>
    <mergeCell ref="C37:C42"/>
    <mergeCell ref="B25:B30"/>
    <mergeCell ref="C25:C30"/>
    <mergeCell ref="B31:B36"/>
    <mergeCell ref="C31:C36"/>
    <mergeCell ref="B13:B18"/>
    <mergeCell ref="C13:C18"/>
    <mergeCell ref="B19:B24"/>
    <mergeCell ref="C19:C24"/>
    <mergeCell ref="D31:D33"/>
    <mergeCell ref="D34:D36"/>
    <mergeCell ref="D13:D15"/>
    <mergeCell ref="B11:B12"/>
    <mergeCell ref="C11:C12"/>
    <mergeCell ref="D11:D12"/>
    <mergeCell ref="B8:D8"/>
    <mergeCell ref="B9:D9"/>
  </mergeCells>
  <pageMargins left="0.7" right="0.7" top="0.75" bottom="0.75" header="0.3" footer="0.3"/>
  <pageSetup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792866D42AFD247AF52DD0D3A434F04" ma:contentTypeVersion="10" ma:contentTypeDescription="Crear nuevo documento." ma:contentTypeScope="" ma:versionID="b165347b818076807db67940cac75467">
  <xsd:schema xmlns:xsd="http://www.w3.org/2001/XMLSchema" xmlns:xs="http://www.w3.org/2001/XMLSchema" xmlns:p="http://schemas.microsoft.com/office/2006/metadata/properties" xmlns:ns3="740075a7-1c59-4e9e-854b-81b9c5f357e3" xmlns:ns4="0d36efaf-030c-4eeb-9d8d-e74092e30a00" targetNamespace="http://schemas.microsoft.com/office/2006/metadata/properties" ma:root="true" ma:fieldsID="157098254259aeadf2716de9bc83a10e" ns3:_="" ns4:_="">
    <xsd:import namespace="740075a7-1c59-4e9e-854b-81b9c5f357e3"/>
    <xsd:import namespace="0d36efaf-030c-4eeb-9d8d-e74092e30a0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0075a7-1c59-4e9e-854b-81b9c5f357e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faf-030c-4eeb-9d8d-e74092e30a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79DA1F-38F2-4E1D-A469-F447C920988D}"/>
</file>

<file path=customXml/itemProps2.xml><?xml version="1.0" encoding="utf-8"?>
<ds:datastoreItem xmlns:ds="http://schemas.openxmlformats.org/officeDocument/2006/customXml" ds:itemID="{528B88B0-8065-4668-A972-D6C5D0390968}"/>
</file>

<file path=customXml/itemProps3.xml><?xml version="1.0" encoding="utf-8"?>
<ds:datastoreItem xmlns:ds="http://schemas.openxmlformats.org/officeDocument/2006/customXml" ds:itemID="{484EDC93-E717-4F5F-8CDA-6996A21F8F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subject/>
  <dc:creator>Ma. Cristina Torres</dc:creator>
  <cp:keywords/>
  <dc:description/>
  <cp:lastModifiedBy>rodrigo.martinez@arbol-logika.com</cp:lastModifiedBy>
  <cp:revision/>
  <dcterms:created xsi:type="dcterms:W3CDTF">2008-08-20T14:03:15Z</dcterms:created>
  <dcterms:modified xsi:type="dcterms:W3CDTF">2026-02-02T17:30:42Z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0x0101007792866D42AFD247AF52DD0D3A434F04</vt:lpwstr>
  </property>
</Properties>
</file>