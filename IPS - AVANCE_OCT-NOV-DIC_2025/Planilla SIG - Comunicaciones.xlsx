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epartamento de Comunicacines y Participación Cuidadana/"/>
    </mc:Choice>
  </mc:AlternateContent>
  <xr:revisionPtr revIDLastSave="64" documentId="8_{FB570C37-B39D-4B0B-8049-265940677647}" xr6:coauthVersionLast="47" xr6:coauthVersionMax="47" xr10:uidLastSave="{957DFFE1-CA28-4CED-A904-D3D16817BD12}"/>
  <bookViews>
    <workbookView xWindow="-110" yWindow="-110" windowWidth="19420" windowHeight="11500" xr2:uid="{00000000-000D-0000-FFFF-FFFF00000000}"/>
  </bookViews>
  <sheets>
    <sheet name="CDC 2025" sheetId="1" r:id="rId1"/>
  </sheets>
  <definedNames>
    <definedName name="_xlnm.Print_Area" localSheetId="0">'CDC 2025'!$B$1:$L$28</definedName>
    <definedName name="_xlnm.Print_Titles" localSheetId="0">'CDC 2025'!$1:$12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H20" i="1"/>
  <c r="F20" i="1"/>
  <c r="J44" i="1"/>
  <c r="H44" i="1"/>
  <c r="F44" i="1"/>
  <c r="E44" i="1"/>
  <c r="J38" i="1"/>
  <c r="H38" i="1"/>
  <c r="F38" i="1"/>
  <c r="E38" i="1"/>
  <c r="G40" i="1" l="1"/>
  <c r="G46" i="1" l="1"/>
  <c r="I40" i="1"/>
  <c r="G38" i="1"/>
  <c r="G44" i="1" l="1"/>
  <c r="I46" i="1"/>
  <c r="K40" i="1"/>
  <c r="K38" i="1" s="1"/>
  <c r="L40" i="1" s="1"/>
  <c r="I38" i="1"/>
  <c r="K46" i="1" l="1"/>
  <c r="K44" i="1" s="1"/>
  <c r="L46" i="1" s="1"/>
  <c r="I44" i="1"/>
  <c r="E14" i="1" l="1"/>
  <c r="J32" i="1"/>
  <c r="J26" i="1"/>
  <c r="J14" i="1"/>
  <c r="H32" i="1"/>
  <c r="H26" i="1"/>
  <c r="H14" i="1"/>
  <c r="F32" i="1"/>
  <c r="F26" i="1"/>
  <c r="F14" i="1"/>
  <c r="E32" i="1"/>
  <c r="E26" i="1"/>
  <c r="E20" i="1"/>
  <c r="G16" i="1" l="1"/>
  <c r="G28" i="1" l="1"/>
  <c r="G34" i="1"/>
  <c r="I16" i="1"/>
  <c r="G14" i="1"/>
  <c r="G22" i="1"/>
  <c r="K16" i="1" l="1"/>
  <c r="K14" i="1" s="1"/>
  <c r="L16" i="1" s="1"/>
  <c r="I14" i="1"/>
  <c r="G20" i="1"/>
  <c r="I22" i="1"/>
  <c r="I34" i="1"/>
  <c r="G32" i="1"/>
  <c r="G26" i="1"/>
  <c r="I28" i="1"/>
  <c r="K34" i="1" l="1"/>
  <c r="K32" i="1" s="1"/>
  <c r="L34" i="1" s="1"/>
  <c r="I32" i="1"/>
  <c r="K28" i="1"/>
  <c r="K26" i="1" s="1"/>
  <c r="L28" i="1" s="1"/>
  <c r="I26" i="1"/>
  <c r="I20" i="1"/>
  <c r="K22" i="1"/>
  <c r="K20" i="1" s="1"/>
  <c r="L22" i="1" s="1"/>
</calcChain>
</file>

<file path=xl/sharedStrings.xml><?xml version="1.0" encoding="utf-8"?>
<sst xmlns="http://schemas.openxmlformats.org/spreadsheetml/2006/main" count="169" uniqueCount="46">
  <si>
    <t>DEPTO COMUNICACIONES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</si>
  <si>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</si>
  <si>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</si>
  <si>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</si>
  <si>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</si>
  <si>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</si>
  <si>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</si>
  <si>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</si>
  <si>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</si>
  <si>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</si>
  <si>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</si>
  <si>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</si>
  <si>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</si>
  <si>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5.6.1.19</t>
  </si>
  <si>
    <r>
      <t xml:space="preserve">1) Calidad/Producto
</t>
    </r>
    <r>
      <rPr>
        <sz val="8"/>
        <rFont val="Arial Narrow"/>
        <family val="2"/>
      </rPr>
      <t>Porcentaje de actividades cumplidas del Plan de   acción de Participación Ciudadana en el año t.</t>
    </r>
  </si>
  <si>
    <t>(Número de actividades cumplidas del Plan de   acción de Participación Ciudadana en el año t,/ Número actividades definidas en el  Plan de   acción de Participación Ciudadana en el año t ) *100</t>
  </si>
  <si>
    <t>Número de actividades cumplidas del Plan de   acción de Participación Ciudadana en el año t</t>
  </si>
  <si>
    <t xml:space="preserve">Valor indicador=   </t>
  </si>
  <si>
    <t xml:space="preserve">Operando 1=   </t>
  </si>
  <si>
    <t>Número actividades definidas en el  Plan de   acción de Participación Ciudadana en el año t ) *100</t>
  </si>
  <si>
    <t xml:space="preserve">Operando 2=    </t>
  </si>
  <si>
    <t>5.6.1.2</t>
  </si>
  <si>
    <r>
      <t xml:space="preserve">2) Eficacia/Proceso
</t>
    </r>
    <r>
      <rPr>
        <sz val="8"/>
        <rFont val="Arial Narrow"/>
        <family val="2"/>
      </rPr>
      <t>Porcentaje de publicaciones realizadas internamente  vinculadas a 3 ámbitos de gestión del IPS.</t>
    </r>
  </si>
  <si>
    <t>(Sumatoria de publicaciones realizadas internamente  vinculadas a 3 ámbitos de gestión del IPS / Nº total publicaciones internas programadas vinculadas a 3 ámbitos de gestión del IPS)*100</t>
  </si>
  <si>
    <t>(Sumatoria de publicaciones realizadas internamente  vinculadas a 3 ámbitos de gestión del IPS</t>
  </si>
  <si>
    <t>Nº total publicaciones internas programadas vinculadas a 3 ámbitos de gestión del IPS)*100</t>
  </si>
  <si>
    <t>5.6.1.16</t>
  </si>
  <si>
    <r>
      <t xml:space="preserve">3) Eficacia/Proceso
</t>
    </r>
    <r>
      <rPr>
        <sz val="8"/>
        <rFont val="Arial Narrow"/>
        <family val="2"/>
      </rPr>
      <t>Porcentaje de planes de comunicación externa ejecutados, vinculados con 3 ámbitos de gestión del IPS.</t>
    </r>
  </si>
  <si>
    <t>Sumatoria de planes de comunicación externa ejecutados, vinculados con 3 ámbitos de gestión del IPS / Nº total de planes de comunicación externa programados vinculados con ámbitos de gestión del IPS) *100</t>
  </si>
  <si>
    <t>Sumatoria de planes de comunicación externa ejecutados, vinculados con 3 ámbitos de gestión del IPS</t>
  </si>
  <si>
    <t>Nº total de planes de comunicación externa programados vinculados con ámbitos de gestión del IPS) *100</t>
  </si>
  <si>
    <t>5.1.3.44</t>
  </si>
  <si>
    <r>
      <rPr>
        <b/>
        <u/>
        <sz val="8"/>
        <rFont val="Arial Narrow"/>
        <family val="2"/>
      </rPr>
      <t xml:space="preserve">4)Eficacia/Proceso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
(Depto Comunicaciones)
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</si>
  <si>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</si>
  <si>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</si>
  <si>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</si>
  <si>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5.6.1.17</t>
  </si>
  <si>
    <r>
      <t xml:space="preserve">5) Eficacia /Proceso
</t>
    </r>
    <r>
      <rPr>
        <sz val="8"/>
        <rFont val="Arial Narrow"/>
        <family val="2"/>
      </rPr>
      <t>Porcentaje de actividades cumplidos en el plan de trabajo de Comunicaciones para abordar las brechas identificadas y priorizadas en relación a la Norma Chilena 3262 en el año t.</t>
    </r>
  </si>
  <si>
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</si>
  <si>
    <t>(Sumatoria de actividades cumplidos en el plan de trabajo de Comunicaciones para abordar las brechas identificadas y priorizadas en relación a la Norma Chilena 3262 en el año t</t>
  </si>
  <si>
    <t>N° total de actividades definidas en el plan de trabajo de Comunicaciones en el año t) *100</t>
  </si>
  <si>
    <t>5.6.1.18</t>
  </si>
  <si>
    <r>
      <t xml:space="preserve">6) Eficacia/Proceso
</t>
    </r>
    <r>
      <rPr>
        <sz val="8"/>
        <rFont val="Arial Narrow"/>
        <family val="2"/>
      </rPr>
      <t>Porcentaje de alertas de riesgos reputacionales gestionadas en el año t</t>
    </r>
  </si>
  <si>
    <t>(N° total de alertas de riesgos reputacionales gestionadas en el año t / N° total alertas producidas en el año t) *100</t>
  </si>
  <si>
    <t>(N° total de alertas de riesgos reputacionales gestionadas en el año t</t>
  </si>
  <si>
    <t>N° total alertas producidas en el año t)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</si>
</sst>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8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9" fontId="4" fillId="0" borderId="4" xfId="4" applyFont="1" applyBorder="1" applyAlignment="1">
      <alignment vertical="center"/>
    </xf>
    <xf numFmtId="10" fontId="4" fillId="4" borderId="6" xfId="4" applyNumberFormat="1" applyFont="1" applyFill="1" applyBorder="1" applyAlignment="1" applyProtection="1">
      <alignment horizontal="right" vertical="center"/>
    </xf>
    <xf numFmtId="10" fontId="4" fillId="2" borderId="7" xfId="4" applyNumberFormat="1" applyFont="1" applyFill="1" applyBorder="1" applyAlignment="1" applyProtection="1">
      <alignment vertical="center"/>
    </xf>
    <xf numFmtId="9" fontId="4" fillId="0" borderId="6" xfId="4" applyFont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4" fillId="5" borderId="6" xfId="0" applyNumberFormat="1" applyFont="1" applyFill="1" applyBorder="1" applyAlignment="1">
      <alignment horizontal="righ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4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9" fontId="4" fillId="0" borderId="8" xfId="4" applyFont="1" applyBorder="1" applyAlignment="1">
      <alignment vertical="center"/>
    </xf>
    <xf numFmtId="9" fontId="4" fillId="0" borderId="4" xfId="4" applyFont="1" applyFill="1" applyBorder="1" applyAlignment="1">
      <alignment vertical="center"/>
    </xf>
    <xf numFmtId="9" fontId="4" fillId="0" borderId="6" xfId="4" applyFont="1" applyFill="1" applyBorder="1" applyAlignment="1">
      <alignment vertical="center"/>
    </xf>
    <xf numFmtId="10" fontId="4" fillId="0" borderId="6" xfId="4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right" vertical="center" wrapText="1"/>
    </xf>
    <xf numFmtId="9" fontId="4" fillId="0" borderId="8" xfId="4" applyFont="1" applyFill="1" applyBorder="1" applyAlignment="1">
      <alignment vertical="center"/>
    </xf>
    <xf numFmtId="10" fontId="3" fillId="6" borderId="6" xfId="4" applyNumberFormat="1" applyFont="1" applyFill="1" applyBorder="1" applyAlignment="1" applyProtection="1">
      <alignment horizontal="right" vertical="center"/>
    </xf>
    <xf numFmtId="3" fontId="4" fillId="4" borderId="6" xfId="0" applyNumberFormat="1" applyFont="1" applyFill="1" applyBorder="1" applyAlignment="1">
      <alignment horizontal="right" vertical="center" wrapText="1"/>
    </xf>
    <xf numFmtId="0" fontId="9" fillId="0" borderId="0" xfId="0" applyFont="1"/>
    <xf numFmtId="3" fontId="4" fillId="9" borderId="8" xfId="0" applyNumberFormat="1" applyFont="1" applyFill="1" applyBorder="1" applyAlignment="1">
      <alignment horizontal="righ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4" fillId="8" borderId="4" xfId="3" applyFont="1" applyFill="1" applyBorder="1" applyAlignment="1">
      <alignment horizontal="center" vertical="center" wrapText="1"/>
    </xf>
    <xf numFmtId="9" fontId="4" fillId="8" borderId="6" xfId="0" applyNumberFormat="1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wrapText="1"/>
    </xf>
    <xf numFmtId="0" fontId="4" fillId="8" borderId="8" xfId="0" applyFont="1" applyFill="1" applyBorder="1" applyAlignment="1">
      <alignment horizontal="left" wrapText="1"/>
    </xf>
    <xf numFmtId="9" fontId="4" fillId="8" borderId="4" xfId="0" applyNumberFormat="1" applyFont="1" applyFill="1" applyBorder="1" applyAlignment="1">
      <alignment horizontal="left" vertical="center" wrapText="1"/>
    </xf>
    <xf numFmtId="1" fontId="4" fillId="7" borderId="4" xfId="0" applyNumberFormat="1" applyFont="1" applyFill="1" applyBorder="1" applyAlignment="1">
      <alignment horizontal="left" vertical="center" wrapText="1"/>
    </xf>
    <xf numFmtId="1" fontId="4" fillId="7" borderId="6" xfId="0" applyNumberFormat="1" applyFont="1" applyFill="1" applyBorder="1" applyAlignment="1">
      <alignment horizontal="left" vertical="center" wrapText="1"/>
    </xf>
    <xf numFmtId="1" fontId="4" fillId="7" borderId="8" xfId="0" applyNumberFormat="1" applyFont="1" applyFill="1" applyBorder="1" applyAlignment="1">
      <alignment horizontal="left" vertical="center" wrapText="1"/>
    </xf>
    <xf numFmtId="1" fontId="4" fillId="8" borderId="4" xfId="0" applyNumberFormat="1" applyFont="1" applyFill="1" applyBorder="1" applyAlignment="1">
      <alignment horizontal="left" vertical="center" wrapText="1"/>
    </xf>
    <xf numFmtId="1" fontId="4" fillId="8" borderId="6" xfId="0" applyNumberFormat="1" applyFont="1" applyFill="1" applyBorder="1" applyAlignment="1">
      <alignment horizontal="left" vertical="center" wrapText="1"/>
    </xf>
    <xf numFmtId="1" fontId="4" fillId="8" borderId="8" xfId="0" applyNumberFormat="1" applyFont="1" applyFill="1" applyBorder="1" applyAlignment="1">
      <alignment horizontal="left" vertical="center" wrapText="1"/>
    </xf>
    <xf numFmtId="1" fontId="9" fillId="7" borderId="6" xfId="0" applyNumberFormat="1" applyFont="1" applyFill="1" applyBorder="1" applyAlignment="1">
      <alignment horizontal="left" vertical="center" wrapText="1"/>
    </xf>
    <xf numFmtId="1" fontId="9" fillId="7" borderId="8" xfId="0" applyNumberFormat="1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10" fillId="8" borderId="6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9" fontId="4" fillId="8" borderId="8" xfId="0" applyNumberFormat="1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3" fillId="2" borderId="4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3" xfId="0" applyBorder="1" applyAlignment="1"/>
    <xf numFmtId="0" fontId="4" fillId="8" borderId="6" xfId="3" applyFont="1" applyFill="1" applyBorder="1" applyAlignment="1"/>
    <xf numFmtId="0" fontId="4" fillId="8" borderId="8" xfId="3" applyFont="1" applyFill="1" applyBorder="1" applyAlignment="1"/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FCD5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49"/>
  <sheetViews>
    <sheetView showGridLines="0" tabSelected="1" topLeftCell="A8" zoomScaleNormal="100" workbookViewId="0">
      <pane xSplit="2" ySplit="5" topLeftCell="D43" activePane="bottomRight" state="frozen"/>
      <selection pane="bottomRight" activeCell="M48" sqref="M48"/>
      <selection pane="bottomLeft" activeCell="A13" sqref="A13"/>
      <selection pane="topRight" activeCell="B8" sqref="B8"/>
    </sheetView>
  </sheetViews>
  <sheetFormatPr defaultColWidth="11.42578125" defaultRowHeight="12.95"/>
  <cols>
    <col min="1" max="1" width="11.42578125" style="3"/>
    <col min="2" max="3" width="26.7109375" style="3" customWidth="1"/>
    <col min="4" max="4" width="28.5703125" style="3" customWidth="1"/>
    <col min="5" max="5" width="17" style="3" customWidth="1"/>
    <col min="6" max="11" width="10.7109375" style="2" customWidth="1"/>
    <col min="12" max="12" width="16" style="2" customWidth="1"/>
    <col min="13" max="13" width="21.28515625" style="3" customWidth="1"/>
    <col min="14" max="14" width="2.28515625" style="3" customWidth="1"/>
    <col min="15" max="16384" width="11.42578125" style="3"/>
  </cols>
  <sheetData>
    <row r="1" spans="1:13" s="7" customFormat="1" ht="12.75" customHeight="1">
      <c r="B1" s="70"/>
      <c r="C1" s="71"/>
      <c r="D1" s="65"/>
      <c r="E1" s="65"/>
      <c r="F1" s="8"/>
      <c r="G1" s="8"/>
      <c r="H1" s="8"/>
      <c r="I1" s="8"/>
      <c r="J1" s="8"/>
      <c r="K1" s="8"/>
      <c r="L1" s="8"/>
    </row>
    <row r="2" spans="1:13" s="7" customFormat="1" ht="12.75" customHeight="1">
      <c r="B2" s="72"/>
      <c r="C2" s="73"/>
      <c r="D2" s="66"/>
      <c r="E2" s="66"/>
      <c r="F2" s="8"/>
      <c r="G2" s="8"/>
      <c r="H2" s="8"/>
      <c r="I2" s="8"/>
      <c r="J2" s="8"/>
      <c r="K2" s="8"/>
      <c r="L2" s="8"/>
    </row>
    <row r="3" spans="1:13" s="7" customFormat="1" ht="15.75" customHeight="1">
      <c r="B3" s="72"/>
      <c r="C3" s="73"/>
      <c r="D3" s="66"/>
      <c r="E3" s="66"/>
      <c r="F3" s="8"/>
      <c r="G3" s="8"/>
      <c r="H3" s="8"/>
      <c r="I3" s="8"/>
      <c r="J3" s="8"/>
      <c r="K3" s="8"/>
      <c r="L3" s="8"/>
    </row>
    <row r="4" spans="1:13" s="7" customFormat="1" ht="12.75" customHeight="1">
      <c r="B4" s="72"/>
      <c r="C4" s="73"/>
      <c r="D4" s="66"/>
      <c r="E4" s="66"/>
      <c r="F4" s="8"/>
      <c r="G4" s="8"/>
      <c r="H4" s="8"/>
      <c r="I4" s="8"/>
      <c r="J4" s="8"/>
      <c r="K4" s="8"/>
      <c r="L4" s="8"/>
    </row>
    <row r="5" spans="1:13" s="7" customFormat="1" ht="20.25" customHeight="1">
      <c r="B5" s="74"/>
      <c r="C5" s="75"/>
      <c r="D5" s="67"/>
      <c r="E5" s="67"/>
      <c r="F5" s="8"/>
      <c r="G5" s="8"/>
      <c r="H5" s="8"/>
      <c r="I5" s="8"/>
      <c r="J5" s="8"/>
      <c r="K5" s="8"/>
      <c r="L5" s="8"/>
    </row>
    <row r="6" spans="1:13" ht="15.75" customHeight="1">
      <c r="B6" s="80"/>
      <c r="C6" s="81"/>
      <c r="D6" s="79"/>
      <c r="E6" s="79"/>
    </row>
    <row r="7" spans="1:13" s="7" customFormat="1" ht="16.5" customHeight="1">
      <c r="F7" s="8"/>
      <c r="G7" s="8"/>
      <c r="H7" s="8"/>
      <c r="I7" s="8"/>
      <c r="J7" s="8"/>
      <c r="K7" s="8"/>
      <c r="L7" s="8"/>
    </row>
    <row r="8" spans="1:13" s="7" customFormat="1" ht="15.6">
      <c r="B8" s="6"/>
      <c r="C8" s="6"/>
      <c r="F8" s="8"/>
      <c r="G8" s="8"/>
      <c r="H8" s="9"/>
      <c r="I8" s="8"/>
      <c r="J8" s="8"/>
      <c r="K8" s="8"/>
      <c r="L8" s="8"/>
    </row>
    <row r="9" spans="1:13" s="7" customFormat="1" ht="16.5" customHeight="1">
      <c r="B9" s="6" t="s">
        <v>0</v>
      </c>
      <c r="C9" s="6"/>
      <c r="F9" s="8"/>
      <c r="G9" s="8"/>
      <c r="H9" s="8"/>
      <c r="I9" s="8"/>
      <c r="J9" s="8"/>
      <c r="K9" s="8"/>
      <c r="L9" s="8"/>
    </row>
    <row r="10" spans="1:13" s="7" customFormat="1" ht="15.95" thickBot="1">
      <c r="B10" s="4"/>
      <c r="C10" s="4"/>
      <c r="F10" s="8"/>
      <c r="G10" s="8"/>
      <c r="H10" s="8"/>
      <c r="I10" s="8"/>
      <c r="J10" s="8"/>
      <c r="K10" s="10"/>
      <c r="L10" s="10"/>
      <c r="M10" s="11"/>
    </row>
    <row r="11" spans="1:13" s="1" customFormat="1" ht="22.9" customHeight="1" thickTop="1">
      <c r="A11" s="89" t="s">
        <v>1</v>
      </c>
      <c r="B11" s="76" t="s">
        <v>2</v>
      </c>
      <c r="C11" s="68" t="s">
        <v>3</v>
      </c>
      <c r="D11" s="68" t="s">
        <v>4</v>
      </c>
      <c r="E11" s="68" t="s">
        <v>5</v>
      </c>
      <c r="F11" s="68" t="s">
        <v>6</v>
      </c>
      <c r="G11" s="68" t="s">
        <v>7</v>
      </c>
      <c r="H11" s="76" t="s">
        <v>8</v>
      </c>
      <c r="I11" s="68" t="s">
        <v>9</v>
      </c>
      <c r="J11" s="68" t="s">
        <v>10</v>
      </c>
      <c r="K11" s="82" t="s">
        <v>11</v>
      </c>
      <c r="L11" s="68" t="s">
        <v>12</v>
      </c>
    </row>
    <row r="12" spans="1:13" s="1" customFormat="1" ht="22.9" customHeight="1" thickBot="1">
      <c r="A12" s="91"/>
      <c r="B12" s="77"/>
      <c r="C12" s="78"/>
      <c r="D12" s="78"/>
      <c r="E12" s="69"/>
      <c r="F12" s="85"/>
      <c r="G12" s="85"/>
      <c r="H12" s="84"/>
      <c r="I12" s="85"/>
      <c r="J12" s="78"/>
      <c r="K12" s="83"/>
      <c r="L12" s="78"/>
    </row>
    <row r="13" spans="1:13" s="5" customFormat="1" ht="22.9" customHeight="1" thickTop="1">
      <c r="A13" s="86" t="s">
        <v>13</v>
      </c>
      <c r="B13" s="39" t="s">
        <v>14</v>
      </c>
      <c r="C13" s="42" t="s">
        <v>15</v>
      </c>
      <c r="D13" s="43" t="s">
        <v>16</v>
      </c>
      <c r="E13" s="12" t="s">
        <v>17</v>
      </c>
      <c r="F13" s="12" t="s">
        <v>17</v>
      </c>
      <c r="G13" s="13" t="s">
        <v>17</v>
      </c>
      <c r="H13" s="12" t="s">
        <v>17</v>
      </c>
      <c r="I13" s="13" t="s">
        <v>17</v>
      </c>
      <c r="J13" s="12" t="s">
        <v>17</v>
      </c>
      <c r="K13" s="13" t="s">
        <v>17</v>
      </c>
      <c r="L13" s="14"/>
    </row>
    <row r="14" spans="1:13" s="5" customFormat="1" ht="22.9" customHeight="1">
      <c r="A14" s="87"/>
      <c r="B14" s="40"/>
      <c r="C14" s="92"/>
      <c r="D14" s="44"/>
      <c r="E14" s="35">
        <f>IF(E16&lt;&gt;0,+E16/E18,0%)</f>
        <v>1</v>
      </c>
      <c r="F14" s="15">
        <f t="shared" ref="F14:J14" si="0">IF(F16&lt;&gt;0,+F16/F18,0%)</f>
        <v>0.25</v>
      </c>
      <c r="G14" s="16" t="e">
        <f t="shared" si="0"/>
        <v>#REF!</v>
      </c>
      <c r="H14" s="15">
        <f t="shared" si="0"/>
        <v>0.25</v>
      </c>
      <c r="I14" s="16" t="e">
        <f>IF(I16&lt;&gt;0,+I16/I18,0%)</f>
        <v>#REF!</v>
      </c>
      <c r="J14" s="15">
        <f t="shared" si="0"/>
        <v>0.25</v>
      </c>
      <c r="K14" s="16" t="e">
        <f>IF(K16&lt;&gt;0,+K16/K18,0%)</f>
        <v>#REF!</v>
      </c>
      <c r="L14" s="17"/>
    </row>
    <row r="15" spans="1:13" s="5" customFormat="1" ht="22.9" customHeight="1" thickBot="1">
      <c r="A15" s="87"/>
      <c r="B15" s="40"/>
      <c r="C15" s="92"/>
      <c r="D15" s="45"/>
      <c r="E15" s="18" t="s">
        <v>18</v>
      </c>
      <c r="F15" s="18" t="s">
        <v>18</v>
      </c>
      <c r="G15" s="19" t="s">
        <v>18</v>
      </c>
      <c r="H15" s="18" t="s">
        <v>18</v>
      </c>
      <c r="I15" s="19" t="s">
        <v>18</v>
      </c>
      <c r="J15" s="18" t="s">
        <v>18</v>
      </c>
      <c r="K15" s="19" t="s">
        <v>18</v>
      </c>
      <c r="L15" s="17"/>
    </row>
    <row r="16" spans="1:13" s="5" customFormat="1" ht="22.9" customHeight="1" thickTop="1">
      <c r="A16" s="87"/>
      <c r="B16" s="40"/>
      <c r="C16" s="92"/>
      <c r="D16" s="46" t="s">
        <v>19</v>
      </c>
      <c r="E16" s="20">
        <v>4</v>
      </c>
      <c r="F16" s="21">
        <v>1</v>
      </c>
      <c r="G16" s="22" t="e">
        <f>+#REF!+F16</f>
        <v>#REF!</v>
      </c>
      <c r="H16" s="21">
        <v>1</v>
      </c>
      <c r="I16" s="22" t="e">
        <f t="shared" ref="I16:K16" si="1">+G16+H16</f>
        <v>#REF!</v>
      </c>
      <c r="J16" s="21">
        <v>1</v>
      </c>
      <c r="K16" s="22" t="e">
        <f t="shared" si="1"/>
        <v>#REF!</v>
      </c>
      <c r="L16" s="23" t="e">
        <f>+K14/E14</f>
        <v>#REF!</v>
      </c>
    </row>
    <row r="17" spans="1:12" s="5" customFormat="1" ht="22.9" customHeight="1">
      <c r="A17" s="87"/>
      <c r="B17" s="40"/>
      <c r="C17" s="92"/>
      <c r="D17" s="43"/>
      <c r="E17" s="24" t="s">
        <v>20</v>
      </c>
      <c r="F17" s="24" t="s">
        <v>20</v>
      </c>
      <c r="G17" s="25" t="s">
        <v>20</v>
      </c>
      <c r="H17" s="24" t="s">
        <v>20</v>
      </c>
      <c r="I17" s="25" t="s">
        <v>20</v>
      </c>
      <c r="J17" s="24" t="s">
        <v>20</v>
      </c>
      <c r="K17" s="25" t="s">
        <v>20</v>
      </c>
      <c r="L17" s="17"/>
    </row>
    <row r="18" spans="1:12" s="5" customFormat="1" ht="22.9" customHeight="1" thickBot="1">
      <c r="A18" s="88"/>
      <c r="B18" s="41"/>
      <c r="C18" s="93"/>
      <c r="D18" s="45"/>
      <c r="E18" s="20">
        <v>4</v>
      </c>
      <c r="F18" s="27">
        <v>4</v>
      </c>
      <c r="G18" s="28">
        <v>4</v>
      </c>
      <c r="H18" s="27">
        <v>4</v>
      </c>
      <c r="I18" s="28">
        <v>4</v>
      </c>
      <c r="J18" s="27">
        <v>4</v>
      </c>
      <c r="K18" s="28">
        <v>4</v>
      </c>
      <c r="L18" s="29"/>
    </row>
    <row r="19" spans="1:12" s="5" customFormat="1" ht="22.9" customHeight="1" thickTop="1">
      <c r="A19" s="86" t="s">
        <v>21</v>
      </c>
      <c r="B19" s="61" t="s">
        <v>22</v>
      </c>
      <c r="C19" s="58" t="s">
        <v>23</v>
      </c>
      <c r="D19" s="46" t="s">
        <v>24</v>
      </c>
      <c r="E19" s="12" t="s">
        <v>17</v>
      </c>
      <c r="F19" s="12" t="s">
        <v>17</v>
      </c>
      <c r="G19" s="13" t="s">
        <v>17</v>
      </c>
      <c r="H19" s="12" t="s">
        <v>17</v>
      </c>
      <c r="I19" s="13" t="s">
        <v>17</v>
      </c>
      <c r="J19" s="12" t="s">
        <v>17</v>
      </c>
      <c r="K19" s="13" t="s">
        <v>17</v>
      </c>
      <c r="L19" s="30"/>
    </row>
    <row r="20" spans="1:12" s="5" customFormat="1" ht="22.9" customHeight="1">
      <c r="A20" s="87"/>
      <c r="B20" s="62"/>
      <c r="C20" s="59"/>
      <c r="D20" s="43"/>
      <c r="E20" s="35">
        <f>IF(E22&lt;&gt;0,+E22/E24,0%)</f>
        <v>1</v>
      </c>
      <c r="F20" s="15">
        <f>IF(F22&lt;&gt;0,+F22/F24,0%)</f>
        <v>0.22619047619047619</v>
      </c>
      <c r="G20" s="16" t="e">
        <f>IF(G22&lt;&gt;0,+G22/G24,0%)</f>
        <v>#REF!</v>
      </c>
      <c r="H20" s="15">
        <f>IF(H22&lt;&gt;0,+H22/H24,0%)</f>
        <v>0.16666666666666666</v>
      </c>
      <c r="I20" s="16" t="e">
        <f>IF(I22&lt;&gt;0,+I22/I24,0%)</f>
        <v>#REF!</v>
      </c>
      <c r="J20" s="15">
        <f>IF(J22&lt;&gt;0,+J22/J24,0%)</f>
        <v>0.20238095238095238</v>
      </c>
      <c r="K20" s="16" t="e">
        <f>IF(K22&lt;&gt;0,+K22/K24,0%)</f>
        <v>#REF!</v>
      </c>
      <c r="L20" s="31"/>
    </row>
    <row r="21" spans="1:12" s="5" customFormat="1" ht="22.9" customHeight="1" thickBot="1">
      <c r="A21" s="87"/>
      <c r="B21" s="62"/>
      <c r="C21" s="59"/>
      <c r="D21" s="64"/>
      <c r="E21" s="18" t="s">
        <v>18</v>
      </c>
      <c r="F21" s="18" t="s">
        <v>18</v>
      </c>
      <c r="G21" s="19" t="s">
        <v>18</v>
      </c>
      <c r="H21" s="18" t="s">
        <v>18</v>
      </c>
      <c r="I21" s="19" t="s">
        <v>18</v>
      </c>
      <c r="J21" s="18" t="s">
        <v>18</v>
      </c>
      <c r="K21" s="19" t="s">
        <v>18</v>
      </c>
      <c r="L21" s="31"/>
    </row>
    <row r="22" spans="1:12" s="5" customFormat="1" ht="22.9" customHeight="1" thickTop="1">
      <c r="A22" s="87"/>
      <c r="B22" s="62"/>
      <c r="C22" s="59"/>
      <c r="D22" s="46" t="s">
        <v>25</v>
      </c>
      <c r="E22" s="20">
        <v>84</v>
      </c>
      <c r="F22" s="36">
        <v>19</v>
      </c>
      <c r="G22" s="22" t="e">
        <f>+#REF!+F22</f>
        <v>#REF!</v>
      </c>
      <c r="H22" s="36">
        <v>14</v>
      </c>
      <c r="I22" s="22" t="e">
        <f t="shared" ref="I22" si="2">+G22+H22</f>
        <v>#REF!</v>
      </c>
      <c r="J22" s="36">
        <v>17</v>
      </c>
      <c r="K22" s="22" t="e">
        <f>+I22+J22</f>
        <v>#REF!</v>
      </c>
      <c r="L22" s="32" t="e">
        <f>K20/E20</f>
        <v>#REF!</v>
      </c>
    </row>
    <row r="23" spans="1:12" s="5" customFormat="1" ht="22.9" customHeight="1">
      <c r="A23" s="87"/>
      <c r="B23" s="62"/>
      <c r="C23" s="59"/>
      <c r="D23" s="43"/>
      <c r="E23" s="24" t="s">
        <v>20</v>
      </c>
      <c r="F23" s="24" t="s">
        <v>20</v>
      </c>
      <c r="G23" s="25" t="s">
        <v>20</v>
      </c>
      <c r="H23" s="24" t="s">
        <v>20</v>
      </c>
      <c r="I23" s="25" t="s">
        <v>20</v>
      </c>
      <c r="J23" s="24" t="s">
        <v>20</v>
      </c>
      <c r="K23" s="25" t="s">
        <v>20</v>
      </c>
      <c r="L23" s="31"/>
    </row>
    <row r="24" spans="1:12" s="5" customFormat="1" ht="22.9" customHeight="1" thickBot="1">
      <c r="A24" s="88"/>
      <c r="B24" s="63"/>
      <c r="C24" s="60"/>
      <c r="D24" s="64"/>
      <c r="E24" s="20">
        <v>84</v>
      </c>
      <c r="F24" s="33">
        <v>84</v>
      </c>
      <c r="G24" s="28">
        <v>84</v>
      </c>
      <c r="H24" s="33">
        <v>84</v>
      </c>
      <c r="I24" s="28">
        <v>84</v>
      </c>
      <c r="J24" s="33">
        <v>84</v>
      </c>
      <c r="K24" s="28">
        <v>84</v>
      </c>
      <c r="L24" s="34"/>
    </row>
    <row r="25" spans="1:12" s="5" customFormat="1" ht="22.9" customHeight="1" thickTop="1">
      <c r="A25" s="86" t="s">
        <v>26</v>
      </c>
      <c r="B25" s="39" t="s">
        <v>27</v>
      </c>
      <c r="C25" s="58" t="s">
        <v>28</v>
      </c>
      <c r="D25" s="50" t="s">
        <v>29</v>
      </c>
      <c r="E25" s="12" t="s">
        <v>17</v>
      </c>
      <c r="F25" s="12" t="s">
        <v>17</v>
      </c>
      <c r="G25" s="13" t="s">
        <v>17</v>
      </c>
      <c r="H25" s="12" t="s">
        <v>17</v>
      </c>
      <c r="I25" s="13" t="s">
        <v>17</v>
      </c>
      <c r="J25" s="12" t="s">
        <v>17</v>
      </c>
      <c r="K25" s="13" t="s">
        <v>17</v>
      </c>
      <c r="L25" s="14"/>
    </row>
    <row r="26" spans="1:12" s="5" customFormat="1" ht="22.9" customHeight="1">
      <c r="A26" s="87"/>
      <c r="B26" s="40"/>
      <c r="C26" s="59"/>
      <c r="D26" s="51"/>
      <c r="E26" s="35">
        <f t="shared" ref="E26:K26" si="3">IF(E28&lt;&gt;0,+E28/E30,0%)</f>
        <v>1</v>
      </c>
      <c r="F26" s="15">
        <f t="shared" si="3"/>
        <v>0.33333333333333331</v>
      </c>
      <c r="G26" s="16" t="e">
        <f t="shared" si="3"/>
        <v>#REF!</v>
      </c>
      <c r="H26" s="15">
        <f t="shared" si="3"/>
        <v>0</v>
      </c>
      <c r="I26" s="16" t="e">
        <f t="shared" si="3"/>
        <v>#REF!</v>
      </c>
      <c r="J26" s="15">
        <f t="shared" si="3"/>
        <v>0</v>
      </c>
      <c r="K26" s="16" t="e">
        <f t="shared" si="3"/>
        <v>#REF!</v>
      </c>
      <c r="L26" s="17"/>
    </row>
    <row r="27" spans="1:12" s="5" customFormat="1" ht="22.9" customHeight="1" thickBot="1">
      <c r="A27" s="87"/>
      <c r="B27" s="40"/>
      <c r="C27" s="59"/>
      <c r="D27" s="52"/>
      <c r="E27" s="18" t="s">
        <v>18</v>
      </c>
      <c r="F27" s="18" t="s">
        <v>18</v>
      </c>
      <c r="G27" s="19" t="s">
        <v>18</v>
      </c>
      <c r="H27" s="18" t="s">
        <v>18</v>
      </c>
      <c r="I27" s="19" t="s">
        <v>18</v>
      </c>
      <c r="J27" s="18" t="s">
        <v>18</v>
      </c>
      <c r="K27" s="19" t="s">
        <v>18</v>
      </c>
      <c r="L27" s="17"/>
    </row>
    <row r="28" spans="1:12" s="5" customFormat="1" ht="22.9" customHeight="1" thickTop="1">
      <c r="A28" s="87"/>
      <c r="B28" s="40"/>
      <c r="C28" s="59"/>
      <c r="D28" s="51" t="s">
        <v>30</v>
      </c>
      <c r="E28" s="20">
        <v>3</v>
      </c>
      <c r="F28" s="21">
        <v>1</v>
      </c>
      <c r="G28" s="22" t="e">
        <f>+#REF!+F28</f>
        <v>#REF!</v>
      </c>
      <c r="H28" s="21"/>
      <c r="I28" s="22" t="e">
        <f t="shared" ref="I28:K28" si="4">+G28+H28</f>
        <v>#REF!</v>
      </c>
      <c r="J28" s="21"/>
      <c r="K28" s="22" t="e">
        <f t="shared" si="4"/>
        <v>#REF!</v>
      </c>
      <c r="L28" s="23" t="e">
        <f>K26/E26</f>
        <v>#REF!</v>
      </c>
    </row>
    <row r="29" spans="1:12" s="5" customFormat="1" ht="22.9" customHeight="1">
      <c r="A29" s="87"/>
      <c r="B29" s="40"/>
      <c r="C29" s="59"/>
      <c r="D29" s="51"/>
      <c r="E29" s="24" t="s">
        <v>20</v>
      </c>
      <c r="F29" s="24" t="s">
        <v>20</v>
      </c>
      <c r="G29" s="25" t="s">
        <v>20</v>
      </c>
      <c r="H29" s="24" t="s">
        <v>20</v>
      </c>
      <c r="I29" s="25" t="s">
        <v>20</v>
      </c>
      <c r="J29" s="24" t="s">
        <v>20</v>
      </c>
      <c r="K29" s="25" t="s">
        <v>20</v>
      </c>
      <c r="L29" s="17"/>
    </row>
    <row r="30" spans="1:12" s="5" customFormat="1" ht="22.9" customHeight="1" thickBot="1">
      <c r="A30" s="88"/>
      <c r="B30" s="41"/>
      <c r="C30" s="60"/>
      <c r="D30" s="52"/>
      <c r="E30" s="26">
        <v>3</v>
      </c>
      <c r="F30" s="27">
        <v>3</v>
      </c>
      <c r="G30" s="28">
        <v>3</v>
      </c>
      <c r="H30" s="27">
        <v>3</v>
      </c>
      <c r="I30" s="28">
        <v>3</v>
      </c>
      <c r="J30" s="27">
        <v>3</v>
      </c>
      <c r="K30" s="28">
        <v>3</v>
      </c>
      <c r="L30" s="29"/>
    </row>
    <row r="31" spans="1:12" s="37" customFormat="1" ht="22.9" customHeight="1" thickTop="1">
      <c r="A31" s="86" t="s">
        <v>31</v>
      </c>
      <c r="B31" s="55" t="s">
        <v>32</v>
      </c>
      <c r="C31" s="55" t="s">
        <v>33</v>
      </c>
      <c r="D31" s="47" t="s">
        <v>34</v>
      </c>
      <c r="E31" s="12" t="s">
        <v>17</v>
      </c>
      <c r="F31" s="12" t="s">
        <v>17</v>
      </c>
      <c r="G31" s="13" t="s">
        <v>17</v>
      </c>
      <c r="H31" s="12" t="s">
        <v>17</v>
      </c>
      <c r="I31" s="13" t="s">
        <v>17</v>
      </c>
      <c r="J31" s="12" t="s">
        <v>17</v>
      </c>
      <c r="K31" s="13" t="s">
        <v>17</v>
      </c>
      <c r="L31" s="14"/>
    </row>
    <row r="32" spans="1:12" s="37" customFormat="1" ht="22.9" customHeight="1">
      <c r="A32" s="87"/>
      <c r="B32" s="56"/>
      <c r="C32" s="56"/>
      <c r="D32" s="53"/>
      <c r="E32" s="35">
        <f t="shared" ref="E32:K32" si="5">IF(E34&lt;&gt;0,+E34/E36,0%)</f>
        <v>0.66666666666666663</v>
      </c>
      <c r="F32" s="15">
        <f t="shared" si="5"/>
        <v>0.66666666666666663</v>
      </c>
      <c r="G32" s="16" t="e">
        <f t="shared" si="5"/>
        <v>#REF!</v>
      </c>
      <c r="H32" s="15">
        <f t="shared" si="5"/>
        <v>0.66666666666666663</v>
      </c>
      <c r="I32" s="16" t="e">
        <f t="shared" si="5"/>
        <v>#REF!</v>
      </c>
      <c r="J32" s="15">
        <f t="shared" si="5"/>
        <v>0.66666666666666663</v>
      </c>
      <c r="K32" s="16" t="e">
        <f t="shared" si="5"/>
        <v>#REF!</v>
      </c>
      <c r="L32" s="17"/>
    </row>
    <row r="33" spans="1:13" s="37" customFormat="1" ht="22.9" customHeight="1" thickBot="1">
      <c r="A33" s="87"/>
      <c r="B33" s="56"/>
      <c r="C33" s="56"/>
      <c r="D33" s="54"/>
      <c r="E33" s="18" t="s">
        <v>18</v>
      </c>
      <c r="F33" s="18" t="s">
        <v>18</v>
      </c>
      <c r="G33" s="19" t="s">
        <v>18</v>
      </c>
      <c r="H33" s="18" t="s">
        <v>18</v>
      </c>
      <c r="I33" s="19" t="s">
        <v>18</v>
      </c>
      <c r="J33" s="18" t="s">
        <v>18</v>
      </c>
      <c r="K33" s="19" t="s">
        <v>18</v>
      </c>
      <c r="L33" s="17"/>
    </row>
    <row r="34" spans="1:13" s="37" customFormat="1" ht="22.9" customHeight="1" thickTop="1">
      <c r="A34" s="87"/>
      <c r="B34" s="56"/>
      <c r="C34" s="56"/>
      <c r="D34" s="47" t="s">
        <v>35</v>
      </c>
      <c r="E34" s="20">
        <v>2</v>
      </c>
      <c r="F34" s="36">
        <v>2</v>
      </c>
      <c r="G34" s="22" t="e">
        <f>+#REF!+F34</f>
        <v>#REF!</v>
      </c>
      <c r="H34" s="36">
        <v>2</v>
      </c>
      <c r="I34" s="22" t="e">
        <f>+G34+H34</f>
        <v>#REF!</v>
      </c>
      <c r="J34" s="36">
        <v>2</v>
      </c>
      <c r="K34" s="22" t="e">
        <f>+I34+J34</f>
        <v>#REF!</v>
      </c>
      <c r="L34" s="23" t="e">
        <f>K32/E32</f>
        <v>#REF!</v>
      </c>
    </row>
    <row r="35" spans="1:13" s="37" customFormat="1" ht="22.9" customHeight="1">
      <c r="A35" s="87"/>
      <c r="B35" s="56"/>
      <c r="C35" s="56"/>
      <c r="D35" s="48"/>
      <c r="E35" s="24" t="s">
        <v>20</v>
      </c>
      <c r="F35" s="24" t="s">
        <v>20</v>
      </c>
      <c r="G35" s="25" t="s">
        <v>20</v>
      </c>
      <c r="H35" s="24" t="s">
        <v>20</v>
      </c>
      <c r="I35" s="25" t="s">
        <v>20</v>
      </c>
      <c r="J35" s="24" t="s">
        <v>20</v>
      </c>
      <c r="K35" s="25" t="s">
        <v>20</v>
      </c>
      <c r="L35" s="17"/>
    </row>
    <row r="36" spans="1:13" s="37" customFormat="1" ht="22.9" customHeight="1" thickBot="1">
      <c r="A36" s="88"/>
      <c r="B36" s="57"/>
      <c r="C36" s="57"/>
      <c r="D36" s="49"/>
      <c r="E36" s="26">
        <v>3</v>
      </c>
      <c r="F36" s="33">
        <v>3</v>
      </c>
      <c r="G36" s="28">
        <v>3</v>
      </c>
      <c r="H36" s="33">
        <v>3</v>
      </c>
      <c r="I36" s="28">
        <v>3</v>
      </c>
      <c r="J36" s="33">
        <v>3</v>
      </c>
      <c r="K36" s="28">
        <v>3</v>
      </c>
      <c r="L36" s="29"/>
    </row>
    <row r="37" spans="1:13" s="5" customFormat="1" ht="22.9" customHeight="1" thickTop="1">
      <c r="A37" s="86" t="s">
        <v>36</v>
      </c>
      <c r="B37" s="39" t="s">
        <v>37</v>
      </c>
      <c r="C37" s="42" t="s">
        <v>38</v>
      </c>
      <c r="D37" s="43" t="s">
        <v>39</v>
      </c>
      <c r="E37" s="12" t="s">
        <v>17</v>
      </c>
      <c r="F37" s="12" t="s">
        <v>17</v>
      </c>
      <c r="G37" s="13" t="s">
        <v>17</v>
      </c>
      <c r="H37" s="12" t="s">
        <v>17</v>
      </c>
      <c r="I37" s="13" t="s">
        <v>17</v>
      </c>
      <c r="J37" s="12" t="s">
        <v>17</v>
      </c>
      <c r="K37" s="13" t="s">
        <v>17</v>
      </c>
      <c r="L37" s="14"/>
    </row>
    <row r="38" spans="1:13" s="5" customFormat="1" ht="22.9" customHeight="1">
      <c r="A38" s="87"/>
      <c r="B38" s="40"/>
      <c r="C38" s="92"/>
      <c r="D38" s="44"/>
      <c r="E38" s="35">
        <f>IF(E40&lt;&gt;0,+E40/E42,0%)</f>
        <v>1</v>
      </c>
      <c r="F38" s="15">
        <f t="shared" ref="F38:H38" si="6">IF(F40&lt;&gt;0,+F40/F42,0%)</f>
        <v>0</v>
      </c>
      <c r="G38" s="16" t="e">
        <f t="shared" si="6"/>
        <v>#REF!</v>
      </c>
      <c r="H38" s="15">
        <f t="shared" si="6"/>
        <v>0.33333333333333331</v>
      </c>
      <c r="I38" s="16" t="e">
        <f>IF(I40&lt;&gt;0,+I40/I42,0%)</f>
        <v>#REF!</v>
      </c>
      <c r="J38" s="15">
        <f t="shared" ref="J38" si="7">IF(J40&lt;&gt;0,+J40/J42,0%)</f>
        <v>0</v>
      </c>
      <c r="K38" s="16" t="e">
        <f>IF(K40&lt;&gt;0,+K40/K42,0%)</f>
        <v>#REF!</v>
      </c>
      <c r="L38" s="17"/>
    </row>
    <row r="39" spans="1:13" s="5" customFormat="1" ht="22.9" customHeight="1" thickBot="1">
      <c r="A39" s="87"/>
      <c r="B39" s="40"/>
      <c r="C39" s="92"/>
      <c r="D39" s="45"/>
      <c r="E39" s="18" t="s">
        <v>18</v>
      </c>
      <c r="F39" s="18" t="s">
        <v>18</v>
      </c>
      <c r="G39" s="19" t="s">
        <v>18</v>
      </c>
      <c r="H39" s="18" t="s">
        <v>18</v>
      </c>
      <c r="I39" s="19" t="s">
        <v>18</v>
      </c>
      <c r="J39" s="18" t="s">
        <v>18</v>
      </c>
      <c r="K39" s="19" t="s">
        <v>18</v>
      </c>
      <c r="L39" s="17"/>
    </row>
    <row r="40" spans="1:13" s="5" customFormat="1" ht="22.9" customHeight="1" thickTop="1">
      <c r="A40" s="87"/>
      <c r="B40" s="40"/>
      <c r="C40" s="92"/>
      <c r="D40" s="46" t="s">
        <v>40</v>
      </c>
      <c r="E40" s="20">
        <v>6</v>
      </c>
      <c r="F40" s="21">
        <v>0</v>
      </c>
      <c r="G40" s="22" t="e">
        <f>+#REF!+F40</f>
        <v>#REF!</v>
      </c>
      <c r="H40" s="21">
        <v>2</v>
      </c>
      <c r="I40" s="22" t="e">
        <f t="shared" ref="I40" si="8">+G40+H40</f>
        <v>#REF!</v>
      </c>
      <c r="J40" s="21">
        <v>0</v>
      </c>
      <c r="K40" s="22" t="e">
        <f t="shared" ref="K40" si="9">+I40+J40</f>
        <v>#REF!</v>
      </c>
      <c r="L40" s="23" t="e">
        <f>+K38/E38</f>
        <v>#REF!</v>
      </c>
    </row>
    <row r="41" spans="1:13" s="5" customFormat="1" ht="22.9" customHeight="1">
      <c r="A41" s="87"/>
      <c r="B41" s="40"/>
      <c r="C41" s="92"/>
      <c r="D41" s="43"/>
      <c r="E41" s="24" t="s">
        <v>20</v>
      </c>
      <c r="F41" s="24" t="s">
        <v>20</v>
      </c>
      <c r="G41" s="25" t="s">
        <v>20</v>
      </c>
      <c r="H41" s="24" t="s">
        <v>20</v>
      </c>
      <c r="I41" s="25" t="s">
        <v>20</v>
      </c>
      <c r="J41" s="24" t="s">
        <v>20</v>
      </c>
      <c r="K41" s="25" t="s">
        <v>20</v>
      </c>
      <c r="L41" s="17"/>
    </row>
    <row r="42" spans="1:13" s="5" customFormat="1" ht="22.9" customHeight="1" thickBot="1">
      <c r="A42" s="88"/>
      <c r="B42" s="41"/>
      <c r="C42" s="93"/>
      <c r="D42" s="45"/>
      <c r="E42" s="20">
        <v>6</v>
      </c>
      <c r="F42" s="27">
        <v>6</v>
      </c>
      <c r="G42" s="28">
        <v>6</v>
      </c>
      <c r="H42" s="27">
        <v>6</v>
      </c>
      <c r="I42" s="28">
        <v>6</v>
      </c>
      <c r="J42" s="27">
        <v>6</v>
      </c>
      <c r="K42" s="28">
        <v>6</v>
      </c>
      <c r="L42" s="29"/>
    </row>
    <row r="43" spans="1:13" s="5" customFormat="1" ht="22.9" customHeight="1" thickTop="1">
      <c r="A43" s="86" t="s">
        <v>41</v>
      </c>
      <c r="B43" s="39" t="s">
        <v>42</v>
      </c>
      <c r="C43" s="42" t="s">
        <v>43</v>
      </c>
      <c r="D43" s="43" t="s">
        <v>44</v>
      </c>
      <c r="E43" s="12" t="s">
        <v>17</v>
      </c>
      <c r="F43" s="12" t="s">
        <v>17</v>
      </c>
      <c r="G43" s="13" t="s">
        <v>17</v>
      </c>
      <c r="H43" s="12" t="s">
        <v>17</v>
      </c>
      <c r="I43" s="13" t="s">
        <v>17</v>
      </c>
      <c r="J43" s="12" t="s">
        <v>17</v>
      </c>
      <c r="K43" s="13" t="s">
        <v>17</v>
      </c>
      <c r="L43" s="14"/>
    </row>
    <row r="44" spans="1:13" s="5" customFormat="1" ht="22.9" customHeight="1">
      <c r="A44" s="87"/>
      <c r="B44" s="40"/>
      <c r="C44" s="92"/>
      <c r="D44" s="44"/>
      <c r="E44" s="35">
        <f>IF(E46&lt;&gt;0,+E46/E48,0%)</f>
        <v>1</v>
      </c>
      <c r="F44" s="15">
        <f t="shared" ref="F44:H44" si="10">IF(F46&lt;&gt;0,+F46/F48,0%)</f>
        <v>0.14285714285714285</v>
      </c>
      <c r="G44" s="16" t="e">
        <f t="shared" si="10"/>
        <v>#REF!</v>
      </c>
      <c r="H44" s="15">
        <f t="shared" si="10"/>
        <v>0</v>
      </c>
      <c r="I44" s="16" t="e">
        <f>IF(I46&lt;&gt;0,+I46/I48,0%)</f>
        <v>#REF!</v>
      </c>
      <c r="J44" s="15">
        <f t="shared" ref="J44" si="11">IF(J46&lt;&gt;0,+J46/J48,0%)</f>
        <v>0</v>
      </c>
      <c r="K44" s="16" t="e">
        <f>IF(K46&lt;&gt;0,+K46/K48,0%)</f>
        <v>#REF!</v>
      </c>
      <c r="L44" s="17"/>
    </row>
    <row r="45" spans="1:13" s="5" customFormat="1" ht="22.9" customHeight="1" thickBot="1">
      <c r="A45" s="87"/>
      <c r="B45" s="40"/>
      <c r="C45" s="92"/>
      <c r="D45" s="45"/>
      <c r="E45" s="18" t="s">
        <v>18</v>
      </c>
      <c r="F45" s="18" t="s">
        <v>18</v>
      </c>
      <c r="G45" s="19" t="s">
        <v>18</v>
      </c>
      <c r="H45" s="18" t="s">
        <v>18</v>
      </c>
      <c r="I45" s="19" t="s">
        <v>18</v>
      </c>
      <c r="J45" s="18" t="s">
        <v>18</v>
      </c>
      <c r="K45" s="19" t="s">
        <v>18</v>
      </c>
      <c r="L45" s="17"/>
    </row>
    <row r="46" spans="1:13" s="5" customFormat="1" ht="22.9" customHeight="1" thickTop="1">
      <c r="A46" s="87"/>
      <c r="B46" s="40"/>
      <c r="C46" s="92"/>
      <c r="D46" s="46" t="s">
        <v>45</v>
      </c>
      <c r="E46" s="20">
        <v>7</v>
      </c>
      <c r="F46" s="21">
        <v>1</v>
      </c>
      <c r="G46" s="22" t="e">
        <f>+#REF!+F46</f>
        <v>#REF!</v>
      </c>
      <c r="H46" s="21"/>
      <c r="I46" s="22" t="e">
        <f t="shared" ref="I46" si="12">+G46+H46</f>
        <v>#REF!</v>
      </c>
      <c r="J46" s="21"/>
      <c r="K46" s="22" t="e">
        <f t="shared" ref="K46" si="13">+I46+J46</f>
        <v>#REF!</v>
      </c>
      <c r="L46" s="23" t="e">
        <f>+K44/E44</f>
        <v>#REF!</v>
      </c>
    </row>
    <row r="47" spans="1:13" s="5" customFormat="1" ht="22.9" customHeight="1">
      <c r="A47" s="87"/>
      <c r="B47" s="40"/>
      <c r="C47" s="92"/>
      <c r="D47" s="43"/>
      <c r="E47" s="24" t="s">
        <v>20</v>
      </c>
      <c r="F47" s="24" t="s">
        <v>20</v>
      </c>
      <c r="G47" s="25" t="s">
        <v>20</v>
      </c>
      <c r="H47" s="24" t="s">
        <v>20</v>
      </c>
      <c r="I47" s="25" t="s">
        <v>20</v>
      </c>
      <c r="J47" s="24" t="s">
        <v>20</v>
      </c>
      <c r="K47" s="25" t="s">
        <v>20</v>
      </c>
      <c r="L47" s="17"/>
    </row>
    <row r="48" spans="1:13" s="5" customFormat="1" ht="22.9" customHeight="1" thickBot="1">
      <c r="A48" s="88"/>
      <c r="B48" s="41"/>
      <c r="C48" s="93"/>
      <c r="D48" s="45"/>
      <c r="E48" s="38">
        <v>7</v>
      </c>
      <c r="F48" s="27">
        <v>7</v>
      </c>
      <c r="G48" s="28">
        <v>7</v>
      </c>
      <c r="H48" s="27">
        <v>7</v>
      </c>
      <c r="I48" s="28">
        <v>7</v>
      </c>
      <c r="J48" s="27">
        <v>7</v>
      </c>
      <c r="K48" s="28">
        <v>7</v>
      </c>
      <c r="L48" s="29"/>
      <c r="M48" s="90"/>
    </row>
    <row r="49" ht="13.5" thickTop="1"/>
  </sheetData>
  <mergeCells count="46">
    <mergeCell ref="A43:A48"/>
    <mergeCell ref="A31:A36"/>
    <mergeCell ref="A11:A12"/>
    <mergeCell ref="A13:A18"/>
    <mergeCell ref="A19:A24"/>
    <mergeCell ref="A25:A30"/>
    <mergeCell ref="A37:A42"/>
    <mergeCell ref="K11:K12"/>
    <mergeCell ref="L11:L12"/>
    <mergeCell ref="H11:H12"/>
    <mergeCell ref="I11:I12"/>
    <mergeCell ref="F11:F12"/>
    <mergeCell ref="G11:G12"/>
    <mergeCell ref="J11:J12"/>
    <mergeCell ref="D1:E5"/>
    <mergeCell ref="E11:E12"/>
    <mergeCell ref="B1:C5"/>
    <mergeCell ref="B11:B12"/>
    <mergeCell ref="C11:C12"/>
    <mergeCell ref="D6:E6"/>
    <mergeCell ref="B6:C6"/>
    <mergeCell ref="D11:D12"/>
    <mergeCell ref="D25:D27"/>
    <mergeCell ref="D28:D30"/>
    <mergeCell ref="D31:D33"/>
    <mergeCell ref="B13:B18"/>
    <mergeCell ref="B31:B36"/>
    <mergeCell ref="C31:C36"/>
    <mergeCell ref="C19:C24"/>
    <mergeCell ref="B25:B30"/>
    <mergeCell ref="C25:C30"/>
    <mergeCell ref="B19:B24"/>
    <mergeCell ref="D19:D21"/>
    <mergeCell ref="D22:D24"/>
    <mergeCell ref="D16:D18"/>
    <mergeCell ref="D13:D15"/>
    <mergeCell ref="C13:C18"/>
    <mergeCell ref="B43:B48"/>
    <mergeCell ref="C43:C48"/>
    <mergeCell ref="D43:D45"/>
    <mergeCell ref="D46:D48"/>
    <mergeCell ref="D34:D36"/>
    <mergeCell ref="B37:B42"/>
    <mergeCell ref="C37:C42"/>
    <mergeCell ref="D37:D39"/>
    <mergeCell ref="D40:D42"/>
  </mergeCells>
  <phoneticPr fontId="5" type="noConversion"/>
  <pageMargins left="0.56999999999999995" right="0.37" top="0.41" bottom="0.47" header="0" footer="0"/>
  <pageSetup paperSize="14" scale="5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2026-02-12T13:03:12Z</dcterms:modified>
  <cp:category/>
  <cp:contentStatus/>
</cp:coreProperties>
</file>