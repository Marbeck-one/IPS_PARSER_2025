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ivisión Planificación y desarrollo/"/>
    </mc:Choice>
  </mc:AlternateContent>
  <xr:revisionPtr revIDLastSave="91" documentId="8_{E6F7BAAE-4641-49C5-A784-3D3DE9207928}" xr6:coauthVersionLast="47" xr6:coauthVersionMax="47" xr10:uidLastSave="{38E157EB-9F6B-4F44-9D94-089F8BAB4420}"/>
  <bookViews>
    <workbookView xWindow="-110" yWindow="-110" windowWidth="19420" windowHeight="11500" xr2:uid="{00000000-000D-0000-FFFF-FFFF00000000}"/>
  </bookViews>
  <sheets>
    <sheet name="CDC 2025" sheetId="1" r:id="rId1"/>
    <sheet name="PMG 2025" sheetId="4" r:id="rId2"/>
    <sheet name="Riesgos 2025" sheetId="2" r:id="rId3"/>
  </sheets>
  <definedNames>
    <definedName name="_xlnm.Print_Area" localSheetId="0">'CDC 2025'!$B$1:$L$24</definedName>
    <definedName name="_xlnm.Print_Area" localSheetId="1">'PMG 2025'!$B$1:$L$11</definedName>
    <definedName name="_xlnm.Print_Area" localSheetId="2">'Riesgos 2025'!$B$1:$L$7</definedName>
    <definedName name="_xlnm.Print_Titles" localSheetId="0">'CDC 2025'!$1:$12</definedName>
    <definedName name="_xlnm.Print_Titles" localSheetId="1">'PMG 2025'!$1:$5</definedName>
    <definedName name="_xlnm.Print_Titles" localSheetId="2">'Riesgos 2025'!$1:$7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I30" i="1"/>
  <c r="H30" i="1"/>
  <c r="G30" i="1"/>
  <c r="F30" i="1"/>
  <c r="G28" i="1"/>
  <c r="G29" i="2"/>
  <c r="I29" i="2" s="1"/>
  <c r="K29" i="2" s="1"/>
  <c r="G23" i="2"/>
  <c r="I23" i="2" s="1"/>
  <c r="K23" i="2" s="1"/>
  <c r="G17" i="2"/>
  <c r="I17" i="2" s="1"/>
  <c r="K17" i="2" s="1"/>
  <c r="G48" i="1" l="1"/>
  <c r="I48" i="1" s="1"/>
  <c r="K48" i="1" s="1"/>
  <c r="J44" i="1"/>
  <c r="H44" i="1"/>
  <c r="F44" i="1"/>
  <c r="E44" i="1"/>
  <c r="G42" i="1"/>
  <c r="I42" i="1" s="1"/>
  <c r="K42" i="1" s="1"/>
  <c r="J38" i="1"/>
  <c r="H38" i="1"/>
  <c r="F38" i="1"/>
  <c r="E38" i="1"/>
  <c r="J27" i="2"/>
  <c r="H27" i="2"/>
  <c r="F27" i="2"/>
  <c r="E27" i="2"/>
  <c r="J21" i="2"/>
  <c r="H21" i="2"/>
  <c r="F21" i="2"/>
  <c r="E21" i="2"/>
  <c r="J15" i="2"/>
  <c r="H15" i="2"/>
  <c r="F15" i="2"/>
  <c r="E15" i="2"/>
  <c r="J9" i="2"/>
  <c r="H9" i="2"/>
  <c r="F9" i="2"/>
  <c r="E9" i="2"/>
  <c r="G46" i="1" l="1"/>
  <c r="G21" i="2"/>
  <c r="G11" i="2"/>
  <c r="G44" i="1" l="1"/>
  <c r="I46" i="1"/>
  <c r="G40" i="1"/>
  <c r="G27" i="2"/>
  <c r="K21" i="2"/>
  <c r="L23" i="2" s="1"/>
  <c r="I21" i="2"/>
  <c r="G15" i="2"/>
  <c r="I11" i="2"/>
  <c r="G9" i="2"/>
  <c r="I44" i="1" l="1"/>
  <c r="K46" i="1"/>
  <c r="K44" i="1" s="1"/>
  <c r="L46" i="1" s="1"/>
  <c r="G38" i="1"/>
  <c r="I40" i="1"/>
  <c r="K27" i="2"/>
  <c r="L29" i="2" s="1"/>
  <c r="I27" i="2"/>
  <c r="K15" i="2"/>
  <c r="L17" i="2" s="1"/>
  <c r="I15" i="2"/>
  <c r="K11" i="2"/>
  <c r="K9" i="2" s="1"/>
  <c r="L11" i="2" s="1"/>
  <c r="I9" i="2"/>
  <c r="I38" i="1" l="1"/>
  <c r="K40" i="1"/>
  <c r="K38" i="1" s="1"/>
  <c r="L40" i="1" s="1"/>
  <c r="G11" i="4" l="1"/>
  <c r="I11" i="4" s="1"/>
  <c r="K11" i="4" s="1"/>
  <c r="J7" i="4"/>
  <c r="H7" i="4"/>
  <c r="F7" i="4"/>
  <c r="E7" i="4"/>
  <c r="G9" i="4" l="1"/>
  <c r="G7" i="4" l="1"/>
  <c r="I9" i="4"/>
  <c r="I7" i="4" l="1"/>
  <c r="K9" i="4"/>
  <c r="K7" i="4" s="1"/>
  <c r="L9" i="4" s="1"/>
  <c r="G36" i="1" l="1"/>
  <c r="I36" i="1" s="1"/>
  <c r="K36" i="1" s="1"/>
  <c r="G34" i="1"/>
  <c r="I34" i="1" s="1"/>
  <c r="K34" i="1" s="1"/>
  <c r="I28" i="1"/>
  <c r="K28" i="1" s="1"/>
  <c r="G24" i="1"/>
  <c r="I24" i="1" s="1"/>
  <c r="K24" i="1" s="1"/>
  <c r="G22" i="1"/>
  <c r="I22" i="1" s="1"/>
  <c r="K22" i="1" s="1"/>
  <c r="G18" i="1"/>
  <c r="I18" i="1" s="1"/>
  <c r="K18" i="1" s="1"/>
  <c r="G16" i="1"/>
  <c r="I16" i="1" s="1"/>
  <c r="K16" i="1" s="1"/>
  <c r="J32" i="1" l="1"/>
  <c r="E32" i="1"/>
  <c r="H26" i="1"/>
  <c r="J26" i="1"/>
  <c r="E26" i="1"/>
  <c r="J20" i="1"/>
  <c r="F20" i="1"/>
  <c r="E20" i="1"/>
  <c r="F14" i="1"/>
  <c r="J14" i="1"/>
  <c r="E14" i="1"/>
  <c r="H20" i="1" l="1"/>
  <c r="H14" i="1"/>
  <c r="F26" i="1" l="1"/>
  <c r="F32" i="1" l="1"/>
  <c r="G26" i="1" l="1"/>
  <c r="G32" i="1"/>
  <c r="G20" i="1"/>
  <c r="H32" i="1"/>
  <c r="K26" i="1" l="1"/>
  <c r="L28" i="1" s="1"/>
  <c r="I26" i="1"/>
  <c r="K20" i="1"/>
  <c r="L22" i="1" s="1"/>
  <c r="I20" i="1"/>
  <c r="G14" i="1"/>
  <c r="K32" i="1"/>
  <c r="L34" i="1" s="1"/>
  <c r="I32" i="1"/>
  <c r="I14" i="1" l="1"/>
  <c r="K14" i="1"/>
  <c r="L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Marcela Claudia  Castillo Darvich</author>
  </authors>
  <commentList>
    <comment ref="G28" authorId="0" shapeId="0" xr:uid="{CAE91FE9-4540-4677-AE99-52F543CFDB16}">
      <text>
        <r>
          <rPr>
            <sz val="10"/>
            <rFont val="Arial"/>
          </rPr>
          <t xml:space="preserve">Marcela Claudia  Castillo Darvich: El primer hito se cumplió en agosto.
</t>
        </r>
      </text>
    </comment>
  </commentList>
</comments>
</file>

<file path=xl/sharedStrings.xml><?xml version="1.0" encoding="utf-8"?>
<sst xmlns="http://schemas.openxmlformats.org/spreadsheetml/2006/main" count="324" uniqueCount="62">
  <si>
    <t>DIVISIÓN PLANIFICACIÓN Y DESARROLLO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</si>
  <si>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</si>
  <si>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</si>
  <si>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</si>
  <si>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</si>
  <si>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</si>
  <si>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</si>
  <si>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</si>
  <si>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</si>
  <si>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</si>
  <si>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</si>
  <si>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</si>
  <si>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</si>
  <si>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5.4.1.61</t>
  </si>
  <si>
    <r>
      <t xml:space="preserve">1) Eficacia/Proceso
</t>
    </r>
    <r>
      <rPr>
        <sz val="8"/>
        <rFont val="Arial Narrow"/>
        <family val="2"/>
      </rPr>
      <t xml:space="preserve">Porcentaje de hitos cumplidos del Plan Anual de Acción para el mejoramiento del Sistema de Informacón de Gestión Institucional en el año t 
</t>
    </r>
  </si>
  <si>
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</si>
  <si>
    <t xml:space="preserve">(Sumatoria de hitos cumplidos del Plan Anual de acción para el mejoramiento del Sistema de Información de Gestión Institucional </t>
  </si>
  <si>
    <t xml:space="preserve">Valor indicador=   </t>
  </si>
  <si>
    <t xml:space="preserve">Operando 1=   </t>
  </si>
  <si>
    <t>N° total de hitos cumplidos del Plan de acción para el mejoramiento del Sistema de Información de Gestión Institucional en el año t)*100</t>
  </si>
  <si>
    <t xml:space="preserve">Operando 2=    </t>
  </si>
  <si>
    <t>5.4.1.46</t>
  </si>
  <si>
    <r>
      <t xml:space="preserve">2) Eficacia/Proceso
</t>
    </r>
    <r>
      <rPr>
        <sz val="8"/>
        <rFont val="Arial Narrow"/>
        <family val="2"/>
      </rPr>
      <t>Porcentaje de medidas para la igualdad de género del Programa de Trabajo implementadas en el año (CDC)</t>
    </r>
    <r>
      <rPr>
        <b/>
        <u/>
        <sz val="8"/>
        <rFont val="Arial Narrow"/>
        <family val="2"/>
      </rPr>
      <t xml:space="preserve">
</t>
    </r>
  </si>
  <si>
    <t xml:space="preserve">(Número  de medidas  para  la igualdad de género del Programa de Trabajo implementadas en  el año t / N° de medidas  para la igualdad de género comprometidas para el año t en el Programa de Trabajo)* 100
</t>
  </si>
  <si>
    <t xml:space="preserve">(Número  de medidas  para  la igualdad de género del Programa de Trabajo implementadas en  el año t  </t>
  </si>
  <si>
    <t xml:space="preserve">N° de medidas  para la igualdad de género comprometidas para el año t en el Programa de Trabajo)* 100
</t>
  </si>
  <si>
    <t>5.4.2.21</t>
  </si>
  <si>
    <r>
      <t xml:space="preserve">5) Eficacia/Proceso
</t>
    </r>
    <r>
      <rPr>
        <sz val="8"/>
        <rFont val="Arial Narrow"/>
        <family val="2"/>
      </rPr>
      <t>Porcentaje de hitos cumplidos del plan anual de instalación de una cultura y prácticas de innovación realizadas en el año t.</t>
    </r>
  </si>
  <si>
    <t>(Nº de hitos cumplidos del plan anual de instalación de una cultura y prácticas de innovación en el año t / Nº de hitos del plan anual de instalación de una cultura y prácticas de innovación planificados en el año t)*100</t>
  </si>
  <si>
    <t>(Nº de hitos cumplidos del plan anual de instalación de una cultura y prácticas de innovación en el año t</t>
  </si>
  <si>
    <t>Nº de hitos del plan anual de instalación de una cultura y prácticas de innovación planificados en el año t)*100</t>
  </si>
  <si>
    <t>5.4.1.91</t>
  </si>
  <si>
    <r>
      <t xml:space="preserve">6) Eficacia/Proceso
</t>
    </r>
    <r>
      <rPr>
        <sz val="8"/>
        <rFont val="Arial Narrow"/>
        <family val="2"/>
      </rPr>
      <t xml:space="preserve">Porcentaje de documentos revisados en un plazo máximo de 10 días hábiles en el año t </t>
    </r>
  </si>
  <si>
    <t>(Sumatoria de documentos revisados en un plazo máximo de 10 días hábiles en el año t   / Número total de documentos revisados en el año t) * 100</t>
  </si>
  <si>
    <t>(Sumatoria de documentos revisados en un plazo máximo de 10 días hábiles en el año t</t>
  </si>
  <si>
    <t>Número total de documentos revisados en el año t) * 100</t>
  </si>
  <si>
    <t>5.4.1.92</t>
  </si>
  <si>
    <r>
      <t xml:space="preserve">6) Eficacia/Proceso
</t>
    </r>
    <r>
      <rPr>
        <sz val="8"/>
        <rFont val="Arial Narrow"/>
        <family val="2"/>
      </rPr>
      <t xml:space="preserve">Porcentaje de hitos cumplidos del plan anual de acción para el fortalecimiento de la oficina de gestión de proyectos en el año t </t>
    </r>
  </si>
  <si>
    <t>(Sumatoria de hitos cumplidos del plan anual de acción para el fortalecimiento de la oficina de gestión de proyectos en el año t / N° total de hitos del plan de acción para el fortalecimiento de la oficina de gestión de proyectos en el año t) *100</t>
  </si>
  <si>
    <t>(Sumatoria de hitos cumplidos del plan anual de acción para el fortalecimiento de la oficina de gestión de proyectos en el año t</t>
  </si>
  <si>
    <t>N° total de hitos del plan de acción para el fortalecimiento de la oficina de gestión de proyectos en el año t) *100</t>
  </si>
  <si>
    <t>5.4.1.93</t>
  </si>
  <si>
    <r>
      <t xml:space="preserve">6) Eficacia/Proceso
</t>
    </r>
    <r>
      <rPr>
        <sz val="8"/>
        <rFont val="Arial Narrow"/>
        <family val="2"/>
      </rPr>
      <t>Porcentaje de actividades cumplidos del Plan de Monitoreo y Control de Riesgos (PMCR) nuevos, emergentes y materializados en macroprocesos priorizados en año t.</t>
    </r>
  </si>
  <si>
    <t>(Nº de actividades cumplidos del PMCR nuevos, emergentes y materializados en macroprocesos priorizados en el año t / N° total de actividades programados en el PMCR nuevos, emergentes y materializados en macroprocesos priorizados en el año t) *100</t>
  </si>
  <si>
    <t>(Nº de actividades cumplidos del PMCR nuevos, emergentes y materializados en macroprocesos priorizados en el año t</t>
  </si>
  <si>
    <t>N° total de actividades programados en el PMCR nuevos, emergentes y materializados en macroprocesos priorizados en el año t) *100</t>
  </si>
  <si>
    <t>5.4.1.71</t>
  </si>
  <si>
    <r>
      <t xml:space="preserve">2) Eficacia/Proceso
</t>
    </r>
    <r>
      <rPr>
        <sz val="8"/>
        <rFont val="Arial Narrow"/>
        <family val="2"/>
      </rPr>
      <t>Medidas de equidad de Género (PMG)</t>
    </r>
  </si>
  <si>
    <t>(Número de medidas para la igualdad de género implementadas en el año t / Número total de medidas para la igualdad de género establecidas en el programa de marco del año t)*100</t>
  </si>
  <si>
    <t>Número de medidas para la igualdad de género implementadas en el año t</t>
  </si>
  <si>
    <t>Número total de medidas para la igualdad de género establecidas en el programa de marco del año t)*100</t>
  </si>
  <si>
    <t>5.4.1.83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</si>
  <si>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Reportes Trimestrales de riesgos enviados oportunamente al Depto. Gestión Integral de Riesgos en el año t (División Beneficios)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</si>
  <si>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</si>
  <si>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</si>
  <si>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</si>
  <si>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5.4.1.76</t>
  </si>
  <si>
    <r>
      <rPr>
        <b/>
        <u/>
        <sz val="8"/>
        <rFont val="Arial Narrow"/>
        <family val="2"/>
      </rPr>
      <t>Eficacia/Proceso</t>
    </r>
    <r>
      <rPr>
        <sz val="8"/>
        <rFont val="Arial Narrow"/>
        <family val="2"/>
      </rPr>
      <t xml:space="preserve">
Porcentaje de Reportes Trimestrales de riesgos enviados oportunamente al Depto. Gestión Integral de Riesgos en el año t (División Informática)</t>
    </r>
  </si>
  <si>
    <t>5.4.1.78</t>
  </si>
  <si>
    <t>Eficacia/Proceso
Porcentaje de Reportes Trimestrales de riesgos enviados oportunamente al Depto. Gestión Integral de Riesgos en el año t (Subdirección de Sistemas de Información y de Administración)</t>
  </si>
  <si>
    <t>5.4.1.77</t>
  </si>
  <si>
    <r>
      <t xml:space="preserve">Eficacia/Proceso
</t>
    </r>
    <r>
      <rPr>
        <sz val="8"/>
        <color theme="1"/>
        <rFont val="Arial Narrow"/>
        <family val="2"/>
      </rPr>
      <t>Porcentaje de Reportes Trimestrales de riesgos enviados oportunamente al Depto. Gestión Integral de Riesgos en el año t (Subdirección de Servicios al Cliente)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</si>
</sst>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6" fillId="0" borderId="0" xfId="0" applyFont="1"/>
    <xf numFmtId="10" fontId="4" fillId="4" borderId="3" xfId="4" applyNumberFormat="1" applyFont="1" applyFill="1" applyBorder="1" applyAlignment="1" applyProtection="1">
      <alignment vertical="center"/>
    </xf>
    <xf numFmtId="10" fontId="4" fillId="3" borderId="4" xfId="4" applyNumberFormat="1" applyFont="1" applyFill="1" applyBorder="1" applyAlignment="1" applyProtection="1">
      <alignment vertical="center"/>
    </xf>
    <xf numFmtId="3" fontId="4" fillId="4" borderId="3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0" fontId="4" fillId="4" borderId="3" xfId="4" applyNumberFormat="1" applyFont="1" applyFill="1" applyBorder="1" applyAlignment="1" applyProtection="1">
      <alignment horizontal="right" vertical="center"/>
    </xf>
    <xf numFmtId="0" fontId="4" fillId="0" borderId="9" xfId="0" applyFont="1" applyBorder="1"/>
    <xf numFmtId="10" fontId="3" fillId="0" borderId="3" xfId="4" applyNumberFormat="1" applyFont="1" applyFill="1" applyBorder="1" applyAlignment="1" applyProtection="1">
      <alignment horizontal="right" vertical="center"/>
    </xf>
    <xf numFmtId="10" fontId="4" fillId="0" borderId="3" xfId="4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9" fontId="3" fillId="0" borderId="3" xfId="4" applyFont="1" applyFill="1" applyBorder="1" applyAlignment="1" applyProtection="1">
      <alignment horizontal="right" vertical="center"/>
    </xf>
    <xf numFmtId="9" fontId="4" fillId="0" borderId="3" xfId="4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left" vertical="center" wrapText="1"/>
    </xf>
    <xf numFmtId="3" fontId="4" fillId="3" borderId="4" xfId="0" applyNumberFormat="1" applyFont="1" applyFill="1" applyBorder="1" applyAlignment="1">
      <alignment horizontal="left" vertical="center" wrapText="1"/>
    </xf>
    <xf numFmtId="9" fontId="4" fillId="0" borderId="5" xfId="4" applyFont="1" applyFill="1" applyBorder="1" applyAlignment="1">
      <alignment vertical="center"/>
    </xf>
    <xf numFmtId="9" fontId="4" fillId="0" borderId="2" xfId="4" applyFont="1" applyFill="1" applyBorder="1" applyAlignment="1">
      <alignment vertical="center"/>
    </xf>
    <xf numFmtId="9" fontId="4" fillId="0" borderId="4" xfId="4" applyFont="1" applyFill="1" applyBorder="1" applyAlignment="1">
      <alignment vertical="center"/>
    </xf>
    <xf numFmtId="10" fontId="4" fillId="0" borderId="4" xfId="4" applyNumberFormat="1" applyFont="1" applyFill="1" applyBorder="1" applyAlignment="1">
      <alignment horizontal="center" vertical="center"/>
    </xf>
    <xf numFmtId="9" fontId="4" fillId="0" borderId="10" xfId="4" applyFont="1" applyFill="1" applyBorder="1" applyAlignment="1">
      <alignment vertical="center"/>
    </xf>
    <xf numFmtId="3" fontId="4" fillId="5" borderId="5" xfId="0" applyNumberFormat="1" applyFont="1" applyFill="1" applyBorder="1" applyAlignment="1">
      <alignment horizontal="right" vertical="center" wrapText="1"/>
    </xf>
    <xf numFmtId="3" fontId="4" fillId="4" borderId="5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10" fontId="11" fillId="6" borderId="3" xfId="4" applyNumberFormat="1" applyFont="1" applyFill="1" applyBorder="1" applyAlignment="1" applyProtection="1">
      <alignment horizontal="right" vertical="center"/>
    </xf>
    <xf numFmtId="10" fontId="12" fillId="2" borderId="4" xfId="4" applyNumberFormat="1" applyFont="1" applyFill="1" applyBorder="1" applyAlignment="1" applyProtection="1">
      <alignment vertical="center"/>
    </xf>
    <xf numFmtId="0" fontId="12" fillId="0" borderId="3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3" fontId="12" fillId="2" borderId="3" xfId="0" applyNumberFormat="1" applyFont="1" applyFill="1" applyBorder="1" applyAlignment="1">
      <alignment horizontal="right" vertical="center" wrapText="1"/>
    </xf>
    <xf numFmtId="3" fontId="12" fillId="0" borderId="3" xfId="0" applyNumberFormat="1" applyFont="1" applyBorder="1" applyAlignment="1">
      <alignment horizontal="left" vertical="center" wrapText="1"/>
    </xf>
    <xf numFmtId="3" fontId="12" fillId="2" borderId="4" xfId="0" applyNumberFormat="1" applyFont="1" applyFill="1" applyBorder="1" applyAlignment="1">
      <alignment horizontal="left" vertical="center" wrapText="1"/>
    </xf>
    <xf numFmtId="3" fontId="12" fillId="5" borderId="3" xfId="0" applyNumberFormat="1" applyFont="1" applyFill="1" applyBorder="1" applyAlignment="1">
      <alignment horizontal="right" vertical="center" wrapText="1"/>
    </xf>
    <xf numFmtId="9" fontId="12" fillId="0" borderId="1" xfId="4" applyFont="1" applyBorder="1" applyAlignment="1">
      <alignment vertical="center"/>
    </xf>
    <xf numFmtId="10" fontId="12" fillId="7" borderId="3" xfId="4" applyNumberFormat="1" applyFont="1" applyFill="1" applyBorder="1" applyAlignment="1" applyProtection="1">
      <alignment horizontal="right" vertical="center"/>
    </xf>
    <xf numFmtId="9" fontId="12" fillId="0" borderId="3" xfId="4" applyFont="1" applyBorder="1" applyAlignment="1">
      <alignment vertical="center"/>
    </xf>
    <xf numFmtId="3" fontId="12" fillId="7" borderId="3" xfId="0" applyNumberFormat="1" applyFont="1" applyFill="1" applyBorder="1" applyAlignment="1">
      <alignment horizontal="right" vertical="center" wrapText="1"/>
    </xf>
    <xf numFmtId="164" fontId="12" fillId="7" borderId="3" xfId="0" applyNumberFormat="1" applyFont="1" applyFill="1" applyBorder="1" applyAlignment="1">
      <alignment horizontal="right" vertical="center" wrapText="1"/>
    </xf>
    <xf numFmtId="164" fontId="12" fillId="2" borderId="3" xfId="0" applyNumberFormat="1" applyFont="1" applyFill="1" applyBorder="1" applyAlignment="1">
      <alignment horizontal="right" vertical="center" wrapText="1"/>
    </xf>
    <xf numFmtId="10" fontId="12" fillId="0" borderId="3" xfId="4" applyNumberFormat="1" applyFont="1" applyBorder="1" applyAlignment="1">
      <alignment horizontal="center" vertical="center"/>
    </xf>
    <xf numFmtId="9" fontId="12" fillId="0" borderId="5" xfId="4" applyFont="1" applyBorder="1" applyAlignment="1">
      <alignment vertical="center"/>
    </xf>
    <xf numFmtId="3" fontId="3" fillId="4" borderId="3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4" xfId="0" applyNumberFormat="1" applyFont="1" applyFill="1" applyBorder="1" applyAlignment="1">
      <alignment horizontal="righ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10" fontId="3" fillId="0" borderId="3" xfId="4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left" vertical="center" wrapText="1"/>
    </xf>
    <xf numFmtId="1" fontId="4" fillId="8" borderId="3" xfId="0" applyNumberFormat="1" applyFont="1" applyFill="1" applyBorder="1" applyAlignment="1">
      <alignment horizontal="left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8" borderId="3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9" fontId="12" fillId="8" borderId="3" xfId="0" applyNumberFormat="1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0" fontId="12" fillId="8" borderId="1" xfId="3" applyFont="1" applyFill="1" applyBorder="1" applyAlignment="1">
      <alignment horizontal="center" vertical="center" wrapText="1"/>
    </xf>
    <xf numFmtId="9" fontId="12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/>
    </xf>
    <xf numFmtId="0" fontId="4" fillId="8" borderId="5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13" fillId="8" borderId="1" xfId="3" applyFont="1" applyFill="1" applyBorder="1" applyAlignment="1">
      <alignment horizontal="left" vertical="top" wrapText="1"/>
    </xf>
    <xf numFmtId="0" fontId="12" fillId="8" borderId="3" xfId="3" applyFont="1" applyFill="1" applyBorder="1" applyAlignment="1">
      <alignment horizontal="left" vertical="top"/>
    </xf>
    <xf numFmtId="0" fontId="12" fillId="8" borderId="5" xfId="3" applyFont="1" applyFill="1" applyBorder="1" applyAlignment="1">
      <alignment horizontal="left" vertical="top"/>
    </xf>
    <xf numFmtId="0" fontId="14" fillId="0" borderId="0" xfId="0" applyFont="1"/>
    <xf numFmtId="0" fontId="4" fillId="8" borderId="3" xfId="0" applyFont="1" applyFill="1" applyBorder="1" applyAlignment="1"/>
    <xf numFmtId="0" fontId="4" fillId="8" borderId="5" xfId="0" applyFont="1" applyFill="1" applyBorder="1" applyAlignment="1"/>
    <xf numFmtId="0" fontId="12" fillId="8" borderId="3" xfId="3" applyFont="1" applyFill="1" applyBorder="1" applyAlignment="1"/>
    <xf numFmtId="0" fontId="12" fillId="8" borderId="5" xfId="3" applyFont="1" applyFill="1" applyBorder="1" applyAlignment="1"/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4" xfId="6" xr:uid="{35E863F0-7A7D-4F37-9A7C-8C058E2933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9"/>
  <sheetViews>
    <sheetView showGridLines="0" tabSelected="1" topLeftCell="A7" zoomScaleNormal="100" workbookViewId="0">
      <pane xSplit="2" ySplit="6" topLeftCell="D19" activePane="bottomRight" state="frozen"/>
      <selection pane="bottomRight" activeCell="M40" sqref="M40"/>
      <selection pane="bottomLeft" activeCell="A13" sqref="A13"/>
      <selection pane="topRight" activeCell="B7" sqref="B7"/>
    </sheetView>
  </sheetViews>
  <sheetFormatPr defaultColWidth="11.42578125" defaultRowHeight="12.95"/>
  <cols>
    <col min="1" max="1" width="11.42578125" style="1"/>
    <col min="2" max="2" width="20.28515625" style="1" customWidth="1"/>
    <col min="3" max="3" width="26.7109375" style="1" customWidth="1"/>
    <col min="4" max="4" width="28.5703125" style="1" customWidth="1"/>
    <col min="5" max="5" width="17" style="1" customWidth="1"/>
    <col min="6" max="11" width="10.7109375" style="7" customWidth="1"/>
    <col min="12" max="12" width="16" style="7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2" s="5" customFormat="1" ht="12.75" customHeight="1">
      <c r="B1" s="88"/>
      <c r="C1" s="89"/>
      <c r="D1" s="83"/>
      <c r="E1" s="83"/>
      <c r="F1" s="6"/>
      <c r="G1" s="6"/>
      <c r="H1" s="6"/>
      <c r="I1" s="6"/>
      <c r="J1" s="6"/>
      <c r="K1" s="6"/>
      <c r="L1" s="6"/>
    </row>
    <row r="2" spans="1:12" s="5" customFormat="1" ht="12.75" customHeight="1">
      <c r="B2" s="90"/>
      <c r="C2" s="91"/>
      <c r="D2" s="84"/>
      <c r="E2" s="84"/>
      <c r="F2" s="6"/>
      <c r="G2" s="6"/>
      <c r="H2" s="6"/>
      <c r="I2" s="6"/>
      <c r="J2" s="6"/>
      <c r="K2" s="6"/>
      <c r="L2" s="6"/>
    </row>
    <row r="3" spans="1:12" s="5" customFormat="1" ht="15.75" customHeight="1">
      <c r="B3" s="90"/>
      <c r="C3" s="91"/>
      <c r="D3" s="84"/>
      <c r="E3" s="84"/>
      <c r="F3" s="6"/>
      <c r="G3" s="6"/>
      <c r="H3" s="6"/>
      <c r="I3" s="6"/>
      <c r="J3" s="6"/>
      <c r="K3" s="6"/>
      <c r="L3" s="6"/>
    </row>
    <row r="4" spans="1:12" s="5" customFormat="1" ht="12.75" customHeight="1">
      <c r="B4" s="90"/>
      <c r="C4" s="91"/>
      <c r="D4" s="84"/>
      <c r="E4" s="84"/>
      <c r="F4" s="6"/>
      <c r="G4" s="6"/>
      <c r="H4" s="6"/>
      <c r="I4" s="6"/>
      <c r="J4" s="6"/>
      <c r="K4" s="6"/>
      <c r="L4" s="6"/>
    </row>
    <row r="5" spans="1:12" s="5" customFormat="1" ht="20.25" customHeight="1">
      <c r="B5" s="92"/>
      <c r="C5" s="93"/>
      <c r="D5" s="85"/>
      <c r="E5" s="85"/>
      <c r="F5" s="6"/>
      <c r="G5" s="6"/>
      <c r="H5" s="6"/>
      <c r="I5" s="6"/>
      <c r="J5" s="6"/>
      <c r="K5" s="6"/>
      <c r="L5" s="6"/>
    </row>
    <row r="6" spans="1:12" ht="15.75" customHeight="1">
      <c r="B6" s="96"/>
      <c r="C6" s="97"/>
      <c r="D6" s="87"/>
      <c r="E6" s="87"/>
    </row>
    <row r="7" spans="1:12" s="5" customFormat="1" ht="16.5" customHeight="1">
      <c r="F7" s="6"/>
      <c r="G7" s="6"/>
      <c r="H7" s="6"/>
      <c r="I7" s="6"/>
      <c r="J7" s="6"/>
      <c r="K7" s="6"/>
      <c r="L7" s="6"/>
    </row>
    <row r="8" spans="1:12" s="5" customFormat="1" ht="15.6">
      <c r="B8" s="8" t="s">
        <v>0</v>
      </c>
      <c r="C8" s="18"/>
      <c r="F8" s="6"/>
      <c r="G8" s="6"/>
      <c r="H8" s="10"/>
      <c r="I8" s="6"/>
      <c r="J8" s="6"/>
      <c r="K8" s="6"/>
      <c r="L8" s="6"/>
    </row>
    <row r="9" spans="1:12" s="5" customFormat="1" ht="16.5" customHeight="1">
      <c r="B9" s="8"/>
      <c r="C9" s="8"/>
      <c r="F9" s="6"/>
      <c r="G9" s="6"/>
      <c r="H9" s="6"/>
      <c r="I9" s="6"/>
      <c r="J9" s="6"/>
      <c r="K9" s="6"/>
      <c r="L9" s="6"/>
    </row>
    <row r="10" spans="1:12" s="5" customFormat="1" ht="15.95" thickBot="1">
      <c r="B10" s="9"/>
      <c r="C10" s="9"/>
      <c r="F10" s="6"/>
      <c r="G10" s="6"/>
      <c r="H10" s="6"/>
      <c r="I10" s="6"/>
      <c r="J10" s="6"/>
      <c r="K10" s="11"/>
      <c r="L10" s="11"/>
    </row>
    <row r="11" spans="1:12" s="12" customFormat="1" ht="22.9" customHeight="1" thickTop="1">
      <c r="A11" s="63" t="s">
        <v>1</v>
      </c>
      <c r="B11" s="63" t="s">
        <v>2</v>
      </c>
      <c r="C11" s="79" t="s">
        <v>3</v>
      </c>
      <c r="D11" s="79" t="s">
        <v>4</v>
      </c>
      <c r="E11" s="79" t="s">
        <v>5</v>
      </c>
      <c r="F11" s="79" t="s">
        <v>6</v>
      </c>
      <c r="G11" s="79" t="s">
        <v>7</v>
      </c>
      <c r="H11" s="63" t="s">
        <v>8</v>
      </c>
      <c r="I11" s="79" t="s">
        <v>9</v>
      </c>
      <c r="J11" s="79" t="s">
        <v>10</v>
      </c>
      <c r="K11" s="77" t="s">
        <v>11</v>
      </c>
      <c r="L11" s="79" t="s">
        <v>12</v>
      </c>
    </row>
    <row r="12" spans="1:12" s="12" customFormat="1" ht="22.9" customHeight="1" thickBot="1">
      <c r="A12" s="64"/>
      <c r="B12" s="64"/>
      <c r="C12" s="80"/>
      <c r="D12" s="80"/>
      <c r="E12" s="86"/>
      <c r="F12" s="81"/>
      <c r="G12" s="81"/>
      <c r="H12" s="82"/>
      <c r="I12" s="81"/>
      <c r="J12" s="80"/>
      <c r="K12" s="78"/>
      <c r="L12" s="80"/>
    </row>
    <row r="13" spans="1:12" s="13" customFormat="1" ht="22.9" customHeight="1" thickTop="1">
      <c r="A13" s="65" t="s">
        <v>13</v>
      </c>
      <c r="B13" s="74" t="s">
        <v>14</v>
      </c>
      <c r="C13" s="68" t="s">
        <v>15</v>
      </c>
      <c r="D13" s="71" t="s">
        <v>16</v>
      </c>
      <c r="E13" s="19" t="s">
        <v>17</v>
      </c>
      <c r="F13" s="19" t="s">
        <v>17</v>
      </c>
      <c r="G13" s="20" t="s">
        <v>17</v>
      </c>
      <c r="H13" s="19" t="s">
        <v>17</v>
      </c>
      <c r="I13" s="20" t="s">
        <v>17</v>
      </c>
      <c r="J13" s="19" t="s">
        <v>17</v>
      </c>
      <c r="K13" s="20" t="s">
        <v>17</v>
      </c>
      <c r="L13" s="21"/>
    </row>
    <row r="14" spans="1:12" s="13" customFormat="1" ht="22.9" customHeight="1">
      <c r="A14" s="66"/>
      <c r="B14" s="94"/>
      <c r="C14" s="125"/>
      <c r="D14" s="72"/>
      <c r="E14" s="22">
        <f t="shared" ref="E14:J14" si="0">IF(E16&lt;&gt;0,+E16/E18,0%)</f>
        <v>1</v>
      </c>
      <c r="F14" s="2">
        <f t="shared" ref="F14" si="1">IF(F16&lt;&gt;0,+F16/F18,0%)</f>
        <v>0.6</v>
      </c>
      <c r="G14" s="3" t="e">
        <f>IF(G16&lt;&gt;0,+G16/G18,0%)</f>
        <v>#REF!</v>
      </c>
      <c r="H14" s="2">
        <f t="shared" si="0"/>
        <v>1</v>
      </c>
      <c r="I14" s="3" t="e">
        <f>IF(I16&lt;&gt;0,+I16/I18,0%)</f>
        <v>#REF!</v>
      </c>
      <c r="J14" s="2">
        <f t="shared" si="0"/>
        <v>0</v>
      </c>
      <c r="K14" s="3" t="e">
        <f>IF(K16&lt;&gt;0,+K16/K18,0%)</f>
        <v>#REF!</v>
      </c>
      <c r="L14" s="23"/>
    </row>
    <row r="15" spans="1:12" s="13" customFormat="1" ht="22.9" customHeight="1" thickBot="1">
      <c r="A15" s="66"/>
      <c r="B15" s="94"/>
      <c r="C15" s="125"/>
      <c r="D15" s="73"/>
      <c r="E15" s="24" t="s">
        <v>18</v>
      </c>
      <c r="F15" s="24" t="s">
        <v>18</v>
      </c>
      <c r="G15" s="25" t="s">
        <v>18</v>
      </c>
      <c r="H15" s="24" t="s">
        <v>18</v>
      </c>
      <c r="I15" s="25" t="s">
        <v>18</v>
      </c>
      <c r="J15" s="24" t="s">
        <v>18</v>
      </c>
      <c r="K15" s="25" t="s">
        <v>18</v>
      </c>
      <c r="L15" s="23"/>
    </row>
    <row r="16" spans="1:12" s="13" customFormat="1" ht="22.9" customHeight="1" thickTop="1">
      <c r="A16" s="66"/>
      <c r="B16" s="94"/>
      <c r="C16" s="125"/>
      <c r="D16" s="72" t="s">
        <v>19</v>
      </c>
      <c r="E16" s="26">
        <v>5</v>
      </c>
      <c r="F16" s="4">
        <v>3</v>
      </c>
      <c r="G16" s="27" t="e">
        <f>+#REF!+F16</f>
        <v>#REF!</v>
      </c>
      <c r="H16" s="4">
        <v>5</v>
      </c>
      <c r="I16" s="27" t="e">
        <f>+G16+H16</f>
        <v>#REF!</v>
      </c>
      <c r="J16" s="4">
        <v>0</v>
      </c>
      <c r="K16" s="27" t="e">
        <f>+I16+J16</f>
        <v>#REF!</v>
      </c>
      <c r="L16" s="17" t="e">
        <f>+K14/E14</f>
        <v>#REF!</v>
      </c>
    </row>
    <row r="17" spans="1:13" s="13" customFormat="1" ht="22.9" customHeight="1">
      <c r="A17" s="66"/>
      <c r="B17" s="94"/>
      <c r="C17" s="125"/>
      <c r="D17" s="72"/>
      <c r="E17" s="28" t="s">
        <v>20</v>
      </c>
      <c r="F17" s="28" t="s">
        <v>20</v>
      </c>
      <c r="G17" s="29" t="s">
        <v>20</v>
      </c>
      <c r="H17" s="28" t="s">
        <v>20</v>
      </c>
      <c r="I17" s="29" t="s">
        <v>20</v>
      </c>
      <c r="J17" s="28" t="s">
        <v>20</v>
      </c>
      <c r="K17" s="29" t="s">
        <v>20</v>
      </c>
      <c r="L17" s="23"/>
    </row>
    <row r="18" spans="1:13" s="13" customFormat="1" ht="22.9" customHeight="1" thickBot="1">
      <c r="A18" s="67"/>
      <c r="B18" s="95"/>
      <c r="C18" s="126"/>
      <c r="D18" s="73"/>
      <c r="E18" s="26">
        <v>5</v>
      </c>
      <c r="F18" s="36">
        <v>5</v>
      </c>
      <c r="G18" s="27" t="e">
        <f>+#REF!+F18</f>
        <v>#REF!</v>
      </c>
      <c r="H18" s="36">
        <v>5</v>
      </c>
      <c r="I18" s="27" t="e">
        <f>+G18+H18</f>
        <v>#REF!</v>
      </c>
      <c r="J18" s="36">
        <v>5</v>
      </c>
      <c r="K18" s="27" t="e">
        <f t="shared" ref="K18" si="2">+I18+J18</f>
        <v>#REF!</v>
      </c>
      <c r="L18" s="30"/>
    </row>
    <row r="19" spans="1:13" s="13" customFormat="1" ht="22.9" customHeight="1" thickTop="1">
      <c r="A19" s="65" t="s">
        <v>21</v>
      </c>
      <c r="B19" s="74" t="s">
        <v>22</v>
      </c>
      <c r="C19" s="68" t="s">
        <v>23</v>
      </c>
      <c r="D19" s="71" t="s">
        <v>24</v>
      </c>
      <c r="E19" s="19" t="s">
        <v>17</v>
      </c>
      <c r="F19" s="19" t="s">
        <v>17</v>
      </c>
      <c r="G19" s="20" t="s">
        <v>17</v>
      </c>
      <c r="H19" s="19" t="s">
        <v>17</v>
      </c>
      <c r="I19" s="20" t="s">
        <v>17</v>
      </c>
      <c r="J19" s="19" t="s">
        <v>17</v>
      </c>
      <c r="K19" s="20" t="s">
        <v>17</v>
      </c>
      <c r="L19" s="21"/>
      <c r="M19" s="15"/>
    </row>
    <row r="20" spans="1:13" s="13" customFormat="1" ht="22.9" customHeight="1">
      <c r="A20" s="66"/>
      <c r="B20" s="75"/>
      <c r="C20" s="69"/>
      <c r="D20" s="72"/>
      <c r="E20" s="16">
        <f t="shared" ref="E20" si="3">IF(E22&lt;&gt;0,+E22/E24,0%)</f>
        <v>0.5</v>
      </c>
      <c r="F20" s="14">
        <f t="shared" ref="F20:H20" si="4">IF(F22&lt;&gt;0,+F22/F24,0%)</f>
        <v>0</v>
      </c>
      <c r="G20" s="3" t="e">
        <f>IF(G22&lt;&gt;0,+G22/G24,0%)</f>
        <v>#REF!</v>
      </c>
      <c r="H20" s="14">
        <f t="shared" si="4"/>
        <v>0</v>
      </c>
      <c r="I20" s="3" t="e">
        <f>IF(I22&lt;&gt;0,+I22/I24,0%)</f>
        <v>#REF!</v>
      </c>
      <c r="J20" s="14">
        <f t="shared" ref="J20" si="5">IF(J22&lt;&gt;0,+J22/J24,0%)</f>
        <v>0.5</v>
      </c>
      <c r="K20" s="3" t="e">
        <f>IF(K22&lt;&gt;0,+K22/K24,0%)</f>
        <v>#REF!</v>
      </c>
      <c r="L20" s="23"/>
    </row>
    <row r="21" spans="1:13" s="13" customFormat="1" ht="22.9" customHeight="1" thickBot="1">
      <c r="A21" s="66"/>
      <c r="B21" s="75"/>
      <c r="C21" s="69"/>
      <c r="D21" s="73"/>
      <c r="E21" s="24" t="s">
        <v>18</v>
      </c>
      <c r="F21" s="24" t="s">
        <v>18</v>
      </c>
      <c r="G21" s="25" t="s">
        <v>18</v>
      </c>
      <c r="H21" s="24" t="s">
        <v>18</v>
      </c>
      <c r="I21" s="25" t="s">
        <v>18</v>
      </c>
      <c r="J21" s="24" t="s">
        <v>18</v>
      </c>
      <c r="K21" s="25" t="s">
        <v>18</v>
      </c>
      <c r="L21" s="23"/>
    </row>
    <row r="22" spans="1:13" s="13" customFormat="1" ht="22.9" customHeight="1" thickTop="1">
      <c r="A22" s="66"/>
      <c r="B22" s="75"/>
      <c r="C22" s="69"/>
      <c r="D22" s="71" t="s">
        <v>25</v>
      </c>
      <c r="E22" s="26">
        <v>4</v>
      </c>
      <c r="F22" s="4"/>
      <c r="G22" s="27" t="e">
        <f>+#REF!+F22</f>
        <v>#REF!</v>
      </c>
      <c r="H22" s="4"/>
      <c r="I22" s="27" t="e">
        <f>+G22+H22</f>
        <v>#REF!</v>
      </c>
      <c r="J22" s="4">
        <v>4</v>
      </c>
      <c r="K22" s="27" t="e">
        <f>+I22+J22</f>
        <v>#REF!</v>
      </c>
      <c r="L22" s="17" t="e">
        <f>+K20/E20</f>
        <v>#REF!</v>
      </c>
    </row>
    <row r="23" spans="1:13" s="13" customFormat="1" ht="22.9" customHeight="1">
      <c r="A23" s="66"/>
      <c r="B23" s="75"/>
      <c r="C23" s="69"/>
      <c r="D23" s="72"/>
      <c r="E23" s="28" t="s">
        <v>20</v>
      </c>
      <c r="F23" s="28" t="s">
        <v>20</v>
      </c>
      <c r="G23" s="29" t="s">
        <v>20</v>
      </c>
      <c r="H23" s="28" t="s">
        <v>20</v>
      </c>
      <c r="I23" s="29" t="s">
        <v>20</v>
      </c>
      <c r="J23" s="28" t="s">
        <v>20</v>
      </c>
      <c r="K23" s="29" t="s">
        <v>20</v>
      </c>
      <c r="L23" s="23"/>
    </row>
    <row r="24" spans="1:13" s="13" customFormat="1" ht="22.9" customHeight="1" thickBot="1">
      <c r="A24" s="67"/>
      <c r="B24" s="76"/>
      <c r="C24" s="70"/>
      <c r="D24" s="73"/>
      <c r="E24" s="26">
        <v>8</v>
      </c>
      <c r="F24" s="36">
        <v>8</v>
      </c>
      <c r="G24" s="27" t="e">
        <f>+#REF!+F24</f>
        <v>#REF!</v>
      </c>
      <c r="H24" s="36">
        <v>8</v>
      </c>
      <c r="I24" s="27" t="e">
        <f>+G24+H24</f>
        <v>#REF!</v>
      </c>
      <c r="J24" s="36">
        <v>8</v>
      </c>
      <c r="K24" s="27" t="e">
        <f t="shared" ref="K24" si="6">+I24+J24</f>
        <v>#REF!</v>
      </c>
      <c r="L24" s="30"/>
    </row>
    <row r="25" spans="1:13" s="13" customFormat="1" ht="22.9" customHeight="1" thickTop="1">
      <c r="A25" s="60" t="s">
        <v>26</v>
      </c>
      <c r="B25" s="74" t="s">
        <v>27</v>
      </c>
      <c r="C25" s="68" t="s">
        <v>28</v>
      </c>
      <c r="D25" s="71" t="s">
        <v>29</v>
      </c>
      <c r="E25" s="19" t="s">
        <v>17</v>
      </c>
      <c r="F25" s="19" t="s">
        <v>17</v>
      </c>
      <c r="G25" s="20" t="s">
        <v>17</v>
      </c>
      <c r="H25" s="19" t="s">
        <v>17</v>
      </c>
      <c r="I25" s="20" t="s">
        <v>17</v>
      </c>
      <c r="J25" s="19" t="s">
        <v>17</v>
      </c>
      <c r="K25" s="20" t="s">
        <v>17</v>
      </c>
      <c r="L25" s="21"/>
    </row>
    <row r="26" spans="1:13" s="13" customFormat="1" ht="22.9" customHeight="1">
      <c r="A26" s="61"/>
      <c r="B26" s="75"/>
      <c r="C26" s="69"/>
      <c r="D26" s="72"/>
      <c r="E26" s="16">
        <f t="shared" ref="E26" si="7">IF(E28&lt;&gt;0,+E28/E30,0%)</f>
        <v>1</v>
      </c>
      <c r="F26" s="14">
        <f t="shared" ref="F26:H26" si="8">IF(F28&lt;&gt;0,+F28/F30,0%)</f>
        <v>0</v>
      </c>
      <c r="G26" s="3">
        <f>IF(G28&lt;&gt;0,+G28/G30,0%)</f>
        <v>0.33333333333333331</v>
      </c>
      <c r="H26" s="14">
        <f t="shared" si="8"/>
        <v>0</v>
      </c>
      <c r="I26" s="3">
        <f>IF(I28&lt;&gt;0,+I28/I30,0%)</f>
        <v>0.33333333333333331</v>
      </c>
      <c r="J26" s="14">
        <f t="shared" ref="J26" si="9">IF(J28&lt;&gt;0,+J28/J30,0%)</f>
        <v>0.66666666666666663</v>
      </c>
      <c r="K26" s="3">
        <f>IF(K28&lt;&gt;0,+K28/K30,0%)</f>
        <v>1</v>
      </c>
      <c r="L26" s="23"/>
    </row>
    <row r="27" spans="1:13" s="13" customFormat="1" ht="22.9" customHeight="1" thickBot="1">
      <c r="A27" s="61"/>
      <c r="B27" s="75"/>
      <c r="C27" s="69"/>
      <c r="D27" s="73"/>
      <c r="E27" s="24" t="s">
        <v>18</v>
      </c>
      <c r="F27" s="24" t="s">
        <v>18</v>
      </c>
      <c r="G27" s="25" t="s">
        <v>18</v>
      </c>
      <c r="H27" s="24" t="s">
        <v>18</v>
      </c>
      <c r="I27" s="25" t="s">
        <v>18</v>
      </c>
      <c r="J27" s="24" t="s">
        <v>18</v>
      </c>
      <c r="K27" s="25" t="s">
        <v>18</v>
      </c>
      <c r="L27" s="23"/>
    </row>
    <row r="28" spans="1:13" s="13" customFormat="1" ht="22.9" customHeight="1" thickTop="1">
      <c r="A28" s="61"/>
      <c r="B28" s="75"/>
      <c r="C28" s="69"/>
      <c r="D28" s="72" t="s">
        <v>30</v>
      </c>
      <c r="E28" s="26">
        <v>3</v>
      </c>
      <c r="F28" s="56">
        <v>0</v>
      </c>
      <c r="G28" s="57">
        <f>1+F28</f>
        <v>1</v>
      </c>
      <c r="H28" s="56">
        <v>0</v>
      </c>
      <c r="I28" s="57">
        <f>+G28+H28</f>
        <v>1</v>
      </c>
      <c r="J28" s="56">
        <v>2</v>
      </c>
      <c r="K28" s="57">
        <f>+I28+J28</f>
        <v>3</v>
      </c>
      <c r="L28" s="59">
        <f>+K26/E26</f>
        <v>1</v>
      </c>
    </row>
    <row r="29" spans="1:13" s="13" customFormat="1" ht="22.9" customHeight="1">
      <c r="A29" s="61"/>
      <c r="B29" s="75"/>
      <c r="C29" s="69"/>
      <c r="D29" s="72"/>
      <c r="E29" s="28" t="s">
        <v>20</v>
      </c>
      <c r="F29" s="28" t="s">
        <v>20</v>
      </c>
      <c r="G29" s="29" t="s">
        <v>20</v>
      </c>
      <c r="H29" s="28" t="s">
        <v>20</v>
      </c>
      <c r="I29" s="29" t="s">
        <v>20</v>
      </c>
      <c r="J29" s="28" t="s">
        <v>20</v>
      </c>
      <c r="K29" s="29" t="s">
        <v>20</v>
      </c>
      <c r="L29" s="23"/>
    </row>
    <row r="30" spans="1:13" s="13" customFormat="1" ht="22.9" customHeight="1" thickBot="1">
      <c r="A30" s="62"/>
      <c r="B30" s="76"/>
      <c r="C30" s="70"/>
      <c r="D30" s="73"/>
      <c r="E30" s="35">
        <v>3</v>
      </c>
      <c r="F30" s="58">
        <f>+E30</f>
        <v>3</v>
      </c>
      <c r="G30" s="57">
        <f>+E30</f>
        <v>3</v>
      </c>
      <c r="H30" s="58">
        <f>+E30</f>
        <v>3</v>
      </c>
      <c r="I30" s="57">
        <f>+E30</f>
        <v>3</v>
      </c>
      <c r="J30" s="58">
        <f>+E30</f>
        <v>3</v>
      </c>
      <c r="K30" s="57">
        <f>+E30</f>
        <v>3</v>
      </c>
      <c r="L30" s="30"/>
    </row>
    <row r="31" spans="1:13" s="13" customFormat="1" ht="22.9" customHeight="1" thickTop="1">
      <c r="A31" s="60" t="s">
        <v>31</v>
      </c>
      <c r="B31" s="74" t="s">
        <v>32</v>
      </c>
      <c r="C31" s="68" t="s">
        <v>33</v>
      </c>
      <c r="D31" s="71" t="s">
        <v>34</v>
      </c>
      <c r="E31" s="19" t="s">
        <v>17</v>
      </c>
      <c r="F31" s="19" t="s">
        <v>17</v>
      </c>
      <c r="G31" s="20" t="s">
        <v>17</v>
      </c>
      <c r="H31" s="19" t="s">
        <v>17</v>
      </c>
      <c r="I31" s="20" t="s">
        <v>17</v>
      </c>
      <c r="J31" s="19" t="s">
        <v>17</v>
      </c>
      <c r="K31" s="20" t="s">
        <v>17</v>
      </c>
      <c r="L31" s="21"/>
    </row>
    <row r="32" spans="1:13" s="13" customFormat="1" ht="22.9" customHeight="1">
      <c r="A32" s="61"/>
      <c r="B32" s="75"/>
      <c r="C32" s="69"/>
      <c r="D32" s="72"/>
      <c r="E32" s="16">
        <f t="shared" ref="E32" si="10">IF(E34&lt;&gt;0,+E34/E36,0%)</f>
        <v>0.59459459459459463</v>
      </c>
      <c r="F32" s="14">
        <f t="shared" ref="F32:H32" si="11">IF(F34&lt;&gt;0,+F34/F36,0%)</f>
        <v>1</v>
      </c>
      <c r="G32" s="3" t="e">
        <f>IF(G34&lt;&gt;0,+G34/G36,0%)</f>
        <v>#REF!</v>
      </c>
      <c r="H32" s="14">
        <f t="shared" si="11"/>
        <v>9.0909090909090912E-2</v>
      </c>
      <c r="I32" s="3" t="e">
        <f>IF(I34&lt;&gt;0,+I34/I36,0%)</f>
        <v>#REF!</v>
      </c>
      <c r="J32" s="14">
        <f t="shared" ref="J32" si="12">IF(J34&lt;&gt;0,+J34/J36,0%)</f>
        <v>0.58333333333333337</v>
      </c>
      <c r="K32" s="3" t="e">
        <f>IF(K34&lt;&gt;0,+K34/K36,0%)</f>
        <v>#REF!</v>
      </c>
      <c r="L32" s="23"/>
    </row>
    <row r="33" spans="1:13" s="13" customFormat="1" ht="22.9" customHeight="1" thickBot="1">
      <c r="A33" s="61"/>
      <c r="B33" s="75"/>
      <c r="C33" s="69"/>
      <c r="D33" s="73"/>
      <c r="E33" s="24" t="s">
        <v>18</v>
      </c>
      <c r="F33" s="24" t="s">
        <v>18</v>
      </c>
      <c r="G33" s="25" t="s">
        <v>18</v>
      </c>
      <c r="H33" s="24" t="s">
        <v>18</v>
      </c>
      <c r="I33" s="25" t="s">
        <v>18</v>
      </c>
      <c r="J33" s="24" t="s">
        <v>18</v>
      </c>
      <c r="K33" s="25" t="s">
        <v>18</v>
      </c>
      <c r="L33" s="23"/>
    </row>
    <row r="34" spans="1:13" s="13" customFormat="1" ht="22.9" customHeight="1" thickTop="1">
      <c r="A34" s="61"/>
      <c r="B34" s="75"/>
      <c r="C34" s="69"/>
      <c r="D34" s="72" t="s">
        <v>35</v>
      </c>
      <c r="E34" s="26">
        <v>44</v>
      </c>
      <c r="F34" s="4">
        <v>9</v>
      </c>
      <c r="G34" s="27" t="e">
        <f>+#REF!+F34</f>
        <v>#REF!</v>
      </c>
      <c r="H34" s="4">
        <v>1</v>
      </c>
      <c r="I34" s="27" t="e">
        <f>+G34+H34</f>
        <v>#REF!</v>
      </c>
      <c r="J34" s="4">
        <v>7</v>
      </c>
      <c r="K34" s="27" t="e">
        <f>+I34+J34</f>
        <v>#REF!</v>
      </c>
      <c r="L34" s="17" t="e">
        <f>+K32/E32</f>
        <v>#REF!</v>
      </c>
    </row>
    <row r="35" spans="1:13" s="13" customFormat="1" ht="22.9" customHeight="1">
      <c r="A35" s="61"/>
      <c r="B35" s="75"/>
      <c r="C35" s="69"/>
      <c r="D35" s="72"/>
      <c r="E35" s="28" t="s">
        <v>20</v>
      </c>
      <c r="F35" s="28" t="s">
        <v>20</v>
      </c>
      <c r="G35" s="29" t="s">
        <v>20</v>
      </c>
      <c r="H35" s="28" t="s">
        <v>20</v>
      </c>
      <c r="I35" s="29" t="s">
        <v>20</v>
      </c>
      <c r="J35" s="28" t="s">
        <v>20</v>
      </c>
      <c r="K35" s="29" t="s">
        <v>20</v>
      </c>
      <c r="L35" s="23"/>
    </row>
    <row r="36" spans="1:13" s="13" customFormat="1" ht="22.9" customHeight="1" thickBot="1">
      <c r="A36" s="62"/>
      <c r="B36" s="76"/>
      <c r="C36" s="70"/>
      <c r="D36" s="73"/>
      <c r="E36" s="35">
        <v>74</v>
      </c>
      <c r="F36" s="36">
        <v>9</v>
      </c>
      <c r="G36" s="27" t="e">
        <f>+#REF!+F36</f>
        <v>#REF!</v>
      </c>
      <c r="H36" s="36">
        <v>11</v>
      </c>
      <c r="I36" s="27" t="e">
        <f>+G36+H36</f>
        <v>#REF!</v>
      </c>
      <c r="J36" s="36">
        <v>12</v>
      </c>
      <c r="K36" s="27" t="e">
        <f t="shared" ref="K36" si="13">+I36+J36</f>
        <v>#REF!</v>
      </c>
      <c r="L36" s="30"/>
    </row>
    <row r="37" spans="1:13" s="13" customFormat="1" ht="22.9" customHeight="1" thickTop="1">
      <c r="A37" s="60" t="s">
        <v>36</v>
      </c>
      <c r="B37" s="74" t="s">
        <v>37</v>
      </c>
      <c r="C37" s="68" t="s">
        <v>38</v>
      </c>
      <c r="D37" s="71" t="s">
        <v>39</v>
      </c>
      <c r="E37" s="19" t="s">
        <v>17</v>
      </c>
      <c r="F37" s="19" t="s">
        <v>17</v>
      </c>
      <c r="G37" s="20" t="s">
        <v>17</v>
      </c>
      <c r="H37" s="19" t="s">
        <v>17</v>
      </c>
      <c r="I37" s="20" t="s">
        <v>17</v>
      </c>
      <c r="J37" s="19" t="s">
        <v>17</v>
      </c>
      <c r="K37" s="20" t="s">
        <v>17</v>
      </c>
      <c r="L37" s="21"/>
    </row>
    <row r="38" spans="1:13" s="13" customFormat="1" ht="22.9" customHeight="1">
      <c r="A38" s="61"/>
      <c r="B38" s="75"/>
      <c r="C38" s="69"/>
      <c r="D38" s="72"/>
      <c r="E38" s="16">
        <f t="shared" ref="E38" si="14">IF(E40&lt;&gt;0,+E40/E42,0%)</f>
        <v>0.75</v>
      </c>
      <c r="F38" s="14">
        <f t="shared" ref="F38" si="15">IF(F40&lt;&gt;0,+F40/F42,0%)</f>
        <v>0</v>
      </c>
      <c r="G38" s="3" t="e">
        <f>IF(G40&lt;&gt;0,+G40/G42,0%)</f>
        <v>#REF!</v>
      </c>
      <c r="H38" s="14">
        <f t="shared" ref="H38" si="16">IF(H40&lt;&gt;0,+H40/H42,0%)</f>
        <v>0</v>
      </c>
      <c r="I38" s="3" t="e">
        <f>IF(I40&lt;&gt;0,+I40/I42,0%)</f>
        <v>#REF!</v>
      </c>
      <c r="J38" s="14">
        <f t="shared" ref="J38" si="17">IF(J40&lt;&gt;0,+J40/J42,0%)</f>
        <v>0</v>
      </c>
      <c r="K38" s="3" t="e">
        <f>IF(K40&lt;&gt;0,+K40/K42,0%)</f>
        <v>#REF!</v>
      </c>
      <c r="L38" s="23"/>
    </row>
    <row r="39" spans="1:13" s="13" customFormat="1" ht="22.9" customHeight="1" thickBot="1">
      <c r="A39" s="61"/>
      <c r="B39" s="75"/>
      <c r="C39" s="69"/>
      <c r="D39" s="73"/>
      <c r="E39" s="24" t="s">
        <v>18</v>
      </c>
      <c r="F39" s="24" t="s">
        <v>18</v>
      </c>
      <c r="G39" s="25" t="s">
        <v>18</v>
      </c>
      <c r="H39" s="24" t="s">
        <v>18</v>
      </c>
      <c r="I39" s="25" t="s">
        <v>18</v>
      </c>
      <c r="J39" s="24" t="s">
        <v>18</v>
      </c>
      <c r="K39" s="25" t="s">
        <v>18</v>
      </c>
      <c r="L39" s="23"/>
    </row>
    <row r="40" spans="1:13" s="13" customFormat="1" ht="22.9" customHeight="1" thickTop="1">
      <c r="A40" s="61"/>
      <c r="B40" s="75"/>
      <c r="C40" s="69"/>
      <c r="D40" s="72" t="s">
        <v>40</v>
      </c>
      <c r="E40" s="26">
        <v>3</v>
      </c>
      <c r="F40" s="4">
        <v>0</v>
      </c>
      <c r="G40" s="27" t="e">
        <f>+#REF!+F40</f>
        <v>#REF!</v>
      </c>
      <c r="H40" s="4">
        <v>0</v>
      </c>
      <c r="I40" s="27" t="e">
        <f>+G40+H40</f>
        <v>#REF!</v>
      </c>
      <c r="J40" s="4">
        <v>0</v>
      </c>
      <c r="K40" s="27" t="e">
        <f>+I40+J40</f>
        <v>#REF!</v>
      </c>
      <c r="L40" s="17" t="e">
        <f>+K38/E38</f>
        <v>#REF!</v>
      </c>
      <c r="M40" s="124"/>
    </row>
    <row r="41" spans="1:13" s="13" customFormat="1" ht="22.9" customHeight="1">
      <c r="A41" s="61"/>
      <c r="B41" s="75"/>
      <c r="C41" s="69"/>
      <c r="D41" s="72"/>
      <c r="E41" s="28" t="s">
        <v>20</v>
      </c>
      <c r="F41" s="28" t="s">
        <v>20</v>
      </c>
      <c r="G41" s="29" t="s">
        <v>20</v>
      </c>
      <c r="H41" s="28" t="s">
        <v>20</v>
      </c>
      <c r="I41" s="29" t="s">
        <v>20</v>
      </c>
      <c r="J41" s="28" t="s">
        <v>20</v>
      </c>
      <c r="K41" s="29" t="s">
        <v>20</v>
      </c>
      <c r="L41" s="23"/>
    </row>
    <row r="42" spans="1:13" s="13" customFormat="1" ht="22.9" customHeight="1" thickBot="1">
      <c r="A42" s="62"/>
      <c r="B42" s="76"/>
      <c r="C42" s="70"/>
      <c r="D42" s="73"/>
      <c r="E42" s="35">
        <v>4</v>
      </c>
      <c r="F42" s="36">
        <v>4</v>
      </c>
      <c r="G42" s="27" t="e">
        <f>+#REF!+F42</f>
        <v>#REF!</v>
      </c>
      <c r="H42" s="36">
        <v>4</v>
      </c>
      <c r="I42" s="27" t="e">
        <f>+G42+H42</f>
        <v>#REF!</v>
      </c>
      <c r="J42" s="36">
        <v>4</v>
      </c>
      <c r="K42" s="27" t="e">
        <f t="shared" ref="K42" si="18">+I42+J42</f>
        <v>#REF!</v>
      </c>
      <c r="L42" s="30"/>
    </row>
    <row r="43" spans="1:13" s="13" customFormat="1" ht="22.9" customHeight="1" thickTop="1">
      <c r="A43" s="60" t="s">
        <v>41</v>
      </c>
      <c r="B43" s="74" t="s">
        <v>42</v>
      </c>
      <c r="C43" s="68" t="s">
        <v>43</v>
      </c>
      <c r="D43" s="71" t="s">
        <v>44</v>
      </c>
      <c r="E43" s="19" t="s">
        <v>17</v>
      </c>
      <c r="F43" s="19" t="s">
        <v>17</v>
      </c>
      <c r="G43" s="20" t="s">
        <v>17</v>
      </c>
      <c r="H43" s="19" t="s">
        <v>17</v>
      </c>
      <c r="I43" s="20" t="s">
        <v>17</v>
      </c>
      <c r="J43" s="19" t="s">
        <v>17</v>
      </c>
      <c r="K43" s="20" t="s">
        <v>17</v>
      </c>
      <c r="L43" s="21"/>
    </row>
    <row r="44" spans="1:13" s="13" customFormat="1" ht="22.9" customHeight="1">
      <c r="A44" s="61"/>
      <c r="B44" s="75"/>
      <c r="C44" s="69"/>
      <c r="D44" s="72"/>
      <c r="E44" s="16">
        <f t="shared" ref="E44" si="19">IF(E46&lt;&gt;0,+E46/E48,0%)</f>
        <v>1</v>
      </c>
      <c r="F44" s="14">
        <f t="shared" ref="F44" si="20">IF(F46&lt;&gt;0,+F46/F48,0%)</f>
        <v>0.33333333333333331</v>
      </c>
      <c r="G44" s="3" t="e">
        <f>IF(G46&lt;&gt;0,+G46/G48,0%)</f>
        <v>#REF!</v>
      </c>
      <c r="H44" s="14">
        <f t="shared" ref="H44" si="21">IF(H46&lt;&gt;0,+H46/H48,0%)</f>
        <v>0</v>
      </c>
      <c r="I44" s="3" t="e">
        <f>IF(I46&lt;&gt;0,+I46/I48,0%)</f>
        <v>#REF!</v>
      </c>
      <c r="J44" s="14">
        <f t="shared" ref="J44" si="22">IF(J46&lt;&gt;0,+J46/J48,0%)</f>
        <v>0</v>
      </c>
      <c r="K44" s="3" t="e">
        <f>IF(K46&lt;&gt;0,+K46/K48,0%)</f>
        <v>#REF!</v>
      </c>
      <c r="L44" s="23"/>
    </row>
    <row r="45" spans="1:13" s="13" customFormat="1" ht="22.9" customHeight="1" thickBot="1">
      <c r="A45" s="61"/>
      <c r="B45" s="75"/>
      <c r="C45" s="69"/>
      <c r="D45" s="73"/>
      <c r="E45" s="24" t="s">
        <v>18</v>
      </c>
      <c r="F45" s="24" t="s">
        <v>18</v>
      </c>
      <c r="G45" s="25" t="s">
        <v>18</v>
      </c>
      <c r="H45" s="24" t="s">
        <v>18</v>
      </c>
      <c r="I45" s="25" t="s">
        <v>18</v>
      </c>
      <c r="J45" s="24" t="s">
        <v>18</v>
      </c>
      <c r="K45" s="25" t="s">
        <v>18</v>
      </c>
      <c r="L45" s="23"/>
    </row>
    <row r="46" spans="1:13" s="13" customFormat="1" ht="22.9" customHeight="1" thickTop="1">
      <c r="A46" s="61"/>
      <c r="B46" s="75"/>
      <c r="C46" s="69"/>
      <c r="D46" s="72" t="s">
        <v>45</v>
      </c>
      <c r="E46" s="26">
        <v>3</v>
      </c>
      <c r="F46" s="4">
        <v>1</v>
      </c>
      <c r="G46" s="27" t="e">
        <f>+#REF!+F46</f>
        <v>#REF!</v>
      </c>
      <c r="H46" s="4">
        <v>0</v>
      </c>
      <c r="I46" s="27" t="e">
        <f>+G46+H46</f>
        <v>#REF!</v>
      </c>
      <c r="J46" s="4">
        <v>0</v>
      </c>
      <c r="K46" s="27" t="e">
        <f>+I46+J46</f>
        <v>#REF!</v>
      </c>
      <c r="L46" s="17" t="e">
        <f>+K44/E44</f>
        <v>#REF!</v>
      </c>
    </row>
    <row r="47" spans="1:13" s="13" customFormat="1" ht="22.9" customHeight="1">
      <c r="A47" s="61"/>
      <c r="B47" s="75"/>
      <c r="C47" s="69"/>
      <c r="D47" s="72"/>
      <c r="E47" s="28" t="s">
        <v>20</v>
      </c>
      <c r="F47" s="28" t="s">
        <v>20</v>
      </c>
      <c r="G47" s="29" t="s">
        <v>20</v>
      </c>
      <c r="H47" s="28" t="s">
        <v>20</v>
      </c>
      <c r="I47" s="29" t="s">
        <v>20</v>
      </c>
      <c r="J47" s="28" t="s">
        <v>20</v>
      </c>
      <c r="K47" s="29" t="s">
        <v>20</v>
      </c>
      <c r="L47" s="23"/>
    </row>
    <row r="48" spans="1:13" s="13" customFormat="1" ht="22.9" customHeight="1" thickBot="1">
      <c r="A48" s="62"/>
      <c r="B48" s="76"/>
      <c r="C48" s="70"/>
      <c r="D48" s="73"/>
      <c r="E48" s="35">
        <v>3</v>
      </c>
      <c r="F48" s="36">
        <v>3</v>
      </c>
      <c r="G48" s="27" t="e">
        <f>+#REF!+F48</f>
        <v>#REF!</v>
      </c>
      <c r="H48" s="36">
        <v>3</v>
      </c>
      <c r="I48" s="27" t="e">
        <f>+G48+H48</f>
        <v>#REF!</v>
      </c>
      <c r="J48" s="36">
        <v>3</v>
      </c>
      <c r="K48" s="27" t="e">
        <f t="shared" ref="K48" si="23">+I48+J48</f>
        <v>#REF!</v>
      </c>
      <c r="L48" s="30"/>
    </row>
    <row r="49" ht="13.5" thickTop="1"/>
  </sheetData>
  <mergeCells count="46">
    <mergeCell ref="B1:C5"/>
    <mergeCell ref="B11:B12"/>
    <mergeCell ref="C11:C12"/>
    <mergeCell ref="B13:B18"/>
    <mergeCell ref="B6:C6"/>
    <mergeCell ref="C13:C18"/>
    <mergeCell ref="D1:E5"/>
    <mergeCell ref="E11:E12"/>
    <mergeCell ref="D6:E6"/>
    <mergeCell ref="D11:D12"/>
    <mergeCell ref="D13:D15"/>
    <mergeCell ref="D16:D18"/>
    <mergeCell ref="D19:D21"/>
    <mergeCell ref="D22:D24"/>
    <mergeCell ref="C19:C24"/>
    <mergeCell ref="B19:B24"/>
    <mergeCell ref="K11:K12"/>
    <mergeCell ref="L11:L12"/>
    <mergeCell ref="J11:J12"/>
    <mergeCell ref="F11:F12"/>
    <mergeCell ref="G11:G12"/>
    <mergeCell ref="H11:H12"/>
    <mergeCell ref="I11:I12"/>
    <mergeCell ref="D25:D27"/>
    <mergeCell ref="D28:D30"/>
    <mergeCell ref="B25:B30"/>
    <mergeCell ref="C25:C30"/>
    <mergeCell ref="D34:D36"/>
    <mergeCell ref="D31:D33"/>
    <mergeCell ref="B31:B36"/>
    <mergeCell ref="C31:C36"/>
    <mergeCell ref="C37:C42"/>
    <mergeCell ref="D37:D39"/>
    <mergeCell ref="D40:D42"/>
    <mergeCell ref="B43:B48"/>
    <mergeCell ref="C43:C48"/>
    <mergeCell ref="D43:D45"/>
    <mergeCell ref="D46:D48"/>
    <mergeCell ref="B37:B42"/>
    <mergeCell ref="A37:A42"/>
    <mergeCell ref="A43:A48"/>
    <mergeCell ref="A11:A12"/>
    <mergeCell ref="A13:A18"/>
    <mergeCell ref="A19:A24"/>
    <mergeCell ref="A25:A30"/>
    <mergeCell ref="A31:A36"/>
  </mergeCells>
  <phoneticPr fontId="5" type="noConversion"/>
  <pageMargins left="0.56999999999999995" right="0.37" top="0.41" bottom="0.47" header="0" footer="0"/>
  <pageSetup scale="5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661A-3B99-464B-BD69-608818ECA79B}">
  <dimension ref="A1:M12"/>
  <sheetViews>
    <sheetView showGridLines="0" zoomScale="80" zoomScaleNormal="80" workbookViewId="0">
      <pane xSplit="2" ySplit="5" topLeftCell="C6" activePane="bottomRight" state="frozen"/>
      <selection pane="bottomRight" activeCell="B6" sqref="B6:B11"/>
      <selection pane="bottomLeft" activeCell="A13" sqref="A13"/>
      <selection pane="topRight" activeCell="D1" sqref="D1"/>
    </sheetView>
  </sheetViews>
  <sheetFormatPr defaultColWidth="11.42578125" defaultRowHeight="12.95"/>
  <cols>
    <col min="1" max="1" width="11.42578125" style="1"/>
    <col min="2" max="2" width="20.28515625" style="1" customWidth="1"/>
    <col min="3" max="3" width="26.7109375" style="1" customWidth="1"/>
    <col min="4" max="4" width="28.5703125" style="1" customWidth="1"/>
    <col min="5" max="5" width="17" style="1" customWidth="1"/>
    <col min="6" max="11" width="10.7109375" style="7" customWidth="1"/>
    <col min="12" max="12" width="16" style="7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3" s="5" customFormat="1" ht="15.6">
      <c r="B1" s="8"/>
      <c r="C1" s="18"/>
      <c r="F1" s="6"/>
      <c r="G1" s="6"/>
      <c r="H1" s="10"/>
      <c r="I1" s="6"/>
      <c r="J1" s="6"/>
      <c r="K1" s="6"/>
      <c r="L1" s="6"/>
    </row>
    <row r="2" spans="1:13" s="5" customFormat="1" ht="16.5" customHeight="1">
      <c r="B2" s="8"/>
      <c r="C2" s="8"/>
      <c r="F2" s="6"/>
      <c r="G2" s="6"/>
      <c r="H2" s="6"/>
      <c r="I2" s="6"/>
      <c r="J2" s="6"/>
      <c r="K2" s="6"/>
      <c r="L2" s="6"/>
    </row>
    <row r="3" spans="1:13" s="5" customFormat="1" ht="15.95" thickBot="1">
      <c r="B3" s="9"/>
      <c r="C3" s="9"/>
      <c r="F3" s="6"/>
      <c r="G3" s="6"/>
      <c r="H3" s="6"/>
      <c r="I3" s="6"/>
      <c r="J3" s="6"/>
      <c r="K3" s="11"/>
      <c r="L3" s="11"/>
    </row>
    <row r="4" spans="1:13" s="12" customFormat="1" ht="22.9" customHeight="1" thickTop="1">
      <c r="A4" s="98" t="s">
        <v>1</v>
      </c>
      <c r="B4" s="63" t="s">
        <v>2</v>
      </c>
      <c r="C4" s="79" t="s">
        <v>3</v>
      </c>
      <c r="D4" s="79" t="s">
        <v>4</v>
      </c>
      <c r="E4" s="79" t="s">
        <v>5</v>
      </c>
      <c r="F4" s="79" t="s">
        <v>6</v>
      </c>
      <c r="G4" s="79" t="s">
        <v>7</v>
      </c>
      <c r="H4" s="63" t="s">
        <v>8</v>
      </c>
      <c r="I4" s="79" t="s">
        <v>9</v>
      </c>
      <c r="J4" s="79" t="s">
        <v>10</v>
      </c>
      <c r="K4" s="77" t="s">
        <v>11</v>
      </c>
      <c r="L4" s="79" t="s">
        <v>12</v>
      </c>
    </row>
    <row r="5" spans="1:13" s="12" customFormat="1" ht="22.9" customHeight="1" thickBot="1">
      <c r="A5" s="99"/>
      <c r="B5" s="64"/>
      <c r="C5" s="80"/>
      <c r="D5" s="80"/>
      <c r="E5" s="86"/>
      <c r="F5" s="81"/>
      <c r="G5" s="81"/>
      <c r="H5" s="82"/>
      <c r="I5" s="81"/>
      <c r="J5" s="80"/>
      <c r="K5" s="78"/>
      <c r="L5" s="80"/>
    </row>
    <row r="6" spans="1:13" s="13" customFormat="1" ht="22.9" customHeight="1" thickTop="1">
      <c r="A6" s="65" t="s">
        <v>46</v>
      </c>
      <c r="B6" s="74" t="s">
        <v>47</v>
      </c>
      <c r="C6" s="68" t="s">
        <v>48</v>
      </c>
      <c r="D6" s="71" t="s">
        <v>49</v>
      </c>
      <c r="E6" s="19" t="s">
        <v>17</v>
      </c>
      <c r="F6" s="19" t="s">
        <v>17</v>
      </c>
      <c r="G6" s="20" t="s">
        <v>17</v>
      </c>
      <c r="H6" s="19" t="s">
        <v>17</v>
      </c>
      <c r="I6" s="20" t="s">
        <v>17</v>
      </c>
      <c r="J6" s="19" t="s">
        <v>17</v>
      </c>
      <c r="K6" s="20" t="s">
        <v>17</v>
      </c>
      <c r="L6" s="31"/>
      <c r="M6" s="15"/>
    </row>
    <row r="7" spans="1:13" s="13" customFormat="1" ht="22.9" customHeight="1">
      <c r="A7" s="66"/>
      <c r="B7" s="75"/>
      <c r="C7" s="69"/>
      <c r="D7" s="72"/>
      <c r="E7" s="16">
        <f>IF(E9&lt;&gt;0,+E9/E12,0%)</f>
        <v>0.5</v>
      </c>
      <c r="F7" s="14">
        <f t="shared" ref="F7:H7" si="0">IF(F9&lt;&gt;0,+F9/F11,0%)</f>
        <v>0</v>
      </c>
      <c r="G7" s="3" t="e">
        <f>IF(G9&lt;&gt;0,+G9/G11,0%)</f>
        <v>#REF!</v>
      </c>
      <c r="H7" s="14">
        <f t="shared" si="0"/>
        <v>0</v>
      </c>
      <c r="I7" s="3" t="e">
        <f>IF(I9&lt;&gt;0,+I9/I11,0%)</f>
        <v>#REF!</v>
      </c>
      <c r="J7" s="14">
        <f t="shared" ref="J7" si="1">IF(J9&lt;&gt;0,+J9/J11,0%)</f>
        <v>0</v>
      </c>
      <c r="K7" s="3" t="e">
        <f>IF(K9&lt;&gt;0,+K9/K11,0%)</f>
        <v>#REF!</v>
      </c>
      <c r="L7" s="32"/>
    </row>
    <row r="8" spans="1:13" s="13" customFormat="1" ht="22.9" customHeight="1" thickBot="1">
      <c r="A8" s="66"/>
      <c r="B8" s="75"/>
      <c r="C8" s="69"/>
      <c r="D8" s="73"/>
      <c r="E8" s="24" t="s">
        <v>18</v>
      </c>
      <c r="F8" s="24" t="s">
        <v>18</v>
      </c>
      <c r="G8" s="25" t="s">
        <v>18</v>
      </c>
      <c r="H8" s="24" t="s">
        <v>18</v>
      </c>
      <c r="I8" s="25" t="s">
        <v>18</v>
      </c>
      <c r="J8" s="24" t="s">
        <v>18</v>
      </c>
      <c r="K8" s="25" t="s">
        <v>18</v>
      </c>
      <c r="L8" s="32"/>
    </row>
    <row r="9" spans="1:13" s="13" customFormat="1" ht="22.9" customHeight="1" thickTop="1">
      <c r="A9" s="66"/>
      <c r="B9" s="75"/>
      <c r="C9" s="69"/>
      <c r="D9" s="71" t="s">
        <v>50</v>
      </c>
      <c r="E9" s="26">
        <v>4</v>
      </c>
      <c r="F9" s="4"/>
      <c r="G9" s="27" t="e">
        <f>+#REF!+F9</f>
        <v>#REF!</v>
      </c>
      <c r="H9" s="4"/>
      <c r="I9" s="27" t="e">
        <f>+G9+H9</f>
        <v>#REF!</v>
      </c>
      <c r="J9" s="4"/>
      <c r="K9" s="27" t="e">
        <f>+I9+J9</f>
        <v>#REF!</v>
      </c>
      <c r="L9" s="33" t="e">
        <f>+K7/E7</f>
        <v>#REF!</v>
      </c>
    </row>
    <row r="10" spans="1:13" s="13" customFormat="1" ht="22.9" customHeight="1">
      <c r="A10" s="66"/>
      <c r="B10" s="75"/>
      <c r="C10" s="69"/>
      <c r="D10" s="72"/>
      <c r="F10" s="28" t="s">
        <v>20</v>
      </c>
      <c r="G10" s="29" t="s">
        <v>20</v>
      </c>
      <c r="H10" s="28" t="s">
        <v>20</v>
      </c>
      <c r="I10" s="29" t="s">
        <v>20</v>
      </c>
      <c r="J10" s="28" t="s">
        <v>20</v>
      </c>
      <c r="K10" s="29" t="s">
        <v>20</v>
      </c>
      <c r="L10" s="32"/>
    </row>
    <row r="11" spans="1:13" s="13" customFormat="1" ht="22.9" customHeight="1" thickBot="1">
      <c r="A11" s="67"/>
      <c r="B11" s="76"/>
      <c r="C11" s="70"/>
      <c r="D11" s="73"/>
      <c r="E11" s="28" t="s">
        <v>20</v>
      </c>
      <c r="F11" s="36"/>
      <c r="G11" s="27" t="e">
        <f>+#REF!+F11</f>
        <v>#REF!</v>
      </c>
      <c r="H11" s="36"/>
      <c r="I11" s="27" t="e">
        <f>+G11+H11</f>
        <v>#REF!</v>
      </c>
      <c r="J11" s="36"/>
      <c r="K11" s="27" t="e">
        <f t="shared" ref="K11" si="2">+I11+J11</f>
        <v>#REF!</v>
      </c>
      <c r="L11" s="34"/>
    </row>
    <row r="12" spans="1:13" ht="13.5" thickTop="1">
      <c r="E12" s="26">
        <v>8</v>
      </c>
    </row>
  </sheetData>
  <mergeCells count="17">
    <mergeCell ref="J4:J5"/>
    <mergeCell ref="K4:K5"/>
    <mergeCell ref="L4:L5"/>
    <mergeCell ref="F4:F5"/>
    <mergeCell ref="G4:G5"/>
    <mergeCell ref="H4:H5"/>
    <mergeCell ref="A6:A11"/>
    <mergeCell ref="A4:A5"/>
    <mergeCell ref="B4:B5"/>
    <mergeCell ref="C4:C5"/>
    <mergeCell ref="I4:I5"/>
    <mergeCell ref="D9:D11"/>
    <mergeCell ref="D6:D8"/>
    <mergeCell ref="B6:B11"/>
    <mergeCell ref="C6:C11"/>
    <mergeCell ref="D4:D5"/>
    <mergeCell ref="E4:E5"/>
  </mergeCells>
  <pageMargins left="0.56999999999999995" right="0.37" top="0.41" bottom="0.47" header="0" footer="0"/>
  <pageSetup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03A3-B28E-4B55-AF04-233600222DF3}">
  <dimension ref="A1:L32"/>
  <sheetViews>
    <sheetView showGridLines="0" zoomScale="80" zoomScaleNormal="80" workbookViewId="0">
      <pane xSplit="2" ySplit="7" topLeftCell="C24" activePane="bottomRight" state="frozen"/>
      <selection pane="bottomRight" activeCell="A26" sqref="A26:A31"/>
      <selection pane="bottomLeft" activeCell="A13" sqref="A13"/>
      <selection pane="topRight" activeCell="D1" sqref="D1"/>
    </sheetView>
  </sheetViews>
  <sheetFormatPr defaultColWidth="11.42578125" defaultRowHeight="12.95"/>
  <cols>
    <col min="1" max="1" width="11.42578125" style="1"/>
    <col min="2" max="2" width="20.28515625" style="1" customWidth="1"/>
    <col min="3" max="3" width="26.7109375" style="1" customWidth="1"/>
    <col min="4" max="4" width="28.5703125" style="1" customWidth="1"/>
    <col min="5" max="5" width="17" style="1" customWidth="1"/>
    <col min="6" max="11" width="10.7109375" style="7" customWidth="1"/>
    <col min="12" max="12" width="16" style="7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2" s="5" customFormat="1" ht="20.25" customHeight="1">
      <c r="B1" s="90"/>
      <c r="C1" s="90"/>
      <c r="D1" s="84"/>
      <c r="E1" s="84"/>
      <c r="F1" s="6"/>
      <c r="G1" s="6"/>
      <c r="H1" s="6"/>
      <c r="I1" s="6"/>
      <c r="J1" s="6"/>
      <c r="K1" s="6"/>
      <c r="L1" s="6"/>
    </row>
    <row r="2" spans="1:12" ht="15.75" customHeight="1">
      <c r="B2" s="107"/>
      <c r="C2" s="107"/>
      <c r="D2" s="108"/>
      <c r="E2" s="108"/>
    </row>
    <row r="3" spans="1:12" s="5" customFormat="1" ht="16.5" customHeight="1">
      <c r="A3" s="9" t="s">
        <v>0</v>
      </c>
      <c r="F3" s="6"/>
      <c r="G3" s="6"/>
      <c r="H3" s="6"/>
      <c r="I3" s="6"/>
      <c r="J3" s="6"/>
      <c r="K3" s="6"/>
      <c r="L3" s="6"/>
    </row>
    <row r="4" spans="1:12" s="5" customFormat="1" ht="15.6">
      <c r="B4" s="8"/>
      <c r="C4" s="18"/>
      <c r="F4" s="6"/>
      <c r="G4" s="6"/>
      <c r="H4" s="10"/>
      <c r="I4" s="6"/>
      <c r="J4" s="6"/>
      <c r="K4" s="6"/>
      <c r="L4" s="6"/>
    </row>
    <row r="5" spans="1:12" s="5" customFormat="1" ht="15.95" thickBot="1">
      <c r="B5"/>
      <c r="C5" s="9"/>
      <c r="F5" s="6"/>
      <c r="G5" s="6"/>
      <c r="H5" s="6"/>
      <c r="I5" s="6"/>
      <c r="J5" s="6"/>
      <c r="K5" s="11"/>
      <c r="L5" s="11"/>
    </row>
    <row r="6" spans="1:12" s="12" customFormat="1" ht="22.9" customHeight="1" thickTop="1">
      <c r="A6" s="98" t="s">
        <v>1</v>
      </c>
      <c r="B6" s="63" t="s">
        <v>2</v>
      </c>
      <c r="C6" s="79" t="s">
        <v>3</v>
      </c>
      <c r="D6" s="79" t="s">
        <v>4</v>
      </c>
      <c r="E6" s="79" t="s">
        <v>5</v>
      </c>
      <c r="F6" s="79" t="s">
        <v>6</v>
      </c>
      <c r="G6" s="79" t="s">
        <v>7</v>
      </c>
      <c r="H6" s="63" t="s">
        <v>8</v>
      </c>
      <c r="I6" s="79" t="s">
        <v>9</v>
      </c>
      <c r="J6" s="79" t="s">
        <v>10</v>
      </c>
      <c r="K6" s="77" t="s">
        <v>11</v>
      </c>
      <c r="L6" s="79" t="s">
        <v>12</v>
      </c>
    </row>
    <row r="7" spans="1:12" s="12" customFormat="1" ht="22.9" customHeight="1" thickBot="1">
      <c r="A7" s="99"/>
      <c r="B7" s="64"/>
      <c r="C7" s="80"/>
      <c r="D7" s="80"/>
      <c r="E7" s="86"/>
      <c r="F7" s="81"/>
      <c r="G7" s="81"/>
      <c r="H7" s="82"/>
      <c r="I7" s="81"/>
      <c r="J7" s="80"/>
      <c r="K7" s="78"/>
      <c r="L7" s="80"/>
    </row>
    <row r="8" spans="1:12" s="13" customFormat="1" ht="22.9" customHeight="1" thickTop="1">
      <c r="A8" s="60" t="s">
        <v>51</v>
      </c>
      <c r="B8" s="115" t="s">
        <v>52</v>
      </c>
      <c r="C8" s="113" t="s">
        <v>53</v>
      </c>
      <c r="D8" s="109" t="s">
        <v>54</v>
      </c>
      <c r="E8" s="38" t="s">
        <v>17</v>
      </c>
      <c r="F8" s="38" t="s">
        <v>17</v>
      </c>
      <c r="G8" s="39" t="s">
        <v>17</v>
      </c>
      <c r="H8" s="38" t="s">
        <v>17</v>
      </c>
      <c r="I8" s="39" t="s">
        <v>17</v>
      </c>
      <c r="J8" s="38" t="s">
        <v>17</v>
      </c>
      <c r="K8" s="39" t="s">
        <v>17</v>
      </c>
      <c r="L8" s="48"/>
    </row>
    <row r="9" spans="1:12" s="13" customFormat="1" ht="22.9" customHeight="1">
      <c r="A9" s="100"/>
      <c r="B9" s="116"/>
      <c r="C9" s="127"/>
      <c r="D9" s="110"/>
      <c r="E9" s="40">
        <f>IF(E11&lt;&gt;0,+E11/E13,0%)</f>
        <v>1</v>
      </c>
      <c r="F9" s="49">
        <f>IF(F11&lt;&gt;0,+F11/F13,0%)</f>
        <v>0</v>
      </c>
      <c r="G9" s="41" t="e">
        <f t="shared" ref="G9" si="0">IF(G11&lt;&gt;0,+G11/G13,0%)</f>
        <v>#REF!</v>
      </c>
      <c r="H9" s="49">
        <f>IF(H11&lt;&gt;0,+H11/H13,0%)</f>
        <v>0</v>
      </c>
      <c r="I9" s="41" t="e">
        <f t="shared" ref="I9" si="1">IF(I11&lt;&gt;0,+I11/I13,0%)</f>
        <v>#REF!</v>
      </c>
      <c r="J9" s="49">
        <f>IF(J11&lt;&gt;0,+J11/J13,0%)</f>
        <v>0</v>
      </c>
      <c r="K9" s="41" t="e">
        <f t="shared" ref="K9" si="2">IF(K11&lt;&gt;0,+K11/K13,0%)</f>
        <v>#REF!</v>
      </c>
      <c r="L9" s="50"/>
    </row>
    <row r="10" spans="1:12" s="13" customFormat="1" ht="22.9" customHeight="1" thickBot="1">
      <c r="A10" s="100"/>
      <c r="B10" s="116"/>
      <c r="C10" s="127"/>
      <c r="D10" s="111"/>
      <c r="E10" s="42" t="s">
        <v>18</v>
      </c>
      <c r="F10" s="42" t="s">
        <v>18</v>
      </c>
      <c r="G10" s="43" t="s">
        <v>18</v>
      </c>
      <c r="H10" s="42" t="s">
        <v>18</v>
      </c>
      <c r="I10" s="43" t="s">
        <v>18</v>
      </c>
      <c r="J10" s="42" t="s">
        <v>18</v>
      </c>
      <c r="K10" s="43" t="s">
        <v>18</v>
      </c>
      <c r="L10" s="50"/>
    </row>
    <row r="11" spans="1:12" s="13" customFormat="1" ht="22.9" customHeight="1" thickTop="1">
      <c r="A11" s="100"/>
      <c r="B11" s="116"/>
      <c r="C11" s="127"/>
      <c r="D11" s="114" t="s">
        <v>55</v>
      </c>
      <c r="E11" s="47">
        <v>4</v>
      </c>
      <c r="F11" s="51"/>
      <c r="G11" s="44" t="e">
        <f>+#REF!+F11</f>
        <v>#REF!</v>
      </c>
      <c r="H11" s="51"/>
      <c r="I11" s="44" t="e">
        <f t="shared" ref="I11" si="3">+G11+H11</f>
        <v>#REF!</v>
      </c>
      <c r="J11" s="52"/>
      <c r="K11" s="53" t="e">
        <f>+I11+J11</f>
        <v>#REF!</v>
      </c>
      <c r="L11" s="54" t="e">
        <f>+K9/E9</f>
        <v>#REF!</v>
      </c>
    </row>
    <row r="12" spans="1:12" s="13" customFormat="1" ht="22.9" customHeight="1">
      <c r="A12" s="100"/>
      <c r="B12" s="116"/>
      <c r="C12" s="127"/>
      <c r="D12" s="109"/>
      <c r="E12" s="45" t="s">
        <v>20</v>
      </c>
      <c r="F12" s="45" t="s">
        <v>20</v>
      </c>
      <c r="G12" s="46" t="s">
        <v>20</v>
      </c>
      <c r="H12" s="45" t="s">
        <v>20</v>
      </c>
      <c r="I12" s="46" t="s">
        <v>20</v>
      </c>
      <c r="J12" s="45" t="s">
        <v>20</v>
      </c>
      <c r="K12" s="46" t="s">
        <v>20</v>
      </c>
      <c r="L12" s="50"/>
    </row>
    <row r="13" spans="1:12" s="13" customFormat="1" ht="22.9" customHeight="1" thickBot="1">
      <c r="A13" s="101"/>
      <c r="B13" s="117"/>
      <c r="C13" s="128"/>
      <c r="D13" s="111"/>
      <c r="E13" s="47">
        <v>4</v>
      </c>
      <c r="F13" s="36">
        <v>4</v>
      </c>
      <c r="G13" s="37">
        <v>4</v>
      </c>
      <c r="H13" s="36">
        <v>4</v>
      </c>
      <c r="I13" s="37">
        <v>4</v>
      </c>
      <c r="J13" s="36">
        <v>4</v>
      </c>
      <c r="K13" s="37">
        <v>4</v>
      </c>
      <c r="L13" s="55"/>
    </row>
    <row r="14" spans="1:12" s="13" customFormat="1" ht="22.9" customHeight="1" thickTop="1">
      <c r="A14" s="102" t="s">
        <v>56</v>
      </c>
      <c r="B14" s="112" t="s">
        <v>57</v>
      </c>
      <c r="C14" s="113" t="s">
        <v>53</v>
      </c>
      <c r="D14" s="109" t="s">
        <v>54</v>
      </c>
      <c r="E14" s="38" t="s">
        <v>17</v>
      </c>
      <c r="F14" s="38" t="s">
        <v>17</v>
      </c>
      <c r="G14" s="39" t="s">
        <v>17</v>
      </c>
      <c r="H14" s="38" t="s">
        <v>17</v>
      </c>
      <c r="I14" s="39" t="s">
        <v>17</v>
      </c>
      <c r="J14" s="38" t="s">
        <v>17</v>
      </c>
      <c r="K14" s="39" t="s">
        <v>17</v>
      </c>
      <c r="L14" s="48"/>
    </row>
    <row r="15" spans="1:12" s="13" customFormat="1" ht="22.9" customHeight="1">
      <c r="A15" s="103"/>
      <c r="B15" s="75"/>
      <c r="C15" s="127"/>
      <c r="D15" s="110"/>
      <c r="E15" s="40">
        <f>IF(E17&lt;&gt;0,+E17/E19,0%)</f>
        <v>1</v>
      </c>
      <c r="F15" s="49">
        <f>IF(F17&lt;&gt;0,+F17/F19,0%)</f>
        <v>0</v>
      </c>
      <c r="G15" s="41" t="e">
        <f t="shared" ref="G15" si="4">IF(G17&lt;&gt;0,+G17/G19,0%)</f>
        <v>#REF!</v>
      </c>
      <c r="H15" s="49">
        <f>IF(H17&lt;&gt;0,+H17/H19,0%)</f>
        <v>0</v>
      </c>
      <c r="I15" s="41" t="e">
        <f t="shared" ref="I15" si="5">IF(I17&lt;&gt;0,+I17/I19,0%)</f>
        <v>#REF!</v>
      </c>
      <c r="J15" s="49">
        <f>IF(J17&lt;&gt;0,+J17/J19,0%)</f>
        <v>0</v>
      </c>
      <c r="K15" s="41" t="e">
        <f t="shared" ref="K15" si="6">IF(K17&lt;&gt;0,+K17/K19,0%)</f>
        <v>#REF!</v>
      </c>
      <c r="L15" s="50"/>
    </row>
    <row r="16" spans="1:12" s="13" customFormat="1" ht="22.9" customHeight="1" thickBot="1">
      <c r="A16" s="103"/>
      <c r="B16" s="75"/>
      <c r="C16" s="127"/>
      <c r="D16" s="111"/>
      <c r="E16" s="42" t="s">
        <v>18</v>
      </c>
      <c r="F16" s="42" t="s">
        <v>18</v>
      </c>
      <c r="G16" s="43" t="s">
        <v>18</v>
      </c>
      <c r="H16" s="42" t="s">
        <v>18</v>
      </c>
      <c r="I16" s="43" t="s">
        <v>18</v>
      </c>
      <c r="J16" s="42" t="s">
        <v>18</v>
      </c>
      <c r="K16" s="43" t="s">
        <v>18</v>
      </c>
      <c r="L16" s="50"/>
    </row>
    <row r="17" spans="1:12" s="13" customFormat="1" ht="22.9" customHeight="1" thickTop="1">
      <c r="A17" s="103"/>
      <c r="B17" s="75"/>
      <c r="C17" s="127"/>
      <c r="D17" s="114" t="s">
        <v>55</v>
      </c>
      <c r="E17" s="47">
        <v>4</v>
      </c>
      <c r="F17" s="51"/>
      <c r="G17" s="44" t="e">
        <f>+#REF!+F17</f>
        <v>#REF!</v>
      </c>
      <c r="H17" s="51"/>
      <c r="I17" s="44" t="e">
        <f t="shared" ref="I17" si="7">+G17+H17</f>
        <v>#REF!</v>
      </c>
      <c r="J17" s="52"/>
      <c r="K17" s="53" t="e">
        <f>+I17+J17</f>
        <v>#REF!</v>
      </c>
      <c r="L17" s="54" t="e">
        <f>+K15/E15</f>
        <v>#REF!</v>
      </c>
    </row>
    <row r="18" spans="1:12" s="13" customFormat="1" ht="22.9" customHeight="1">
      <c r="A18" s="103"/>
      <c r="B18" s="75"/>
      <c r="C18" s="127"/>
      <c r="D18" s="109"/>
      <c r="E18" s="45" t="s">
        <v>20</v>
      </c>
      <c r="F18" s="45" t="s">
        <v>20</v>
      </c>
      <c r="G18" s="46" t="s">
        <v>20</v>
      </c>
      <c r="H18" s="45" t="s">
        <v>20</v>
      </c>
      <c r="I18" s="46" t="s">
        <v>20</v>
      </c>
      <c r="J18" s="45" t="s">
        <v>20</v>
      </c>
      <c r="K18" s="46" t="s">
        <v>20</v>
      </c>
      <c r="L18" s="50"/>
    </row>
    <row r="19" spans="1:12" s="13" customFormat="1" ht="22.9" customHeight="1" thickBot="1">
      <c r="A19" s="104"/>
      <c r="B19" s="76"/>
      <c r="C19" s="128"/>
      <c r="D19" s="111"/>
      <c r="E19" s="47">
        <v>4</v>
      </c>
      <c r="F19" s="36">
        <v>4</v>
      </c>
      <c r="G19" s="37">
        <v>4</v>
      </c>
      <c r="H19" s="36">
        <v>4</v>
      </c>
      <c r="I19" s="37">
        <v>4</v>
      </c>
      <c r="J19" s="36">
        <v>4</v>
      </c>
      <c r="K19" s="37">
        <v>4</v>
      </c>
      <c r="L19" s="55"/>
    </row>
    <row r="20" spans="1:12" s="13" customFormat="1" ht="22.9" customHeight="1" thickTop="1">
      <c r="A20" s="60" t="s">
        <v>58</v>
      </c>
      <c r="B20" s="118" t="s">
        <v>59</v>
      </c>
      <c r="C20" s="113" t="s">
        <v>53</v>
      </c>
      <c r="D20" s="109" t="s">
        <v>54</v>
      </c>
      <c r="E20" s="38" t="s">
        <v>17</v>
      </c>
      <c r="F20" s="38" t="s">
        <v>17</v>
      </c>
      <c r="G20" s="39" t="s">
        <v>17</v>
      </c>
      <c r="H20" s="38" t="s">
        <v>17</v>
      </c>
      <c r="I20" s="39" t="s">
        <v>17</v>
      </c>
      <c r="J20" s="38" t="s">
        <v>17</v>
      </c>
      <c r="K20" s="39" t="s">
        <v>17</v>
      </c>
      <c r="L20" s="48"/>
    </row>
    <row r="21" spans="1:12" s="13" customFormat="1" ht="22.9" customHeight="1">
      <c r="A21" s="100"/>
      <c r="B21" s="119"/>
      <c r="C21" s="127"/>
      <c r="D21" s="110"/>
      <c r="E21" s="40">
        <f>IF(E23&lt;&gt;0,+E23/E25,0%)</f>
        <v>1</v>
      </c>
      <c r="F21" s="49">
        <f>IF(F23&lt;&gt;0,+F23/F25,0%)</f>
        <v>0</v>
      </c>
      <c r="G21" s="41" t="e">
        <f t="shared" ref="G21" si="8">IF(G23&lt;&gt;0,+G23/G25,0%)</f>
        <v>#REF!</v>
      </c>
      <c r="H21" s="49">
        <f>IF(H23&lt;&gt;0,+H23/H25,0%)</f>
        <v>0</v>
      </c>
      <c r="I21" s="41" t="e">
        <f t="shared" ref="I21" si="9">IF(I23&lt;&gt;0,+I23/I25,0%)</f>
        <v>#REF!</v>
      </c>
      <c r="J21" s="49">
        <f>IF(J23&lt;&gt;0,+J23/J25,0%)</f>
        <v>0</v>
      </c>
      <c r="K21" s="41" t="e">
        <f t="shared" ref="K21" si="10">IF(K23&lt;&gt;0,+K23/K25,0%)</f>
        <v>#REF!</v>
      </c>
      <c r="L21" s="50"/>
    </row>
    <row r="22" spans="1:12" s="13" customFormat="1" ht="22.9" customHeight="1" thickBot="1">
      <c r="A22" s="100"/>
      <c r="B22" s="119"/>
      <c r="C22" s="127"/>
      <c r="D22" s="111"/>
      <c r="E22" s="42" t="s">
        <v>18</v>
      </c>
      <c r="F22" s="42" t="s">
        <v>18</v>
      </c>
      <c r="G22" s="43" t="s">
        <v>18</v>
      </c>
      <c r="H22" s="42" t="s">
        <v>18</v>
      </c>
      <c r="I22" s="43" t="s">
        <v>18</v>
      </c>
      <c r="J22" s="42" t="s">
        <v>18</v>
      </c>
      <c r="K22" s="43" t="s">
        <v>18</v>
      </c>
      <c r="L22" s="50"/>
    </row>
    <row r="23" spans="1:12" s="13" customFormat="1" ht="22.9" customHeight="1" thickTop="1">
      <c r="A23" s="100"/>
      <c r="B23" s="119"/>
      <c r="C23" s="127"/>
      <c r="D23" s="114" t="s">
        <v>55</v>
      </c>
      <c r="E23" s="47">
        <v>4</v>
      </c>
      <c r="F23" s="51"/>
      <c r="G23" s="44" t="e">
        <f>+#REF!+F23</f>
        <v>#REF!</v>
      </c>
      <c r="H23" s="51"/>
      <c r="I23" s="44" t="e">
        <f t="shared" ref="I23" si="11">+G23+H23</f>
        <v>#REF!</v>
      </c>
      <c r="J23" s="52"/>
      <c r="K23" s="53" t="e">
        <f>+I23+J23</f>
        <v>#REF!</v>
      </c>
      <c r="L23" s="54" t="e">
        <f>+K21/E21</f>
        <v>#REF!</v>
      </c>
    </row>
    <row r="24" spans="1:12" s="13" customFormat="1" ht="22.9" customHeight="1">
      <c r="A24" s="100"/>
      <c r="B24" s="119"/>
      <c r="C24" s="127"/>
      <c r="D24" s="109"/>
      <c r="E24" s="45" t="s">
        <v>20</v>
      </c>
      <c r="F24" s="45" t="s">
        <v>20</v>
      </c>
      <c r="G24" s="46" t="s">
        <v>20</v>
      </c>
      <c r="H24" s="45" t="s">
        <v>20</v>
      </c>
      <c r="I24" s="46" t="s">
        <v>20</v>
      </c>
      <c r="J24" s="45" t="s">
        <v>20</v>
      </c>
      <c r="K24" s="46" t="s">
        <v>20</v>
      </c>
      <c r="L24" s="50"/>
    </row>
    <row r="25" spans="1:12" s="13" customFormat="1" ht="22.9" customHeight="1" thickBot="1">
      <c r="A25" s="101"/>
      <c r="B25" s="120"/>
      <c r="C25" s="128"/>
      <c r="D25" s="111"/>
      <c r="E25" s="47">
        <v>4</v>
      </c>
      <c r="F25" s="36">
        <v>4</v>
      </c>
      <c r="G25" s="37">
        <v>4</v>
      </c>
      <c r="H25" s="36">
        <v>4</v>
      </c>
      <c r="I25" s="37">
        <v>4</v>
      </c>
      <c r="J25" s="36">
        <v>4</v>
      </c>
      <c r="K25" s="37">
        <v>4</v>
      </c>
      <c r="L25" s="55"/>
    </row>
    <row r="26" spans="1:12" s="13" customFormat="1" ht="22.9" customHeight="1" thickTop="1">
      <c r="A26" s="102" t="s">
        <v>60</v>
      </c>
      <c r="B26" s="121" t="s">
        <v>61</v>
      </c>
      <c r="C26" s="113" t="s">
        <v>53</v>
      </c>
      <c r="D26" s="109" t="s">
        <v>54</v>
      </c>
      <c r="E26" s="38" t="s">
        <v>17</v>
      </c>
      <c r="F26" s="38" t="s">
        <v>17</v>
      </c>
      <c r="G26" s="39" t="s">
        <v>17</v>
      </c>
      <c r="H26" s="38" t="s">
        <v>17</v>
      </c>
      <c r="I26" s="39" t="s">
        <v>17</v>
      </c>
      <c r="J26" s="38" t="s">
        <v>17</v>
      </c>
      <c r="K26" s="39" t="s">
        <v>17</v>
      </c>
      <c r="L26" s="48"/>
    </row>
    <row r="27" spans="1:12" s="13" customFormat="1" ht="22.9" customHeight="1">
      <c r="A27" s="105"/>
      <c r="B27" s="122"/>
      <c r="C27" s="127"/>
      <c r="D27" s="110"/>
      <c r="E27" s="40">
        <f>IF(E29&lt;&gt;0,+E29/E31,0%)</f>
        <v>1</v>
      </c>
      <c r="F27" s="49">
        <f>IF(F29&lt;&gt;0,+F29/F31,0%)</f>
        <v>0</v>
      </c>
      <c r="G27" s="41" t="e">
        <f t="shared" ref="G27" si="12">IF(G29&lt;&gt;0,+G29/G31,0%)</f>
        <v>#REF!</v>
      </c>
      <c r="H27" s="49">
        <f>IF(H29&lt;&gt;0,+H29/H31,0%)</f>
        <v>0</v>
      </c>
      <c r="I27" s="41" t="e">
        <f t="shared" ref="I27" si="13">IF(I29&lt;&gt;0,+I29/I31,0%)</f>
        <v>#REF!</v>
      </c>
      <c r="J27" s="49">
        <f>IF(J29&lt;&gt;0,+J29/J31,0%)</f>
        <v>0</v>
      </c>
      <c r="K27" s="41" t="e">
        <f t="shared" ref="K27" si="14">IF(K29&lt;&gt;0,+K29/K31,0%)</f>
        <v>#REF!</v>
      </c>
      <c r="L27" s="50"/>
    </row>
    <row r="28" spans="1:12" s="13" customFormat="1" ht="22.9" customHeight="1" thickBot="1">
      <c r="A28" s="105"/>
      <c r="B28" s="122"/>
      <c r="C28" s="127"/>
      <c r="D28" s="111"/>
      <c r="E28" s="42" t="s">
        <v>18</v>
      </c>
      <c r="F28" s="42" t="s">
        <v>18</v>
      </c>
      <c r="G28" s="43" t="s">
        <v>18</v>
      </c>
      <c r="H28" s="42" t="s">
        <v>18</v>
      </c>
      <c r="I28" s="43" t="s">
        <v>18</v>
      </c>
      <c r="J28" s="42" t="s">
        <v>18</v>
      </c>
      <c r="K28" s="43" t="s">
        <v>18</v>
      </c>
      <c r="L28" s="50"/>
    </row>
    <row r="29" spans="1:12" s="13" customFormat="1" ht="22.9" customHeight="1" thickTop="1">
      <c r="A29" s="105"/>
      <c r="B29" s="122"/>
      <c r="C29" s="127"/>
      <c r="D29" s="114" t="s">
        <v>55</v>
      </c>
      <c r="E29" s="47">
        <v>4</v>
      </c>
      <c r="F29" s="51"/>
      <c r="G29" s="44" t="e">
        <f>+#REF!+F29</f>
        <v>#REF!</v>
      </c>
      <c r="H29" s="51"/>
      <c r="I29" s="44" t="e">
        <f t="shared" ref="I29" si="15">+G29+H29</f>
        <v>#REF!</v>
      </c>
      <c r="J29" s="52"/>
      <c r="K29" s="53" t="e">
        <f>+I29+J29</f>
        <v>#REF!</v>
      </c>
      <c r="L29" s="54" t="e">
        <f>+K27/E27</f>
        <v>#REF!</v>
      </c>
    </row>
    <row r="30" spans="1:12" s="13" customFormat="1" ht="22.9" customHeight="1">
      <c r="A30" s="105"/>
      <c r="B30" s="122"/>
      <c r="C30" s="127"/>
      <c r="D30" s="109"/>
      <c r="E30" s="45" t="s">
        <v>20</v>
      </c>
      <c r="F30" s="45" t="s">
        <v>20</v>
      </c>
      <c r="G30" s="46" t="s">
        <v>20</v>
      </c>
      <c r="H30" s="45" t="s">
        <v>20</v>
      </c>
      <c r="I30" s="46" t="s">
        <v>20</v>
      </c>
      <c r="J30" s="45" t="s">
        <v>20</v>
      </c>
      <c r="K30" s="46" t="s">
        <v>20</v>
      </c>
      <c r="L30" s="50"/>
    </row>
    <row r="31" spans="1:12" s="13" customFormat="1" ht="22.9" customHeight="1" thickBot="1">
      <c r="A31" s="106"/>
      <c r="B31" s="123"/>
      <c r="C31" s="128"/>
      <c r="D31" s="111"/>
      <c r="E31" s="47">
        <v>4</v>
      </c>
      <c r="F31" s="36">
        <v>4</v>
      </c>
      <c r="G31" s="37">
        <v>4</v>
      </c>
      <c r="H31" s="36">
        <v>4</v>
      </c>
      <c r="I31" s="37">
        <v>4</v>
      </c>
      <c r="J31" s="36">
        <v>4</v>
      </c>
      <c r="K31" s="37">
        <v>4</v>
      </c>
      <c r="L31" s="55"/>
    </row>
    <row r="32" spans="1:12" ht="13.5" thickTop="1">
      <c r="B32"/>
    </row>
  </sheetData>
  <mergeCells count="36">
    <mergeCell ref="D26:D28"/>
    <mergeCell ref="D29:D31"/>
    <mergeCell ref="D20:D22"/>
    <mergeCell ref="D23:D25"/>
    <mergeCell ref="B20:B25"/>
    <mergeCell ref="C20:C25"/>
    <mergeCell ref="B26:B31"/>
    <mergeCell ref="C26:C31"/>
    <mergeCell ref="D8:D10"/>
    <mergeCell ref="B14:B19"/>
    <mergeCell ref="C14:C19"/>
    <mergeCell ref="D11:D13"/>
    <mergeCell ref="B8:B13"/>
    <mergeCell ref="C8:C13"/>
    <mergeCell ref="D17:D19"/>
    <mergeCell ref="D14:D16"/>
    <mergeCell ref="H6:H7"/>
    <mergeCell ref="I6:I7"/>
    <mergeCell ref="J6:J7"/>
    <mergeCell ref="K6:K7"/>
    <mergeCell ref="L6:L7"/>
    <mergeCell ref="F6:F7"/>
    <mergeCell ref="G6:G7"/>
    <mergeCell ref="B6:B7"/>
    <mergeCell ref="C6:C7"/>
    <mergeCell ref="B1:C1"/>
    <mergeCell ref="D1:E1"/>
    <mergeCell ref="D6:D7"/>
    <mergeCell ref="E6:E7"/>
    <mergeCell ref="B2:C2"/>
    <mergeCell ref="D2:E2"/>
    <mergeCell ref="A6:A7"/>
    <mergeCell ref="A8:A13"/>
    <mergeCell ref="A14:A19"/>
    <mergeCell ref="A20:A25"/>
    <mergeCell ref="A26:A31"/>
  </mergeCells>
  <pageMargins left="0.56999999999999995" right="0.37" top="0.41" bottom="0.47" header="0" footer="0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2026-01-15T19:58:08Z</dcterms:modified>
  <cp:category/>
  <cp:contentStatus/>
</cp:coreProperties>
</file>