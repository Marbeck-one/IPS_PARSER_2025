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PS\Gestion 2025 B\Psicus 2025\"/>
    </mc:Choice>
  </mc:AlternateContent>
  <xr:revisionPtr revIDLastSave="42" documentId="13_ncr:1_{190E4090-3331-4615-AA6E-193DA80E2B26}" xr6:coauthVersionLast="47" xr6:coauthVersionMax="47" xr10:uidLastSave="{8C6B95E0-3ABE-43F3-B860-388D0C96571E}"/>
  <bookViews>
    <workbookView xWindow="-120" yWindow="-120" windowWidth="29040" windowHeight="15720" tabRatio="660" xr2:uid="{00000000-000D-0000-FFFF-FFFF00000000}"/>
  </bookViews>
  <sheets>
    <sheet name="CDC 2025" sheetId="1" r:id="rId1"/>
    <sheet name="ind 14 dias desagr por sexo CDC" sheetId="8" r:id="rId2"/>
    <sheet name="Form H cargas fam desagr sexo" sheetId="7" r:id="rId3"/>
    <sheet name="PGU Desg Genero" sheetId="9" r:id="rId4"/>
  </sheets>
  <definedNames>
    <definedName name="_xlnm._FilterDatabase" localSheetId="0" hidden="1">'CDC 2025'!$B$14:$L$51</definedName>
    <definedName name="_xlnm.Print_Area" localSheetId="0">'CDC 2025'!$A$14:$L$51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J17" i="1"/>
  <c r="H17" i="1"/>
  <c r="F17" i="1"/>
  <c r="E38" i="9"/>
  <c r="G38" i="9" s="1"/>
  <c r="I38" i="9" s="1"/>
  <c r="H34" i="9"/>
  <c r="F34" i="9"/>
  <c r="D34" i="9"/>
  <c r="C34" i="9"/>
  <c r="H24" i="9"/>
  <c r="F24" i="9"/>
  <c r="D24" i="9"/>
  <c r="C24" i="9"/>
  <c r="E18" i="9"/>
  <c r="D14" i="9"/>
  <c r="C14" i="9"/>
  <c r="C18" i="8"/>
  <c r="C16" i="8"/>
  <c r="E23" i="1"/>
  <c r="G39" i="1"/>
  <c r="I39" i="1" s="1"/>
  <c r="K39" i="1" s="1"/>
  <c r="J35" i="1"/>
  <c r="H35" i="1"/>
  <c r="E35" i="1"/>
  <c r="E38" i="8"/>
  <c r="G38" i="8" s="1"/>
  <c r="I38" i="8" s="1"/>
  <c r="H34" i="8"/>
  <c r="F34" i="8"/>
  <c r="D34" i="8"/>
  <c r="C34" i="8"/>
  <c r="E28" i="8"/>
  <c r="G28" i="8" s="1"/>
  <c r="I28" i="8" s="1"/>
  <c r="H24" i="8"/>
  <c r="F24" i="8"/>
  <c r="D24" i="8"/>
  <c r="C24" i="8"/>
  <c r="E38" i="7"/>
  <c r="G38" i="7" s="1"/>
  <c r="I38" i="7" s="1"/>
  <c r="H34" i="7"/>
  <c r="F34" i="7"/>
  <c r="D34" i="7"/>
  <c r="C34" i="7"/>
  <c r="E28" i="7"/>
  <c r="G28" i="7" s="1"/>
  <c r="I28" i="7" s="1"/>
  <c r="H24" i="7"/>
  <c r="F24" i="7"/>
  <c r="D24" i="7"/>
  <c r="C24" i="7"/>
  <c r="E18" i="7"/>
  <c r="G18" i="7" s="1"/>
  <c r="I18" i="7" s="1"/>
  <c r="H14" i="7"/>
  <c r="F14" i="7"/>
  <c r="D14" i="7"/>
  <c r="J47" i="1"/>
  <c r="H47" i="1"/>
  <c r="F47" i="1"/>
  <c r="E47" i="1"/>
  <c r="F14" i="9" l="1"/>
  <c r="H14" i="9"/>
  <c r="G18" i="9"/>
  <c r="I18" i="9" s="1"/>
  <c r="C14" i="7"/>
  <c r="H14" i="8"/>
  <c r="D14" i="8"/>
  <c r="F14" i="8"/>
  <c r="E18" i="8"/>
  <c r="G18" i="8" s="1"/>
  <c r="I18" i="8" s="1"/>
  <c r="C14" i="8"/>
  <c r="E28" i="9" l="1"/>
  <c r="G37" i="1"/>
  <c r="G49" i="1"/>
  <c r="E26" i="9" l="1"/>
  <c r="E36" i="9"/>
  <c r="E16" i="9"/>
  <c r="G28" i="9"/>
  <c r="G35" i="1"/>
  <c r="I37" i="1"/>
  <c r="E36" i="8"/>
  <c r="E26" i="8"/>
  <c r="E16" i="8"/>
  <c r="E36" i="7"/>
  <c r="E26" i="7"/>
  <c r="E16" i="7"/>
  <c r="G47" i="1"/>
  <c r="I49" i="1"/>
  <c r="I28" i="9" l="1"/>
  <c r="E14" i="9"/>
  <c r="G16" i="9"/>
  <c r="E34" i="9"/>
  <c r="G36" i="9"/>
  <c r="G26" i="9"/>
  <c r="E24" i="9"/>
  <c r="K37" i="1"/>
  <c r="K35" i="1" s="1"/>
  <c r="L37" i="1" s="1"/>
  <c r="I35" i="1"/>
  <c r="G16" i="8"/>
  <c r="E14" i="8"/>
  <c r="E24" i="8"/>
  <c r="G26" i="8"/>
  <c r="E34" i="8"/>
  <c r="G36" i="8"/>
  <c r="G16" i="7"/>
  <c r="E14" i="7"/>
  <c r="E34" i="7"/>
  <c r="G36" i="7"/>
  <c r="E24" i="7"/>
  <c r="G26" i="7"/>
  <c r="K49" i="1"/>
  <c r="K47" i="1" s="1"/>
  <c r="L49" i="1" s="1"/>
  <c r="I47" i="1"/>
  <c r="G24" i="9" l="1"/>
  <c r="I26" i="9"/>
  <c r="I24" i="9" s="1"/>
  <c r="J26" i="9" s="1"/>
  <c r="G34" i="9"/>
  <c r="I36" i="9"/>
  <c r="I34" i="9" s="1"/>
  <c r="J36" i="9" s="1"/>
  <c r="I16" i="9"/>
  <c r="I14" i="9" s="1"/>
  <c r="J16" i="9" s="1"/>
  <c r="G14" i="9"/>
  <c r="G34" i="8"/>
  <c r="I36" i="8"/>
  <c r="I34" i="8" s="1"/>
  <c r="J36" i="8" s="1"/>
  <c r="G24" i="8"/>
  <c r="I26" i="8"/>
  <c r="I24" i="8" s="1"/>
  <c r="J26" i="8" s="1"/>
  <c r="I16" i="8"/>
  <c r="I14" i="8" s="1"/>
  <c r="J16" i="8" s="1"/>
  <c r="G14" i="8"/>
  <c r="G24" i="7"/>
  <c r="I26" i="7"/>
  <c r="I24" i="7" s="1"/>
  <c r="J26" i="7" s="1"/>
  <c r="G34" i="7"/>
  <c r="I36" i="7"/>
  <c r="I34" i="7" s="1"/>
  <c r="J36" i="7" s="1"/>
  <c r="G14" i="7"/>
  <c r="I16" i="7"/>
  <c r="I14" i="7" s="1"/>
  <c r="J16" i="7" s="1"/>
  <c r="G21" i="1" l="1"/>
  <c r="I21" i="1" s="1"/>
  <c r="K21" i="1" s="1"/>
  <c r="E17" i="1"/>
  <c r="J41" i="1"/>
  <c r="H41" i="1"/>
  <c r="F41" i="1"/>
  <c r="E41" i="1"/>
  <c r="G19" i="1" l="1"/>
  <c r="G43" i="1"/>
  <c r="G17" i="1" l="1"/>
  <c r="I19" i="1"/>
  <c r="G41" i="1"/>
  <c r="I43" i="1"/>
  <c r="K19" i="1" l="1"/>
  <c r="K17" i="1" s="1"/>
  <c r="L19" i="1" s="1"/>
  <c r="I17" i="1"/>
  <c r="K43" i="1"/>
  <c r="K41" i="1" s="1"/>
  <c r="L43" i="1" s="1"/>
  <c r="I41" i="1"/>
  <c r="E29" i="1" l="1"/>
  <c r="G33" i="1" l="1"/>
  <c r="I33" i="1" s="1"/>
  <c r="K33" i="1" s="1"/>
  <c r="G27" i="1"/>
  <c r="I27" i="1" s="1"/>
  <c r="K27" i="1" s="1"/>
  <c r="J29" i="1"/>
  <c r="J23" i="1"/>
  <c r="H29" i="1"/>
  <c r="H23" i="1"/>
  <c r="F29" i="1"/>
  <c r="F23" i="1"/>
  <c r="G31" i="1" l="1"/>
  <c r="I31" i="1" l="1"/>
  <c r="G29" i="1"/>
  <c r="G25" i="1" l="1"/>
  <c r="K31" i="1"/>
  <c r="K29" i="1" s="1"/>
  <c r="L31" i="1" s="1"/>
  <c r="I29" i="1"/>
  <c r="G23" i="1" l="1"/>
  <c r="I25" i="1"/>
  <c r="I23" i="1" l="1"/>
  <c r="K25" i="1"/>
  <c r="K23" i="1" s="1"/>
  <c r="L25" i="1" s="1"/>
</calcChain>
</file>

<file path=xl/sharedStrings.xml><?xml version="1.0" encoding="utf-8"?>
<sst xmlns="http://schemas.openxmlformats.org/spreadsheetml/2006/main" count="471" uniqueCount="59">
  <si>
    <t>DIVISIÓN BENEFICIOS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</si>
  <si>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</si>
  <si>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</si>
  <si>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</si>
  <si>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</si>
  <si>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</si>
  <si>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</si>
  <si>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</si>
  <si>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</si>
  <si>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</si>
  <si>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</si>
  <si>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</si>
  <si>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</si>
  <si>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3.5.1.24.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</si>
  <si>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(Hombre - Mujer)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</si>
  <si>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</si>
  <si>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</si>
  <si>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</si>
  <si>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</si>
  <si>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</si>
  <si>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</si>
  <si>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3.3.1.7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</si>
  <si>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Bonificación por Hijo Nacido Vivo (CDC)</t>
    </r>
  </si>
  <si>
    <t>(Sumatoria de días de trámites de Bonificación por Hijo Nacido Vivo solicitados por los usuarios finalizados en el año t / Número total de trámites de Bonificación por Hijo Nacido Vivo solicitados por los usuarios finalizados en el año t)</t>
  </si>
  <si>
    <t>Sumatoria de días de trámites de Bonificación por Hijo Nacido Vivo solicitados por los usuarios finalizados en el año t</t>
  </si>
  <si>
    <t>Número total de trámites de Bonificación por Hijo Nacido Vivo solicitados por los usuarios finalizados en el año t</t>
  </si>
  <si>
    <t>2.4.1.1</t>
  </si>
  <si>
    <r>
      <rPr>
        <b/>
        <sz val="8"/>
        <rFont val="Arial Narrow"/>
        <family val="2"/>
      </rPr>
      <t xml:space="preserve">3)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Porcentaje de beneficios de Asignación Familiar finiquitados  en un plazo máximo de 5 días corridos en el año t.</t>
    </r>
    <r>
      <rPr>
        <b/>
        <u/>
        <sz val="8"/>
        <rFont val="Arial Narrow"/>
        <family val="2"/>
      </rPr>
      <t xml:space="preserve">
</t>
    </r>
  </si>
  <si>
    <t>(Sumatoria de Beneficios de Asignaciones Familiares finiquitados  en un plazo máximo de 5 días corridos en el año t / N° total de Beneficios de Asignaciones Familiares finiquitados en el año t)*100</t>
  </si>
  <si>
    <t xml:space="preserve">(Sumatoria de Beneficios de Asignaciones Familiares finiquitados  en un plazo máximo de 5 días hábiles en el año t </t>
  </si>
  <si>
    <t>N° total de Beneficios de Asignaciones Familiares finiquitados en el año t)*100</t>
  </si>
  <si>
    <t>3.10.1.5</t>
  </si>
  <si>
    <r>
      <rPr>
        <b/>
        <sz val="8"/>
        <rFont val="Arial Narrow"/>
        <family val="2"/>
      </rPr>
      <t xml:space="preserve">4)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beneficios de la Pensión Garantizada Universal (PGU)</t>
    </r>
  </si>
  <si>
    <t>(Sumatoria de días de trámites de beneficios de la Pensión Garantizada Universal finalizados en el año t / Número total de trámites en el año t)*100</t>
  </si>
  <si>
    <t>Sumatoria de días de trámites de beneficios de la Pensión Garantizada Universal finalizados en el año t</t>
  </si>
  <si>
    <t>Número total de trámites en el año t</t>
  </si>
  <si>
    <t>5.1.3.40</t>
  </si>
  <si>
    <r>
      <rPr>
        <b/>
        <sz val="8"/>
        <rFont val="Arial Narrow"/>
        <family val="2"/>
      </rPr>
      <t>5)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
(División Beneficios)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</si>
  <si>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</si>
  <si>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</si>
  <si>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N° total de hitos de control definidos de ejecución presupuestaria a nivel de los Subtítulos 22 y 29</t>
  </si>
  <si>
    <t>5.4.1.83</t>
  </si>
  <si>
    <r>
      <rPr>
        <b/>
        <u/>
        <sz val="8"/>
        <rFont val="Arial Narrow"/>
        <family val="2"/>
      </rPr>
      <t xml:space="preserve">6) Eficacia/Proceso
</t>
    </r>
    <r>
      <rPr>
        <sz val="8"/>
        <rFont val="Arial Narrow"/>
        <family val="2"/>
      </rPr>
      <t>Porcentaje de Reportes Trimestrales de riesgos enviados oportunamente al Depto. Gestión Integral de Riesgos en el año t (División Beneficios)</t>
    </r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</si>
  <si>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</si>
  <si>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</si>
  <si>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</si>
  <si>
    <t>cumplimiento 2025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</si>
  <si>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3.5.1.24.-Porcentaje de Beneficios Previsionales de las áreas Particulares, Públicos y SSS que se finiquitan en un plazo máximo interno de 14 días en el año t (Hombre - Mujer) (CDC)</t>
    </r>
  </si>
  <si>
    <t>(Sumatoria de Beneficios Previsionales de las áreas Particulares, Públicos y SSS que se finiquitan en un plazo máximo de 14 días en el año t / N° Total de Beneficios Previsionales de las áreas Particulares, Públicos y SSS que se finiquitan en el año t)*100</t>
  </si>
  <si>
    <t>Hombre</t>
  </si>
  <si>
    <t>Mujer</t>
  </si>
  <si>
    <r>
      <rPr>
        <b/>
        <u/>
        <sz val="8"/>
        <color theme="1"/>
        <rFont val="Arial Narrow"/>
        <family val="2"/>
      </rPr>
      <t>4)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3.5.1.26.-Porcentaje de cargas de asignación familiar reconocidas con derecho y pago emitido en un plazo máximo de 90 días en el año t</t>
    </r>
  </si>
  <si>
    <t>(Sumatoria de cargas de asignación familiar reconocidas y con pago emitido en un plazo máximo de 90 días en el año t / N° cargas de asignación familiar reconocidas con derecho y pago emitido en el año t)*100</t>
  </si>
  <si>
    <r>
      <rPr>
        <b/>
        <u/>
        <sz val="8"/>
        <color theme="1"/>
        <rFont val="Arial Narrow"/>
        <family val="2"/>
      </rPr>
      <t>4)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cargas de asignación familiar reconocidas con derecho y pago emitido en un plazo máximo de 90 días en el año t</t>
    </r>
  </si>
  <si>
    <t>Instrumentos de Gestión Asociados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</si>
  <si>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3.10.1.5.- Tiempo promedio de tramitación de solicitudes de beneficios de la Pensión Garantizada Universal (PGU)</t>
    </r>
  </si>
  <si>
    <t>Formulario H</t>
  </si>
  <si>
    <t>Proyectado 2025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</si>
  <si>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beneficios de la Pensión Garantizada Universal (PGU)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</si>
</sst>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#,##0.0"/>
    <numFmt numFmtId="165" formatCode="_-* #,##0.00_-;\-* #,##0.00_-;_-* &quot;-&quot;_-;_-@_-"/>
    <numFmt numFmtId="166" formatCode="#,##0_ ;[Red]\-#,##0\ "/>
    <numFmt numFmtId="167" formatCode="#,##0.00_ ;\-#,##0.00\ "/>
  </numFmts>
  <fonts count="18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u/>
      <sz val="8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0">
    <xf numFmtId="0" fontId="0" fillId="0" borderId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/>
    </xf>
    <xf numFmtId="0" fontId="9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9" fontId="4" fillId="0" borderId="5" xfId="6" applyFont="1" applyFill="1" applyBorder="1" applyAlignment="1">
      <alignment vertical="center"/>
    </xf>
    <xf numFmtId="10" fontId="4" fillId="3" borderId="6" xfId="6" applyNumberFormat="1" applyFont="1" applyFill="1" applyBorder="1" applyAlignment="1" applyProtection="1">
      <alignment horizontal="right" vertical="center"/>
    </xf>
    <xf numFmtId="9" fontId="4" fillId="0" borderId="6" xfId="6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0" fontId="4" fillId="0" borderId="6" xfId="6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left" vertical="center" wrapText="1"/>
    </xf>
    <xf numFmtId="3" fontId="4" fillId="3" borderId="7" xfId="0" applyNumberFormat="1" applyFont="1" applyFill="1" applyBorder="1" applyAlignment="1">
      <alignment horizontal="righ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9" fontId="4" fillId="0" borderId="7" xfId="6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 wrapText="1"/>
    </xf>
    <xf numFmtId="9" fontId="4" fillId="0" borderId="5" xfId="6" applyFont="1" applyBorder="1" applyAlignment="1">
      <alignment vertical="center"/>
    </xf>
    <xf numFmtId="9" fontId="4" fillId="0" borderId="6" xfId="6" applyFont="1" applyBorder="1" applyAlignment="1">
      <alignment vertical="center"/>
    </xf>
    <xf numFmtId="0" fontId="4" fillId="2" borderId="10" xfId="0" applyFont="1" applyFill="1" applyBorder="1" applyAlignment="1">
      <alignment horizontal="left" vertical="center" wrapText="1"/>
    </xf>
    <xf numFmtId="10" fontId="4" fillId="0" borderId="6" xfId="6" applyNumberFormat="1" applyFont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left" vertical="center" wrapText="1"/>
    </xf>
    <xf numFmtId="9" fontId="4" fillId="0" borderId="7" xfId="6" applyFont="1" applyBorder="1" applyAlignment="1">
      <alignment vertical="center"/>
    </xf>
    <xf numFmtId="10" fontId="3" fillId="4" borderId="6" xfId="6" applyNumberFormat="1" applyFont="1" applyFill="1" applyBorder="1" applyAlignment="1" applyProtection="1">
      <alignment horizontal="right" vertical="center"/>
    </xf>
    <xf numFmtId="3" fontId="4" fillId="5" borderId="6" xfId="0" applyNumberFormat="1" applyFont="1" applyFill="1" applyBorder="1" applyAlignment="1">
      <alignment horizontal="right" vertical="center" wrapText="1"/>
    </xf>
    <xf numFmtId="3" fontId="4" fillId="5" borderId="7" xfId="0" applyNumberFormat="1" applyFont="1" applyFill="1" applyBorder="1" applyAlignment="1">
      <alignment horizontal="right" vertical="center" wrapText="1"/>
    </xf>
    <xf numFmtId="10" fontId="4" fillId="2" borderId="10" xfId="6" applyNumberFormat="1" applyFont="1" applyFill="1" applyBorder="1" applyAlignment="1" applyProtection="1">
      <alignment vertical="center"/>
    </xf>
    <xf numFmtId="3" fontId="4" fillId="3" borderId="6" xfId="0" applyNumberFormat="1" applyFont="1" applyFill="1" applyBorder="1" applyAlignment="1" applyProtection="1">
      <alignment horizontal="right" vertical="center" wrapText="1"/>
      <protection locked="0"/>
    </xf>
    <xf numFmtId="0" fontId="11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5" fillId="0" borderId="0" xfId="0" applyFont="1"/>
    <xf numFmtId="0" fontId="15" fillId="0" borderId="5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10" fontId="15" fillId="0" borderId="5" xfId="6" applyNumberFormat="1" applyFont="1" applyBorder="1" applyAlignment="1">
      <alignment vertical="center"/>
    </xf>
    <xf numFmtId="10" fontId="14" fillId="4" borderId="6" xfId="6" applyNumberFormat="1" applyFont="1" applyFill="1" applyBorder="1" applyAlignment="1" applyProtection="1">
      <alignment horizontal="right" vertical="center"/>
    </xf>
    <xf numFmtId="10" fontId="4" fillId="2" borderId="6" xfId="6" applyNumberFormat="1" applyFont="1" applyFill="1" applyBorder="1" applyAlignment="1">
      <alignment vertical="center"/>
    </xf>
    <xf numFmtId="10" fontId="4" fillId="8" borderId="6" xfId="6" applyNumberFormat="1" applyFont="1" applyFill="1" applyBorder="1" applyAlignment="1">
      <alignment vertical="center"/>
    </xf>
    <xf numFmtId="10" fontId="15" fillId="0" borderId="6" xfId="6" applyNumberFormat="1" applyFont="1" applyBorder="1" applyAlignment="1">
      <alignment vertical="center"/>
    </xf>
    <xf numFmtId="10" fontId="15" fillId="0" borderId="0" xfId="0" applyNumberFormat="1" applyFont="1"/>
    <xf numFmtId="0" fontId="15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3" fontId="15" fillId="5" borderId="0" xfId="0" applyNumberFormat="1" applyFont="1" applyFill="1" applyAlignment="1">
      <alignment vertical="center" wrapText="1"/>
    </xf>
    <xf numFmtId="3" fontId="4" fillId="8" borderId="6" xfId="0" applyNumberFormat="1" applyFont="1" applyFill="1" applyBorder="1" applyAlignment="1">
      <alignment horizontal="right" vertical="center" wrapText="1"/>
    </xf>
    <xf numFmtId="10" fontId="15" fillId="0" borderId="6" xfId="6" applyNumberFormat="1" applyFont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left" vertical="center" wrapText="1"/>
    </xf>
    <xf numFmtId="3" fontId="15" fillId="5" borderId="7" xfId="0" applyNumberFormat="1" applyFont="1" applyFill="1" applyBorder="1" applyAlignment="1">
      <alignment horizontal="right" vertical="center" wrapText="1"/>
    </xf>
    <xf numFmtId="3" fontId="4" fillId="8" borderId="7" xfId="0" applyNumberFormat="1" applyFont="1" applyFill="1" applyBorder="1" applyAlignment="1">
      <alignment horizontal="right" vertical="center" wrapText="1"/>
    </xf>
    <xf numFmtId="10" fontId="15" fillId="0" borderId="7" xfId="6" applyNumberFormat="1" applyFont="1" applyBorder="1" applyAlignment="1">
      <alignment vertical="center"/>
    </xf>
    <xf numFmtId="166" fontId="15" fillId="0" borderId="0" xfId="0" applyNumberFormat="1" applyFont="1"/>
    <xf numFmtId="167" fontId="3" fillId="4" borderId="6" xfId="1" applyNumberFormat="1" applyFont="1" applyFill="1" applyBorder="1" applyAlignment="1" applyProtection="1">
      <alignment horizontal="right" vertical="center"/>
    </xf>
    <xf numFmtId="167" fontId="4" fillId="2" borderId="6" xfId="1" applyNumberFormat="1" applyFont="1" applyFill="1" applyBorder="1" applyAlignment="1">
      <alignment vertical="center"/>
    </xf>
    <xf numFmtId="167" fontId="4" fillId="8" borderId="6" xfId="1" applyNumberFormat="1" applyFont="1" applyFill="1" applyBorder="1" applyAlignment="1">
      <alignment vertical="center"/>
    </xf>
    <xf numFmtId="0" fontId="15" fillId="2" borderId="9" xfId="0" applyFont="1" applyFill="1" applyBorder="1" applyAlignment="1">
      <alignment horizontal="left" vertical="center" wrapText="1"/>
    </xf>
    <xf numFmtId="9" fontId="15" fillId="0" borderId="5" xfId="6" applyFont="1" applyBorder="1" applyAlignment="1">
      <alignment vertical="center"/>
    </xf>
    <xf numFmtId="10" fontId="15" fillId="8" borderId="6" xfId="6" applyNumberFormat="1" applyFont="1" applyFill="1" applyBorder="1" applyAlignment="1" applyProtection="1">
      <alignment horizontal="right" vertical="center"/>
    </xf>
    <xf numFmtId="10" fontId="15" fillId="2" borderId="10" xfId="6" applyNumberFormat="1" applyFont="1" applyFill="1" applyBorder="1" applyAlignment="1" applyProtection="1">
      <alignment vertical="center"/>
    </xf>
    <xf numFmtId="9" fontId="15" fillId="0" borderId="6" xfId="6" applyFont="1" applyBorder="1" applyAlignment="1">
      <alignment vertical="center"/>
    </xf>
    <xf numFmtId="0" fontId="15" fillId="2" borderId="10" xfId="0" applyFont="1" applyFill="1" applyBorder="1" applyAlignment="1">
      <alignment horizontal="left" vertical="center" wrapText="1"/>
    </xf>
    <xf numFmtId="3" fontId="15" fillId="5" borderId="6" xfId="0" applyNumberFormat="1" applyFont="1" applyFill="1" applyBorder="1" applyAlignment="1">
      <alignment horizontal="right" vertical="center" wrapText="1"/>
    </xf>
    <xf numFmtId="3" fontId="15" fillId="8" borderId="6" xfId="0" applyNumberFormat="1" applyFont="1" applyFill="1" applyBorder="1" applyAlignment="1">
      <alignment horizontal="right" vertical="center" wrapText="1"/>
    </xf>
    <xf numFmtId="3" fontId="15" fillId="2" borderId="6" xfId="0" applyNumberFormat="1" applyFont="1" applyFill="1" applyBorder="1" applyAlignment="1">
      <alignment horizontal="right" vertical="center" wrapText="1"/>
    </xf>
    <xf numFmtId="164" fontId="15" fillId="8" borderId="6" xfId="0" applyNumberFormat="1" applyFont="1" applyFill="1" applyBorder="1" applyAlignment="1">
      <alignment horizontal="right" vertical="center" wrapText="1"/>
    </xf>
    <xf numFmtId="164" fontId="15" fillId="2" borderId="6" xfId="0" applyNumberFormat="1" applyFont="1" applyFill="1" applyBorder="1" applyAlignment="1">
      <alignment horizontal="right" vertical="center" wrapText="1"/>
    </xf>
    <xf numFmtId="3" fontId="15" fillId="0" borderId="6" xfId="0" applyNumberFormat="1" applyFont="1" applyBorder="1" applyAlignment="1">
      <alignment horizontal="left" vertical="center" wrapText="1"/>
    </xf>
    <xf numFmtId="3" fontId="15" fillId="2" borderId="10" xfId="0" applyNumberFormat="1" applyFont="1" applyFill="1" applyBorder="1" applyAlignment="1">
      <alignment horizontal="left" vertical="center" wrapText="1"/>
    </xf>
    <xf numFmtId="9" fontId="15" fillId="0" borderId="7" xfId="6" applyFont="1" applyBorder="1" applyAlignment="1">
      <alignment vertical="center"/>
    </xf>
    <xf numFmtId="0" fontId="15" fillId="0" borderId="0" xfId="0" applyFont="1" applyProtection="1">
      <protection locked="0"/>
    </xf>
    <xf numFmtId="2" fontId="4" fillId="2" borderId="6" xfId="6" applyNumberFormat="1" applyFont="1" applyFill="1" applyBorder="1" applyAlignment="1">
      <alignment vertical="center"/>
    </xf>
    <xf numFmtId="2" fontId="4" fillId="8" borderId="6" xfId="6" applyNumberFormat="1" applyFont="1" applyFill="1" applyBorder="1" applyAlignment="1">
      <alignment vertical="center"/>
    </xf>
    <xf numFmtId="3" fontId="0" fillId="0" borderId="0" xfId="0" applyNumberFormat="1"/>
    <xf numFmtId="2" fontId="14" fillId="4" borderId="6" xfId="6" applyNumberFormat="1" applyFont="1" applyFill="1" applyBorder="1" applyAlignment="1" applyProtection="1">
      <alignment horizontal="right" vertical="center"/>
    </xf>
    <xf numFmtId="165" fontId="4" fillId="2" borderId="6" xfId="9" applyNumberFormat="1" applyFont="1" applyFill="1" applyBorder="1" applyAlignment="1">
      <alignment vertical="center"/>
    </xf>
    <xf numFmtId="165" fontId="4" fillId="8" borderId="6" xfId="9" applyNumberFormat="1" applyFont="1" applyFill="1" applyBorder="1" applyAlignment="1">
      <alignment vertical="center"/>
    </xf>
    <xf numFmtId="0" fontId="6" fillId="0" borderId="14" xfId="0" applyFont="1" applyBorder="1" applyAlignment="1">
      <alignment wrapText="1"/>
    </xf>
    <xf numFmtId="3" fontId="15" fillId="5" borderId="4" xfId="0" applyNumberFormat="1" applyFont="1" applyFill="1" applyBorder="1" applyAlignment="1">
      <alignment vertical="center" wrapText="1"/>
    </xf>
    <xf numFmtId="3" fontId="15" fillId="5" borderId="16" xfId="0" applyNumberFormat="1" applyFont="1" applyFill="1" applyBorder="1" applyAlignment="1">
      <alignment vertical="center" wrapText="1"/>
    </xf>
    <xf numFmtId="3" fontId="15" fillId="5" borderId="7" xfId="0" applyNumberFormat="1" applyFont="1" applyFill="1" applyBorder="1" applyAlignment="1">
      <alignment vertical="center" wrapText="1"/>
    </xf>
    <xf numFmtId="0" fontId="4" fillId="6" borderId="5" xfId="0" applyFont="1" applyFill="1" applyBorder="1" applyAlignment="1">
      <alignment horizontal="left" vertical="top" wrapText="1"/>
    </xf>
    <xf numFmtId="0" fontId="4" fillId="6" borderId="6" xfId="0" applyFont="1" applyFill="1" applyBorder="1" applyAlignment="1">
      <alignment horizontal="left" vertical="top"/>
    </xf>
    <xf numFmtId="0" fontId="4" fillId="6" borderId="7" xfId="0" applyFont="1" applyFill="1" applyBorder="1" applyAlignment="1">
      <alignment horizontal="left" vertical="top"/>
    </xf>
    <xf numFmtId="0" fontId="15" fillId="6" borderId="5" xfId="5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left" vertical="center"/>
    </xf>
    <xf numFmtId="0" fontId="15" fillId="7" borderId="7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top" wrapText="1"/>
    </xf>
    <xf numFmtId="0" fontId="4" fillId="7" borderId="6" xfId="0" applyFont="1" applyFill="1" applyBorder="1" applyAlignment="1">
      <alignment horizontal="left" vertical="top" wrapText="1"/>
    </xf>
    <xf numFmtId="0" fontId="4" fillId="7" borderId="7" xfId="0" applyFont="1" applyFill="1" applyBorder="1" applyAlignment="1">
      <alignment horizontal="left" vertical="top" wrapText="1"/>
    </xf>
    <xf numFmtId="0" fontId="15" fillId="7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top"/>
    </xf>
    <xf numFmtId="0" fontId="4" fillId="7" borderId="7" xfId="0" applyFont="1" applyFill="1" applyBorder="1" applyAlignment="1">
      <alignment horizontal="left" vertical="top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wrapText="1"/>
    </xf>
    <xf numFmtId="9" fontId="4" fillId="7" borderId="5" xfId="0" applyNumberFormat="1" applyFont="1" applyFill="1" applyBorder="1" applyAlignment="1">
      <alignment horizontal="left" vertical="center" wrapText="1"/>
    </xf>
    <xf numFmtId="9" fontId="4" fillId="7" borderId="6" xfId="0" applyNumberFormat="1" applyFont="1" applyFill="1" applyBorder="1" applyAlignment="1">
      <alignment horizontal="left" vertical="center" wrapText="1"/>
    </xf>
    <xf numFmtId="9" fontId="4" fillId="7" borderId="7" xfId="0" applyNumberFormat="1" applyFont="1" applyFill="1" applyBorder="1" applyAlignment="1">
      <alignment horizontal="left" vertical="center" wrapText="1"/>
    </xf>
    <xf numFmtId="1" fontId="4" fillId="7" borderId="5" xfId="0" applyNumberFormat="1" applyFont="1" applyFill="1" applyBorder="1" applyAlignment="1">
      <alignment horizontal="left" vertical="center" wrapText="1"/>
    </xf>
    <xf numFmtId="1" fontId="4" fillId="7" borderId="6" xfId="0" applyNumberFormat="1" applyFont="1" applyFill="1" applyBorder="1" applyAlignment="1">
      <alignment horizontal="left" vertical="center" wrapText="1"/>
    </xf>
    <xf numFmtId="1" fontId="4" fillId="7" borderId="7" xfId="0" applyNumberFormat="1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wrapText="1"/>
    </xf>
    <xf numFmtId="0" fontId="4" fillId="7" borderId="6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4" applyFont="1" applyFill="1" applyBorder="1" applyAlignment="1">
      <alignment horizontal="center" vertical="center" wrapText="1"/>
    </xf>
    <xf numFmtId="0" fontId="3" fillId="2" borderId="7" xfId="4" applyFont="1" applyFill="1" applyBorder="1" applyAlignment="1">
      <alignment horizontal="center" vertical="center" wrapText="1"/>
    </xf>
    <xf numFmtId="9" fontId="15" fillId="6" borderId="6" xfId="0" applyNumberFormat="1" applyFont="1" applyFill="1" applyBorder="1" applyAlignment="1">
      <alignment horizontal="left" vertical="center" wrapText="1"/>
    </xf>
    <xf numFmtId="0" fontId="15" fillId="6" borderId="6" xfId="0" applyFont="1" applyFill="1" applyBorder="1" applyAlignment="1">
      <alignment horizontal="left" wrapText="1"/>
    </xf>
    <xf numFmtId="0" fontId="15" fillId="6" borderId="7" xfId="0" applyFont="1" applyFill="1" applyBorder="1" applyAlignment="1">
      <alignment horizontal="left" wrapText="1"/>
    </xf>
    <xf numFmtId="9" fontId="15" fillId="6" borderId="5" xfId="0" applyNumberFormat="1" applyFont="1" applyFill="1" applyBorder="1" applyAlignment="1">
      <alignment horizontal="left" vertical="center" wrapText="1"/>
    </xf>
    <xf numFmtId="1" fontId="4" fillId="6" borderId="5" xfId="0" applyNumberFormat="1" applyFont="1" applyFill="1" applyBorder="1" applyAlignment="1">
      <alignment horizontal="left" vertical="center" wrapText="1"/>
    </xf>
    <xf numFmtId="1" fontId="11" fillId="6" borderId="6" xfId="0" applyNumberFormat="1" applyFont="1" applyFill="1" applyBorder="1" applyAlignment="1">
      <alignment horizontal="left" vertical="center" wrapText="1"/>
    </xf>
    <xf numFmtId="1" fontId="11" fillId="6" borderId="7" xfId="0" applyNumberFormat="1" applyFont="1" applyFill="1" applyBorder="1" applyAlignment="1">
      <alignment horizontal="left" vertical="center" wrapText="1"/>
    </xf>
    <xf numFmtId="1" fontId="4" fillId="6" borderId="6" xfId="0" applyNumberFormat="1" applyFont="1" applyFill="1" applyBorder="1" applyAlignment="1">
      <alignment horizontal="left" vertical="center" wrapText="1"/>
    </xf>
    <xf numFmtId="1" fontId="4" fillId="6" borderId="7" xfId="0" applyNumberFormat="1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14" fillId="2" borderId="5" xfId="4" applyFont="1" applyFill="1" applyBorder="1" applyAlignment="1">
      <alignment horizontal="center" vertical="center" wrapText="1"/>
    </xf>
    <xf numFmtId="0" fontId="14" fillId="2" borderId="7" xfId="4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left" vertical="center" wrapText="1"/>
    </xf>
    <xf numFmtId="0" fontId="14" fillId="7" borderId="7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4" fillId="6" borderId="5" xfId="4" applyFont="1" applyFill="1" applyBorder="1" applyAlignment="1">
      <alignment horizontal="center" vertical="center" wrapText="1"/>
    </xf>
    <xf numFmtId="0" fontId="4" fillId="6" borderId="6" xfId="4" applyFont="1" applyFill="1" applyBorder="1" applyAlignment="1">
      <alignment horizontal="center" vertical="center" wrapText="1"/>
    </xf>
    <xf numFmtId="0" fontId="4" fillId="6" borderId="7" xfId="4" applyFont="1" applyFill="1" applyBorder="1" applyAlignment="1">
      <alignment horizontal="center" vertical="center" wrapText="1"/>
    </xf>
    <xf numFmtId="2" fontId="4" fillId="0" borderId="0" xfId="0" applyNumberFormat="1" applyFont="1"/>
    <xf numFmtId="167" fontId="17" fillId="8" borderId="6" xfId="1" applyNumberFormat="1" applyFont="1" applyFill="1" applyBorder="1" applyAlignment="1">
      <alignment vertical="center"/>
    </xf>
    <xf numFmtId="0" fontId="15" fillId="7" borderId="6" xfId="0" applyFont="1" applyFill="1" applyBorder="1" applyAlignment="1"/>
    <xf numFmtId="0" fontId="15" fillId="7" borderId="7" xfId="0" applyFont="1" applyFill="1" applyBorder="1" applyAlignment="1"/>
    <xf numFmtId="0" fontId="4" fillId="7" borderId="6" xfId="0" applyFont="1" applyFill="1" applyBorder="1" applyAlignment="1"/>
    <xf numFmtId="0" fontId="4" fillId="7" borderId="7" xfId="0" applyFont="1" applyFill="1" applyBorder="1" applyAlignment="1"/>
    <xf numFmtId="0" fontId="15" fillId="6" borderId="6" xfId="5" applyFont="1" applyFill="1" applyBorder="1" applyAlignment="1"/>
    <xf numFmtId="0" fontId="15" fillId="6" borderId="7" xfId="5" applyFont="1" applyFill="1" applyBorder="1" applyAlignment="1"/>
  </cellXfs>
  <cellStyles count="10">
    <cellStyle name="Millares [0]" xfId="1" builtinId="6"/>
    <cellStyle name="Millares [0] 2" xfId="9" xr:uid="{AA4C2E21-D2A6-4258-9234-7531E06770E4}"/>
    <cellStyle name="Millares 2" xfId="2" xr:uid="{00000000-0005-0000-0000-000001000000}"/>
    <cellStyle name="Millares 2 2" xfId="3" xr:uid="{00000000-0005-0000-0000-000002000000}"/>
    <cellStyle name="Millares 4" xfId="8" xr:uid="{D4C98891-EB84-434C-A3EE-54DAB0E4B394}"/>
    <cellStyle name="Normal" xfId="0" builtinId="0"/>
    <cellStyle name="Normal 2" xfId="4" xr:uid="{00000000-0005-0000-0000-000004000000}"/>
    <cellStyle name="Normal 3" xfId="5" xr:uid="{00000000-0005-0000-0000-000005000000}"/>
    <cellStyle name="Porcentaje" xfId="6" builtinId="5"/>
    <cellStyle name="Porcentaje 2" xfId="7" xr:uid="{00000000-0005-0000-0000-000007000000}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76"/>
  <sheetViews>
    <sheetView showGridLines="0" tabSelected="1" topLeftCell="A11" zoomScale="110" zoomScaleNormal="110" workbookViewId="0">
      <pane xSplit="2" ySplit="5" topLeftCell="D17" activePane="bottomRight" state="frozen"/>
      <selection pane="bottomRight" activeCell="J23" sqref="J23"/>
      <selection pane="bottomLeft" activeCell="A13" sqref="A13"/>
      <selection pane="topRight" activeCell="D11" sqref="D11"/>
    </sheetView>
  </sheetViews>
  <sheetFormatPr defaultColWidth="11.42578125" defaultRowHeight="12.75"/>
  <cols>
    <col min="1" max="1" width="11.42578125" style="3"/>
    <col min="2" max="2" width="26.5703125" style="3" customWidth="1"/>
    <col min="3" max="3" width="24.5703125" style="3" customWidth="1"/>
    <col min="4" max="4" width="28.5703125" style="3" customWidth="1"/>
    <col min="5" max="5" width="17" style="3" customWidth="1"/>
    <col min="6" max="11" width="10.5703125" style="2" customWidth="1"/>
    <col min="12" max="12" width="16" style="2" customWidth="1"/>
    <col min="13" max="13" width="21.42578125" style="3" customWidth="1"/>
    <col min="14" max="14" width="2.42578125" style="3" customWidth="1"/>
    <col min="15" max="16384" width="11.42578125" style="3"/>
  </cols>
  <sheetData>
    <row r="1" spans="1:13" s="9" customFormat="1" ht="12.75" customHeight="1">
      <c r="B1" s="117"/>
      <c r="C1" s="118"/>
      <c r="D1" s="112"/>
      <c r="E1" s="112"/>
      <c r="F1" s="10"/>
      <c r="G1" s="10"/>
      <c r="H1" s="10"/>
      <c r="I1" s="10"/>
      <c r="J1" s="10"/>
      <c r="K1" s="10"/>
      <c r="L1" s="10"/>
    </row>
    <row r="2" spans="1:13" s="9" customFormat="1" ht="12.75" customHeight="1">
      <c r="B2" s="119"/>
      <c r="C2" s="120"/>
      <c r="D2" s="113"/>
      <c r="E2" s="113"/>
      <c r="F2" s="10"/>
      <c r="G2" s="10"/>
      <c r="H2" s="10"/>
      <c r="I2" s="10"/>
      <c r="J2" s="10"/>
      <c r="K2" s="10"/>
      <c r="L2" s="10"/>
    </row>
    <row r="3" spans="1:13" s="9" customFormat="1" ht="15.75" customHeight="1">
      <c r="B3" s="119"/>
      <c r="C3" s="120"/>
      <c r="D3" s="113"/>
      <c r="E3" s="113"/>
      <c r="F3" s="10"/>
      <c r="G3" s="10"/>
      <c r="H3" s="10"/>
      <c r="I3" s="10"/>
      <c r="J3" s="10"/>
      <c r="K3" s="10"/>
      <c r="L3" s="10"/>
    </row>
    <row r="4" spans="1:13" s="9" customFormat="1" ht="12.75" customHeight="1">
      <c r="B4" s="119"/>
      <c r="C4" s="120"/>
      <c r="D4" s="113"/>
      <c r="E4" s="113"/>
      <c r="F4" s="10"/>
      <c r="G4" s="10"/>
      <c r="H4" s="10"/>
      <c r="I4" s="10"/>
      <c r="J4" s="10"/>
      <c r="K4" s="10"/>
      <c r="L4" s="10"/>
    </row>
    <row r="5" spans="1:13" s="9" customFormat="1" ht="20.25" customHeight="1">
      <c r="B5" s="121"/>
      <c r="C5" s="122"/>
      <c r="D5" s="114"/>
      <c r="E5" s="114"/>
      <c r="F5" s="10"/>
      <c r="G5" s="10"/>
      <c r="H5" s="10"/>
      <c r="I5" s="10"/>
      <c r="J5" s="10"/>
      <c r="K5" s="10"/>
      <c r="L5" s="10"/>
    </row>
    <row r="6" spans="1:13" ht="15.75" customHeight="1">
      <c r="B6" s="126"/>
      <c r="C6" s="127"/>
      <c r="D6" s="128"/>
      <c r="E6" s="128"/>
    </row>
    <row r="7" spans="1:13" s="9" customFormat="1" ht="16.5" customHeight="1">
      <c r="F7" s="10"/>
      <c r="G7" s="10"/>
      <c r="H7" s="10"/>
      <c r="I7" s="10"/>
      <c r="J7" s="10"/>
      <c r="K7" s="10"/>
      <c r="L7" s="10"/>
    </row>
    <row r="8" spans="1:13" s="9" customFormat="1" ht="15.75">
      <c r="B8" s="7"/>
      <c r="C8" s="8"/>
      <c r="F8" s="10"/>
      <c r="G8" s="10"/>
      <c r="H8" s="12"/>
      <c r="I8" s="10"/>
      <c r="J8" s="10"/>
      <c r="K8" s="10"/>
      <c r="L8" s="10"/>
    </row>
    <row r="9" spans="1:13" s="9" customFormat="1" ht="16.5" customHeight="1">
      <c r="B9" s="7"/>
      <c r="C9" s="7"/>
      <c r="F9" s="10"/>
      <c r="G9" s="10"/>
      <c r="H9" s="10"/>
      <c r="I9" s="10"/>
      <c r="J9" s="10"/>
      <c r="K9" s="10"/>
      <c r="L9" s="10"/>
    </row>
    <row r="10" spans="1:13" s="9" customFormat="1" ht="16.5" thickBot="1">
      <c r="B10" s="4"/>
      <c r="C10" s="4"/>
      <c r="F10" s="10"/>
      <c r="G10" s="10"/>
      <c r="H10" s="10"/>
      <c r="I10" s="10"/>
      <c r="J10" s="10"/>
      <c r="K10" s="13"/>
      <c r="L10" s="13"/>
      <c r="M10" s="14"/>
    </row>
    <row r="11" spans="1:13" s="9" customFormat="1" ht="16.5" thickTop="1">
      <c r="B11" s="4"/>
      <c r="C11" s="4"/>
      <c r="F11" s="10"/>
      <c r="G11" s="10"/>
      <c r="H11" s="10"/>
      <c r="I11" s="10"/>
      <c r="J11" s="10"/>
      <c r="K11" s="10"/>
      <c r="L11" s="10"/>
      <c r="M11" s="14"/>
    </row>
    <row r="12" spans="1:13" s="9" customFormat="1" ht="15.75">
      <c r="B12" s="4" t="s">
        <v>0</v>
      </c>
      <c r="C12" s="4"/>
      <c r="F12" s="10"/>
      <c r="G12" s="10"/>
      <c r="H12" s="10"/>
      <c r="I12" s="10"/>
      <c r="J12" s="10"/>
      <c r="K12" s="10"/>
      <c r="L12" s="10"/>
      <c r="M12" s="14"/>
    </row>
    <row r="13" spans="1:13" s="9" customFormat="1" ht="16.5" thickBot="1">
      <c r="B13" s="4"/>
      <c r="C13" s="4"/>
      <c r="F13" s="10"/>
      <c r="G13" s="10"/>
      <c r="H13" s="10"/>
      <c r="I13" s="10"/>
      <c r="J13" s="10"/>
      <c r="K13" s="10"/>
      <c r="L13" s="10"/>
      <c r="M13" s="14"/>
    </row>
    <row r="14" spans="1:13" s="1" customFormat="1" ht="23.1" customHeight="1" thickTop="1">
      <c r="A14" s="123" t="s">
        <v>1</v>
      </c>
      <c r="B14" s="123" t="s">
        <v>2</v>
      </c>
      <c r="C14" s="115" t="s">
        <v>3</v>
      </c>
      <c r="D14" s="115" t="s">
        <v>4</v>
      </c>
      <c r="E14" s="115" t="s">
        <v>5</v>
      </c>
      <c r="F14" s="115" t="s">
        <v>6</v>
      </c>
      <c r="G14" s="115" t="s">
        <v>7</v>
      </c>
      <c r="H14" s="123" t="s">
        <v>8</v>
      </c>
      <c r="I14" s="115" t="s">
        <v>9</v>
      </c>
      <c r="J14" s="115" t="s">
        <v>10</v>
      </c>
      <c r="K14" s="139" t="s">
        <v>11</v>
      </c>
      <c r="L14" s="115" t="s">
        <v>12</v>
      </c>
    </row>
    <row r="15" spans="1:13" s="1" customFormat="1" ht="30.2" customHeight="1" thickBot="1">
      <c r="A15" s="124"/>
      <c r="B15" s="124"/>
      <c r="C15" s="125"/>
      <c r="D15" s="125"/>
      <c r="E15" s="116"/>
      <c r="F15" s="137"/>
      <c r="G15" s="137"/>
      <c r="H15" s="138"/>
      <c r="I15" s="137"/>
      <c r="J15" s="125"/>
      <c r="K15" s="140"/>
      <c r="L15" s="125"/>
    </row>
    <row r="16" spans="1:13" s="79" customFormat="1" ht="23.1" customHeight="1" thickTop="1">
      <c r="A16" s="155" t="s">
        <v>13</v>
      </c>
      <c r="B16" s="94" t="s">
        <v>14</v>
      </c>
      <c r="C16" s="101" t="s">
        <v>15</v>
      </c>
      <c r="D16" s="132" t="s">
        <v>16</v>
      </c>
      <c r="E16" s="44" t="s">
        <v>17</v>
      </c>
      <c r="F16" s="15" t="s">
        <v>17</v>
      </c>
      <c r="G16" s="45" t="s">
        <v>17</v>
      </c>
      <c r="H16" s="15" t="s">
        <v>17</v>
      </c>
      <c r="I16" s="45" t="s">
        <v>17</v>
      </c>
      <c r="J16" s="15" t="s">
        <v>17</v>
      </c>
      <c r="K16" s="45" t="s">
        <v>17</v>
      </c>
      <c r="L16" s="66"/>
    </row>
    <row r="17" spans="1:13" s="79" customFormat="1" ht="23.1" customHeight="1">
      <c r="A17" s="156"/>
      <c r="B17" s="95"/>
      <c r="C17" s="179"/>
      <c r="D17" s="133"/>
      <c r="E17" s="47">
        <f>IF(E19&lt;&gt;0,+E19/E21,0%)</f>
        <v>0.85</v>
      </c>
      <c r="F17" s="81">
        <f>IF(F19&lt;&gt;0,ROUND(+F19/F21,4),0%)*100</f>
        <v>94.49</v>
      </c>
      <c r="G17" s="80" t="e">
        <f t="shared" ref="G17:I17" si="0">IF(G19&lt;&gt;0,+G19/G21,0%)</f>
        <v>#REF!</v>
      </c>
      <c r="H17" s="81">
        <f>IF(H19&lt;&gt;0,ROUND(+H19/H21,4),0%)*100</f>
        <v>96.33</v>
      </c>
      <c r="I17" s="80" t="e">
        <f t="shared" si="0"/>
        <v>#REF!</v>
      </c>
      <c r="J17" s="81">
        <f>IF(J19&lt;&gt;0,ROUND(+J19/J21,4),0%)*100</f>
        <v>95.11</v>
      </c>
      <c r="K17" s="80" t="e">
        <f>IF(K19&lt;&gt;0,+K19/K21,0%)</f>
        <v>#REF!</v>
      </c>
      <c r="L17" s="69"/>
    </row>
    <row r="18" spans="1:13" s="79" customFormat="1" ht="23.1" customHeight="1" thickBot="1">
      <c r="A18" s="156"/>
      <c r="B18" s="95"/>
      <c r="C18" s="179"/>
      <c r="D18" s="134"/>
      <c r="E18" s="52" t="s">
        <v>18</v>
      </c>
      <c r="F18" s="19" t="s">
        <v>18</v>
      </c>
      <c r="G18" s="53" t="s">
        <v>18</v>
      </c>
      <c r="H18" s="19" t="s">
        <v>18</v>
      </c>
      <c r="I18" s="53" t="s">
        <v>18</v>
      </c>
      <c r="J18" s="19" t="s">
        <v>18</v>
      </c>
      <c r="K18" s="53" t="s">
        <v>18</v>
      </c>
      <c r="L18" s="69"/>
    </row>
    <row r="19" spans="1:13" s="79" customFormat="1" ht="23.1" customHeight="1" thickTop="1">
      <c r="A19" s="156"/>
      <c r="B19" s="95"/>
      <c r="C19" s="179"/>
      <c r="D19" s="132" t="s">
        <v>19</v>
      </c>
      <c r="E19" s="35">
        <v>25500</v>
      </c>
      <c r="F19" s="20">
        <v>2420</v>
      </c>
      <c r="G19" s="21" t="e">
        <f>+#REF!+F19</f>
        <v>#REF!</v>
      </c>
      <c r="H19" s="20">
        <v>1940</v>
      </c>
      <c r="I19" s="21" t="e">
        <f>+G19+H19</f>
        <v>#REF!</v>
      </c>
      <c r="J19" s="20">
        <v>1653</v>
      </c>
      <c r="K19" s="21" t="e">
        <f>+I19+J19</f>
        <v>#REF!</v>
      </c>
      <c r="L19" s="56" t="e">
        <f>+K17/E17</f>
        <v>#REF!</v>
      </c>
    </row>
    <row r="20" spans="1:13" s="79" customFormat="1" ht="23.1" customHeight="1">
      <c r="A20" s="156"/>
      <c r="B20" s="95"/>
      <c r="C20" s="179"/>
      <c r="D20" s="133"/>
      <c r="E20" s="23" t="s">
        <v>20</v>
      </c>
      <c r="F20" s="23" t="s">
        <v>20</v>
      </c>
      <c r="G20" s="32" t="s">
        <v>20</v>
      </c>
      <c r="H20" s="23" t="s">
        <v>20</v>
      </c>
      <c r="I20" s="32" t="s">
        <v>20</v>
      </c>
      <c r="J20" s="23" t="s">
        <v>20</v>
      </c>
      <c r="K20" s="57" t="s">
        <v>20</v>
      </c>
      <c r="L20" s="69"/>
    </row>
    <row r="21" spans="1:13" s="79" customFormat="1" ht="23.1" customHeight="1" thickBot="1">
      <c r="A21" s="157"/>
      <c r="B21" s="96"/>
      <c r="C21" s="180"/>
      <c r="D21" s="134"/>
      <c r="E21" s="35">
        <v>30000</v>
      </c>
      <c r="F21" s="24">
        <v>2561</v>
      </c>
      <c r="G21" s="25" t="e">
        <f>+#REF!+F21</f>
        <v>#REF!</v>
      </c>
      <c r="H21" s="24">
        <v>2014</v>
      </c>
      <c r="I21" s="25" t="e">
        <f>+G21+H21</f>
        <v>#REF!</v>
      </c>
      <c r="J21" s="24">
        <v>1738</v>
      </c>
      <c r="K21" s="25" t="e">
        <f>+I21+J21</f>
        <v>#REF!</v>
      </c>
      <c r="L21" s="78"/>
    </row>
    <row r="22" spans="1:13" s="5" customFormat="1" ht="23.1" customHeight="1" thickTop="1">
      <c r="A22" s="158" t="s">
        <v>21</v>
      </c>
      <c r="B22" s="98" t="s">
        <v>22</v>
      </c>
      <c r="C22" s="97" t="s">
        <v>23</v>
      </c>
      <c r="D22" s="129" t="s">
        <v>24</v>
      </c>
      <c r="E22" s="15" t="s">
        <v>17</v>
      </c>
      <c r="F22" s="15" t="s">
        <v>17</v>
      </c>
      <c r="G22" s="27" t="s">
        <v>17</v>
      </c>
      <c r="H22" s="15" t="s">
        <v>17</v>
      </c>
      <c r="I22" s="27" t="s">
        <v>17</v>
      </c>
      <c r="J22" s="15" t="s">
        <v>17</v>
      </c>
      <c r="K22" s="27" t="s">
        <v>17</v>
      </c>
      <c r="L22" s="28"/>
      <c r="M22" s="6"/>
    </row>
    <row r="23" spans="1:13" s="5" customFormat="1" ht="18.75" customHeight="1">
      <c r="A23" s="159"/>
      <c r="B23" s="99"/>
      <c r="C23" s="181"/>
      <c r="D23" s="130"/>
      <c r="E23" s="62">
        <f>ROUND(E25/E27,0)</f>
        <v>24</v>
      </c>
      <c r="F23" s="64">
        <f t="shared" ref="F23:K23" si="1">IF(F25&lt;&gt;0,+F25/F27,0%)</f>
        <v>19.869737493808817</v>
      </c>
      <c r="G23" s="63" t="e">
        <f t="shared" si="1"/>
        <v>#REF!</v>
      </c>
      <c r="H23" s="64">
        <f t="shared" si="1"/>
        <v>21.302412974683545</v>
      </c>
      <c r="I23" s="63" t="e">
        <f t="shared" si="1"/>
        <v>#REF!</v>
      </c>
      <c r="J23" s="178">
        <f t="shared" si="1"/>
        <v>20.125636326613723</v>
      </c>
      <c r="K23" s="63" t="e">
        <f t="shared" si="1"/>
        <v>#REF!</v>
      </c>
      <c r="L23" s="29"/>
    </row>
    <row r="24" spans="1:13" s="5" customFormat="1" ht="23.1" customHeight="1" thickBot="1">
      <c r="A24" s="159"/>
      <c r="B24" s="99"/>
      <c r="C24" s="181"/>
      <c r="D24" s="135"/>
      <c r="E24" s="19" t="s">
        <v>18</v>
      </c>
      <c r="F24" s="19" t="s">
        <v>18</v>
      </c>
      <c r="G24" s="30" t="s">
        <v>18</v>
      </c>
      <c r="H24" s="19" t="s">
        <v>18</v>
      </c>
      <c r="I24" s="30" t="s">
        <v>18</v>
      </c>
      <c r="J24" s="19" t="s">
        <v>18</v>
      </c>
      <c r="K24" s="30" t="s">
        <v>18</v>
      </c>
      <c r="L24" s="29"/>
    </row>
    <row r="25" spans="1:13" s="5" customFormat="1" ht="23.1" customHeight="1" thickTop="1">
      <c r="A25" s="159"/>
      <c r="B25" s="99"/>
      <c r="C25" s="181"/>
      <c r="D25" s="130" t="s">
        <v>25</v>
      </c>
      <c r="E25" s="35">
        <v>2770617</v>
      </c>
      <c r="F25" s="20">
        <v>200585</v>
      </c>
      <c r="G25" s="21" t="e">
        <f>+#REF!+F25</f>
        <v>#REF!</v>
      </c>
      <c r="H25" s="20">
        <v>215410</v>
      </c>
      <c r="I25" s="21" t="e">
        <f t="shared" ref="I25:K25" si="2">+G25+H25</f>
        <v>#REF!</v>
      </c>
      <c r="J25" s="20">
        <v>197674</v>
      </c>
      <c r="K25" s="21" t="e">
        <f t="shared" si="2"/>
        <v>#REF!</v>
      </c>
      <c r="L25" s="31" t="e">
        <f>+K23/E23</f>
        <v>#REF!</v>
      </c>
    </row>
    <row r="26" spans="1:13" s="5" customFormat="1" ht="23.1" customHeight="1">
      <c r="A26" s="159"/>
      <c r="B26" s="99"/>
      <c r="C26" s="181"/>
      <c r="D26" s="136"/>
      <c r="E26" s="23" t="s">
        <v>20</v>
      </c>
      <c r="F26" s="23" t="s">
        <v>20</v>
      </c>
      <c r="G26" s="32" t="s">
        <v>20</v>
      </c>
      <c r="H26" s="23" t="s">
        <v>20</v>
      </c>
      <c r="I26" s="32" t="s">
        <v>20</v>
      </c>
      <c r="J26" s="23" t="s">
        <v>20</v>
      </c>
      <c r="K26" s="32" t="s">
        <v>20</v>
      </c>
      <c r="L26" s="29"/>
    </row>
    <row r="27" spans="1:13" s="5" customFormat="1" ht="23.1" customHeight="1" thickBot="1">
      <c r="A27" s="160"/>
      <c r="B27" s="100"/>
      <c r="C27" s="182"/>
      <c r="D27" s="135"/>
      <c r="E27" s="35">
        <v>115369</v>
      </c>
      <c r="F27" s="24">
        <v>10095</v>
      </c>
      <c r="G27" s="25" t="e">
        <f>+#REF!+F27</f>
        <v>#REF!</v>
      </c>
      <c r="H27" s="24">
        <v>10112</v>
      </c>
      <c r="I27" s="25" t="e">
        <f t="shared" ref="I27:K27" si="3">+G27+H27</f>
        <v>#REF!</v>
      </c>
      <c r="J27" s="24">
        <v>9822</v>
      </c>
      <c r="K27" s="25" t="e">
        <f t="shared" si="3"/>
        <v>#REF!</v>
      </c>
      <c r="L27" s="33"/>
    </row>
    <row r="28" spans="1:13" s="5" customFormat="1" ht="23.1" customHeight="1" thickTop="1">
      <c r="A28" s="158" t="s">
        <v>26</v>
      </c>
      <c r="B28" s="98" t="s">
        <v>27</v>
      </c>
      <c r="C28" s="97" t="s">
        <v>28</v>
      </c>
      <c r="D28" s="129" t="s">
        <v>29</v>
      </c>
      <c r="E28" s="15" t="s">
        <v>17</v>
      </c>
      <c r="F28" s="15" t="s">
        <v>17</v>
      </c>
      <c r="G28" s="27" t="s">
        <v>17</v>
      </c>
      <c r="H28" s="15" t="s">
        <v>17</v>
      </c>
      <c r="I28" s="27" t="s">
        <v>17</v>
      </c>
      <c r="J28" s="15" t="s">
        <v>17</v>
      </c>
      <c r="K28" s="27" t="s">
        <v>17</v>
      </c>
      <c r="L28" s="28"/>
    </row>
    <row r="29" spans="1:13" s="5" customFormat="1" ht="23.1" customHeight="1">
      <c r="A29" s="159"/>
      <c r="B29" s="108"/>
      <c r="C29" s="110"/>
      <c r="D29" s="130"/>
      <c r="E29" s="34">
        <f>+E31/E33</f>
        <v>0.91000315997560199</v>
      </c>
      <c r="F29" s="17">
        <f t="shared" ref="F29:K29" si="4">IF(F31&lt;&gt;0,+F31/F33,0%)</f>
        <v>0.99237425421786718</v>
      </c>
      <c r="G29" s="37" t="e">
        <f t="shared" si="4"/>
        <v>#REF!</v>
      </c>
      <c r="H29" s="17">
        <f t="shared" si="4"/>
        <v>0.9660793780174306</v>
      </c>
      <c r="I29" s="37" t="e">
        <f t="shared" si="4"/>
        <v>#REF!</v>
      </c>
      <c r="J29" s="17">
        <f t="shared" si="4"/>
        <v>0.92866804299850503</v>
      </c>
      <c r="K29" s="37" t="e">
        <f t="shared" si="4"/>
        <v>#REF!</v>
      </c>
      <c r="L29" s="29"/>
    </row>
    <row r="30" spans="1:13" s="5" customFormat="1" ht="23.1" customHeight="1" thickBot="1">
      <c r="A30" s="159"/>
      <c r="B30" s="108"/>
      <c r="C30" s="110"/>
      <c r="D30" s="131"/>
      <c r="E30" s="19" t="s">
        <v>18</v>
      </c>
      <c r="F30" s="19" t="s">
        <v>18</v>
      </c>
      <c r="G30" s="30" t="s">
        <v>18</v>
      </c>
      <c r="H30" s="19" t="s">
        <v>18</v>
      </c>
      <c r="I30" s="30" t="s">
        <v>18</v>
      </c>
      <c r="J30" s="19" t="s">
        <v>18</v>
      </c>
      <c r="K30" s="30" t="s">
        <v>18</v>
      </c>
      <c r="L30" s="29"/>
    </row>
    <row r="31" spans="1:13" s="5" customFormat="1" ht="23.1" customHeight="1" thickTop="1">
      <c r="A31" s="159"/>
      <c r="B31" s="108"/>
      <c r="C31" s="110"/>
      <c r="D31" s="129" t="s">
        <v>30</v>
      </c>
      <c r="E31" s="35">
        <v>247661</v>
      </c>
      <c r="F31" s="20">
        <v>25116</v>
      </c>
      <c r="G31" s="21" t="e">
        <f>+#REF!+F31</f>
        <v>#REF!</v>
      </c>
      <c r="H31" s="20">
        <v>15408</v>
      </c>
      <c r="I31" s="21" t="e">
        <f t="shared" ref="I31" si="5">+G31+H31</f>
        <v>#REF!</v>
      </c>
      <c r="J31" s="20">
        <v>13045</v>
      </c>
      <c r="K31" s="21" t="e">
        <f>+I31+J31</f>
        <v>#REF!</v>
      </c>
      <c r="L31" s="31" t="e">
        <f>+K29/E29</f>
        <v>#REF!</v>
      </c>
    </row>
    <row r="32" spans="1:13" s="5" customFormat="1" ht="23.1" customHeight="1">
      <c r="A32" s="159"/>
      <c r="B32" s="108"/>
      <c r="C32" s="110"/>
      <c r="D32" s="130"/>
      <c r="E32" s="23" t="s">
        <v>20</v>
      </c>
      <c r="F32" s="23" t="s">
        <v>20</v>
      </c>
      <c r="G32" s="32" t="s">
        <v>20</v>
      </c>
      <c r="H32" s="23" t="s">
        <v>20</v>
      </c>
      <c r="I32" s="32" t="s">
        <v>20</v>
      </c>
      <c r="J32" s="23" t="s">
        <v>20</v>
      </c>
      <c r="K32" s="32" t="s">
        <v>20</v>
      </c>
      <c r="L32" s="29"/>
    </row>
    <row r="33" spans="1:13" s="5" customFormat="1" ht="23.1" customHeight="1" thickBot="1">
      <c r="A33" s="160"/>
      <c r="B33" s="109"/>
      <c r="C33" s="111"/>
      <c r="D33" s="131"/>
      <c r="E33" s="35">
        <v>272154</v>
      </c>
      <c r="F33" s="24">
        <v>25309</v>
      </c>
      <c r="G33" s="25" t="e">
        <f>+#REF!+F33</f>
        <v>#REF!</v>
      </c>
      <c r="H33" s="24">
        <v>15949</v>
      </c>
      <c r="I33" s="25" t="e">
        <f t="shared" ref="I33" si="6">+G33+H33</f>
        <v>#REF!</v>
      </c>
      <c r="J33" s="24">
        <v>14047</v>
      </c>
      <c r="K33" s="25" t="e">
        <f>+I33+J33</f>
        <v>#REF!</v>
      </c>
      <c r="L33" s="33"/>
    </row>
    <row r="34" spans="1:13" s="5" customFormat="1" ht="23.1" customHeight="1" thickTop="1">
      <c r="A34" s="158" t="s">
        <v>31</v>
      </c>
      <c r="B34" s="105" t="s">
        <v>32</v>
      </c>
      <c r="C34" s="97" t="s">
        <v>33</v>
      </c>
      <c r="D34" s="132" t="s">
        <v>34</v>
      </c>
      <c r="E34" s="15" t="s">
        <v>17</v>
      </c>
      <c r="F34" s="15" t="s">
        <v>17</v>
      </c>
      <c r="G34" s="27" t="s">
        <v>17</v>
      </c>
      <c r="H34" s="15" t="s">
        <v>17</v>
      </c>
      <c r="I34" s="27" t="s">
        <v>17</v>
      </c>
      <c r="J34" s="15" t="s">
        <v>17</v>
      </c>
      <c r="K34" s="27" t="s">
        <v>17</v>
      </c>
      <c r="L34" s="16"/>
      <c r="M34" s="6"/>
    </row>
    <row r="35" spans="1:13" s="5" customFormat="1" ht="23.1" customHeight="1">
      <c r="A35" s="159"/>
      <c r="B35" s="106"/>
      <c r="C35" s="181"/>
      <c r="D35" s="133"/>
      <c r="E35" s="62">
        <f>+E37/E39</f>
        <v>28.27008839691009</v>
      </c>
      <c r="F35" s="64">
        <f>IF(F37&lt;&gt;0,+F37/F39,0%)</f>
        <v>39.187728365511909</v>
      </c>
      <c r="G35" s="63" t="e">
        <f t="shared" ref="F35:K35" si="7">IF(G37&lt;&gt;0,+G37/G39,0%)</f>
        <v>#REF!</v>
      </c>
      <c r="H35" s="64">
        <f t="shared" si="7"/>
        <v>40.007019603131326</v>
      </c>
      <c r="I35" s="63" t="e">
        <f t="shared" si="7"/>
        <v>#REF!</v>
      </c>
      <c r="J35" s="64">
        <f t="shared" si="7"/>
        <v>40.098822047616835</v>
      </c>
      <c r="K35" s="63" t="e">
        <f t="shared" si="7"/>
        <v>#REF!</v>
      </c>
      <c r="L35" s="18"/>
    </row>
    <row r="36" spans="1:13" s="5" customFormat="1" ht="23.1" customHeight="1" thickBot="1">
      <c r="A36" s="159"/>
      <c r="B36" s="106"/>
      <c r="C36" s="181"/>
      <c r="D36" s="134"/>
      <c r="E36" s="19" t="s">
        <v>18</v>
      </c>
      <c r="F36" s="19" t="s">
        <v>18</v>
      </c>
      <c r="G36" s="30" t="s">
        <v>18</v>
      </c>
      <c r="H36" s="19" t="s">
        <v>18</v>
      </c>
      <c r="I36" s="30" t="s">
        <v>18</v>
      </c>
      <c r="J36" s="19" t="s">
        <v>18</v>
      </c>
      <c r="K36" s="30" t="s">
        <v>18</v>
      </c>
      <c r="L36" s="18"/>
    </row>
    <row r="37" spans="1:13" s="5" customFormat="1" ht="23.1" customHeight="1">
      <c r="A37" s="159"/>
      <c r="B37" s="106"/>
      <c r="C37" s="181"/>
      <c r="D37" s="132" t="s">
        <v>35</v>
      </c>
      <c r="E37" s="35">
        <v>7099750</v>
      </c>
      <c r="F37" s="38">
        <v>7400289</v>
      </c>
      <c r="G37" s="21" t="e">
        <f>+#REF!+F37</f>
        <v>#REF!</v>
      </c>
      <c r="H37" s="38">
        <v>8657279</v>
      </c>
      <c r="I37" s="21" t="e">
        <f t="shared" ref="I37" si="8">+G37+H37</f>
        <v>#REF!</v>
      </c>
      <c r="J37" s="38">
        <v>9487261</v>
      </c>
      <c r="K37" s="21" t="e">
        <f>+I37+J37</f>
        <v>#REF!</v>
      </c>
      <c r="L37" s="22" t="e">
        <f>+K35/E35</f>
        <v>#REF!</v>
      </c>
    </row>
    <row r="38" spans="1:13" s="5" customFormat="1" ht="23.1" customHeight="1">
      <c r="A38" s="159"/>
      <c r="B38" s="106"/>
      <c r="C38" s="181"/>
      <c r="D38" s="133"/>
      <c r="E38" s="23" t="s">
        <v>20</v>
      </c>
      <c r="F38" s="24" t="s">
        <v>20</v>
      </c>
      <c r="G38" s="32" t="s">
        <v>20</v>
      </c>
      <c r="H38" s="23" t="s">
        <v>20</v>
      </c>
      <c r="I38" s="32" t="s">
        <v>20</v>
      </c>
      <c r="J38" s="23" t="s">
        <v>20</v>
      </c>
      <c r="K38" s="32" t="s">
        <v>20</v>
      </c>
      <c r="L38" s="18"/>
      <c r="M38" s="177"/>
    </row>
    <row r="39" spans="1:13" s="5" customFormat="1" ht="23.1" customHeight="1">
      <c r="A39" s="160"/>
      <c r="B39" s="107"/>
      <c r="C39" s="182"/>
      <c r="D39" s="134"/>
      <c r="E39" s="35">
        <v>251140</v>
      </c>
      <c r="F39" s="24">
        <v>188842</v>
      </c>
      <c r="G39" s="25" t="e">
        <f>+#REF!+F39</f>
        <v>#REF!</v>
      </c>
      <c r="H39" s="24">
        <v>216394</v>
      </c>
      <c r="I39" s="25" t="e">
        <f t="shared" ref="I39:K39" si="9">+G39+H39</f>
        <v>#REF!</v>
      </c>
      <c r="J39" s="24">
        <v>236597</v>
      </c>
      <c r="K39" s="25" t="e">
        <f t="shared" si="9"/>
        <v>#REF!</v>
      </c>
      <c r="L39" s="26"/>
    </row>
    <row r="40" spans="1:13" s="39" customFormat="1" ht="23.1" customHeight="1">
      <c r="A40" s="150" t="s">
        <v>36</v>
      </c>
      <c r="B40" s="90" t="s">
        <v>37</v>
      </c>
      <c r="C40" s="102" t="s">
        <v>38</v>
      </c>
      <c r="D40" s="145" t="s">
        <v>39</v>
      </c>
      <c r="E40" s="15" t="s">
        <v>17</v>
      </c>
      <c r="F40" s="15" t="s">
        <v>17</v>
      </c>
      <c r="G40" s="27" t="s">
        <v>17</v>
      </c>
      <c r="H40" s="15" t="s">
        <v>17</v>
      </c>
      <c r="I40" s="27" t="s">
        <v>17</v>
      </c>
      <c r="J40" s="15" t="s">
        <v>17</v>
      </c>
      <c r="K40" s="27" t="s">
        <v>17</v>
      </c>
      <c r="L40" s="28"/>
    </row>
    <row r="41" spans="1:13" s="39" customFormat="1" ht="23.1" customHeight="1">
      <c r="A41" s="151"/>
      <c r="B41" s="91"/>
      <c r="C41" s="103"/>
      <c r="D41" s="146"/>
      <c r="E41" s="34">
        <f t="shared" ref="E41:K41" si="10">IF(E43&lt;&gt;0,+E43/E45,0%)</f>
        <v>0.66666666666666663</v>
      </c>
      <c r="F41" s="17">
        <f t="shared" si="10"/>
        <v>0</v>
      </c>
      <c r="G41" s="37" t="e">
        <f t="shared" si="10"/>
        <v>#REF!</v>
      </c>
      <c r="H41" s="17">
        <f t="shared" si="10"/>
        <v>0</v>
      </c>
      <c r="I41" s="37" t="e">
        <f t="shared" si="10"/>
        <v>#REF!</v>
      </c>
      <c r="J41" s="17">
        <f t="shared" si="10"/>
        <v>0</v>
      </c>
      <c r="K41" s="37" t="e">
        <f t="shared" si="10"/>
        <v>#REF!</v>
      </c>
      <c r="L41" s="29"/>
    </row>
    <row r="42" spans="1:13" s="39" customFormat="1" ht="23.1" customHeight="1" thickBot="1">
      <c r="A42" s="151"/>
      <c r="B42" s="91"/>
      <c r="C42" s="103"/>
      <c r="D42" s="147"/>
      <c r="E42" s="19" t="s">
        <v>18</v>
      </c>
      <c r="F42" s="19" t="s">
        <v>18</v>
      </c>
      <c r="G42" s="30" t="s">
        <v>18</v>
      </c>
      <c r="H42" s="19" t="s">
        <v>18</v>
      </c>
      <c r="I42" s="30" t="s">
        <v>18</v>
      </c>
      <c r="J42" s="19" t="s">
        <v>18</v>
      </c>
      <c r="K42" s="30" t="s">
        <v>18</v>
      </c>
      <c r="L42" s="29"/>
    </row>
    <row r="43" spans="1:13" s="39" customFormat="1" ht="23.1" customHeight="1" thickTop="1">
      <c r="A43" s="151"/>
      <c r="B43" s="91"/>
      <c r="C43" s="103"/>
      <c r="D43" s="145" t="s">
        <v>40</v>
      </c>
      <c r="E43" s="35">
        <v>2</v>
      </c>
      <c r="F43" s="20">
        <v>0</v>
      </c>
      <c r="G43" s="21" t="e">
        <f>+#REF!+F43</f>
        <v>#REF!</v>
      </c>
      <c r="H43" s="20">
        <v>0</v>
      </c>
      <c r="I43" s="21" t="e">
        <f>+G43+H43</f>
        <v>#REF!</v>
      </c>
      <c r="J43" s="20">
        <v>0</v>
      </c>
      <c r="K43" s="21" t="e">
        <f>+I43+J43</f>
        <v>#REF!</v>
      </c>
      <c r="L43" s="31" t="e">
        <f>K41/E41</f>
        <v>#REF!</v>
      </c>
    </row>
    <row r="44" spans="1:13" s="39" customFormat="1" ht="23.1" customHeight="1">
      <c r="A44" s="151"/>
      <c r="B44" s="91"/>
      <c r="C44" s="103"/>
      <c r="D44" s="148"/>
      <c r="E44" s="23" t="s">
        <v>20</v>
      </c>
      <c r="F44" s="23" t="s">
        <v>20</v>
      </c>
      <c r="G44" s="32" t="s">
        <v>20</v>
      </c>
      <c r="H44" s="23" t="s">
        <v>20</v>
      </c>
      <c r="I44" s="32" t="s">
        <v>20</v>
      </c>
      <c r="J44" s="23" t="s">
        <v>20</v>
      </c>
      <c r="K44" s="32" t="s">
        <v>20</v>
      </c>
      <c r="L44" s="29"/>
    </row>
    <row r="45" spans="1:13" s="39" customFormat="1" ht="23.1" customHeight="1" thickBot="1">
      <c r="A45" s="152"/>
      <c r="B45" s="92"/>
      <c r="C45" s="104"/>
      <c r="D45" s="149"/>
      <c r="E45" s="36">
        <v>3</v>
      </c>
      <c r="F45" s="24">
        <v>3</v>
      </c>
      <c r="G45" s="25">
        <v>3</v>
      </c>
      <c r="H45" s="24">
        <v>3</v>
      </c>
      <c r="I45" s="25">
        <v>3</v>
      </c>
      <c r="J45" s="24">
        <v>3</v>
      </c>
      <c r="K45" s="25">
        <v>3</v>
      </c>
      <c r="L45" s="33"/>
    </row>
    <row r="46" spans="1:13" s="5" customFormat="1" ht="23.1" customHeight="1" thickTop="1">
      <c r="A46" s="150" t="s">
        <v>41</v>
      </c>
      <c r="B46" s="90" t="s">
        <v>42</v>
      </c>
      <c r="C46" s="93" t="s">
        <v>43</v>
      </c>
      <c r="D46" s="141" t="s">
        <v>44</v>
      </c>
      <c r="E46" s="44" t="s">
        <v>17</v>
      </c>
      <c r="F46" s="44" t="s">
        <v>17</v>
      </c>
      <c r="G46" s="65" t="s">
        <v>17</v>
      </c>
      <c r="H46" s="44" t="s">
        <v>17</v>
      </c>
      <c r="I46" s="65" t="s">
        <v>17</v>
      </c>
      <c r="J46" s="44" t="s">
        <v>17</v>
      </c>
      <c r="K46" s="65" t="s">
        <v>17</v>
      </c>
      <c r="L46" s="66"/>
    </row>
    <row r="47" spans="1:13" s="5" customFormat="1" ht="23.1" customHeight="1">
      <c r="A47" s="153"/>
      <c r="B47" s="91"/>
      <c r="C47" s="183"/>
      <c r="D47" s="142"/>
      <c r="E47" s="47">
        <f>IF(E49&lt;&gt;0,+E49/E51,0%)</f>
        <v>1</v>
      </c>
      <c r="F47" s="67">
        <f>IF(F49&lt;&gt;0,+F49/F51,0%)</f>
        <v>0</v>
      </c>
      <c r="G47" s="68" t="e">
        <f t="shared" ref="G47" si="11">IF(G49&lt;&gt;0,+G49/G51,0%)</f>
        <v>#REF!</v>
      </c>
      <c r="H47" s="67">
        <f>IF(H49&lt;&gt;0,+H49/H51,0%)</f>
        <v>0</v>
      </c>
      <c r="I47" s="68" t="e">
        <f t="shared" ref="I47" si="12">IF(I49&lt;&gt;0,+I49/I51,0%)</f>
        <v>#REF!</v>
      </c>
      <c r="J47" s="67">
        <f>IF(J49&lt;&gt;0,+J49/J51,0%)</f>
        <v>0</v>
      </c>
      <c r="K47" s="68" t="e">
        <f t="shared" ref="K47" si="13">IF(K49&lt;&gt;0,+K49/K51,0%)</f>
        <v>#REF!</v>
      </c>
      <c r="L47" s="69"/>
    </row>
    <row r="48" spans="1:13" s="5" customFormat="1" ht="23.1" customHeight="1" thickBot="1">
      <c r="A48" s="153"/>
      <c r="B48" s="91"/>
      <c r="C48" s="183"/>
      <c r="D48" s="143"/>
      <c r="E48" s="52" t="s">
        <v>18</v>
      </c>
      <c r="F48" s="52" t="s">
        <v>18</v>
      </c>
      <c r="G48" s="70" t="s">
        <v>18</v>
      </c>
      <c r="H48" s="52" t="s">
        <v>18</v>
      </c>
      <c r="I48" s="70" t="s">
        <v>18</v>
      </c>
      <c r="J48" s="52" t="s">
        <v>18</v>
      </c>
      <c r="K48" s="70" t="s">
        <v>18</v>
      </c>
      <c r="L48" s="69"/>
    </row>
    <row r="49" spans="1:12" s="5" customFormat="1" ht="23.1" customHeight="1" thickTop="1">
      <c r="A49" s="153"/>
      <c r="B49" s="91"/>
      <c r="C49" s="183"/>
      <c r="D49" s="144" t="s">
        <v>45</v>
      </c>
      <c r="E49" s="71">
        <v>4</v>
      </c>
      <c r="F49" s="72">
        <v>0</v>
      </c>
      <c r="G49" s="73" t="e">
        <f>+#REF!+F49</f>
        <v>#REF!</v>
      </c>
      <c r="H49" s="72">
        <v>0</v>
      </c>
      <c r="I49" s="73" t="e">
        <f t="shared" ref="I49" si="14">+G49+H49</f>
        <v>#REF!</v>
      </c>
      <c r="J49" s="74">
        <v>0</v>
      </c>
      <c r="K49" s="75" t="e">
        <f>+I49+J49</f>
        <v>#REF!</v>
      </c>
      <c r="L49" s="56" t="e">
        <f>+K47/E47</f>
        <v>#REF!</v>
      </c>
    </row>
    <row r="50" spans="1:12" s="5" customFormat="1" ht="23.1" customHeight="1">
      <c r="A50" s="153"/>
      <c r="B50" s="91"/>
      <c r="C50" s="183"/>
      <c r="D50" s="141"/>
      <c r="E50" s="76" t="s">
        <v>20</v>
      </c>
      <c r="F50" s="76" t="s">
        <v>20</v>
      </c>
      <c r="G50" s="77" t="s">
        <v>20</v>
      </c>
      <c r="H50" s="76" t="s">
        <v>20</v>
      </c>
      <c r="I50" s="77" t="s">
        <v>20</v>
      </c>
      <c r="J50" s="76" t="s">
        <v>20</v>
      </c>
      <c r="K50" s="77" t="s">
        <v>20</v>
      </c>
      <c r="L50" s="69"/>
    </row>
    <row r="51" spans="1:12" s="5" customFormat="1" ht="23.1" customHeight="1" thickBot="1">
      <c r="A51" s="154"/>
      <c r="B51" s="92"/>
      <c r="C51" s="184"/>
      <c r="D51" s="143"/>
      <c r="E51" s="58">
        <v>4</v>
      </c>
      <c r="F51" s="24">
        <v>4</v>
      </c>
      <c r="G51" s="25">
        <v>4</v>
      </c>
      <c r="H51" s="24">
        <v>4</v>
      </c>
      <c r="I51" s="25">
        <v>4</v>
      </c>
      <c r="J51" s="24">
        <v>4</v>
      </c>
      <c r="K51" s="25">
        <v>4</v>
      </c>
      <c r="L51" s="78"/>
    </row>
    <row r="52" spans="1:12" s="5" customFormat="1" ht="13.5" thickTop="1">
      <c r="F52" s="40"/>
      <c r="G52" s="40"/>
      <c r="H52" s="40"/>
      <c r="I52" s="40"/>
      <c r="J52" s="40"/>
      <c r="K52" s="40"/>
      <c r="L52" s="40"/>
    </row>
    <row r="53" spans="1:12" s="5" customFormat="1">
      <c r="F53" s="40"/>
      <c r="G53" s="40"/>
      <c r="H53" s="40"/>
      <c r="I53" s="40"/>
      <c r="J53" s="40"/>
      <c r="K53" s="40"/>
      <c r="L53" s="40"/>
    </row>
    <row r="56" spans="1:12" ht="17.45" customHeight="1"/>
    <row r="57" spans="1:12" ht="14.25" customHeight="1"/>
    <row r="58" spans="1:12" ht="35.450000000000003" customHeight="1"/>
    <row r="59" spans="1:12" ht="20.100000000000001" customHeight="1"/>
    <row r="60" spans="1:12" ht="20.100000000000001" customHeight="1"/>
    <row r="61" spans="1:12" ht="20.100000000000001" customHeight="1"/>
    <row r="62" spans="1:12" ht="20.100000000000001" customHeight="1"/>
    <row r="63" spans="1:12" ht="20.100000000000001" customHeight="1"/>
    <row r="64" spans="1:12" ht="20.100000000000001" customHeight="1"/>
    <row r="70" ht="35.450000000000003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</sheetData>
  <mergeCells count="46">
    <mergeCell ref="A40:A45"/>
    <mergeCell ref="A46:A51"/>
    <mergeCell ref="A14:A15"/>
    <mergeCell ref="A16:A21"/>
    <mergeCell ref="A22:A27"/>
    <mergeCell ref="A28:A33"/>
    <mergeCell ref="A34:A39"/>
    <mergeCell ref="D46:D48"/>
    <mergeCell ref="D49:D51"/>
    <mergeCell ref="D40:D42"/>
    <mergeCell ref="D43:D45"/>
    <mergeCell ref="D34:D36"/>
    <mergeCell ref="D37:D39"/>
    <mergeCell ref="I14:I15"/>
    <mergeCell ref="D16:D18"/>
    <mergeCell ref="H14:H15"/>
    <mergeCell ref="L14:L15"/>
    <mergeCell ref="K14:K15"/>
    <mergeCell ref="F14:F15"/>
    <mergeCell ref="G14:G15"/>
    <mergeCell ref="J14:J15"/>
    <mergeCell ref="D28:D30"/>
    <mergeCell ref="D31:D33"/>
    <mergeCell ref="D19:D21"/>
    <mergeCell ref="D22:D24"/>
    <mergeCell ref="D25:D27"/>
    <mergeCell ref="D1:E5"/>
    <mergeCell ref="E14:E15"/>
    <mergeCell ref="B1:C5"/>
    <mergeCell ref="B14:B15"/>
    <mergeCell ref="C14:C15"/>
    <mergeCell ref="B6:C6"/>
    <mergeCell ref="D6:E6"/>
    <mergeCell ref="D14:D15"/>
    <mergeCell ref="B46:B51"/>
    <mergeCell ref="C46:C51"/>
    <mergeCell ref="B16:B21"/>
    <mergeCell ref="C22:C27"/>
    <mergeCell ref="B22:B27"/>
    <mergeCell ref="C16:C21"/>
    <mergeCell ref="B40:B45"/>
    <mergeCell ref="C40:C45"/>
    <mergeCell ref="B34:B39"/>
    <mergeCell ref="C34:C39"/>
    <mergeCell ref="B28:B33"/>
    <mergeCell ref="C28:C33"/>
  </mergeCells>
  <phoneticPr fontId="5" type="noConversion"/>
  <printOptions horizontalCentered="1"/>
  <pageMargins left="0.78740157480314965" right="0.39370078740157483" top="0.39370078740157483" bottom="0.39370078740157483" header="0" footer="0"/>
  <pageSetup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0322-C9E5-4AD2-ADFE-07A1968AC6D1}">
  <sheetPr>
    <tabColor rgb="FF92D050"/>
  </sheetPr>
  <dimension ref="A1:L42"/>
  <sheetViews>
    <sheetView topLeftCell="A8" workbookViewId="0">
      <pane xSplit="1" ySplit="5" topLeftCell="B13" activePane="bottomRight" state="frozen"/>
      <selection pane="bottomRight" activeCell="J9" sqref="J9"/>
      <selection pane="bottomLeft" activeCell="A13" sqref="A13"/>
      <selection pane="topRight" activeCell="D8" sqref="D8"/>
    </sheetView>
  </sheetViews>
  <sheetFormatPr defaultColWidth="11.42578125" defaultRowHeight="12.75"/>
  <cols>
    <col min="1" max="1" width="21.140625" customWidth="1"/>
  </cols>
  <sheetData>
    <row r="1" spans="1:12" s="9" customFormat="1" ht="12.75" customHeight="1">
      <c r="A1" s="117"/>
      <c r="B1" s="118"/>
      <c r="C1" s="112"/>
      <c r="D1" s="10"/>
      <c r="E1" s="10"/>
      <c r="F1" s="10"/>
      <c r="G1" s="10"/>
      <c r="H1" s="10"/>
      <c r="I1" s="10"/>
      <c r="J1" s="10"/>
    </row>
    <row r="2" spans="1:12" s="9" customFormat="1" ht="12.75" customHeight="1">
      <c r="A2" s="119"/>
      <c r="B2" s="120"/>
      <c r="C2" s="113"/>
      <c r="D2" s="10"/>
      <c r="E2" s="10"/>
      <c r="F2" s="10"/>
      <c r="G2" s="10"/>
      <c r="H2" s="10"/>
      <c r="I2" s="10"/>
      <c r="J2" s="10"/>
    </row>
    <row r="3" spans="1:12" s="9" customFormat="1" ht="15.75" customHeight="1">
      <c r="A3" s="119"/>
      <c r="B3" s="120"/>
      <c r="C3" s="113"/>
      <c r="D3" s="10"/>
      <c r="E3" s="10"/>
      <c r="F3" s="10"/>
      <c r="G3" s="10"/>
      <c r="H3" s="10"/>
      <c r="I3" s="10"/>
      <c r="J3" s="10"/>
    </row>
    <row r="4" spans="1:12" s="9" customFormat="1" ht="12.75" customHeight="1">
      <c r="A4" s="119"/>
      <c r="B4" s="120"/>
      <c r="C4" s="113"/>
      <c r="D4" s="10"/>
      <c r="E4" s="10"/>
      <c r="F4" s="10"/>
      <c r="G4" s="10"/>
      <c r="H4" s="10"/>
      <c r="I4" s="10"/>
      <c r="J4" s="10"/>
    </row>
    <row r="5" spans="1:12" s="9" customFormat="1" ht="20.25" customHeight="1">
      <c r="A5" s="121"/>
      <c r="B5" s="122"/>
      <c r="C5" s="114"/>
      <c r="D5" s="10"/>
      <c r="E5" s="10"/>
      <c r="F5" s="10"/>
      <c r="G5" s="10"/>
      <c r="H5" s="10"/>
      <c r="I5" s="10"/>
      <c r="J5" s="10"/>
    </row>
    <row r="6" spans="1:12" s="3" customFormat="1" ht="15.75" customHeight="1">
      <c r="A6" s="126"/>
      <c r="B6" s="127"/>
      <c r="C6" s="86"/>
      <c r="D6" s="2"/>
      <c r="E6" s="2"/>
      <c r="F6" s="2"/>
      <c r="G6" s="2"/>
      <c r="H6" s="2"/>
      <c r="I6" s="2"/>
      <c r="J6" s="2"/>
    </row>
    <row r="7" spans="1:12" s="9" customFormat="1" ht="16.5" customHeight="1">
      <c r="D7" s="10"/>
      <c r="E7" s="10"/>
      <c r="F7" s="10"/>
      <c r="G7" s="10"/>
      <c r="H7" s="10"/>
      <c r="I7" s="10"/>
      <c r="J7" s="10"/>
    </row>
    <row r="8" spans="1:12" s="9" customFormat="1" ht="15.75">
      <c r="A8" s="7"/>
      <c r="B8" s="8"/>
      <c r="D8" s="10"/>
      <c r="E8" s="10"/>
      <c r="F8" s="12"/>
      <c r="G8" s="10"/>
      <c r="H8" s="10"/>
      <c r="I8" s="10"/>
      <c r="J8" s="10"/>
    </row>
    <row r="9" spans="1:12" s="9" customFormat="1" ht="16.5" customHeight="1">
      <c r="A9" s="7"/>
      <c r="B9" s="7"/>
      <c r="D9" s="10"/>
      <c r="E9" s="10"/>
      <c r="F9" s="10"/>
      <c r="G9" s="10"/>
      <c r="H9" s="10"/>
      <c r="I9" s="10"/>
      <c r="J9" s="10"/>
    </row>
    <row r="10" spans="1:12" s="9" customFormat="1" ht="16.5" customHeight="1" thickBot="1">
      <c r="A10" s="7"/>
      <c r="B10" s="7"/>
      <c r="D10" s="10"/>
      <c r="E10" s="10"/>
      <c r="F10" s="10"/>
      <c r="G10" s="10"/>
      <c r="H10" s="10"/>
      <c r="I10" s="10"/>
      <c r="J10" s="10"/>
    </row>
    <row r="11" spans="1:12" s="43" customFormat="1" ht="23.1" customHeight="1" thickTop="1">
      <c r="A11" s="165" t="s">
        <v>2</v>
      </c>
      <c r="B11" s="163" t="s">
        <v>3</v>
      </c>
      <c r="C11" s="163" t="s">
        <v>5</v>
      </c>
      <c r="D11" s="163" t="s">
        <v>6</v>
      </c>
      <c r="E11" s="163" t="s">
        <v>7</v>
      </c>
      <c r="F11" s="165" t="s">
        <v>8</v>
      </c>
      <c r="G11" s="163" t="s">
        <v>9</v>
      </c>
      <c r="H11" s="163" t="s">
        <v>10</v>
      </c>
      <c r="I11" s="161" t="s">
        <v>46</v>
      </c>
      <c r="J11" s="163" t="s">
        <v>12</v>
      </c>
    </row>
    <row r="12" spans="1:12" s="43" customFormat="1" ht="23.1" customHeight="1" thickBot="1">
      <c r="A12" s="168"/>
      <c r="B12" s="164"/>
      <c r="C12" s="169"/>
      <c r="D12" s="167"/>
      <c r="E12" s="167"/>
      <c r="F12" s="166"/>
      <c r="G12" s="167"/>
      <c r="H12" s="164"/>
      <c r="I12" s="162">
        <v>2018</v>
      </c>
      <c r="J12" s="164"/>
    </row>
    <row r="13" spans="1:12" s="43" customFormat="1" ht="23.1" customHeight="1" thickTop="1">
      <c r="A13" s="94" t="s">
        <v>47</v>
      </c>
      <c r="B13" s="97" t="s">
        <v>48</v>
      </c>
      <c r="C13" s="44" t="s">
        <v>17</v>
      </c>
      <c r="D13" s="15" t="s">
        <v>17</v>
      </c>
      <c r="E13" s="45" t="s">
        <v>17</v>
      </c>
      <c r="F13" s="15" t="s">
        <v>17</v>
      </c>
      <c r="G13" s="45" t="s">
        <v>17</v>
      </c>
      <c r="H13" s="15" t="s">
        <v>17</v>
      </c>
      <c r="I13" s="45" t="s">
        <v>17</v>
      </c>
      <c r="J13" s="46"/>
    </row>
    <row r="14" spans="1:12" s="43" customFormat="1" ht="23.1" customHeight="1">
      <c r="A14" s="95"/>
      <c r="B14" s="110"/>
      <c r="C14" s="47">
        <f>IF(C16&lt;&gt;0,+C16/C18,0%)</f>
        <v>0.85</v>
      </c>
      <c r="D14" s="49">
        <f>IF(D16&lt;&gt;0,ROUND(+D16/D18,4),0%)</f>
        <v>0.94489999999999996</v>
      </c>
      <c r="E14" s="48" t="e">
        <f t="shared" ref="E14" si="0">IF(E16&lt;&gt;0,+E16/E18,0%)</f>
        <v>#REF!</v>
      </c>
      <c r="F14" s="49">
        <f>IF(F16&lt;&gt;0,ROUND(+F16/F18,4),0%)</f>
        <v>0.96330000000000005</v>
      </c>
      <c r="G14" s="48" t="e">
        <f t="shared" ref="G14" si="1">IF(G16&lt;&gt;0,+G16/G18,0%)</f>
        <v>#REF!</v>
      </c>
      <c r="H14" s="49">
        <f>IF(H16&lt;&gt;0,ROUND(+H16/H18,4),0%)</f>
        <v>0.95109999999999995</v>
      </c>
      <c r="I14" s="48" t="e">
        <f>IF(I16&lt;&gt;0,+I16/I18,0%)</f>
        <v>#REF!</v>
      </c>
      <c r="J14" s="50"/>
      <c r="L14" s="51"/>
    </row>
    <row r="15" spans="1:12" s="43" customFormat="1" ht="23.1" customHeight="1">
      <c r="A15" s="95"/>
      <c r="B15" s="110"/>
      <c r="C15" s="52" t="s">
        <v>18</v>
      </c>
      <c r="D15" s="19" t="s">
        <v>18</v>
      </c>
      <c r="E15" s="53" t="s">
        <v>18</v>
      </c>
      <c r="F15" s="19" t="s">
        <v>18</v>
      </c>
      <c r="G15" s="53" t="s">
        <v>18</v>
      </c>
      <c r="H15" s="19" t="s">
        <v>18</v>
      </c>
      <c r="I15" s="53" t="s">
        <v>18</v>
      </c>
      <c r="J15" s="50"/>
    </row>
    <row r="16" spans="1:12" s="43" customFormat="1" ht="23.1" customHeight="1">
      <c r="A16" s="95"/>
      <c r="B16" s="110"/>
      <c r="C16" s="35">
        <f>+'CDC 2025'!E19</f>
        <v>25500</v>
      </c>
      <c r="D16" s="55">
        <v>2420</v>
      </c>
      <c r="E16" s="21" t="e">
        <f>+#REF!+D16</f>
        <v>#REF!</v>
      </c>
      <c r="F16" s="55">
        <v>1940</v>
      </c>
      <c r="G16" s="21" t="e">
        <f>+E16+F16</f>
        <v>#REF!</v>
      </c>
      <c r="H16" s="55">
        <v>1653</v>
      </c>
      <c r="I16" s="21" t="e">
        <f>+G16+H16</f>
        <v>#REF!</v>
      </c>
      <c r="J16" s="56" t="e">
        <f>I14/C14</f>
        <v>#REF!</v>
      </c>
    </row>
    <row r="17" spans="1:12" s="43" customFormat="1" ht="23.1" customHeight="1">
      <c r="A17" s="95"/>
      <c r="B17" s="110"/>
      <c r="C17" s="23" t="s">
        <v>20</v>
      </c>
      <c r="D17" s="23" t="s">
        <v>20</v>
      </c>
      <c r="E17" s="57" t="s">
        <v>20</v>
      </c>
      <c r="F17" s="23" t="s">
        <v>20</v>
      </c>
      <c r="G17" s="57" t="s">
        <v>20</v>
      </c>
      <c r="H17" s="23"/>
      <c r="I17" s="57" t="s">
        <v>20</v>
      </c>
      <c r="J17" s="50"/>
    </row>
    <row r="18" spans="1:12" s="43" customFormat="1" ht="23.1" customHeight="1" thickBot="1">
      <c r="A18" s="96"/>
      <c r="B18" s="111"/>
      <c r="C18" s="36">
        <f>+'CDC 2025'!E21</f>
        <v>30000</v>
      </c>
      <c r="D18" s="59">
        <v>2561</v>
      </c>
      <c r="E18" s="25" t="e">
        <f>+#REF!+D18</f>
        <v>#REF!</v>
      </c>
      <c r="F18" s="59">
        <v>2014</v>
      </c>
      <c r="G18" s="25" t="e">
        <f>+E18+F18</f>
        <v>#REF!</v>
      </c>
      <c r="H18" s="59">
        <v>1738</v>
      </c>
      <c r="I18" s="25" t="e">
        <f>+G18+H18</f>
        <v>#REF!</v>
      </c>
      <c r="J18" s="60"/>
    </row>
    <row r="19" spans="1:12" ht="13.5" thickTop="1"/>
    <row r="20" spans="1:12" s="41" customFormat="1" ht="16.5" thickBot="1">
      <c r="A20" s="41" t="s">
        <v>49</v>
      </c>
      <c r="C20" s="42"/>
      <c r="D20" s="42"/>
      <c r="E20" s="42"/>
      <c r="F20" s="42"/>
      <c r="G20" s="42"/>
      <c r="H20" s="42"/>
      <c r="I20" s="42"/>
      <c r="J20" s="42"/>
    </row>
    <row r="21" spans="1:12" s="43" customFormat="1" ht="23.1" customHeight="1" thickTop="1">
      <c r="A21" s="165" t="s">
        <v>2</v>
      </c>
      <c r="B21" s="163" t="s">
        <v>3</v>
      </c>
      <c r="C21" s="163" t="s">
        <v>5</v>
      </c>
      <c r="D21" s="163" t="s">
        <v>6</v>
      </c>
      <c r="E21" s="163" t="s">
        <v>7</v>
      </c>
      <c r="F21" s="165" t="s">
        <v>8</v>
      </c>
      <c r="G21" s="163" t="s">
        <v>9</v>
      </c>
      <c r="H21" s="163" t="s">
        <v>10</v>
      </c>
      <c r="I21" s="161" t="s">
        <v>46</v>
      </c>
      <c r="J21" s="163" t="s">
        <v>12</v>
      </c>
    </row>
    <row r="22" spans="1:12" s="43" customFormat="1" ht="23.1" customHeight="1" thickBot="1">
      <c r="A22" s="168"/>
      <c r="B22" s="164"/>
      <c r="C22" s="169"/>
      <c r="D22" s="167"/>
      <c r="E22" s="167"/>
      <c r="F22" s="166"/>
      <c r="G22" s="167"/>
      <c r="H22" s="164"/>
      <c r="I22" s="162">
        <v>2018</v>
      </c>
      <c r="J22" s="164"/>
    </row>
    <row r="23" spans="1:12" s="43" customFormat="1" ht="23.1" customHeight="1" thickTop="1">
      <c r="A23" s="94" t="s">
        <v>14</v>
      </c>
      <c r="B23" s="97" t="s">
        <v>48</v>
      </c>
      <c r="C23" s="44" t="s">
        <v>17</v>
      </c>
      <c r="D23" s="15" t="s">
        <v>17</v>
      </c>
      <c r="E23" s="45" t="s">
        <v>17</v>
      </c>
      <c r="F23" s="15" t="s">
        <v>17</v>
      </c>
      <c r="G23" s="45" t="s">
        <v>17</v>
      </c>
      <c r="H23" s="15" t="s">
        <v>17</v>
      </c>
      <c r="I23" s="45" t="s">
        <v>17</v>
      </c>
      <c r="J23" s="46"/>
    </row>
    <row r="24" spans="1:12" s="43" customFormat="1" ht="23.1" customHeight="1">
      <c r="A24" s="95"/>
      <c r="B24" s="181"/>
      <c r="C24" s="47">
        <f>IF(C26&lt;&gt;0,+C26/C28,0%)</f>
        <v>0.85656608584785376</v>
      </c>
      <c r="D24" s="49">
        <f>IF(D26&lt;&gt;0,ROUND(+D26/D28,4),0%)</f>
        <v>0.93959999999999999</v>
      </c>
      <c r="E24" s="48">
        <f t="shared" ref="E24" si="2">IF(E26&lt;&gt;0,+E26/E28,0%)</f>
        <v>0.93959731543624159</v>
      </c>
      <c r="F24" s="49">
        <f>IF(F26&lt;&gt;0,ROUND(+F26/F28,4),0%)</f>
        <v>0.94220000000000004</v>
      </c>
      <c r="G24" s="48">
        <f t="shared" ref="G24" si="3">IF(G26&lt;&gt;0,+G26/G28,0%)</f>
        <v>0.94072657743785848</v>
      </c>
      <c r="H24" s="49">
        <f>IF(H26&lt;&gt;0,ROUND(+H26/H28,4),0%)</f>
        <v>0.93569999999999998</v>
      </c>
      <c r="I24" s="48">
        <f>IF(I26&lt;&gt;0,+I26/I28,0%)</f>
        <v>0.93935185185185188</v>
      </c>
      <c r="J24" s="50"/>
    </row>
    <row r="25" spans="1:12" s="43" customFormat="1" ht="23.1" customHeight="1">
      <c r="A25" s="95"/>
      <c r="B25" s="181"/>
      <c r="C25" s="52"/>
      <c r="D25" s="19" t="s">
        <v>18</v>
      </c>
      <c r="E25" s="53" t="s">
        <v>18</v>
      </c>
      <c r="F25" s="19" t="s">
        <v>18</v>
      </c>
      <c r="G25" s="53" t="s">
        <v>18</v>
      </c>
      <c r="H25" s="19" t="s">
        <v>18</v>
      </c>
      <c r="I25" s="53" t="s">
        <v>18</v>
      </c>
      <c r="J25" s="50"/>
    </row>
    <row r="26" spans="1:12" s="43" customFormat="1" ht="23.1" customHeight="1">
      <c r="A26" s="95"/>
      <c r="B26" s="181"/>
      <c r="C26" s="54">
        <v>16124</v>
      </c>
      <c r="D26" s="55">
        <v>840</v>
      </c>
      <c r="E26" s="21">
        <f>SUM(D26:D26)</f>
        <v>840</v>
      </c>
      <c r="F26" s="55">
        <v>636</v>
      </c>
      <c r="G26" s="21">
        <f>SUM(E26:F26)</f>
        <v>1476</v>
      </c>
      <c r="H26" s="55">
        <v>553</v>
      </c>
      <c r="I26" s="21">
        <f>SUM(G26:H26)</f>
        <v>2029</v>
      </c>
      <c r="J26" s="56">
        <f>+I24/C24</f>
        <v>1.0966484283837299</v>
      </c>
    </row>
    <row r="27" spans="1:12" s="43" customFormat="1" ht="23.1" customHeight="1">
      <c r="A27" s="95"/>
      <c r="B27" s="181"/>
      <c r="C27" s="52" t="s">
        <v>20</v>
      </c>
      <c r="D27" s="23" t="s">
        <v>20</v>
      </c>
      <c r="E27" s="32" t="s">
        <v>20</v>
      </c>
      <c r="F27" s="23" t="s">
        <v>20</v>
      </c>
      <c r="G27" s="32" t="s">
        <v>20</v>
      </c>
      <c r="H27" s="23" t="s">
        <v>20</v>
      </c>
      <c r="I27" s="32" t="s">
        <v>20</v>
      </c>
      <c r="J27" s="50"/>
    </row>
    <row r="28" spans="1:12" s="43" customFormat="1" ht="23.1" customHeight="1" thickBot="1">
      <c r="A28" s="96"/>
      <c r="B28" s="182"/>
      <c r="C28" s="88">
        <v>18824</v>
      </c>
      <c r="D28" s="59">
        <v>894</v>
      </c>
      <c r="E28" s="25">
        <f>SUM(D28:D28)</f>
        <v>894</v>
      </c>
      <c r="F28" s="59">
        <v>675</v>
      </c>
      <c r="G28" s="25">
        <f>SUM(E28:F28)</f>
        <v>1569</v>
      </c>
      <c r="H28" s="59">
        <v>591</v>
      </c>
      <c r="I28" s="25">
        <f>SUM(G28:H28)</f>
        <v>2160</v>
      </c>
      <c r="J28" s="60"/>
      <c r="L28" s="61"/>
    </row>
    <row r="29" spans="1:12" ht="13.5" thickTop="1"/>
    <row r="30" spans="1:12" s="41" customFormat="1" ht="16.5" thickBot="1">
      <c r="A30" s="41" t="s">
        <v>50</v>
      </c>
      <c r="C30" s="42"/>
      <c r="D30" s="42"/>
      <c r="E30" s="42"/>
      <c r="F30" s="42"/>
      <c r="G30" s="42"/>
      <c r="H30" s="42"/>
      <c r="I30" s="42"/>
      <c r="J30" s="42"/>
    </row>
    <row r="31" spans="1:12" s="43" customFormat="1" ht="23.1" customHeight="1" thickTop="1">
      <c r="A31" s="165" t="s">
        <v>2</v>
      </c>
      <c r="B31" s="163" t="s">
        <v>3</v>
      </c>
      <c r="C31" s="163" t="s">
        <v>5</v>
      </c>
      <c r="D31" s="163" t="s">
        <v>6</v>
      </c>
      <c r="E31" s="163" t="s">
        <v>7</v>
      </c>
      <c r="F31" s="165" t="s">
        <v>8</v>
      </c>
      <c r="G31" s="163" t="s">
        <v>9</v>
      </c>
      <c r="H31" s="163" t="s">
        <v>10</v>
      </c>
      <c r="I31" s="161" t="s">
        <v>46</v>
      </c>
      <c r="J31" s="163" t="s">
        <v>12</v>
      </c>
    </row>
    <row r="32" spans="1:12" s="43" customFormat="1" ht="23.1" customHeight="1" thickBot="1">
      <c r="A32" s="168"/>
      <c r="B32" s="164"/>
      <c r="C32" s="169"/>
      <c r="D32" s="167"/>
      <c r="E32" s="167"/>
      <c r="F32" s="166"/>
      <c r="G32" s="167"/>
      <c r="H32" s="164"/>
      <c r="I32" s="162">
        <v>2018</v>
      </c>
      <c r="J32" s="164"/>
    </row>
    <row r="33" spans="1:10" s="43" customFormat="1" ht="23.1" customHeight="1" thickTop="1">
      <c r="A33" s="94" t="s">
        <v>14</v>
      </c>
      <c r="B33" s="97" t="s">
        <v>48</v>
      </c>
      <c r="C33" s="44" t="s">
        <v>17</v>
      </c>
      <c r="D33" s="15" t="s">
        <v>17</v>
      </c>
      <c r="E33" s="45" t="s">
        <v>17</v>
      </c>
      <c r="F33" s="15" t="s">
        <v>17</v>
      </c>
      <c r="G33" s="45" t="s">
        <v>17</v>
      </c>
      <c r="H33" s="15" t="s">
        <v>17</v>
      </c>
      <c r="I33" s="45" t="s">
        <v>17</v>
      </c>
      <c r="J33" s="46"/>
    </row>
    <row r="34" spans="1:10" s="43" customFormat="1" ht="23.1" customHeight="1">
      <c r="A34" s="95"/>
      <c r="B34" s="181"/>
      <c r="C34" s="47">
        <f>IF(C36&lt;&gt;0,+C36/C38,0%)</f>
        <v>0.83894058697208307</v>
      </c>
      <c r="D34" s="49">
        <f>IF(D36&lt;&gt;0,ROUND(+D36/D38,4),0%)</f>
        <v>0.94779999999999998</v>
      </c>
      <c r="E34" s="48">
        <f t="shared" ref="E34" si="4">IF(E36&lt;&gt;0,+E36/E38,0%)</f>
        <v>0.94781043791241748</v>
      </c>
      <c r="F34" s="49">
        <f>IF(F36&lt;&gt;0,ROUND(+F36/F38,4),0%)</f>
        <v>0.97389999999999999</v>
      </c>
      <c r="G34" s="48">
        <f t="shared" ref="G34" si="5">IF(G36&lt;&gt;0,+G36/G38,0%)</f>
        <v>0.959414504324684</v>
      </c>
      <c r="H34" s="49">
        <f>IF(H36&lt;&gt;0,ROUND(+H36/H38,4),0%)</f>
        <v>0.95899999999999996</v>
      </c>
      <c r="I34" s="48">
        <f>IF(I36&lt;&gt;0,+I36/I38,0%)</f>
        <v>0.95930652540332295</v>
      </c>
      <c r="J34" s="50"/>
    </row>
    <row r="35" spans="1:10" s="43" customFormat="1" ht="23.1" customHeight="1">
      <c r="A35" s="95"/>
      <c r="B35" s="181"/>
      <c r="C35" s="52"/>
      <c r="D35" s="19" t="s">
        <v>18</v>
      </c>
      <c r="E35" s="53" t="s">
        <v>18</v>
      </c>
      <c r="F35" s="19" t="s">
        <v>18</v>
      </c>
      <c r="G35" s="53" t="s">
        <v>18</v>
      </c>
      <c r="H35" s="19" t="s">
        <v>18</v>
      </c>
      <c r="I35" s="53" t="s">
        <v>18</v>
      </c>
      <c r="J35" s="50"/>
    </row>
    <row r="36" spans="1:10" s="43" customFormat="1" ht="23.1" customHeight="1">
      <c r="A36" s="95"/>
      <c r="B36" s="181"/>
      <c r="C36" s="54">
        <v>9376</v>
      </c>
      <c r="D36" s="55">
        <v>1580</v>
      </c>
      <c r="E36" s="21">
        <f>SUM(D36:D36)</f>
        <v>1580</v>
      </c>
      <c r="F36" s="55">
        <v>1304</v>
      </c>
      <c r="G36" s="21">
        <f>SUM(E36:F36)</f>
        <v>2884</v>
      </c>
      <c r="H36" s="55">
        <v>1100</v>
      </c>
      <c r="I36" s="21">
        <f>SUM(G36:H36)</f>
        <v>3984</v>
      </c>
      <c r="J36" s="56">
        <f>+I34/C34</f>
        <v>1.1434737337785341</v>
      </c>
    </row>
    <row r="37" spans="1:10" s="43" customFormat="1" ht="23.1" customHeight="1">
      <c r="A37" s="95"/>
      <c r="B37" s="181"/>
      <c r="C37" s="52" t="s">
        <v>20</v>
      </c>
      <c r="D37" s="23" t="s">
        <v>20</v>
      </c>
      <c r="E37" s="32" t="s">
        <v>20</v>
      </c>
      <c r="F37" s="23" t="s">
        <v>20</v>
      </c>
      <c r="G37" s="32" t="s">
        <v>20</v>
      </c>
      <c r="H37" s="23" t="s">
        <v>20</v>
      </c>
      <c r="I37" s="32" t="s">
        <v>20</v>
      </c>
      <c r="J37" s="50"/>
    </row>
    <row r="38" spans="1:10" s="43" customFormat="1" ht="23.1" customHeight="1" thickBot="1">
      <c r="A38" s="96"/>
      <c r="B38" s="182"/>
      <c r="C38" s="88">
        <v>11176</v>
      </c>
      <c r="D38" s="59">
        <v>1667</v>
      </c>
      <c r="E38" s="25">
        <f>SUM(D38:D38)</f>
        <v>1667</v>
      </c>
      <c r="F38" s="59">
        <v>1339</v>
      </c>
      <c r="G38" s="25">
        <f>SUM(E38:F38)</f>
        <v>3006</v>
      </c>
      <c r="H38" s="59">
        <v>1147</v>
      </c>
      <c r="I38" s="25">
        <f>SUM(G38:H38)</f>
        <v>4153</v>
      </c>
      <c r="J38" s="60"/>
    </row>
    <row r="39" spans="1:10" ht="13.5" thickTop="1"/>
    <row r="41" spans="1:10">
      <c r="C41" s="82"/>
      <c r="D41" s="82"/>
      <c r="E41" s="82"/>
      <c r="F41" s="82"/>
      <c r="G41" s="82"/>
      <c r="H41" s="82"/>
      <c r="I41" s="82"/>
    </row>
    <row r="42" spans="1:10">
      <c r="C42" s="82"/>
      <c r="D42" s="82"/>
      <c r="E42" s="82"/>
      <c r="F42" s="82"/>
      <c r="G42" s="82"/>
      <c r="H42" s="82"/>
      <c r="I42" s="82"/>
    </row>
  </sheetData>
  <mergeCells count="39">
    <mergeCell ref="A13:A18"/>
    <mergeCell ref="B13:B18"/>
    <mergeCell ref="A1:B5"/>
    <mergeCell ref="C1:C5"/>
    <mergeCell ref="A6:B6"/>
    <mergeCell ref="A11:A12"/>
    <mergeCell ref="B11:B12"/>
    <mergeCell ref="C11:C12"/>
    <mergeCell ref="G11:G12"/>
    <mergeCell ref="H11:H12"/>
    <mergeCell ref="I11:I12"/>
    <mergeCell ref="J11:J12"/>
    <mergeCell ref="C21:C22"/>
    <mergeCell ref="D21:D22"/>
    <mergeCell ref="H21:H22"/>
    <mergeCell ref="I21:I22"/>
    <mergeCell ref="J21:J22"/>
    <mergeCell ref="D11:D12"/>
    <mergeCell ref="E11:E12"/>
    <mergeCell ref="F11:F12"/>
    <mergeCell ref="A23:A28"/>
    <mergeCell ref="B23:B28"/>
    <mergeCell ref="E21:E22"/>
    <mergeCell ref="F21:F22"/>
    <mergeCell ref="G21:G22"/>
    <mergeCell ref="A21:A22"/>
    <mergeCell ref="B21:B22"/>
    <mergeCell ref="I31:I32"/>
    <mergeCell ref="J31:J32"/>
    <mergeCell ref="A33:A38"/>
    <mergeCell ref="B33:B38"/>
    <mergeCell ref="F31:F32"/>
    <mergeCell ref="G31:G32"/>
    <mergeCell ref="H31:H32"/>
    <mergeCell ref="A31:A32"/>
    <mergeCell ref="B31:B32"/>
    <mergeCell ref="C31:C32"/>
    <mergeCell ref="D31:D32"/>
    <mergeCell ref="E31:E32"/>
  </mergeCells>
  <conditionalFormatting sqref="C26:C28">
    <cfRule type="expression" dxfId="5" priority="4">
      <formula>#REF!=0</formula>
    </cfRule>
  </conditionalFormatting>
  <conditionalFormatting sqref="C36:C38">
    <cfRule type="expression" dxfId="4" priority="1">
      <formula>#REF!=0</formula>
    </cfRule>
  </conditionalFormatting>
  <pageMargins left="0.7" right="0.7" top="0.75" bottom="0.75" header="0.3" footer="0.3"/>
  <pageSetup paperSize="2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39ED-2F07-49D4-B52B-53D530D2A354}">
  <sheetPr>
    <tabColor rgb="FF92D050"/>
  </sheetPr>
  <dimension ref="A1:L43"/>
  <sheetViews>
    <sheetView topLeftCell="A8" zoomScale="130" zoomScaleNormal="130" workbookViewId="0">
      <pane xSplit="1" ySplit="5" topLeftCell="B14" activePane="bottomRight" state="frozen"/>
      <selection pane="bottomRight" activeCell="H16" sqref="H16"/>
      <selection pane="bottomLeft" activeCell="A13" sqref="A13"/>
      <selection pane="topRight" activeCell="D8" sqref="D8"/>
    </sheetView>
  </sheetViews>
  <sheetFormatPr defaultColWidth="11.42578125" defaultRowHeight="12.75"/>
  <sheetData>
    <row r="1" spans="1:12" s="9" customFormat="1" ht="12.75" customHeight="1">
      <c r="A1" s="117"/>
      <c r="B1" s="118"/>
      <c r="C1" s="112"/>
      <c r="D1" s="10"/>
      <c r="E1" s="10"/>
      <c r="F1" s="10"/>
      <c r="G1" s="10"/>
      <c r="H1" s="10"/>
      <c r="I1" s="10"/>
      <c r="J1" s="10"/>
    </row>
    <row r="2" spans="1:12" s="9" customFormat="1" ht="12.75" customHeight="1">
      <c r="A2" s="119"/>
      <c r="B2" s="120"/>
      <c r="C2" s="113"/>
      <c r="D2" s="10"/>
      <c r="E2" s="10"/>
      <c r="F2" s="10"/>
      <c r="G2" s="10"/>
      <c r="H2" s="10"/>
      <c r="I2" s="10"/>
      <c r="J2" s="10"/>
    </row>
    <row r="3" spans="1:12" s="9" customFormat="1" ht="15.75" customHeight="1">
      <c r="A3" s="119"/>
      <c r="B3" s="120"/>
      <c r="C3" s="113"/>
      <c r="D3" s="10"/>
      <c r="E3" s="10"/>
      <c r="F3" s="10"/>
      <c r="G3" s="10"/>
      <c r="H3" s="10"/>
      <c r="I3" s="10"/>
      <c r="J3" s="10"/>
    </row>
    <row r="4" spans="1:12" s="9" customFormat="1" ht="12.75" customHeight="1">
      <c r="A4" s="119"/>
      <c r="B4" s="120"/>
      <c r="C4" s="113"/>
      <c r="D4" s="10"/>
      <c r="E4" s="10"/>
      <c r="F4" s="10"/>
      <c r="G4" s="10"/>
      <c r="H4" s="10"/>
      <c r="I4" s="10"/>
      <c r="J4" s="10"/>
    </row>
    <row r="5" spans="1:12" s="9" customFormat="1" ht="20.25" customHeight="1">
      <c r="A5" s="121"/>
      <c r="B5" s="122"/>
      <c r="C5" s="114"/>
      <c r="D5" s="10"/>
      <c r="E5" s="10"/>
      <c r="F5" s="10"/>
      <c r="G5" s="10"/>
      <c r="H5" s="10"/>
      <c r="I5" s="10"/>
      <c r="J5" s="10"/>
    </row>
    <row r="6" spans="1:12" s="3" customFormat="1" ht="15.75" customHeight="1">
      <c r="A6" s="126"/>
      <c r="B6" s="127"/>
      <c r="C6" s="86"/>
      <c r="D6" s="2"/>
      <c r="E6" s="2"/>
      <c r="F6" s="2"/>
      <c r="G6" s="2"/>
      <c r="H6" s="2"/>
      <c r="I6" s="2"/>
      <c r="J6" s="2"/>
    </row>
    <row r="7" spans="1:12" s="9" customFormat="1" ht="16.5" customHeight="1">
      <c r="D7" s="10"/>
      <c r="E7" s="10"/>
      <c r="F7" s="10"/>
      <c r="G7" s="10"/>
      <c r="H7" s="10"/>
      <c r="I7" s="10"/>
      <c r="J7" s="10"/>
    </row>
    <row r="8" spans="1:12" s="9" customFormat="1" ht="15.75">
      <c r="A8" s="7"/>
      <c r="B8" s="8"/>
      <c r="D8" s="10"/>
      <c r="E8" s="10"/>
      <c r="F8" s="12"/>
      <c r="G8" s="10"/>
      <c r="H8" s="10"/>
      <c r="I8" s="10"/>
      <c r="J8" s="10"/>
    </row>
    <row r="9" spans="1:12" s="9" customFormat="1" ht="16.5" customHeight="1">
      <c r="A9" s="7"/>
      <c r="B9" s="7"/>
      <c r="D9" s="10"/>
      <c r="E9" s="10"/>
      <c r="F9" s="10"/>
      <c r="G9" s="10"/>
      <c r="H9" s="10"/>
      <c r="I9" s="10"/>
      <c r="J9" s="10"/>
    </row>
    <row r="10" spans="1:12" s="9" customFormat="1" ht="16.5" customHeight="1" thickBot="1">
      <c r="A10" s="7"/>
      <c r="B10" s="7"/>
      <c r="D10" s="10"/>
      <c r="E10" s="10"/>
      <c r="F10" s="10"/>
      <c r="G10" s="10"/>
      <c r="H10" s="10"/>
      <c r="I10" s="10"/>
      <c r="J10" s="10"/>
    </row>
    <row r="11" spans="1:12" s="43" customFormat="1" ht="23.1" customHeight="1" thickTop="1">
      <c r="A11" s="165" t="s">
        <v>2</v>
      </c>
      <c r="B11" s="163" t="s">
        <v>3</v>
      </c>
      <c r="C11" s="163" t="s">
        <v>5</v>
      </c>
      <c r="D11" s="163" t="s">
        <v>6</v>
      </c>
      <c r="E11" s="163" t="s">
        <v>7</v>
      </c>
      <c r="F11" s="165" t="s">
        <v>8</v>
      </c>
      <c r="G11" s="163" t="s">
        <v>9</v>
      </c>
      <c r="H11" s="163" t="s">
        <v>10</v>
      </c>
      <c r="I11" s="161" t="s">
        <v>46</v>
      </c>
      <c r="J11" s="163" t="s">
        <v>12</v>
      </c>
    </row>
    <row r="12" spans="1:12" s="43" customFormat="1" ht="23.1" customHeight="1" thickBot="1">
      <c r="A12" s="168"/>
      <c r="B12" s="164"/>
      <c r="C12" s="169"/>
      <c r="D12" s="167"/>
      <c r="E12" s="167"/>
      <c r="F12" s="166"/>
      <c r="G12" s="167"/>
      <c r="H12" s="164"/>
      <c r="I12" s="162">
        <v>2018</v>
      </c>
      <c r="J12" s="164"/>
    </row>
    <row r="13" spans="1:12" s="43" customFormat="1" ht="23.1" customHeight="1" thickTop="1">
      <c r="A13" s="94" t="s">
        <v>51</v>
      </c>
      <c r="B13" s="101" t="s">
        <v>52</v>
      </c>
      <c r="C13" s="44" t="s">
        <v>17</v>
      </c>
      <c r="D13" s="15" t="s">
        <v>17</v>
      </c>
      <c r="E13" s="45" t="s">
        <v>17</v>
      </c>
      <c r="F13" s="15" t="s">
        <v>17</v>
      </c>
      <c r="G13" s="45" t="s">
        <v>17</v>
      </c>
      <c r="H13" s="15" t="s">
        <v>17</v>
      </c>
      <c r="I13" s="45" t="s">
        <v>17</v>
      </c>
      <c r="J13" s="46"/>
    </row>
    <row r="14" spans="1:12" s="43" customFormat="1" ht="23.1" customHeight="1">
      <c r="A14" s="170"/>
      <c r="B14" s="172"/>
      <c r="C14" s="47">
        <f>IF(C16&lt;&gt;0,+C16/C18,0%)</f>
        <v>0.98004484304932737</v>
      </c>
      <c r="D14" s="49">
        <f>IF(D16&lt;&gt;0,ROUND(+D16/D18,4),0%)</f>
        <v>1</v>
      </c>
      <c r="E14" s="48" t="e">
        <f t="shared" ref="E14" si="0">IF(E16&lt;&gt;0,+E16/E18,0%)</f>
        <v>#REF!</v>
      </c>
      <c r="F14" s="49">
        <f>IF(F16&lt;&gt;0,ROUND(+F16/F18,4),0%)</f>
        <v>1</v>
      </c>
      <c r="G14" s="48" t="e">
        <f t="shared" ref="G14" si="1">IF(G16&lt;&gt;0,+G16/G18,0%)</f>
        <v>#REF!</v>
      </c>
      <c r="H14" s="49">
        <f>IF(H16&lt;&gt;0,ROUND(+H16/H18,4),0%)</f>
        <v>0</v>
      </c>
      <c r="I14" s="48" t="e">
        <f>IF(I16&lt;&gt;0,+I16/I18,0%)</f>
        <v>#REF!</v>
      </c>
      <c r="J14" s="50"/>
      <c r="L14" s="51"/>
    </row>
    <row r="15" spans="1:12" s="43" customFormat="1" ht="23.1" customHeight="1">
      <c r="A15" s="170"/>
      <c r="B15" s="172"/>
      <c r="C15" s="52" t="s">
        <v>18</v>
      </c>
      <c r="D15" s="19" t="s">
        <v>18</v>
      </c>
      <c r="E15" s="53" t="s">
        <v>18</v>
      </c>
      <c r="F15" s="19" t="s">
        <v>18</v>
      </c>
      <c r="G15" s="53" t="s">
        <v>18</v>
      </c>
      <c r="H15" s="19" t="s">
        <v>18</v>
      </c>
      <c r="I15" s="53" t="s">
        <v>18</v>
      </c>
      <c r="J15" s="50"/>
    </row>
    <row r="16" spans="1:12" s="43" customFormat="1" ht="23.1" customHeight="1">
      <c r="A16" s="170"/>
      <c r="B16" s="172"/>
      <c r="C16" s="54">
        <v>8742</v>
      </c>
      <c r="D16" s="55">
        <v>311</v>
      </c>
      <c r="E16" s="21" t="e">
        <f>+#REF!+D16</f>
        <v>#REF!</v>
      </c>
      <c r="F16" s="55">
        <v>367</v>
      </c>
      <c r="G16" s="21" t="e">
        <f>+E16+F16</f>
        <v>#REF!</v>
      </c>
      <c r="H16" s="55"/>
      <c r="I16" s="21" t="e">
        <f>+G16+H16</f>
        <v>#REF!</v>
      </c>
      <c r="J16" s="56" t="e">
        <f>I14/C14</f>
        <v>#REF!</v>
      </c>
    </row>
    <row r="17" spans="1:12" s="43" customFormat="1" ht="23.1" customHeight="1">
      <c r="A17" s="170"/>
      <c r="B17" s="172"/>
      <c r="C17" s="52" t="s">
        <v>20</v>
      </c>
      <c r="D17" s="23" t="s">
        <v>20</v>
      </c>
      <c r="E17" s="57" t="s">
        <v>20</v>
      </c>
      <c r="F17" s="23" t="s">
        <v>20</v>
      </c>
      <c r="G17" s="57" t="s">
        <v>20</v>
      </c>
      <c r="H17" s="23" t="s">
        <v>20</v>
      </c>
      <c r="I17" s="57" t="s">
        <v>20</v>
      </c>
      <c r="J17" s="50"/>
    </row>
    <row r="18" spans="1:12" s="43" customFormat="1" ht="23.1" customHeight="1" thickBot="1">
      <c r="A18" s="171"/>
      <c r="B18" s="173"/>
      <c r="C18" s="58">
        <v>8920</v>
      </c>
      <c r="D18" s="59">
        <v>311</v>
      </c>
      <c r="E18" s="25" t="e">
        <f>+#REF!+D18</f>
        <v>#REF!</v>
      </c>
      <c r="F18" s="59">
        <v>367</v>
      </c>
      <c r="G18" s="25" t="e">
        <f>+E18+F18</f>
        <v>#REF!</v>
      </c>
      <c r="H18" s="59"/>
      <c r="I18" s="25" t="e">
        <f>+G18+H18</f>
        <v>#REF!</v>
      </c>
      <c r="J18" s="60"/>
    </row>
    <row r="19" spans="1:12" ht="13.5" thickTop="1"/>
    <row r="20" spans="1:12" s="41" customFormat="1" ht="16.5" thickBot="1">
      <c r="A20" s="41" t="s">
        <v>49</v>
      </c>
      <c r="C20" s="42"/>
      <c r="D20" s="42"/>
      <c r="E20" s="42"/>
      <c r="F20" s="42"/>
      <c r="G20" s="42"/>
      <c r="H20" s="42"/>
      <c r="I20" s="42"/>
      <c r="J20" s="42"/>
    </row>
    <row r="21" spans="1:12" s="43" customFormat="1" ht="23.1" customHeight="1" thickTop="1">
      <c r="A21" s="165" t="s">
        <v>2</v>
      </c>
      <c r="B21" s="163" t="s">
        <v>3</v>
      </c>
      <c r="C21" s="163" t="s">
        <v>5</v>
      </c>
      <c r="D21" s="163" t="s">
        <v>6</v>
      </c>
      <c r="E21" s="163" t="s">
        <v>7</v>
      </c>
      <c r="F21" s="165" t="s">
        <v>8</v>
      </c>
      <c r="G21" s="163" t="s">
        <v>9</v>
      </c>
      <c r="H21" s="163" t="s">
        <v>10</v>
      </c>
      <c r="I21" s="161" t="s">
        <v>46</v>
      </c>
      <c r="J21" s="163" t="s">
        <v>12</v>
      </c>
    </row>
    <row r="22" spans="1:12" s="43" customFormat="1" ht="23.1" customHeight="1" thickBot="1">
      <c r="A22" s="168"/>
      <c r="B22" s="164"/>
      <c r="C22" s="169"/>
      <c r="D22" s="167"/>
      <c r="E22" s="167"/>
      <c r="F22" s="166"/>
      <c r="G22" s="167"/>
      <c r="H22" s="164"/>
      <c r="I22" s="162">
        <v>2018</v>
      </c>
      <c r="J22" s="164"/>
    </row>
    <row r="23" spans="1:12" s="43" customFormat="1" ht="23.1" customHeight="1" thickTop="1">
      <c r="A23" s="94" t="s">
        <v>53</v>
      </c>
      <c r="B23" s="101" t="s">
        <v>52</v>
      </c>
      <c r="C23" s="44" t="s">
        <v>17</v>
      </c>
      <c r="D23" s="15" t="s">
        <v>17</v>
      </c>
      <c r="E23" s="45" t="s">
        <v>17</v>
      </c>
      <c r="F23" s="15" t="s">
        <v>17</v>
      </c>
      <c r="G23" s="45" t="s">
        <v>17</v>
      </c>
      <c r="H23" s="15" t="s">
        <v>17</v>
      </c>
      <c r="I23" s="45" t="s">
        <v>17</v>
      </c>
      <c r="J23" s="46"/>
    </row>
    <row r="24" spans="1:12" s="43" customFormat="1" ht="23.1" customHeight="1">
      <c r="A24" s="170"/>
      <c r="B24" s="172"/>
      <c r="C24" s="47">
        <f>IF(C26&lt;&gt;0,+C26/C28,0%)</f>
        <v>0.97982102123179504</v>
      </c>
      <c r="D24" s="49">
        <f>IF(D26&lt;&gt;0,ROUND(+D26/D28,4),0%)</f>
        <v>1</v>
      </c>
      <c r="E24" s="48">
        <f t="shared" ref="E24" si="2">IF(E26&lt;&gt;0,+E26/E28,0%)</f>
        <v>1</v>
      </c>
      <c r="F24" s="49">
        <f>IF(F26&lt;&gt;0,ROUND(+F26/F28,4),0%)</f>
        <v>1</v>
      </c>
      <c r="G24" s="48">
        <f t="shared" ref="G24" si="3">IF(G26&lt;&gt;0,+G26/G28,0%)</f>
        <v>1</v>
      </c>
      <c r="H24" s="49">
        <f>IF(H26&lt;&gt;0,ROUND(+H26/H28,4),0%)</f>
        <v>0</v>
      </c>
      <c r="I24" s="48">
        <f>IF(I26&lt;&gt;0,+I26/I28,0%)</f>
        <v>1</v>
      </c>
      <c r="J24" s="50"/>
    </row>
    <row r="25" spans="1:12" s="43" customFormat="1" ht="23.1" customHeight="1">
      <c r="A25" s="170"/>
      <c r="B25" s="172"/>
      <c r="C25" s="52"/>
      <c r="D25" s="19" t="s">
        <v>18</v>
      </c>
      <c r="E25" s="53" t="s">
        <v>18</v>
      </c>
      <c r="F25" s="19" t="s">
        <v>18</v>
      </c>
      <c r="G25" s="53" t="s">
        <v>18</v>
      </c>
      <c r="H25" s="19" t="s">
        <v>18</v>
      </c>
      <c r="I25" s="53" t="s">
        <v>18</v>
      </c>
      <c r="J25" s="50"/>
    </row>
    <row r="26" spans="1:12" s="43" customFormat="1" ht="23.1" customHeight="1">
      <c r="A26" s="170"/>
      <c r="B26" s="172"/>
      <c r="C26" s="54">
        <v>5584</v>
      </c>
      <c r="D26" s="55">
        <v>64</v>
      </c>
      <c r="E26" s="21">
        <f>SUM(D26:D26)</f>
        <v>64</v>
      </c>
      <c r="F26" s="55">
        <v>99</v>
      </c>
      <c r="G26" s="21">
        <f>SUM(E26:F26)</f>
        <v>163</v>
      </c>
      <c r="H26" s="55"/>
      <c r="I26" s="21">
        <f>SUM(G26:H26)</f>
        <v>163</v>
      </c>
      <c r="J26" s="56">
        <f>+I24/C24</f>
        <v>1.0205945558739256</v>
      </c>
    </row>
    <row r="27" spans="1:12" s="43" customFormat="1" ht="23.1" customHeight="1">
      <c r="A27" s="170"/>
      <c r="B27" s="172"/>
      <c r="C27" s="52" t="s">
        <v>20</v>
      </c>
      <c r="D27" s="23" t="s">
        <v>20</v>
      </c>
      <c r="E27" s="32" t="s">
        <v>20</v>
      </c>
      <c r="F27" s="23" t="s">
        <v>20</v>
      </c>
      <c r="G27" s="32" t="s">
        <v>20</v>
      </c>
      <c r="H27" s="23" t="s">
        <v>20</v>
      </c>
      <c r="I27" s="32" t="s">
        <v>20</v>
      </c>
      <c r="J27" s="50"/>
    </row>
    <row r="28" spans="1:12" s="43" customFormat="1" ht="23.1" customHeight="1" thickBot="1">
      <c r="A28" s="171"/>
      <c r="B28" s="173"/>
      <c r="C28" s="89">
        <v>5699</v>
      </c>
      <c r="D28" s="59">
        <v>64</v>
      </c>
      <c r="E28" s="25">
        <f>SUM(D28:D28)</f>
        <v>64</v>
      </c>
      <c r="F28" s="59">
        <v>99</v>
      </c>
      <c r="G28" s="25">
        <f>SUM(E28:F28)</f>
        <v>163</v>
      </c>
      <c r="H28" s="59"/>
      <c r="I28" s="25">
        <f>SUM(G28:H28)</f>
        <v>163</v>
      </c>
      <c r="J28" s="60"/>
      <c r="L28" s="61"/>
    </row>
    <row r="29" spans="1:12" ht="13.5" thickTop="1"/>
    <row r="30" spans="1:12" s="41" customFormat="1" ht="16.5" thickBot="1">
      <c r="A30" s="41" t="s">
        <v>50</v>
      </c>
      <c r="C30" s="42"/>
      <c r="D30" s="42"/>
      <c r="E30" s="42"/>
      <c r="F30" s="42"/>
      <c r="G30" s="42"/>
      <c r="H30" s="42"/>
      <c r="I30" s="42"/>
      <c r="J30" s="42"/>
    </row>
    <row r="31" spans="1:12" s="43" customFormat="1" ht="23.1" customHeight="1" thickTop="1">
      <c r="A31" s="165" t="s">
        <v>2</v>
      </c>
      <c r="B31" s="163" t="s">
        <v>3</v>
      </c>
      <c r="C31" s="163" t="s">
        <v>5</v>
      </c>
      <c r="D31" s="163" t="s">
        <v>6</v>
      </c>
      <c r="E31" s="163" t="s">
        <v>7</v>
      </c>
      <c r="F31" s="165" t="s">
        <v>8</v>
      </c>
      <c r="G31" s="163" t="s">
        <v>9</v>
      </c>
      <c r="H31" s="163" t="s">
        <v>10</v>
      </c>
      <c r="I31" s="161" t="s">
        <v>46</v>
      </c>
      <c r="J31" s="163" t="s">
        <v>12</v>
      </c>
    </row>
    <row r="32" spans="1:12" s="43" customFormat="1" ht="23.1" customHeight="1" thickBot="1">
      <c r="A32" s="168"/>
      <c r="B32" s="164"/>
      <c r="C32" s="169"/>
      <c r="D32" s="167"/>
      <c r="E32" s="167"/>
      <c r="F32" s="166"/>
      <c r="G32" s="167"/>
      <c r="H32" s="164"/>
      <c r="I32" s="162">
        <v>2018</v>
      </c>
      <c r="J32" s="164"/>
    </row>
    <row r="33" spans="1:10" s="43" customFormat="1" ht="23.1" customHeight="1" thickTop="1">
      <c r="A33" s="94" t="s">
        <v>53</v>
      </c>
      <c r="B33" s="101" t="s">
        <v>52</v>
      </c>
      <c r="C33" s="44" t="s">
        <v>17</v>
      </c>
      <c r="D33" s="15" t="s">
        <v>17</v>
      </c>
      <c r="E33" s="45" t="s">
        <v>17</v>
      </c>
      <c r="F33" s="15" t="s">
        <v>17</v>
      </c>
      <c r="G33" s="45" t="s">
        <v>17</v>
      </c>
      <c r="H33" s="15" t="s">
        <v>17</v>
      </c>
      <c r="I33" s="45" t="s">
        <v>17</v>
      </c>
      <c r="J33" s="46"/>
    </row>
    <row r="34" spans="1:10" s="43" customFormat="1" ht="23.1" customHeight="1">
      <c r="A34" s="170"/>
      <c r="B34" s="172"/>
      <c r="C34" s="47">
        <f>IF(C36&lt;&gt;0,+C36/C38,0%)</f>
        <v>0.98044085687674631</v>
      </c>
      <c r="D34" s="49">
        <f>IF(D36&lt;&gt;0,ROUND(+D36/D38,4),0%)</f>
        <v>1</v>
      </c>
      <c r="E34" s="48">
        <f t="shared" ref="E34" si="4">IF(E36&lt;&gt;0,+E36/E38,0%)</f>
        <v>1</v>
      </c>
      <c r="F34" s="49">
        <f>IF(F36&lt;&gt;0,ROUND(+F36/F38,4),0%)</f>
        <v>1</v>
      </c>
      <c r="G34" s="48">
        <f t="shared" ref="G34" si="5">IF(G36&lt;&gt;0,+G36/G38,0%)</f>
        <v>1</v>
      </c>
      <c r="H34" s="49">
        <f>IF(H36&lt;&gt;0,ROUND(+H36/H38,4),0%)</f>
        <v>0</v>
      </c>
      <c r="I34" s="48">
        <f>IF(I36&lt;&gt;0,+I36/I38,0%)</f>
        <v>1</v>
      </c>
      <c r="J34" s="50"/>
    </row>
    <row r="35" spans="1:10" s="43" customFormat="1" ht="23.1" customHeight="1">
      <c r="A35" s="170"/>
      <c r="B35" s="172"/>
      <c r="C35" s="52"/>
      <c r="D35" s="19" t="s">
        <v>18</v>
      </c>
      <c r="E35" s="53" t="s">
        <v>18</v>
      </c>
      <c r="F35" s="19" t="s">
        <v>18</v>
      </c>
      <c r="G35" s="53" t="s">
        <v>18</v>
      </c>
      <c r="H35" s="19" t="s">
        <v>18</v>
      </c>
      <c r="I35" s="53" t="s">
        <v>18</v>
      </c>
      <c r="J35" s="50"/>
    </row>
    <row r="36" spans="1:10" s="43" customFormat="1" ht="23.1" customHeight="1">
      <c r="A36" s="170"/>
      <c r="B36" s="172"/>
      <c r="C36" s="54">
        <v>3158</v>
      </c>
      <c r="D36" s="55">
        <v>247</v>
      </c>
      <c r="E36" s="21">
        <f>SUM(D36:D36)</f>
        <v>247</v>
      </c>
      <c r="F36" s="55">
        <v>268</v>
      </c>
      <c r="G36" s="21">
        <f>SUM(E36:F36)</f>
        <v>515</v>
      </c>
      <c r="H36" s="55"/>
      <c r="I36" s="21">
        <f>SUM(G36:H36)</f>
        <v>515</v>
      </c>
      <c r="J36" s="56">
        <f>+I34/C34</f>
        <v>1.019949335022166</v>
      </c>
    </row>
    <row r="37" spans="1:10" s="43" customFormat="1" ht="23.1" customHeight="1">
      <c r="A37" s="170"/>
      <c r="B37" s="172"/>
      <c r="C37" s="52" t="s">
        <v>20</v>
      </c>
      <c r="D37" s="23" t="s">
        <v>20</v>
      </c>
      <c r="E37" s="32" t="s">
        <v>20</v>
      </c>
      <c r="F37" s="23" t="s">
        <v>20</v>
      </c>
      <c r="G37" s="32" t="s">
        <v>20</v>
      </c>
      <c r="H37" s="23" t="s">
        <v>20</v>
      </c>
      <c r="I37" s="32" t="s">
        <v>20</v>
      </c>
      <c r="J37" s="50"/>
    </row>
    <row r="38" spans="1:10" s="43" customFormat="1" ht="23.1" customHeight="1" thickBot="1">
      <c r="A38" s="171"/>
      <c r="B38" s="173"/>
      <c r="C38" s="88">
        <v>3221</v>
      </c>
      <c r="D38" s="59">
        <v>247</v>
      </c>
      <c r="E38" s="25">
        <f>SUM(D38:D38)</f>
        <v>247</v>
      </c>
      <c r="F38" s="59">
        <v>268</v>
      </c>
      <c r="G38" s="25">
        <f>SUM(E38:F38)</f>
        <v>515</v>
      </c>
      <c r="H38" s="59"/>
      <c r="I38" s="25">
        <f>SUM(G38:H38)</f>
        <v>515</v>
      </c>
      <c r="J38" s="60"/>
    </row>
    <row r="39" spans="1:10" ht="13.5" thickTop="1"/>
    <row r="43" spans="1:10">
      <c r="D43" s="82"/>
      <c r="F43" s="82"/>
      <c r="H43" s="82"/>
    </row>
  </sheetData>
  <mergeCells count="39">
    <mergeCell ref="A13:A18"/>
    <mergeCell ref="B13:B18"/>
    <mergeCell ref="A1:B5"/>
    <mergeCell ref="C1:C5"/>
    <mergeCell ref="A6:B6"/>
    <mergeCell ref="A11:A12"/>
    <mergeCell ref="B11:B12"/>
    <mergeCell ref="C11:C12"/>
    <mergeCell ref="G11:G12"/>
    <mergeCell ref="H11:H12"/>
    <mergeCell ref="I11:I12"/>
    <mergeCell ref="J11:J12"/>
    <mergeCell ref="C21:C22"/>
    <mergeCell ref="D21:D22"/>
    <mergeCell ref="H21:H22"/>
    <mergeCell ref="I21:I22"/>
    <mergeCell ref="J21:J22"/>
    <mergeCell ref="D11:D12"/>
    <mergeCell ref="E11:E12"/>
    <mergeCell ref="F11:F12"/>
    <mergeCell ref="A23:A28"/>
    <mergeCell ref="B23:B28"/>
    <mergeCell ref="E21:E22"/>
    <mergeCell ref="F21:F22"/>
    <mergeCell ref="G21:G22"/>
    <mergeCell ref="A21:A22"/>
    <mergeCell ref="B21:B22"/>
    <mergeCell ref="I31:I32"/>
    <mergeCell ref="J31:J32"/>
    <mergeCell ref="A33:A38"/>
    <mergeCell ref="B33:B38"/>
    <mergeCell ref="F31:F32"/>
    <mergeCell ref="G31:G32"/>
    <mergeCell ref="H31:H32"/>
    <mergeCell ref="A31:A32"/>
    <mergeCell ref="B31:B32"/>
    <mergeCell ref="C31:C32"/>
    <mergeCell ref="D31:D32"/>
    <mergeCell ref="E31:E32"/>
  </mergeCells>
  <conditionalFormatting sqref="C26:C28">
    <cfRule type="expression" dxfId="3" priority="4">
      <formula>#REF!=0</formula>
    </cfRule>
  </conditionalFormatting>
  <conditionalFormatting sqref="C36:C38">
    <cfRule type="expression" dxfId="2" priority="1">
      <formula>#REF!=0</formula>
    </cfRule>
  </conditionalFormatting>
  <pageMargins left="0.7" right="0.7" top="0.75" bottom="0.75" header="0.3" footer="0.3"/>
  <pageSetup paperSize="28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7BCC-C04C-4B79-B167-C65A2C1F0949}">
  <sheetPr>
    <tabColor rgb="FF92D050"/>
  </sheetPr>
  <dimension ref="A1:M43"/>
  <sheetViews>
    <sheetView topLeftCell="A8" zoomScaleNormal="100" workbookViewId="0">
      <pane xSplit="1" ySplit="5" topLeftCell="B13" activePane="bottomRight" state="frozen"/>
      <selection pane="bottomRight" activeCell="K9" sqref="K9"/>
      <selection pane="bottomLeft" activeCell="A13" sqref="A13"/>
      <selection pane="topRight" activeCell="D8" sqref="D8"/>
    </sheetView>
  </sheetViews>
  <sheetFormatPr defaultColWidth="11.42578125" defaultRowHeight="12.75"/>
  <sheetData>
    <row r="1" spans="1:13" s="9" customFormat="1" ht="12.75" customHeight="1">
      <c r="A1" s="117"/>
      <c r="B1" s="118"/>
      <c r="C1" s="112"/>
      <c r="D1" s="10"/>
      <c r="E1" s="10"/>
      <c r="F1" s="10"/>
      <c r="G1" s="10"/>
      <c r="H1" s="10"/>
      <c r="I1" s="10"/>
      <c r="J1" s="10"/>
    </row>
    <row r="2" spans="1:13" s="9" customFormat="1" ht="12.75" customHeight="1">
      <c r="A2" s="119"/>
      <c r="B2" s="120"/>
      <c r="C2" s="113"/>
      <c r="D2" s="10"/>
      <c r="E2" s="10"/>
      <c r="F2" s="10"/>
      <c r="G2" s="10"/>
      <c r="H2" s="10"/>
      <c r="I2" s="10"/>
      <c r="J2" s="10"/>
    </row>
    <row r="3" spans="1:13" s="9" customFormat="1" ht="15.75" customHeight="1">
      <c r="A3" s="119"/>
      <c r="B3" s="120"/>
      <c r="C3" s="113"/>
      <c r="D3" s="10"/>
      <c r="E3" s="10"/>
      <c r="F3" s="10"/>
      <c r="G3" s="10"/>
      <c r="H3" s="10"/>
      <c r="I3" s="10"/>
      <c r="J3" s="10"/>
    </row>
    <row r="4" spans="1:13" s="9" customFormat="1" ht="12.75" customHeight="1">
      <c r="A4" s="119"/>
      <c r="B4" s="120"/>
      <c r="C4" s="113"/>
      <c r="D4" s="10"/>
      <c r="E4" s="10"/>
      <c r="F4" s="10"/>
      <c r="G4" s="10"/>
      <c r="H4" s="10"/>
      <c r="I4" s="10"/>
      <c r="J4" s="10"/>
    </row>
    <row r="5" spans="1:13" s="9" customFormat="1" ht="20.25" customHeight="1">
      <c r="A5" s="121"/>
      <c r="B5" s="122"/>
      <c r="C5" s="114"/>
      <c r="D5" s="10"/>
      <c r="E5" s="10"/>
      <c r="F5" s="10"/>
      <c r="G5" s="10"/>
      <c r="H5" s="10"/>
      <c r="I5" s="10"/>
      <c r="J5" s="10"/>
    </row>
    <row r="6" spans="1:13" s="3" customFormat="1" ht="15.75" customHeight="1">
      <c r="A6" s="126"/>
      <c r="B6" s="127"/>
      <c r="C6" s="86"/>
      <c r="D6" s="2"/>
      <c r="E6" s="2"/>
      <c r="F6" s="2"/>
      <c r="G6" s="2"/>
      <c r="H6" s="2"/>
      <c r="I6" s="2"/>
      <c r="J6" s="2"/>
    </row>
    <row r="7" spans="1:13" s="9" customFormat="1" ht="16.5" customHeight="1">
      <c r="D7" s="10"/>
      <c r="E7" s="10"/>
      <c r="F7" s="10"/>
      <c r="G7" s="10"/>
      <c r="H7" s="10"/>
      <c r="I7" s="10"/>
      <c r="J7" s="10"/>
    </row>
    <row r="8" spans="1:13" s="9" customFormat="1" ht="15" customHeight="1">
      <c r="A8" s="7"/>
      <c r="B8" s="8"/>
      <c r="D8" s="10"/>
      <c r="E8" s="10"/>
      <c r="F8" s="12"/>
      <c r="G8" s="10"/>
      <c r="H8" s="10"/>
      <c r="I8" s="10"/>
      <c r="J8" s="10"/>
    </row>
    <row r="9" spans="1:13" s="9" customFormat="1" ht="16.5" customHeight="1">
      <c r="A9" s="7"/>
      <c r="B9" s="7"/>
      <c r="D9" s="11"/>
      <c r="E9" s="11"/>
      <c r="F9" s="11"/>
      <c r="G9" s="11"/>
      <c r="H9" s="11"/>
      <c r="I9" s="10"/>
      <c r="J9" s="10"/>
    </row>
    <row r="10" spans="1:13" s="9" customFormat="1" ht="16.5" customHeight="1" thickBot="1">
      <c r="A10" s="7"/>
      <c r="B10" s="7"/>
      <c r="D10" s="11"/>
      <c r="E10" s="11"/>
      <c r="F10" s="11"/>
      <c r="G10" s="11"/>
      <c r="H10" s="11"/>
      <c r="I10" s="10"/>
      <c r="J10" s="10"/>
    </row>
    <row r="11" spans="1:13" s="43" customFormat="1" ht="23.1" customHeight="1" thickTop="1">
      <c r="A11" s="165" t="s">
        <v>2</v>
      </c>
      <c r="B11" s="163" t="s">
        <v>3</v>
      </c>
      <c r="C11" s="163" t="s">
        <v>5</v>
      </c>
      <c r="D11" s="163" t="s">
        <v>6</v>
      </c>
      <c r="E11" s="163" t="s">
        <v>7</v>
      </c>
      <c r="F11" s="165" t="s">
        <v>8</v>
      </c>
      <c r="G11" s="163" t="s">
        <v>9</v>
      </c>
      <c r="H11" s="163" t="s">
        <v>10</v>
      </c>
      <c r="I11" s="161" t="s">
        <v>46</v>
      </c>
      <c r="J11" s="163" t="s">
        <v>12</v>
      </c>
      <c r="K11" s="161" t="s">
        <v>54</v>
      </c>
    </row>
    <row r="12" spans="1:13" s="43" customFormat="1" ht="23.1" customHeight="1" thickBot="1">
      <c r="A12" s="168"/>
      <c r="B12" s="164"/>
      <c r="C12" s="169"/>
      <c r="D12" s="167"/>
      <c r="E12" s="167"/>
      <c r="F12" s="166"/>
      <c r="G12" s="167"/>
      <c r="H12" s="164"/>
      <c r="I12" s="162">
        <v>2018</v>
      </c>
      <c r="J12" s="164"/>
      <c r="K12" s="162"/>
    </row>
    <row r="13" spans="1:13" s="43" customFormat="1" ht="23.1" customHeight="1" thickTop="1">
      <c r="A13" s="98" t="s">
        <v>55</v>
      </c>
      <c r="B13" s="97" t="s">
        <v>33</v>
      </c>
      <c r="C13" s="44" t="s">
        <v>17</v>
      </c>
      <c r="D13" s="15" t="s">
        <v>17</v>
      </c>
      <c r="E13" s="45" t="s">
        <v>17</v>
      </c>
      <c r="F13" s="15" t="s">
        <v>17</v>
      </c>
      <c r="G13" s="45" t="s">
        <v>17</v>
      </c>
      <c r="H13" s="15" t="s">
        <v>17</v>
      </c>
      <c r="I13" s="45" t="s">
        <v>17</v>
      </c>
      <c r="J13" s="46"/>
      <c r="K13" s="174" t="s">
        <v>56</v>
      </c>
    </row>
    <row r="14" spans="1:13" s="43" customFormat="1" ht="23.1" customHeight="1">
      <c r="A14" s="99"/>
      <c r="B14" s="110"/>
      <c r="C14" s="83">
        <f>IF(C16&lt;&gt;0,+C16/C18,0%)</f>
        <v>28.27008839691009</v>
      </c>
      <c r="D14" s="85">
        <f>IF(D16&lt;&gt;0,ROUND(+D16/D18,4),0%)</f>
        <v>56.436599999999999</v>
      </c>
      <c r="E14" s="84" t="e">
        <f t="shared" ref="E14" si="0">IF(E16&lt;&gt;0,+E16/E18,0%)</f>
        <v>#REF!</v>
      </c>
      <c r="F14" s="85">
        <f>IF(F16&lt;&gt;0,ROUND(+F16/F18,4),0%)</f>
        <v>52.521500000000003</v>
      </c>
      <c r="G14" s="84" t="e">
        <f t="shared" ref="G14" si="1">IF(G16&lt;&gt;0,+G16/G18,0%)</f>
        <v>#REF!</v>
      </c>
      <c r="H14" s="85">
        <f>IF(H16&lt;&gt;0,ROUND(+H16/H18,4),0%)</f>
        <v>47.927799999999998</v>
      </c>
      <c r="I14" s="84" t="e">
        <f>IF(I16&lt;&gt;0,+I16/I18,0%)</f>
        <v>#REF!</v>
      </c>
      <c r="J14" s="50"/>
      <c r="K14" s="175"/>
      <c r="M14" s="51"/>
    </row>
    <row r="15" spans="1:13" s="43" customFormat="1" ht="23.1" customHeight="1">
      <c r="A15" s="99"/>
      <c r="B15" s="110"/>
      <c r="C15" s="52" t="s">
        <v>18</v>
      </c>
      <c r="D15" s="19" t="s">
        <v>18</v>
      </c>
      <c r="E15" s="53" t="s">
        <v>18</v>
      </c>
      <c r="F15" s="19" t="s">
        <v>18</v>
      </c>
      <c r="G15" s="53" t="s">
        <v>18</v>
      </c>
      <c r="H15" s="19" t="s">
        <v>18</v>
      </c>
      <c r="I15" s="53" t="s">
        <v>18</v>
      </c>
      <c r="J15" s="50"/>
      <c r="K15" s="175"/>
    </row>
    <row r="16" spans="1:13" s="43" customFormat="1" ht="23.1" customHeight="1">
      <c r="A16" s="99"/>
      <c r="B16" s="110"/>
      <c r="C16" s="35">
        <v>7099750</v>
      </c>
      <c r="D16" s="55">
        <v>972402</v>
      </c>
      <c r="E16" s="21" t="e">
        <f>+#REF!+D16</f>
        <v>#REF!</v>
      </c>
      <c r="F16" s="55">
        <v>1563091</v>
      </c>
      <c r="G16" s="21" t="e">
        <f>+E16+F16</f>
        <v>#REF!</v>
      </c>
      <c r="H16" s="55">
        <v>1026038</v>
      </c>
      <c r="I16" s="21" t="e">
        <f>+G16+H16</f>
        <v>#REF!</v>
      </c>
      <c r="J16" s="56" t="e">
        <f>I14/C14</f>
        <v>#REF!</v>
      </c>
      <c r="K16" s="175"/>
    </row>
    <row r="17" spans="1:13" s="43" customFormat="1" ht="23.1" customHeight="1">
      <c r="A17" s="99"/>
      <c r="B17" s="110"/>
      <c r="C17" s="23" t="s">
        <v>20</v>
      </c>
      <c r="D17" s="23" t="s">
        <v>20</v>
      </c>
      <c r="E17" s="57" t="s">
        <v>20</v>
      </c>
      <c r="F17" s="23" t="s">
        <v>20</v>
      </c>
      <c r="G17" s="57" t="s">
        <v>20</v>
      </c>
      <c r="H17" s="23" t="s">
        <v>20</v>
      </c>
      <c r="I17" s="57" t="s">
        <v>20</v>
      </c>
      <c r="J17" s="50"/>
      <c r="K17" s="175"/>
    </row>
    <row r="18" spans="1:13" s="43" customFormat="1" ht="23.1" customHeight="1" thickBot="1">
      <c r="A18" s="100"/>
      <c r="B18" s="111"/>
      <c r="C18" s="36">
        <v>251140</v>
      </c>
      <c r="D18" s="59">
        <v>17230</v>
      </c>
      <c r="E18" s="25" t="e">
        <f>+#REF!+D18</f>
        <v>#REF!</v>
      </c>
      <c r="F18" s="59">
        <v>29761</v>
      </c>
      <c r="G18" s="25" t="e">
        <f>+E18+F18</f>
        <v>#REF!</v>
      </c>
      <c r="H18" s="59">
        <v>21408</v>
      </c>
      <c r="I18" s="25" t="e">
        <f>+G18+H18</f>
        <v>#REF!</v>
      </c>
      <c r="J18" s="60"/>
      <c r="K18" s="176"/>
    </row>
    <row r="19" spans="1:13" ht="13.5" thickTop="1"/>
    <row r="20" spans="1:13" s="41" customFormat="1" ht="16.5" thickBot="1">
      <c r="A20" s="41" t="s">
        <v>49</v>
      </c>
      <c r="C20" s="42"/>
      <c r="D20" s="42"/>
      <c r="E20" s="42"/>
      <c r="F20" s="42"/>
      <c r="G20" s="42"/>
      <c r="H20" s="42"/>
      <c r="I20" s="42"/>
      <c r="J20" s="42"/>
      <c r="K20" s="42"/>
    </row>
    <row r="21" spans="1:13" s="43" customFormat="1" ht="23.1" customHeight="1" thickTop="1">
      <c r="A21" s="165" t="s">
        <v>2</v>
      </c>
      <c r="B21" s="163" t="s">
        <v>3</v>
      </c>
      <c r="C21" s="163" t="s">
        <v>5</v>
      </c>
      <c r="D21" s="163" t="s">
        <v>6</v>
      </c>
      <c r="E21" s="163" t="s">
        <v>7</v>
      </c>
      <c r="F21" s="165" t="s">
        <v>8</v>
      </c>
      <c r="G21" s="163" t="s">
        <v>9</v>
      </c>
      <c r="H21" s="163" t="s">
        <v>10</v>
      </c>
      <c r="I21" s="161" t="s">
        <v>57</v>
      </c>
      <c r="J21" s="163" t="s">
        <v>12</v>
      </c>
      <c r="K21" s="161" t="s">
        <v>54</v>
      </c>
    </row>
    <row r="22" spans="1:13" s="43" customFormat="1" ht="23.1" customHeight="1" thickBot="1">
      <c r="A22" s="168"/>
      <c r="B22" s="164"/>
      <c r="C22" s="169"/>
      <c r="D22" s="167"/>
      <c r="E22" s="167"/>
      <c r="F22" s="166"/>
      <c r="G22" s="167"/>
      <c r="H22" s="164"/>
      <c r="I22" s="162">
        <v>2018</v>
      </c>
      <c r="J22" s="164"/>
      <c r="K22" s="162"/>
    </row>
    <row r="23" spans="1:13" s="43" customFormat="1" ht="23.1" customHeight="1" thickTop="1">
      <c r="A23" s="98" t="s">
        <v>58</v>
      </c>
      <c r="B23" s="97" t="s">
        <v>33</v>
      </c>
      <c r="C23" s="44" t="s">
        <v>17</v>
      </c>
      <c r="D23" s="15" t="s">
        <v>17</v>
      </c>
      <c r="E23" s="45" t="s">
        <v>17</v>
      </c>
      <c r="F23" s="15" t="s">
        <v>17</v>
      </c>
      <c r="G23" s="45" t="s">
        <v>17</v>
      </c>
      <c r="H23" s="15" t="s">
        <v>17</v>
      </c>
      <c r="I23" s="45" t="s">
        <v>17</v>
      </c>
      <c r="J23" s="46"/>
      <c r="K23" s="174" t="s">
        <v>56</v>
      </c>
    </row>
    <row r="24" spans="1:13" s="43" customFormat="1" ht="23.1" customHeight="1">
      <c r="A24" s="99"/>
      <c r="B24" s="110"/>
      <c r="C24" s="83">
        <f>IF(C26&lt;&gt;0,+C26/C28,0%)</f>
        <v>25.87024728256829</v>
      </c>
      <c r="D24" s="85">
        <f>IF(D26&lt;&gt;0,ROUND(+D26/D28,4),0%)</f>
        <v>55.521900000000002</v>
      </c>
      <c r="E24" s="84">
        <f t="shared" ref="E24" si="2">IF(E26&lt;&gt;0,+E26/E28,0%)</f>
        <v>55.521854808057775</v>
      </c>
      <c r="F24" s="85">
        <f>IF(F26&lt;&gt;0,ROUND(+F26/F28,4),0%)</f>
        <v>52.930700000000002</v>
      </c>
      <c r="G24" s="84">
        <f t="shared" ref="G24" si="3">IF(G26&lt;&gt;0,+G26/G28,0%)</f>
        <v>53.871435142594294</v>
      </c>
      <c r="H24" s="85">
        <f>IF(H26&lt;&gt;0,ROUND(+H26/H28,4),0%)</f>
        <v>48.718699999999998</v>
      </c>
      <c r="I24" s="84">
        <f>IF(I26&lt;&gt;0,+I26/I28,0%)</f>
        <v>52.278985507246375</v>
      </c>
      <c r="J24" s="50"/>
      <c r="K24" s="175"/>
    </row>
    <row r="25" spans="1:13" s="43" customFormat="1" ht="23.1" customHeight="1">
      <c r="A25" s="99"/>
      <c r="B25" s="110"/>
      <c r="C25" s="52"/>
      <c r="D25" s="19" t="s">
        <v>18</v>
      </c>
      <c r="E25" s="53" t="s">
        <v>18</v>
      </c>
      <c r="F25" s="19" t="s">
        <v>18</v>
      </c>
      <c r="G25" s="53" t="s">
        <v>18</v>
      </c>
      <c r="H25" s="19" t="s">
        <v>18</v>
      </c>
      <c r="I25" s="53" t="s">
        <v>18</v>
      </c>
      <c r="J25" s="50"/>
      <c r="K25" s="175"/>
    </row>
    <row r="26" spans="1:13" s="43" customFormat="1" ht="23.1" customHeight="1">
      <c r="A26" s="99"/>
      <c r="B26" s="110"/>
      <c r="C26" s="54">
        <v>3479600</v>
      </c>
      <c r="D26" s="55">
        <v>438234</v>
      </c>
      <c r="E26" s="21">
        <f>SUM(D26:D26)</f>
        <v>438234</v>
      </c>
      <c r="F26" s="55">
        <v>732931</v>
      </c>
      <c r="G26" s="21">
        <f>SUM(E26:F26)</f>
        <v>1171165</v>
      </c>
      <c r="H26" s="55">
        <v>473741</v>
      </c>
      <c r="I26" s="21">
        <f>SUM(G26:H26)</f>
        <v>1644906</v>
      </c>
      <c r="J26" s="56">
        <f>+I24/C24</f>
        <v>2.0208150674490319</v>
      </c>
      <c r="K26" s="175"/>
    </row>
    <row r="27" spans="1:13" s="43" customFormat="1" ht="23.1" customHeight="1">
      <c r="A27" s="99"/>
      <c r="B27" s="110"/>
      <c r="C27" s="52" t="s">
        <v>20</v>
      </c>
      <c r="D27" s="23" t="s">
        <v>20</v>
      </c>
      <c r="E27" s="32" t="s">
        <v>20</v>
      </c>
      <c r="F27" s="23" t="s">
        <v>20</v>
      </c>
      <c r="G27" s="32" t="s">
        <v>20</v>
      </c>
      <c r="H27" s="23" t="s">
        <v>20</v>
      </c>
      <c r="I27" s="32" t="s">
        <v>20</v>
      </c>
      <c r="J27" s="50"/>
      <c r="K27" s="175"/>
    </row>
    <row r="28" spans="1:13" s="43" customFormat="1" ht="23.1" customHeight="1" thickBot="1">
      <c r="A28" s="100"/>
      <c r="B28" s="111"/>
      <c r="C28" s="87">
        <v>134502</v>
      </c>
      <c r="D28" s="59">
        <v>7893</v>
      </c>
      <c r="E28" s="25">
        <f>SUM(D28:D28)</f>
        <v>7893</v>
      </c>
      <c r="F28" s="59">
        <v>13847</v>
      </c>
      <c r="G28" s="25">
        <f>SUM(E28:F28)</f>
        <v>21740</v>
      </c>
      <c r="H28" s="59">
        <v>9724</v>
      </c>
      <c r="I28" s="25">
        <f>SUM(G28:H28)</f>
        <v>31464</v>
      </c>
      <c r="J28" s="60"/>
      <c r="K28" s="176"/>
      <c r="M28" s="61"/>
    </row>
    <row r="29" spans="1:13" ht="13.5" thickTop="1"/>
    <row r="30" spans="1:13" s="41" customFormat="1" ht="16.5" thickBot="1">
      <c r="A30" s="41" t="s">
        <v>50</v>
      </c>
      <c r="C30" s="42"/>
      <c r="D30" s="42"/>
      <c r="E30" s="42"/>
      <c r="F30" s="42"/>
      <c r="G30" s="42"/>
      <c r="H30" s="42"/>
      <c r="I30" s="42"/>
      <c r="J30" s="42"/>
      <c r="K30" s="42"/>
    </row>
    <row r="31" spans="1:13" s="43" customFormat="1" ht="23.1" customHeight="1" thickTop="1">
      <c r="A31" s="165" t="s">
        <v>2</v>
      </c>
      <c r="B31" s="163" t="s">
        <v>3</v>
      </c>
      <c r="C31" s="163" t="s">
        <v>5</v>
      </c>
      <c r="D31" s="163" t="s">
        <v>6</v>
      </c>
      <c r="E31" s="163" t="s">
        <v>7</v>
      </c>
      <c r="F31" s="165" t="s">
        <v>8</v>
      </c>
      <c r="G31" s="163" t="s">
        <v>9</v>
      </c>
      <c r="H31" s="163" t="s">
        <v>10</v>
      </c>
      <c r="I31" s="161" t="s">
        <v>46</v>
      </c>
      <c r="J31" s="163" t="s">
        <v>12</v>
      </c>
      <c r="K31" s="161" t="s">
        <v>54</v>
      </c>
    </row>
    <row r="32" spans="1:13" s="43" customFormat="1" ht="23.1" customHeight="1" thickBot="1">
      <c r="A32" s="168"/>
      <c r="B32" s="164"/>
      <c r="C32" s="169"/>
      <c r="D32" s="167"/>
      <c r="E32" s="167"/>
      <c r="F32" s="166"/>
      <c r="G32" s="167"/>
      <c r="H32" s="164"/>
      <c r="I32" s="162">
        <v>2018</v>
      </c>
      <c r="J32" s="164"/>
      <c r="K32" s="162"/>
    </row>
    <row r="33" spans="1:11" s="43" customFormat="1" ht="23.1" customHeight="1" thickTop="1">
      <c r="A33" s="98" t="s">
        <v>58</v>
      </c>
      <c r="B33" s="97" t="s">
        <v>33</v>
      </c>
      <c r="C33" s="44" t="s">
        <v>17</v>
      </c>
      <c r="D33" s="15" t="s">
        <v>17</v>
      </c>
      <c r="E33" s="45" t="s">
        <v>17</v>
      </c>
      <c r="F33" s="15" t="s">
        <v>17</v>
      </c>
      <c r="G33" s="45" t="s">
        <v>17</v>
      </c>
      <c r="H33" s="15" t="s">
        <v>17</v>
      </c>
      <c r="I33" s="45" t="s">
        <v>17</v>
      </c>
      <c r="J33" s="46"/>
      <c r="K33" s="174" t="s">
        <v>56</v>
      </c>
    </row>
    <row r="34" spans="1:11" s="43" customFormat="1" ht="23.1" customHeight="1">
      <c r="A34" s="99"/>
      <c r="B34" s="110"/>
      <c r="C34" s="83">
        <f>IF(C36&lt;&gt;0,+C36/C38,0%)</f>
        <v>31.037483495944716</v>
      </c>
      <c r="D34" s="85">
        <f>IF(D36&lt;&gt;0,ROUND(+D36/D38,4),0%)</f>
        <v>57.209800000000001</v>
      </c>
      <c r="E34" s="84">
        <f t="shared" ref="E34" si="4">IF(E36&lt;&gt;0,+E36/E38,0%)</f>
        <v>57.209810431616148</v>
      </c>
      <c r="F34" s="85">
        <f>IF(F36&lt;&gt;0,ROUND(+F36/F38,4),0%)</f>
        <v>52.165399999999998</v>
      </c>
      <c r="G34" s="84">
        <f t="shared" ref="G34" si="5">IF(G36&lt;&gt;0,+G36/G38,0%)</f>
        <v>54.030652251395985</v>
      </c>
      <c r="H34" s="85">
        <f>IF(H36&lt;&gt;0,ROUND(+H36/H38,4),0%)</f>
        <v>47.269500000000001</v>
      </c>
      <c r="I34" s="84">
        <f>IF(I36&lt;&gt;0,+I36/I38,0%)</f>
        <v>51.891837010965212</v>
      </c>
      <c r="J34" s="50"/>
      <c r="K34" s="175"/>
    </row>
    <row r="35" spans="1:11" s="43" customFormat="1" ht="23.1" customHeight="1">
      <c r="A35" s="99"/>
      <c r="B35" s="110"/>
      <c r="C35" s="52"/>
      <c r="D35" s="19" t="s">
        <v>18</v>
      </c>
      <c r="E35" s="53" t="s">
        <v>18</v>
      </c>
      <c r="F35" s="19" t="s">
        <v>18</v>
      </c>
      <c r="G35" s="53" t="s">
        <v>18</v>
      </c>
      <c r="H35" s="19" t="s">
        <v>18</v>
      </c>
      <c r="I35" s="53" t="s">
        <v>18</v>
      </c>
      <c r="J35" s="50"/>
      <c r="K35" s="175"/>
    </row>
    <row r="36" spans="1:11" s="43" customFormat="1" ht="23.1" customHeight="1">
      <c r="A36" s="99"/>
      <c r="B36" s="110"/>
      <c r="C36" s="54">
        <v>3620150</v>
      </c>
      <c r="D36" s="55">
        <v>534168</v>
      </c>
      <c r="E36" s="21">
        <f>SUM(D36:D36)</f>
        <v>534168</v>
      </c>
      <c r="F36" s="55">
        <v>830160</v>
      </c>
      <c r="G36" s="21">
        <f>SUM(E36:F36)</f>
        <v>1364328</v>
      </c>
      <c r="H36" s="55">
        <v>552297</v>
      </c>
      <c r="I36" s="21">
        <f>SUM(G36:H36)</f>
        <v>1916625</v>
      </c>
      <c r="J36" s="56">
        <f>+I34/C34</f>
        <v>1.6719086461292931</v>
      </c>
      <c r="K36" s="175"/>
    </row>
    <row r="37" spans="1:11" s="43" customFormat="1" ht="23.1" customHeight="1">
      <c r="A37" s="99"/>
      <c r="B37" s="110"/>
      <c r="C37" s="52" t="s">
        <v>20</v>
      </c>
      <c r="D37" s="23" t="s">
        <v>20</v>
      </c>
      <c r="E37" s="32" t="s">
        <v>20</v>
      </c>
      <c r="F37" s="23" t="s">
        <v>20</v>
      </c>
      <c r="G37" s="32" t="s">
        <v>20</v>
      </c>
      <c r="H37" s="23" t="s">
        <v>20</v>
      </c>
      <c r="I37" s="32" t="s">
        <v>20</v>
      </c>
      <c r="J37" s="50"/>
      <c r="K37" s="175"/>
    </row>
    <row r="38" spans="1:11" s="43" customFormat="1" ht="23.1" customHeight="1" thickBot="1">
      <c r="A38" s="100"/>
      <c r="B38" s="111"/>
      <c r="C38" s="87">
        <v>116638</v>
      </c>
      <c r="D38" s="59">
        <v>9337</v>
      </c>
      <c r="E38" s="25">
        <f>SUM(D38:D38)</f>
        <v>9337</v>
      </c>
      <c r="F38" s="59">
        <v>15914</v>
      </c>
      <c r="G38" s="25">
        <f>SUM(E38:F38)</f>
        <v>25251</v>
      </c>
      <c r="H38" s="59">
        <v>11684</v>
      </c>
      <c r="I38" s="25">
        <f>SUM(G38:H38)</f>
        <v>36935</v>
      </c>
      <c r="J38" s="60"/>
      <c r="K38" s="176"/>
    </row>
    <row r="39" spans="1:11" ht="13.5" thickTop="1"/>
    <row r="42" spans="1:11">
      <c r="C42" s="82"/>
      <c r="D42" s="82"/>
      <c r="E42" s="82"/>
      <c r="F42" s="82"/>
      <c r="G42" s="82"/>
      <c r="H42" s="82"/>
      <c r="I42" s="82"/>
    </row>
    <row r="43" spans="1:11">
      <c r="C43" s="82"/>
      <c r="D43" s="82"/>
      <c r="E43" s="82"/>
      <c r="F43" s="82"/>
      <c r="G43" s="82"/>
      <c r="H43" s="82"/>
      <c r="I43" s="82"/>
    </row>
  </sheetData>
  <mergeCells count="45">
    <mergeCell ref="B13:B18"/>
    <mergeCell ref="A13:A18"/>
    <mergeCell ref="A1:B5"/>
    <mergeCell ref="C1:C5"/>
    <mergeCell ref="A6:B6"/>
    <mergeCell ref="A11:A12"/>
    <mergeCell ref="B11:B12"/>
    <mergeCell ref="C11:C12"/>
    <mergeCell ref="D11:D12"/>
    <mergeCell ref="E11:E12"/>
    <mergeCell ref="F11:F12"/>
    <mergeCell ref="K13:K18"/>
    <mergeCell ref="K11:K12"/>
    <mergeCell ref="G11:G12"/>
    <mergeCell ref="H11:H12"/>
    <mergeCell ref="I11:I12"/>
    <mergeCell ref="J11:J12"/>
    <mergeCell ref="K23:K28"/>
    <mergeCell ref="K21:K22"/>
    <mergeCell ref="E21:E22"/>
    <mergeCell ref="F21:F22"/>
    <mergeCell ref="G21:G22"/>
    <mergeCell ref="H21:H22"/>
    <mergeCell ref="I21:I22"/>
    <mergeCell ref="J21:J22"/>
    <mergeCell ref="B23:B28"/>
    <mergeCell ref="A23:A28"/>
    <mergeCell ref="C31:C32"/>
    <mergeCell ref="C21:C22"/>
    <mergeCell ref="D21:D22"/>
    <mergeCell ref="B21:B22"/>
    <mergeCell ref="A21:A22"/>
    <mergeCell ref="D31:D32"/>
    <mergeCell ref="E31:E32"/>
    <mergeCell ref="K33:K38"/>
    <mergeCell ref="K31:K32"/>
    <mergeCell ref="A33:A38"/>
    <mergeCell ref="B33:B38"/>
    <mergeCell ref="F31:F32"/>
    <mergeCell ref="G31:G32"/>
    <mergeCell ref="H31:H32"/>
    <mergeCell ref="I31:I32"/>
    <mergeCell ref="J31:J32"/>
    <mergeCell ref="A31:A32"/>
    <mergeCell ref="B31:B32"/>
  </mergeCells>
  <conditionalFormatting sqref="C26:C28">
    <cfRule type="expression" dxfId="1" priority="4">
      <formula>#REF!=0</formula>
    </cfRule>
  </conditionalFormatting>
  <conditionalFormatting sqref="C36:C38">
    <cfRule type="expression" dxfId="0" priority="1">
      <formula>#REF!=0</formula>
    </cfRule>
  </conditionalFormatting>
  <pageMargins left="0.7" right="0.7" top="0.75" bottom="0.75" header="0.3" footer="0.3"/>
  <pageSetup paperSize="281" orientation="portrait" r:id="rId1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2026-01-15T15:11:29Z</dcterms:modified>
  <cp:category/>
  <cp:contentStatus/>
</cp:coreProperties>
</file>