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l Libertador Bernando O'Higgins/"/>
    </mc:Choice>
  </mc:AlternateContent>
  <xr:revisionPtr revIDLastSave="108" documentId="13_ncr:1_{8ECC4AF6-E63D-44F4-A778-B3F0E4006824}" xr6:coauthVersionLast="47" xr6:coauthVersionMax="47" xr10:uidLastSave="{8EDE8C46-B782-4B71-B0F3-1824AFEF74F4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7" l="1"/>
  <c r="I24" i="7" s="1"/>
  <c r="G22" i="7"/>
  <c r="I22" i="7" s="1"/>
  <c r="G18" i="7"/>
  <c r="I18" i="7" s="1"/>
  <c r="K18" i="7" s="1"/>
  <c r="J14" i="7"/>
  <c r="H14" i="7"/>
  <c r="F14" i="7"/>
  <c r="E14" i="7"/>
  <c r="J44" i="7" l="1"/>
  <c r="H44" i="7"/>
  <c r="F44" i="7"/>
  <c r="E44" i="7"/>
  <c r="E38" i="7" l="1"/>
  <c r="E32" i="7"/>
  <c r="E26" i="7"/>
  <c r="E20" i="7"/>
  <c r="K24" i="7" l="1"/>
  <c r="K22" i="7"/>
  <c r="J38" i="7" l="1"/>
  <c r="H38" i="7"/>
  <c r="F38" i="7"/>
  <c r="J32" i="7"/>
  <c r="H32" i="7"/>
  <c r="J26" i="7"/>
  <c r="H26" i="7"/>
  <c r="F26" i="7"/>
  <c r="J20" i="7"/>
  <c r="H20" i="7"/>
  <c r="F20" i="7"/>
  <c r="G16" i="7" l="1"/>
  <c r="G14" i="7" l="1"/>
  <c r="I16" i="7"/>
  <c r="G46" i="7"/>
  <c r="I14" i="7" l="1"/>
  <c r="K16" i="7"/>
  <c r="K14" i="7" s="1"/>
  <c r="L16" i="7" s="1"/>
  <c r="G44" i="7"/>
  <c r="I46" i="7"/>
  <c r="K46" i="7" l="1"/>
  <c r="K44" i="7" s="1"/>
  <c r="L46" i="7" s="1"/>
  <c r="I44" i="7"/>
  <c r="G28" i="7"/>
  <c r="G34" i="7"/>
  <c r="I34" i="7" l="1"/>
  <c r="G32" i="7"/>
  <c r="G40" i="7"/>
  <c r="G26" i="7"/>
  <c r="I28" i="7"/>
  <c r="K28" i="7" l="1"/>
  <c r="K26" i="7" s="1"/>
  <c r="L28" i="7" s="1"/>
  <c r="I26" i="7"/>
  <c r="G20" i="7"/>
  <c r="I40" i="7"/>
  <c r="G38" i="7"/>
  <c r="K34" i="7"/>
  <c r="K32" i="7" s="1"/>
  <c r="L34" i="7" s="1"/>
  <c r="I32" i="7"/>
  <c r="I38" i="7" l="1"/>
  <c r="K40" i="7"/>
  <c r="K38" i="7" s="1"/>
  <c r="L40" i="7" s="1"/>
  <c r="I20" i="7"/>
  <c r="K20" i="7"/>
  <c r="L22" i="7" s="1"/>
</calcChain>
</file>

<file path=xl/sharedStrings.xml><?xml version="1.0" encoding="utf-8"?>
<sst xmlns="http://schemas.openxmlformats.org/spreadsheetml/2006/main" count="179" uniqueCount="56">
  <si>
    <t>PLANTILLA SIG COMPROMISOS INSTITUCIONALES DIRECCIÓN REGIONAL  O´HIGGINS</t>
  </si>
  <si>
    <t>DEPARTAMENTO DE PLANIFICACION  Y DESARROLLO</t>
  </si>
  <si>
    <t>SUBDEPARTAMENTO GESTIÓN DE INDICADORES</t>
  </si>
  <si>
    <t>INSTITUCIONALES</t>
  </si>
  <si>
    <t>Fecha: 21-01-2019</t>
  </si>
  <si>
    <t>Elaborado por: Analista de Gestión</t>
  </si>
  <si>
    <t>D</t>
  </si>
  <si>
    <t>Aprobado por: Jefa Departamento Compromisos Institucionales</t>
  </si>
  <si>
    <t>CONVENIO DE DESEMPEÑO COLECTIVO - AÑO 2025</t>
  </si>
  <si>
    <t>DIRECCIÓN REGIONAL - REGIÓN DEL LIBERTADOR BERNARDO O´HIGGINS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</si>
  <si>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</si>
  <si>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</si>
  <si>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</si>
  <si>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</si>
  <si>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</si>
  <si>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</si>
  <si>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</si>
  <si>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</si>
  <si>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</si>
  <si>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</si>
  <si>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</si>
  <si>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</si>
  <si>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</si>
  <si>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</si>
  <si>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</si>
  <si>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</si>
  <si>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</si>
  <si>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</si>
  <si>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</si>
  <si>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</si>
  <si>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1.3.1.4.6</t>
  </si>
  <si>
    <r>
      <t xml:space="preserve">Calidad/Producto
</t>
    </r>
    <r>
      <rPr>
        <sz val="8"/>
        <color theme="1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</si>
  <si>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</si>
  <si>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</si>
  <si>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</si>
  <si>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1.3.1.51</t>
  </si>
  <si>
    <r>
      <t xml:space="preserve">Calidad/Producto
</t>
    </r>
    <r>
      <rPr>
        <sz val="8"/>
        <color theme="1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</si>
  <si>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</si>
  <si>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</si>
  <si>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</si>
  <si>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1.3.1.52</t>
  </si>
  <si>
    <r>
      <t xml:space="preserve">Calidad/Producto
</t>
    </r>
    <r>
      <rPr>
        <sz val="8"/>
        <color theme="1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</si>
  <si>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</si>
  <si>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</si>
  <si>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>%</t>
  </si>
  <si>
    <t xml:space="preserve"> Número de Municipalidades en convenio)*100</t>
  </si>
  <si>
    <t>1.3.1.53</t>
  </si>
  <si>
    <r>
      <t xml:space="preserve">Calidad/Producto
</t>
    </r>
    <r>
      <rPr>
        <sz val="8"/>
        <color theme="1"/>
        <rFont val="Arial Narrow"/>
        <family val="2"/>
      </rPr>
      <t xml:space="preserve">Porcentaje de sesiones del Consejo de Sociedad Civil Regional desarrolladas en el año t.
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</si>
  <si>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</si>
  <si>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</si>
  <si>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</si>
  <si>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5.1.3.6.3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</si>
  <si>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Libertador Bernardo O¨Higgins)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</si>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</sst>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u/>
      <sz val="8"/>
      <name val="Arial Narrow"/>
      <family val="2"/>
    </font>
    <font>
      <sz val="8"/>
      <color rgb="FFFF0000"/>
      <name val="Arial Narrow"/>
      <family val="2"/>
    </font>
    <font>
      <u/>
      <sz val="8"/>
      <color rgb="FFFF000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3" xfId="0" applyFont="1" applyBorder="1"/>
    <xf numFmtId="164" fontId="5" fillId="0" borderId="0" xfId="13" applyNumberFormat="1" applyFont="1" applyFill="1" applyBorder="1" applyAlignment="1">
      <alignment horizontal="right"/>
    </xf>
    <xf numFmtId="164" fontId="4" fillId="0" borderId="0" xfId="0" applyNumberFormat="1" applyFont="1"/>
    <xf numFmtId="0" fontId="7" fillId="0" borderId="0" xfId="0" applyFont="1"/>
    <xf numFmtId="0" fontId="7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10" fontId="7" fillId="0" borderId="6" xfId="1" applyNumberFormat="1" applyFont="1" applyBorder="1" applyAlignment="1">
      <alignment horizontal="center" vertical="center"/>
    </xf>
    <xf numFmtId="10" fontId="6" fillId="8" borderId="6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vertical="center"/>
    </xf>
    <xf numFmtId="10" fontId="7" fillId="0" borderId="6" xfId="1" applyNumberFormat="1" applyFont="1" applyBorder="1" applyAlignment="1">
      <alignment vertical="center"/>
    </xf>
    <xf numFmtId="10" fontId="7" fillId="0" borderId="8" xfId="1" applyNumberFormat="1" applyFont="1" applyBorder="1" applyAlignment="1">
      <alignment vertical="center"/>
    </xf>
    <xf numFmtId="10" fontId="7" fillId="5" borderId="4" xfId="1" applyNumberFormat="1" applyFont="1" applyFill="1" applyBorder="1" applyAlignment="1">
      <alignment vertical="center"/>
    </xf>
    <xf numFmtId="10" fontId="7" fillId="5" borderId="6" xfId="1" applyNumberFormat="1" applyFont="1" applyFill="1" applyBorder="1" applyAlignment="1">
      <alignment vertical="center"/>
    </xf>
    <xf numFmtId="10" fontId="6" fillId="8" borderId="19" xfId="1" applyNumberFormat="1" applyFont="1" applyFill="1" applyBorder="1" applyAlignment="1" applyProtection="1">
      <alignment horizontal="right" vertical="center"/>
    </xf>
    <xf numFmtId="10" fontId="7" fillId="0" borderId="4" xfId="1" applyNumberFormat="1" applyFont="1" applyBorder="1" applyAlignment="1">
      <alignment horizontal="center" vertical="center"/>
    </xf>
    <xf numFmtId="10" fontId="7" fillId="0" borderId="8" xfId="1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0" fontId="9" fillId="7" borderId="6" xfId="1" applyNumberFormat="1" applyFont="1" applyFill="1" applyBorder="1" applyAlignment="1" applyProtection="1">
      <alignment horizontal="right" vertical="center"/>
    </xf>
    <xf numFmtId="10" fontId="9" fillId="2" borderId="7" xfId="1" applyNumberFormat="1" applyFont="1" applyFill="1" applyBorder="1" applyAlignment="1" applyProtection="1">
      <alignment vertical="center"/>
    </xf>
    <xf numFmtId="10" fontId="9" fillId="2" borderId="6" xfId="1" applyNumberFormat="1" applyFont="1" applyFill="1" applyBorder="1" applyAlignme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10" fontId="9" fillId="3" borderId="6" xfId="1" applyNumberFormat="1" applyFont="1" applyFill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3" fontId="9" fillId="7" borderId="6" xfId="0" applyNumberFormat="1" applyFont="1" applyFill="1" applyBorder="1" applyAlignment="1">
      <alignment horizontal="right" vertical="center" wrapText="1"/>
    </xf>
    <xf numFmtId="3" fontId="9" fillId="7" borderId="8" xfId="0" applyNumberFormat="1" applyFont="1" applyFill="1" applyBorder="1" applyAlignment="1">
      <alignment horizontal="right" vertical="center" wrapText="1"/>
    </xf>
    <xf numFmtId="0" fontId="9" fillId="0" borderId="0" xfId="0" applyFont="1"/>
    <xf numFmtId="9" fontId="7" fillId="0" borderId="4" xfId="1" applyFont="1" applyBorder="1" applyAlignment="1">
      <alignment vertical="center"/>
    </xf>
    <xf numFmtId="0" fontId="7" fillId="0" borderId="0" xfId="0" applyFont="1" applyProtection="1">
      <protection locked="0"/>
    </xf>
    <xf numFmtId="2" fontId="9" fillId="2" borderId="6" xfId="1" applyNumberFormat="1" applyFont="1" applyFill="1" applyBorder="1" applyAlignment="1">
      <alignment vertical="center"/>
    </xf>
    <xf numFmtId="2" fontId="9" fillId="3" borderId="6" xfId="1" applyNumberFormat="1" applyFont="1" applyFill="1" applyBorder="1" applyAlignment="1">
      <alignment vertical="center"/>
    </xf>
    <xf numFmtId="9" fontId="7" fillId="0" borderId="6" xfId="1" applyFont="1" applyBorder="1" applyAlignment="1">
      <alignment vertical="center"/>
    </xf>
    <xf numFmtId="9" fontId="7" fillId="0" borderId="8" xfId="1" applyFont="1" applyBorder="1" applyAlignment="1">
      <alignment vertical="center"/>
    </xf>
    <xf numFmtId="3" fontId="9" fillId="6" borderId="6" xfId="0" applyNumberFormat="1" applyFont="1" applyFill="1" applyBorder="1" applyAlignment="1">
      <alignment horizontal="right" vertical="center" wrapText="1"/>
    </xf>
    <xf numFmtId="9" fontId="9" fillId="0" borderId="4" xfId="1" applyFont="1" applyBorder="1" applyAlignment="1">
      <alignment vertical="center"/>
    </xf>
    <xf numFmtId="0" fontId="12" fillId="0" borderId="0" xfId="0" applyFont="1"/>
    <xf numFmtId="10" fontId="10" fillId="8" borderId="6" xfId="1" applyNumberFormat="1" applyFont="1" applyFill="1" applyBorder="1" applyAlignment="1" applyProtection="1">
      <alignment horizontal="right" vertical="center"/>
    </xf>
    <xf numFmtId="9" fontId="9" fillId="0" borderId="6" xfId="1" applyFont="1" applyBorder="1" applyAlignment="1">
      <alignment vertical="center"/>
    </xf>
    <xf numFmtId="3" fontId="7" fillId="3" borderId="6" xfId="0" applyNumberFormat="1" applyFont="1" applyFill="1" applyBorder="1" applyAlignment="1">
      <alignment horizontal="right" vertical="center" wrapText="1"/>
    </xf>
    <xf numFmtId="3" fontId="7" fillId="2" borderId="6" xfId="0" applyNumberFormat="1" applyFont="1" applyFill="1" applyBorder="1" applyAlignment="1">
      <alignment horizontal="right" vertical="center" wrapText="1"/>
    </xf>
    <xf numFmtId="10" fontId="9" fillId="0" borderId="6" xfId="1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left" vertical="center" wrapText="1"/>
    </xf>
    <xf numFmtId="3" fontId="7" fillId="2" borderId="7" xfId="0" applyNumberFormat="1" applyFont="1" applyFill="1" applyBorder="1" applyAlignment="1">
      <alignment horizontal="left" vertical="center" wrapText="1"/>
    </xf>
    <xf numFmtId="3" fontId="9" fillId="6" borderId="8" xfId="0" applyNumberFormat="1" applyFont="1" applyFill="1" applyBorder="1" applyAlignment="1">
      <alignment horizontal="right" vertical="center" wrapText="1"/>
    </xf>
    <xf numFmtId="3" fontId="7" fillId="3" borderId="8" xfId="0" applyNumberFormat="1" applyFont="1" applyFill="1" applyBorder="1" applyAlignment="1">
      <alignment horizontal="right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9" fontId="9" fillId="0" borderId="8" xfId="1" applyFont="1" applyBorder="1" applyAlignment="1">
      <alignment vertical="center"/>
    </xf>
    <xf numFmtId="3" fontId="9" fillId="3" borderId="6" xfId="6" applyNumberFormat="1" applyFont="1" applyFill="1" applyBorder="1" applyAlignment="1">
      <alignment horizontal="right" vertical="center" wrapText="1"/>
    </xf>
    <xf numFmtId="3" fontId="9" fillId="2" borderId="6" xfId="6" applyNumberFormat="1" applyFont="1" applyFill="1" applyBorder="1" applyAlignment="1">
      <alignment horizontal="right" vertical="center" wrapText="1"/>
    </xf>
    <xf numFmtId="3" fontId="9" fillId="0" borderId="6" xfId="6" applyNumberFormat="1" applyFont="1" applyBorder="1" applyAlignment="1">
      <alignment horizontal="left" vertical="center" wrapText="1"/>
    </xf>
    <xf numFmtId="3" fontId="9" fillId="2" borderId="6" xfId="6" applyNumberFormat="1" applyFont="1" applyFill="1" applyBorder="1" applyAlignment="1">
      <alignment horizontal="left" vertical="center" wrapText="1"/>
    </xf>
    <xf numFmtId="3" fontId="9" fillId="3" borderId="8" xfId="6" applyNumberFormat="1" applyFont="1" applyFill="1" applyBorder="1" applyAlignment="1">
      <alignment horizontal="right" vertical="center" wrapText="1"/>
    </xf>
    <xf numFmtId="3" fontId="9" fillId="2" borderId="9" xfId="6" applyNumberFormat="1" applyFont="1" applyFill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13" fillId="0" borderId="0" xfId="0" applyFont="1"/>
    <xf numFmtId="0" fontId="7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9" fontId="7" fillId="9" borderId="4" xfId="0" applyNumberFormat="1" applyFont="1" applyFill="1" applyBorder="1" applyAlignment="1">
      <alignment horizontal="left" vertical="center" wrapText="1"/>
    </xf>
    <xf numFmtId="9" fontId="7" fillId="9" borderId="6" xfId="0" applyNumberFormat="1" applyFont="1" applyFill="1" applyBorder="1" applyAlignment="1">
      <alignment horizontal="left" vertical="center" wrapText="1"/>
    </xf>
    <xf numFmtId="9" fontId="7" fillId="9" borderId="8" xfId="0" applyNumberFormat="1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8" fillId="9" borderId="6" xfId="0" applyFont="1" applyFill="1" applyBorder="1" applyAlignment="1">
      <alignment horizontal="left" vertical="center" wrapText="1"/>
    </xf>
    <xf numFmtId="0" fontId="8" fillId="9" borderId="8" xfId="0" applyFont="1" applyFill="1" applyBorder="1" applyAlignment="1">
      <alignment horizontal="left" vertical="center" wrapText="1"/>
    </xf>
    <xf numFmtId="9" fontId="5" fillId="0" borderId="0" xfId="1" applyFont="1" applyFill="1" applyBorder="1" applyAlignment="1">
      <alignment horizontal="center" vertical="center"/>
    </xf>
    <xf numFmtId="1" fontId="9" fillId="4" borderId="4" xfId="0" applyNumberFormat="1" applyFont="1" applyFill="1" applyBorder="1" applyAlignment="1">
      <alignment horizontal="left" vertical="center" wrapText="1"/>
    </xf>
    <xf numFmtId="1" fontId="9" fillId="4" borderId="6" xfId="0" applyNumberFormat="1" applyFont="1" applyFill="1" applyBorder="1" applyAlignment="1">
      <alignment horizontal="left" vertical="center" wrapText="1"/>
    </xf>
    <xf numFmtId="1" fontId="9" fillId="4" borderId="8" xfId="0" applyNumberFormat="1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10" fillId="2" borderId="4" xfId="6" applyFont="1" applyFill="1" applyBorder="1" applyAlignment="1">
      <alignment horizontal="center" vertical="center" wrapText="1"/>
    </xf>
    <xf numFmtId="0" fontId="10" fillId="2" borderId="8" xfId="6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0" fontId="7" fillId="5" borderId="6" xfId="1" applyNumberFormat="1" applyFont="1" applyFill="1" applyBorder="1" applyAlignment="1">
      <alignment horizontal="center" vertical="center"/>
    </xf>
    <xf numFmtId="10" fontId="7" fillId="5" borderId="8" xfId="1" applyNumberFormat="1" applyFont="1" applyFill="1" applyBorder="1" applyAlignment="1">
      <alignment horizontal="center" vertical="center"/>
    </xf>
    <xf numFmtId="9" fontId="7" fillId="4" borderId="6" xfId="0" applyNumberFormat="1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wrapText="1"/>
    </xf>
    <xf numFmtId="0" fontId="7" fillId="4" borderId="8" xfId="0" applyFont="1" applyFill="1" applyBorder="1" applyAlignment="1">
      <alignment wrapText="1"/>
    </xf>
    <xf numFmtId="9" fontId="7" fillId="4" borderId="4" xfId="0" applyNumberFormat="1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0" fillId="2" borderId="9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top" wrapText="1"/>
    </xf>
    <xf numFmtId="0" fontId="9" fillId="4" borderId="6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7" fillId="4" borderId="6" xfId="0" applyFont="1" applyFill="1" applyBorder="1" applyAlignment="1"/>
    <xf numFmtId="0" fontId="7" fillId="4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showGridLines="0" tabSelected="1" topLeftCell="A8" zoomScale="90" zoomScaleNormal="90" workbookViewId="0">
      <pane xSplit="2" ySplit="5" topLeftCell="C33" activePane="bottomRight" state="frozen"/>
      <selection pane="bottomRight" activeCell="N47" sqref="N47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2"/>
    <col min="2" max="3" width="30.7109375" style="2" customWidth="1"/>
    <col min="4" max="4" width="26.85546875" style="2" customWidth="1"/>
    <col min="5" max="5" width="13.42578125" style="2" customWidth="1"/>
    <col min="6" max="11" width="11.42578125" style="2"/>
    <col min="12" max="12" width="13" style="2" customWidth="1"/>
    <col min="13" max="16384" width="11.42578125" style="2"/>
  </cols>
  <sheetData>
    <row r="1" spans="1:12" s="1" customFormat="1" ht="15.75" customHeight="1">
      <c r="B1" s="123"/>
      <c r="C1" s="102" t="s">
        <v>0</v>
      </c>
      <c r="D1" s="103"/>
      <c r="E1" s="68" t="s">
        <v>1</v>
      </c>
    </row>
    <row r="2" spans="1:12" s="1" customFormat="1" ht="15.75" customHeight="1">
      <c r="B2" s="124"/>
      <c r="C2" s="104"/>
      <c r="D2" s="105"/>
      <c r="E2" s="69" t="s">
        <v>2</v>
      </c>
    </row>
    <row r="3" spans="1:12" s="1" customFormat="1" ht="15.75" customHeight="1">
      <c r="B3" s="124"/>
      <c r="C3" s="104"/>
      <c r="D3" s="105"/>
      <c r="E3" s="69" t="s">
        <v>3</v>
      </c>
    </row>
    <row r="4" spans="1:12" s="1" customFormat="1" ht="12.75" customHeight="1">
      <c r="B4" s="124"/>
      <c r="C4" s="104"/>
      <c r="D4" s="105"/>
      <c r="E4" s="71"/>
    </row>
    <row r="5" spans="1:12" s="1" customFormat="1" ht="13.5" customHeight="1">
      <c r="B5" s="125"/>
      <c r="C5" s="106"/>
      <c r="D5" s="107"/>
      <c r="E5" s="72" t="s">
        <v>4</v>
      </c>
    </row>
    <row r="6" spans="1:12" ht="13.5" customHeight="1">
      <c r="B6" s="3" t="s">
        <v>5</v>
      </c>
      <c r="C6" s="108" t="s">
        <v>6</v>
      </c>
      <c r="D6" s="109"/>
      <c r="E6" s="70" t="s">
        <v>7</v>
      </c>
    </row>
    <row r="7" spans="1:12" s="1" customFormat="1" ht="15.6">
      <c r="E7" s="2"/>
      <c r="F7" s="2"/>
      <c r="G7" s="2"/>
      <c r="H7" s="2"/>
      <c r="I7" s="2"/>
      <c r="J7" s="2"/>
      <c r="K7" s="2"/>
      <c r="L7" s="2"/>
    </row>
    <row r="8" spans="1:12" s="1" customFormat="1" ht="15.6">
      <c r="B8" s="115" t="s">
        <v>8</v>
      </c>
      <c r="C8" s="115"/>
      <c r="D8" s="115"/>
      <c r="E8" s="4"/>
      <c r="F8" s="4"/>
      <c r="G8" s="83"/>
      <c r="H8" s="4"/>
      <c r="I8" s="83"/>
      <c r="J8" s="4"/>
      <c r="K8" s="83"/>
      <c r="L8" s="5"/>
    </row>
    <row r="9" spans="1:12" s="1" customFormat="1" ht="15.6">
      <c r="B9" s="115" t="s">
        <v>9</v>
      </c>
      <c r="C9" s="115"/>
      <c r="D9" s="115"/>
      <c r="E9" s="4"/>
      <c r="F9" s="4"/>
      <c r="G9" s="83"/>
      <c r="H9" s="4"/>
      <c r="I9" s="83"/>
      <c r="J9" s="4"/>
      <c r="K9" s="83"/>
      <c r="L9" s="5"/>
    </row>
    <row r="10" spans="1:12" s="1" customFormat="1" ht="15.95" thickBot="1">
      <c r="D10"/>
      <c r="E10"/>
      <c r="F10" s="2"/>
      <c r="G10" s="2"/>
      <c r="H10" s="2"/>
      <c r="I10" s="2"/>
      <c r="J10" s="2"/>
      <c r="K10" s="2"/>
      <c r="L10" s="2"/>
    </row>
    <row r="11" spans="1:12" s="41" customFormat="1" ht="22.9" customHeight="1" thickTop="1">
      <c r="A11" s="110" t="s">
        <v>10</v>
      </c>
      <c r="B11" s="110" t="s">
        <v>11</v>
      </c>
      <c r="C11" s="87" t="s">
        <v>12</v>
      </c>
      <c r="D11" s="87" t="s">
        <v>13</v>
      </c>
      <c r="E11" s="87" t="s">
        <v>14</v>
      </c>
      <c r="F11" s="87" t="s">
        <v>15</v>
      </c>
      <c r="G11" s="87" t="s">
        <v>16</v>
      </c>
      <c r="H11" s="110" t="s">
        <v>17</v>
      </c>
      <c r="I11" s="87" t="s">
        <v>18</v>
      </c>
      <c r="J11" s="87" t="s">
        <v>19</v>
      </c>
      <c r="K11" s="90" t="s">
        <v>20</v>
      </c>
      <c r="L11" s="87" t="s">
        <v>21</v>
      </c>
    </row>
    <row r="12" spans="1:12" s="41" customFormat="1" ht="22.9" customHeight="1" thickBot="1">
      <c r="A12" s="111"/>
      <c r="B12" s="111"/>
      <c r="C12" s="92"/>
      <c r="D12" s="92"/>
      <c r="E12" s="89"/>
      <c r="F12" s="88"/>
      <c r="G12" s="88"/>
      <c r="H12" s="116"/>
      <c r="I12" s="88"/>
      <c r="J12" s="92"/>
      <c r="K12" s="91">
        <v>2018</v>
      </c>
      <c r="L12" s="92"/>
    </row>
    <row r="13" spans="1:12" s="43" customFormat="1" ht="22.9" customHeight="1" thickTop="1">
      <c r="A13" s="127" t="s">
        <v>22</v>
      </c>
      <c r="B13" s="112" t="s">
        <v>23</v>
      </c>
      <c r="C13" s="101" t="s">
        <v>24</v>
      </c>
      <c r="D13" s="84" t="s">
        <v>25</v>
      </c>
      <c r="E13" s="7" t="s">
        <v>26</v>
      </c>
      <c r="F13" s="29" t="s">
        <v>26</v>
      </c>
      <c r="G13" s="21" t="s">
        <v>26</v>
      </c>
      <c r="H13" s="29" t="s">
        <v>26</v>
      </c>
      <c r="I13" s="21" t="s">
        <v>26</v>
      </c>
      <c r="J13" s="29" t="s">
        <v>26</v>
      </c>
      <c r="K13" s="21" t="s">
        <v>26</v>
      </c>
      <c r="L13" s="42"/>
    </row>
    <row r="14" spans="1:12" s="43" customFormat="1" ht="22.9" customHeight="1">
      <c r="A14" s="128"/>
      <c r="B14" s="113"/>
      <c r="C14" s="133"/>
      <c r="D14" s="85"/>
      <c r="E14" s="10">
        <f>IF(E16&lt;&gt;0,+E16/E18,0%)</f>
        <v>0.85</v>
      </c>
      <c r="F14" s="45">
        <f>IF(F16&lt;&gt;0,ROUND(+F16/F18,4),0%)</f>
        <v>0.94320000000000004</v>
      </c>
      <c r="G14" s="44" t="e">
        <f t="shared" ref="G14:I14" si="0">IF(G16&lt;&gt;0,+G16/G18,0%)</f>
        <v>#REF!</v>
      </c>
      <c r="H14" s="45">
        <f>IF(H16&lt;&gt;0,ROUND(+H16/H18,4),0%)</f>
        <v>0.94479999999999997</v>
      </c>
      <c r="I14" s="44" t="e">
        <f t="shared" si="0"/>
        <v>#REF!</v>
      </c>
      <c r="J14" s="45">
        <f>IF(J16&lt;&gt;0,ROUND(+J16/J18,4),0%)</f>
        <v>0.94520000000000004</v>
      </c>
      <c r="K14" s="44" t="e">
        <f>IF(K16&lt;&gt;0,+K16/K18,0%)</f>
        <v>#REF!</v>
      </c>
      <c r="L14" s="46"/>
    </row>
    <row r="15" spans="1:12" s="43" customFormat="1" ht="22.9" customHeight="1" thickBot="1">
      <c r="A15" s="128"/>
      <c r="B15" s="113"/>
      <c r="C15" s="133"/>
      <c r="D15" s="86"/>
      <c r="E15" s="8" t="s">
        <v>27</v>
      </c>
      <c r="F15" s="32" t="s">
        <v>27</v>
      </c>
      <c r="G15" s="25" t="s">
        <v>27</v>
      </c>
      <c r="H15" s="32" t="s">
        <v>27</v>
      </c>
      <c r="I15" s="25" t="s">
        <v>27</v>
      </c>
      <c r="J15" s="32" t="s">
        <v>27</v>
      </c>
      <c r="K15" s="25" t="s">
        <v>27</v>
      </c>
      <c r="L15" s="46"/>
    </row>
    <row r="16" spans="1:12" s="43" customFormat="1" ht="22.9" customHeight="1" thickTop="1">
      <c r="A16" s="128"/>
      <c r="B16" s="113"/>
      <c r="C16" s="133"/>
      <c r="D16" s="84" t="s">
        <v>28</v>
      </c>
      <c r="E16" s="48">
        <v>25500</v>
      </c>
      <c r="F16" s="39">
        <v>21237</v>
      </c>
      <c r="G16" s="26" t="e">
        <f>+#REF!+F16</f>
        <v>#REF!</v>
      </c>
      <c r="H16" s="39">
        <v>23177</v>
      </c>
      <c r="I16" s="26" t="e">
        <f>+G16+H16</f>
        <v>#REF!</v>
      </c>
      <c r="J16" s="39">
        <v>24830</v>
      </c>
      <c r="K16" s="26" t="e">
        <f>+I16+J16</f>
        <v>#REF!</v>
      </c>
      <c r="L16" s="9" t="e">
        <f>+K14/E14</f>
        <v>#REF!</v>
      </c>
    </row>
    <row r="17" spans="1:12" s="43" customFormat="1" ht="22.9" customHeight="1">
      <c r="A17" s="128"/>
      <c r="B17" s="113"/>
      <c r="C17" s="133"/>
      <c r="D17" s="85"/>
      <c r="E17" s="35" t="s">
        <v>29</v>
      </c>
      <c r="F17" s="35" t="s">
        <v>29</v>
      </c>
      <c r="G17" s="36" t="s">
        <v>29</v>
      </c>
      <c r="H17" s="35" t="s">
        <v>29</v>
      </c>
      <c r="I17" s="36" t="s">
        <v>29</v>
      </c>
      <c r="J17" s="35" t="s">
        <v>29</v>
      </c>
      <c r="K17" s="27" t="s">
        <v>29</v>
      </c>
      <c r="L17" s="46"/>
    </row>
    <row r="18" spans="1:12" s="43" customFormat="1" ht="22.9" customHeight="1" thickBot="1">
      <c r="A18" s="129"/>
      <c r="B18" s="114"/>
      <c r="C18" s="134"/>
      <c r="D18" s="86"/>
      <c r="E18" s="48">
        <v>30000</v>
      </c>
      <c r="F18" s="40">
        <v>22517</v>
      </c>
      <c r="G18" s="38" t="e">
        <f>+#REF!+F18</f>
        <v>#REF!</v>
      </c>
      <c r="H18" s="40">
        <v>24531</v>
      </c>
      <c r="I18" s="38" t="e">
        <f>+G18+H18</f>
        <v>#REF!</v>
      </c>
      <c r="J18" s="40">
        <v>26269</v>
      </c>
      <c r="K18" s="38" t="e">
        <f>+I18+J18</f>
        <v>#REF!</v>
      </c>
      <c r="L18" s="47"/>
    </row>
    <row r="19" spans="1:12" s="6" customFormat="1" ht="22.9" customHeight="1" thickTop="1">
      <c r="A19" s="126" t="s">
        <v>30</v>
      </c>
      <c r="B19" s="126" t="s">
        <v>31</v>
      </c>
      <c r="C19" s="101" t="s">
        <v>32</v>
      </c>
      <c r="D19" s="100" t="s">
        <v>33</v>
      </c>
      <c r="E19" s="7" t="s">
        <v>26</v>
      </c>
      <c r="F19" s="29" t="s">
        <v>26</v>
      </c>
      <c r="G19" s="21" t="s">
        <v>26</v>
      </c>
      <c r="H19" s="29" t="s">
        <v>26</v>
      </c>
      <c r="I19" s="21" t="s">
        <v>26</v>
      </c>
      <c r="J19" s="29" t="s">
        <v>26</v>
      </c>
      <c r="K19" s="21" t="s">
        <v>26</v>
      </c>
      <c r="L19" s="11"/>
    </row>
    <row r="20" spans="1:12" s="6" customFormat="1" ht="22.9" customHeight="1">
      <c r="A20" s="113"/>
      <c r="B20" s="113"/>
      <c r="C20" s="133"/>
      <c r="D20" s="97"/>
      <c r="E20" s="10">
        <f>IF(E22&lt;&gt;0,+E22/E24,0%)</f>
        <v>0.9701403777244112</v>
      </c>
      <c r="F20" s="31">
        <f>IF(F22&lt;&gt;0,ROUND(+F22/F24,4),0%)</f>
        <v>0.97499999999999998</v>
      </c>
      <c r="G20" s="24" t="e">
        <f t="shared" ref="G20" si="1">IF(G22&lt;&gt;0,+G22/G24,0%)</f>
        <v>#REF!</v>
      </c>
      <c r="H20" s="31">
        <f>IF(H22&lt;&gt;0,ROUND(+H22/H24,4),0%)</f>
        <v>0.97629999999999995</v>
      </c>
      <c r="I20" s="24" t="e">
        <f t="shared" ref="I20" si="2">IF(I22&lt;&gt;0,+I22/I24,0%)</f>
        <v>#REF!</v>
      </c>
      <c r="J20" s="31">
        <f>IF(J22&lt;&gt;0,ROUND(+J22/J24,4),0%)</f>
        <v>0.97750000000000004</v>
      </c>
      <c r="K20" s="24" t="e">
        <f>IF(K22&lt;&gt;0,+K22/K24,0%)</f>
        <v>#REF!</v>
      </c>
      <c r="L20" s="12"/>
    </row>
    <row r="21" spans="1:12" s="6" customFormat="1" ht="22.9" customHeight="1" thickBot="1">
      <c r="A21" s="113"/>
      <c r="B21" s="113"/>
      <c r="C21" s="133"/>
      <c r="D21" s="99"/>
      <c r="E21" s="8" t="s">
        <v>27</v>
      </c>
      <c r="F21" s="32" t="s">
        <v>27</v>
      </c>
      <c r="G21" s="25" t="s">
        <v>27</v>
      </c>
      <c r="H21" s="32" t="s">
        <v>27</v>
      </c>
      <c r="I21" s="25" t="s">
        <v>27</v>
      </c>
      <c r="J21" s="32" t="s">
        <v>27</v>
      </c>
      <c r="K21" s="25" t="s">
        <v>27</v>
      </c>
      <c r="L21" s="12"/>
    </row>
    <row r="22" spans="1:12" s="6" customFormat="1" ht="22.9" customHeight="1" thickTop="1">
      <c r="A22" s="113"/>
      <c r="B22" s="113"/>
      <c r="C22" s="133"/>
      <c r="D22" s="97" t="s">
        <v>34</v>
      </c>
      <c r="E22" s="48">
        <v>256119</v>
      </c>
      <c r="F22" s="62">
        <v>171286</v>
      </c>
      <c r="G22" s="63" t="e">
        <f>+#REF!+F22</f>
        <v>#REF!</v>
      </c>
      <c r="H22" s="62">
        <v>185843</v>
      </c>
      <c r="I22" s="63" t="e">
        <f t="shared" ref="I22" si="3">+G22+H22</f>
        <v>#REF!</v>
      </c>
      <c r="J22" s="62">
        <v>201955</v>
      </c>
      <c r="K22" s="26" t="e">
        <f>+I22+J22</f>
        <v>#REF!</v>
      </c>
      <c r="L22" s="9" t="e">
        <f>+K20/E20</f>
        <v>#REF!</v>
      </c>
    </row>
    <row r="23" spans="1:12" s="6" customFormat="1" ht="22.9" customHeight="1">
      <c r="A23" s="113"/>
      <c r="B23" s="113"/>
      <c r="C23" s="133"/>
      <c r="D23" s="98"/>
      <c r="E23" s="35" t="s">
        <v>29</v>
      </c>
      <c r="F23" s="64" t="s">
        <v>29</v>
      </c>
      <c r="G23" s="65" t="s">
        <v>29</v>
      </c>
      <c r="H23" s="64" t="s">
        <v>29</v>
      </c>
      <c r="I23" s="65" t="s">
        <v>29</v>
      </c>
      <c r="J23" s="64" t="s">
        <v>29</v>
      </c>
      <c r="K23" s="36" t="s">
        <v>29</v>
      </c>
      <c r="L23" s="12"/>
    </row>
    <row r="24" spans="1:12" s="6" customFormat="1" ht="22.9" customHeight="1" thickBot="1">
      <c r="A24" s="114"/>
      <c r="B24" s="114"/>
      <c r="C24" s="134"/>
      <c r="D24" s="99"/>
      <c r="E24" s="48">
        <v>264002</v>
      </c>
      <c r="F24" s="66">
        <v>175671</v>
      </c>
      <c r="G24" s="67" t="e">
        <f>+#REF!+F24</f>
        <v>#REF!</v>
      </c>
      <c r="H24" s="66">
        <v>190359</v>
      </c>
      <c r="I24" s="67" t="e">
        <f t="shared" ref="I24" si="4">+G24+H24</f>
        <v>#REF!</v>
      </c>
      <c r="J24" s="66">
        <v>206596</v>
      </c>
      <c r="K24" s="38" t="e">
        <f>+I24+J24</f>
        <v>#REF!</v>
      </c>
      <c r="L24" s="13"/>
    </row>
    <row r="25" spans="1:12" s="6" customFormat="1" ht="22.9" customHeight="1" thickTop="1">
      <c r="A25" s="117" t="s">
        <v>35</v>
      </c>
      <c r="B25" s="80" t="s">
        <v>36</v>
      </c>
      <c r="C25" s="74" t="s">
        <v>37</v>
      </c>
      <c r="D25" s="77" t="s">
        <v>38</v>
      </c>
      <c r="E25" s="7" t="s">
        <v>26</v>
      </c>
      <c r="F25" s="29" t="s">
        <v>26</v>
      </c>
      <c r="G25" s="21" t="s">
        <v>26</v>
      </c>
      <c r="H25" s="29" t="s">
        <v>26</v>
      </c>
      <c r="I25" s="21" t="s">
        <v>26</v>
      </c>
      <c r="J25" s="29" t="s">
        <v>26</v>
      </c>
      <c r="K25" s="21" t="s">
        <v>26</v>
      </c>
      <c r="L25" s="14"/>
    </row>
    <row r="26" spans="1:12" s="6" customFormat="1" ht="22.9" customHeight="1">
      <c r="A26" s="118"/>
      <c r="B26" s="81"/>
      <c r="C26" s="75"/>
      <c r="D26" s="78"/>
      <c r="E26" s="10">
        <f>IF(E28&lt;&gt;0,+E28/E30,0%)</f>
        <v>1</v>
      </c>
      <c r="F26" s="31">
        <f>IF(F28&lt;&gt;0,ROUND(+F28/F30,4),0%)</f>
        <v>0</v>
      </c>
      <c r="G26" s="24" t="e">
        <f t="shared" ref="G26" si="5">IF(G28&lt;&gt;0,+G28/G30,0%)</f>
        <v>#REF!</v>
      </c>
      <c r="H26" s="31">
        <f>IF(H28&lt;&gt;0,ROUND(+H28/H30,4),0%)</f>
        <v>0</v>
      </c>
      <c r="I26" s="24" t="e">
        <f t="shared" ref="I26" si="6">IF(I28&lt;&gt;0,+I28/I30,0%)</f>
        <v>#REF!</v>
      </c>
      <c r="J26" s="31">
        <f>IF(J28&lt;&gt;0,ROUND(+J28/J30,4),0%)</f>
        <v>0</v>
      </c>
      <c r="K26" s="24" t="e">
        <f>IF(K28&lt;&gt;0,+K28/K30,0%)</f>
        <v>#REF!</v>
      </c>
      <c r="L26" s="15"/>
    </row>
    <row r="27" spans="1:12" s="6" customFormat="1" ht="22.9" customHeight="1" thickBot="1">
      <c r="A27" s="118"/>
      <c r="B27" s="81"/>
      <c r="C27" s="75"/>
      <c r="D27" s="79"/>
      <c r="E27" s="8" t="s">
        <v>27</v>
      </c>
      <c r="F27" s="32" t="s">
        <v>27</v>
      </c>
      <c r="G27" s="25" t="s">
        <v>27</v>
      </c>
      <c r="H27" s="32" t="s">
        <v>27</v>
      </c>
      <c r="I27" s="25" t="s">
        <v>27</v>
      </c>
      <c r="J27" s="32" t="s">
        <v>27</v>
      </c>
      <c r="K27" s="25" t="s">
        <v>27</v>
      </c>
      <c r="L27" s="15"/>
    </row>
    <row r="28" spans="1:12" s="6" customFormat="1" ht="22.9" customHeight="1" thickTop="1">
      <c r="A28" s="118"/>
      <c r="B28" s="81"/>
      <c r="C28" s="75"/>
      <c r="D28" s="77" t="s">
        <v>39</v>
      </c>
      <c r="E28" s="48">
        <v>2</v>
      </c>
      <c r="F28" s="34">
        <v>0</v>
      </c>
      <c r="G28" s="26" t="e">
        <f>+#REF!+F28</f>
        <v>#REF!</v>
      </c>
      <c r="H28" s="34">
        <v>0</v>
      </c>
      <c r="I28" s="26" t="e">
        <f>+G28+H28</f>
        <v>#REF!</v>
      </c>
      <c r="J28" s="34">
        <v>0</v>
      </c>
      <c r="K28" s="26" t="e">
        <f>+I28+J28</f>
        <v>#REF!</v>
      </c>
      <c r="L28" s="28" t="e">
        <f>+K26/E26</f>
        <v>#REF!</v>
      </c>
    </row>
    <row r="29" spans="1:12" s="6" customFormat="1" ht="22.9" customHeight="1">
      <c r="A29" s="118"/>
      <c r="B29" s="81"/>
      <c r="C29" s="75"/>
      <c r="D29" s="78"/>
      <c r="E29" s="35" t="s">
        <v>29</v>
      </c>
      <c r="F29" s="35" t="s">
        <v>29</v>
      </c>
      <c r="G29" s="27" t="s">
        <v>29</v>
      </c>
      <c r="H29" s="35" t="s">
        <v>29</v>
      </c>
      <c r="I29" s="27" t="s">
        <v>29</v>
      </c>
      <c r="J29" s="35" t="s">
        <v>29</v>
      </c>
      <c r="K29" s="27" t="s">
        <v>29</v>
      </c>
      <c r="L29" s="95"/>
    </row>
    <row r="30" spans="1:12" s="6" customFormat="1" ht="22.9" customHeight="1" thickBot="1">
      <c r="A30" s="119"/>
      <c r="B30" s="82"/>
      <c r="C30" s="76"/>
      <c r="D30" s="79"/>
      <c r="E30" s="48">
        <v>2</v>
      </c>
      <c r="F30" s="37">
        <v>2</v>
      </c>
      <c r="G30" s="38"/>
      <c r="H30" s="37">
        <v>2</v>
      </c>
      <c r="I30" s="38"/>
      <c r="J30" s="37">
        <v>2</v>
      </c>
      <c r="K30" s="38"/>
      <c r="L30" s="96"/>
    </row>
    <row r="31" spans="1:12" s="6" customFormat="1" ht="22.9" customHeight="1" thickTop="1">
      <c r="A31" s="117" t="s">
        <v>40</v>
      </c>
      <c r="B31" s="80" t="s">
        <v>41</v>
      </c>
      <c r="C31" s="74" t="s">
        <v>42</v>
      </c>
      <c r="D31" s="77" t="s">
        <v>43</v>
      </c>
      <c r="E31" s="19" t="s">
        <v>26</v>
      </c>
      <c r="F31" s="29" t="s">
        <v>26</v>
      </c>
      <c r="G31" s="21" t="s">
        <v>26</v>
      </c>
      <c r="H31" s="29" t="s">
        <v>26</v>
      </c>
      <c r="I31" s="21" t="s">
        <v>26</v>
      </c>
      <c r="J31" s="29" t="s">
        <v>26</v>
      </c>
      <c r="K31" s="21" t="s">
        <v>26</v>
      </c>
      <c r="L31" s="11"/>
    </row>
    <row r="32" spans="1:12" s="6" customFormat="1" ht="22.9" customHeight="1">
      <c r="A32" s="118"/>
      <c r="B32" s="81"/>
      <c r="C32" s="75"/>
      <c r="D32" s="78"/>
      <c r="E32" s="16">
        <f>IF(E34&lt;&gt;0,+E34/E36,0%)</f>
        <v>1</v>
      </c>
      <c r="F32" s="31" t="s">
        <v>44</v>
      </c>
      <c r="G32" s="24" t="e">
        <f t="shared" ref="G32" si="7">IF(G34&lt;&gt;0,+G34/G36,0%)</f>
        <v>#REF!</v>
      </c>
      <c r="H32" s="31">
        <f>IF(H34&lt;&gt;0,ROUND(+H34/H36,4),0%)</f>
        <v>9.0899999999999995E-2</v>
      </c>
      <c r="I32" s="24" t="e">
        <f t="shared" ref="I32" si="8">IF(I34&lt;&gt;0,+I34/I36,0%)</f>
        <v>#REF!</v>
      </c>
      <c r="J32" s="31">
        <f>IF(J34&lt;&gt;0,ROUND(+J34/J36,4),0%)</f>
        <v>0</v>
      </c>
      <c r="K32" s="24" t="e">
        <f>IF(K34&lt;&gt;0,+K34/K36,0%)</f>
        <v>#REF!</v>
      </c>
      <c r="L32" s="12"/>
    </row>
    <row r="33" spans="1:14" s="6" customFormat="1" ht="22.9" customHeight="1" thickBot="1">
      <c r="A33" s="118"/>
      <c r="B33" s="81"/>
      <c r="C33" s="75"/>
      <c r="D33" s="79"/>
      <c r="E33" s="20" t="s">
        <v>27</v>
      </c>
      <c r="F33" s="32" t="s">
        <v>27</v>
      </c>
      <c r="G33" s="25" t="s">
        <v>27</v>
      </c>
      <c r="H33" s="32" t="s">
        <v>27</v>
      </c>
      <c r="I33" s="25" t="s">
        <v>27</v>
      </c>
      <c r="J33" s="32" t="s">
        <v>27</v>
      </c>
      <c r="K33" s="25" t="s">
        <v>27</v>
      </c>
      <c r="L33" s="12"/>
    </row>
    <row r="34" spans="1:14" s="6" customFormat="1" ht="22.9" customHeight="1" thickTop="1">
      <c r="A34" s="118"/>
      <c r="B34" s="81"/>
      <c r="C34" s="75"/>
      <c r="D34" s="77" t="s">
        <v>45</v>
      </c>
      <c r="E34" s="48">
        <v>33</v>
      </c>
      <c r="F34" s="34">
        <v>3</v>
      </c>
      <c r="G34" s="26" t="e">
        <f>+#REF!+F34</f>
        <v>#REF!</v>
      </c>
      <c r="H34" s="34">
        <v>3</v>
      </c>
      <c r="I34" s="26" t="e">
        <f>+G34+H34</f>
        <v>#REF!</v>
      </c>
      <c r="J34" s="34">
        <v>0</v>
      </c>
      <c r="K34" s="26" t="e">
        <f>+I34+J34</f>
        <v>#REF!</v>
      </c>
      <c r="L34" s="9" t="e">
        <f>+K32/E32</f>
        <v>#REF!</v>
      </c>
    </row>
    <row r="35" spans="1:14" s="6" customFormat="1" ht="22.9" customHeight="1">
      <c r="A35" s="118"/>
      <c r="B35" s="81"/>
      <c r="C35" s="75"/>
      <c r="D35" s="78"/>
      <c r="E35" s="35" t="s">
        <v>29</v>
      </c>
      <c r="F35" s="35" t="s">
        <v>29</v>
      </c>
      <c r="G35" s="27" t="s">
        <v>29</v>
      </c>
      <c r="H35" s="35" t="s">
        <v>29</v>
      </c>
      <c r="I35" s="27" t="s">
        <v>29</v>
      </c>
      <c r="J35" s="35" t="s">
        <v>29</v>
      </c>
      <c r="K35" s="27" t="s">
        <v>29</v>
      </c>
      <c r="L35" s="12"/>
    </row>
    <row r="36" spans="1:14" s="6" customFormat="1" ht="22.9" customHeight="1">
      <c r="A36" s="119"/>
      <c r="B36" s="82"/>
      <c r="C36" s="76"/>
      <c r="D36" s="79"/>
      <c r="E36" s="48">
        <v>33</v>
      </c>
      <c r="F36" s="37">
        <v>33</v>
      </c>
      <c r="G36" s="38"/>
      <c r="H36" s="37">
        <v>33</v>
      </c>
      <c r="I36" s="38"/>
      <c r="J36" s="37">
        <v>33</v>
      </c>
      <c r="K36" s="38"/>
      <c r="L36" s="13"/>
    </row>
    <row r="37" spans="1:14" s="6" customFormat="1" ht="22.9" customHeight="1" thickTop="1">
      <c r="A37" s="117" t="s">
        <v>46</v>
      </c>
      <c r="B37" s="80" t="s">
        <v>47</v>
      </c>
      <c r="C37" s="74" t="s">
        <v>48</v>
      </c>
      <c r="D37" s="77" t="s">
        <v>49</v>
      </c>
      <c r="E37" s="19" t="s">
        <v>26</v>
      </c>
      <c r="F37" s="29" t="s">
        <v>26</v>
      </c>
      <c r="G37" s="21" t="s">
        <v>26</v>
      </c>
      <c r="H37" s="29" t="s">
        <v>26</v>
      </c>
      <c r="I37" s="21" t="s">
        <v>26</v>
      </c>
      <c r="J37" s="29" t="s">
        <v>26</v>
      </c>
      <c r="K37" s="21" t="s">
        <v>26</v>
      </c>
      <c r="L37" s="17"/>
    </row>
    <row r="38" spans="1:14" s="6" customFormat="1" ht="22.9" customHeight="1">
      <c r="A38" s="118"/>
      <c r="B38" s="81"/>
      <c r="C38" s="75"/>
      <c r="D38" s="78"/>
      <c r="E38" s="16">
        <f>IF(E40&lt;&gt;0,+E40/E42,0%)</f>
        <v>1</v>
      </c>
      <c r="F38" s="31">
        <f>IF(F40&lt;&gt;0,ROUND(+F40/F42,4),0%)</f>
        <v>0</v>
      </c>
      <c r="G38" s="24" t="e">
        <f t="shared" ref="G38" si="9">IF(G40&lt;&gt;0,+G40/G42,0%)</f>
        <v>#REF!</v>
      </c>
      <c r="H38" s="31">
        <f>IF(H40&lt;&gt;0,ROUND(+H40/H42,4),0%)</f>
        <v>0.2</v>
      </c>
      <c r="I38" s="24" t="e">
        <f t="shared" ref="I38" si="10">IF(I40&lt;&gt;0,+I40/I42,0%)</f>
        <v>#REF!</v>
      </c>
      <c r="J38" s="31">
        <f>IF(J40&lt;&gt;0,ROUND(+J40/J42,4),0%)</f>
        <v>0</v>
      </c>
      <c r="K38" s="24" t="e">
        <f>IF(K40&lt;&gt;0,+K40/K42,0%)</f>
        <v>#REF!</v>
      </c>
      <c r="L38" s="9"/>
    </row>
    <row r="39" spans="1:14" s="6" customFormat="1" ht="22.9" customHeight="1" thickBot="1">
      <c r="A39" s="118"/>
      <c r="B39" s="81"/>
      <c r="C39" s="75"/>
      <c r="D39" s="79"/>
      <c r="E39" s="20" t="s">
        <v>27</v>
      </c>
      <c r="F39" s="32" t="s">
        <v>27</v>
      </c>
      <c r="G39" s="25" t="s">
        <v>27</v>
      </c>
      <c r="H39" s="32" t="s">
        <v>27</v>
      </c>
      <c r="I39" s="25" t="s">
        <v>27</v>
      </c>
      <c r="J39" s="32" t="s">
        <v>27</v>
      </c>
      <c r="K39" s="25" t="s">
        <v>27</v>
      </c>
      <c r="L39" s="9"/>
    </row>
    <row r="40" spans="1:14" s="6" customFormat="1" ht="22.9" customHeight="1" thickTop="1">
      <c r="A40" s="118"/>
      <c r="B40" s="81"/>
      <c r="C40" s="75"/>
      <c r="D40" s="77" t="s">
        <v>50</v>
      </c>
      <c r="E40" s="48">
        <v>5</v>
      </c>
      <c r="F40" s="34">
        <v>0</v>
      </c>
      <c r="G40" s="26" t="e">
        <f>+#REF!+F40</f>
        <v>#REF!</v>
      </c>
      <c r="H40" s="34">
        <v>1</v>
      </c>
      <c r="I40" s="26" t="e">
        <f>+G40+H40</f>
        <v>#REF!</v>
      </c>
      <c r="J40" s="34">
        <v>0</v>
      </c>
      <c r="K40" s="26" t="e">
        <f>+I40+J40</f>
        <v>#REF!</v>
      </c>
      <c r="L40" s="9" t="e">
        <f>+K38/E38</f>
        <v>#REF!</v>
      </c>
    </row>
    <row r="41" spans="1:14" s="6" customFormat="1" ht="22.9" customHeight="1">
      <c r="A41" s="118"/>
      <c r="B41" s="81"/>
      <c r="C41" s="75"/>
      <c r="D41" s="78"/>
      <c r="E41" s="35" t="s">
        <v>29</v>
      </c>
      <c r="F41" s="35" t="s">
        <v>29</v>
      </c>
      <c r="G41" s="27" t="s">
        <v>29</v>
      </c>
      <c r="H41" s="35" t="s">
        <v>29</v>
      </c>
      <c r="I41" s="27" t="s">
        <v>29</v>
      </c>
      <c r="J41" s="35" t="s">
        <v>29</v>
      </c>
      <c r="K41" s="27" t="s">
        <v>29</v>
      </c>
      <c r="L41" s="9"/>
    </row>
    <row r="42" spans="1:14" s="6" customFormat="1" ht="22.9" customHeight="1">
      <c r="A42" s="119"/>
      <c r="B42" s="82"/>
      <c r="C42" s="76"/>
      <c r="D42" s="79"/>
      <c r="E42" s="48">
        <v>5</v>
      </c>
      <c r="F42" s="37">
        <v>5</v>
      </c>
      <c r="G42" s="38"/>
      <c r="H42" s="37">
        <v>5</v>
      </c>
      <c r="I42" s="38"/>
      <c r="J42" s="37">
        <v>5</v>
      </c>
      <c r="K42" s="38"/>
      <c r="L42" s="18"/>
    </row>
    <row r="43" spans="1:14" s="50" customFormat="1" ht="22.9" customHeight="1" thickTop="1">
      <c r="A43" s="120" t="s">
        <v>51</v>
      </c>
      <c r="B43" s="120" t="s">
        <v>52</v>
      </c>
      <c r="C43" s="130" t="s">
        <v>53</v>
      </c>
      <c r="D43" s="84" t="s">
        <v>54</v>
      </c>
      <c r="E43" s="29" t="s">
        <v>26</v>
      </c>
      <c r="F43" s="29" t="s">
        <v>26</v>
      </c>
      <c r="G43" s="30" t="s">
        <v>26</v>
      </c>
      <c r="H43" s="29" t="s">
        <v>26</v>
      </c>
      <c r="I43" s="30" t="s">
        <v>26</v>
      </c>
      <c r="J43" s="29" t="s">
        <v>26</v>
      </c>
      <c r="K43" s="30" t="s">
        <v>26</v>
      </c>
      <c r="L43" s="49"/>
    </row>
    <row r="44" spans="1:14" s="50" customFormat="1" ht="22.9" customHeight="1">
      <c r="A44" s="121"/>
      <c r="B44" s="121"/>
      <c r="C44" s="131"/>
      <c r="D44" s="93"/>
      <c r="E44" s="51">
        <f t="shared" ref="E44:K44" si="11">IF(E46&lt;&gt;0,+E46/E48,0%)</f>
        <v>0.66666666666666663</v>
      </c>
      <c r="F44" s="22">
        <f t="shared" si="11"/>
        <v>0</v>
      </c>
      <c r="G44" s="23" t="e">
        <f t="shared" si="11"/>
        <v>#REF!</v>
      </c>
      <c r="H44" s="22">
        <f t="shared" si="11"/>
        <v>0</v>
      </c>
      <c r="I44" s="23" t="e">
        <f t="shared" si="11"/>
        <v>#REF!</v>
      </c>
      <c r="J44" s="22">
        <f t="shared" si="11"/>
        <v>0</v>
      </c>
      <c r="K44" s="23" t="e">
        <f t="shared" si="11"/>
        <v>#REF!</v>
      </c>
      <c r="L44" s="52"/>
    </row>
    <row r="45" spans="1:14" s="50" customFormat="1" ht="22.9" customHeight="1" thickBot="1">
      <c r="A45" s="121"/>
      <c r="B45" s="121"/>
      <c r="C45" s="131"/>
      <c r="D45" s="94"/>
      <c r="E45" s="32" t="s">
        <v>27</v>
      </c>
      <c r="F45" s="32" t="s">
        <v>27</v>
      </c>
      <c r="G45" s="33" t="s">
        <v>27</v>
      </c>
      <c r="H45" s="32" t="s">
        <v>27</v>
      </c>
      <c r="I45" s="33" t="s">
        <v>27</v>
      </c>
      <c r="J45" s="32" t="s">
        <v>27</v>
      </c>
      <c r="K45" s="33" t="s">
        <v>27</v>
      </c>
      <c r="L45" s="52"/>
    </row>
    <row r="46" spans="1:14" s="50" customFormat="1" ht="22.9" customHeight="1" thickTop="1">
      <c r="A46" s="121"/>
      <c r="B46" s="121"/>
      <c r="C46" s="131"/>
      <c r="D46" s="84" t="s">
        <v>55</v>
      </c>
      <c r="E46" s="48">
        <v>2</v>
      </c>
      <c r="F46" s="53">
        <v>0</v>
      </c>
      <c r="G46" s="54" t="e">
        <f>+#REF!+F46</f>
        <v>#REF!</v>
      </c>
      <c r="H46" s="53">
        <v>0</v>
      </c>
      <c r="I46" s="54" t="e">
        <f t="shared" ref="I46:K46" si="12">+G46+H46</f>
        <v>#REF!</v>
      </c>
      <c r="J46" s="53">
        <v>0</v>
      </c>
      <c r="K46" s="54" t="e">
        <f t="shared" si="12"/>
        <v>#REF!</v>
      </c>
      <c r="L46" s="55" t="e">
        <f>K44/E44</f>
        <v>#REF!</v>
      </c>
      <c r="N46" s="73"/>
    </row>
    <row r="47" spans="1:14" s="50" customFormat="1" ht="22.9" customHeight="1">
      <c r="A47" s="121"/>
      <c r="B47" s="121"/>
      <c r="C47" s="131"/>
      <c r="D47" s="85"/>
      <c r="E47" s="35" t="s">
        <v>29</v>
      </c>
      <c r="F47" s="56" t="s">
        <v>29</v>
      </c>
      <c r="G47" s="57" t="s">
        <v>29</v>
      </c>
      <c r="H47" s="56" t="s">
        <v>29</v>
      </c>
      <c r="I47" s="57" t="s">
        <v>29</v>
      </c>
      <c r="J47" s="56" t="s">
        <v>29</v>
      </c>
      <c r="K47" s="57" t="s">
        <v>29</v>
      </c>
      <c r="L47" s="52"/>
      <c r="N47" s="73"/>
    </row>
    <row r="48" spans="1:14" s="50" customFormat="1" ht="22.9" customHeight="1" thickBot="1">
      <c r="A48" s="122"/>
      <c r="B48" s="122"/>
      <c r="C48" s="132"/>
      <c r="D48" s="86"/>
      <c r="E48" s="58">
        <v>3</v>
      </c>
      <c r="F48" s="59">
        <v>3</v>
      </c>
      <c r="G48" s="60">
        <v>3</v>
      </c>
      <c r="H48" s="59">
        <v>3</v>
      </c>
      <c r="I48" s="60">
        <v>3</v>
      </c>
      <c r="J48" s="59">
        <v>3</v>
      </c>
      <c r="K48" s="60">
        <v>3</v>
      </c>
      <c r="L48" s="61"/>
    </row>
    <row r="49" ht="13.5" thickTop="1"/>
  </sheetData>
  <mergeCells count="51">
    <mergeCell ref="A37:A42"/>
    <mergeCell ref="A43:A48"/>
    <mergeCell ref="C31:C36"/>
    <mergeCell ref="D31:D33"/>
    <mergeCell ref="B1:B5"/>
    <mergeCell ref="B19:B24"/>
    <mergeCell ref="A11:A12"/>
    <mergeCell ref="A13:A18"/>
    <mergeCell ref="A19:A24"/>
    <mergeCell ref="A25:A30"/>
    <mergeCell ref="A31:A36"/>
    <mergeCell ref="B43:B48"/>
    <mergeCell ref="C43:C48"/>
    <mergeCell ref="B37:B42"/>
    <mergeCell ref="C37:C42"/>
    <mergeCell ref="B25:B30"/>
    <mergeCell ref="L11:L12"/>
    <mergeCell ref="C19:C24"/>
    <mergeCell ref="C1:D5"/>
    <mergeCell ref="C6:D6"/>
    <mergeCell ref="B11:B12"/>
    <mergeCell ref="C11:C12"/>
    <mergeCell ref="D11:D12"/>
    <mergeCell ref="B13:B18"/>
    <mergeCell ref="C13:C18"/>
    <mergeCell ref="D13:D15"/>
    <mergeCell ref="B8:D8"/>
    <mergeCell ref="B9:D9"/>
    <mergeCell ref="K8:K9"/>
    <mergeCell ref="I11:I12"/>
    <mergeCell ref="H11:H12"/>
    <mergeCell ref="G8:G9"/>
    <mergeCell ref="L29:L30"/>
    <mergeCell ref="D22:D24"/>
    <mergeCell ref="D25:D27"/>
    <mergeCell ref="D28:D30"/>
    <mergeCell ref="D19:D21"/>
    <mergeCell ref="K11:K12"/>
    <mergeCell ref="J11:J12"/>
    <mergeCell ref="G11:G12"/>
    <mergeCell ref="D43:D45"/>
    <mergeCell ref="D46:D48"/>
    <mergeCell ref="D37:D39"/>
    <mergeCell ref="C25:C30"/>
    <mergeCell ref="D40:D42"/>
    <mergeCell ref="B31:B36"/>
    <mergeCell ref="I8:I9"/>
    <mergeCell ref="D16:D18"/>
    <mergeCell ref="F11:F12"/>
    <mergeCell ref="D34:D36"/>
    <mergeCell ref="E11:E1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2026-01-16T17:41:28Z</dcterms:modified>
  <cp:category/>
  <cp:contentStatus/>
</cp:coreProperties>
</file>