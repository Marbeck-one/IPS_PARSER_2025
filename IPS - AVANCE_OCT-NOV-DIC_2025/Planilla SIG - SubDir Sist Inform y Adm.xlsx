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arla_adasme_ips_gob_cl/Documents/AVANCE-OCT-NOV-DIC-CDC-2025/Subdirección de Sistemas de Información y Administración/"/>
    </mc:Choice>
  </mc:AlternateContent>
  <xr:revisionPtr revIDLastSave="63" documentId="8_{1E472729-DF26-47DE-AFFF-F3E0B65D40CC}" xr6:coauthVersionLast="47" xr6:coauthVersionMax="47" xr10:uidLastSave="{A1714EBE-93D2-4AD0-9F2A-00A763B7D68C}"/>
  <bookViews>
    <workbookView xWindow="-110" yWindow="-110" windowWidth="19420" windowHeight="11500" xr2:uid="{00000000-000D-0000-FFFF-FFFF00000000}"/>
  </bookViews>
  <sheets>
    <sheet name="CDC 2025" sheetId="1" r:id="rId1"/>
    <sheet name="PMG 2025" sheetId="2" r:id="rId2"/>
    <sheet name="Subtítulos 22 y 29" sheetId="3" r:id="rId3"/>
    <sheet name="Subtítulos 22" sheetId="4" r:id="rId4"/>
  </sheets>
  <definedNames>
    <definedName name="_xlnm._FilterDatabase" localSheetId="0" hidden="1">'CDC 2025'!$B$11:$L$25</definedName>
    <definedName name="_xlnm.Print_Area" localSheetId="0">'CDC 2025'!$B$1:$L$12</definedName>
    <definedName name="_xlnm.Print_Titles" localSheetId="0">'CDC 2025'!$1:$12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H14" i="1"/>
  <c r="F14" i="1"/>
  <c r="G40" i="1"/>
  <c r="G42" i="1"/>
  <c r="I42" i="1"/>
  <c r="K42" i="1" s="1"/>
  <c r="J38" i="1"/>
  <c r="H38" i="1"/>
  <c r="F38" i="1"/>
  <c r="E38" i="1"/>
  <c r="H52" i="3"/>
  <c r="H50" i="3" s="1"/>
  <c r="AA50" i="3"/>
  <c r="Y50" i="3"/>
  <c r="W50" i="3"/>
  <c r="U50" i="3"/>
  <c r="S50" i="3"/>
  <c r="Q50" i="3"/>
  <c r="O50" i="3"/>
  <c r="M50" i="3"/>
  <c r="K50" i="3"/>
  <c r="I50" i="3"/>
  <c r="G50" i="3"/>
  <c r="F50" i="3"/>
  <c r="E50" i="3"/>
  <c r="H46" i="3"/>
  <c r="J46" i="3" s="1"/>
  <c r="AA44" i="3"/>
  <c r="Y44" i="3"/>
  <c r="W44" i="3"/>
  <c r="U44" i="3"/>
  <c r="S44" i="3"/>
  <c r="Q44" i="3"/>
  <c r="O44" i="3"/>
  <c r="M44" i="3"/>
  <c r="K44" i="3"/>
  <c r="I44" i="3"/>
  <c r="H44" i="3"/>
  <c r="G44" i="3"/>
  <c r="F44" i="3"/>
  <c r="E44" i="3"/>
  <c r="H40" i="3"/>
  <c r="H38" i="3" s="1"/>
  <c r="AA38" i="3"/>
  <c r="Y38" i="3"/>
  <c r="W38" i="3"/>
  <c r="U38" i="3"/>
  <c r="S38" i="3"/>
  <c r="Q38" i="3"/>
  <c r="O38" i="3"/>
  <c r="M38" i="3"/>
  <c r="K38" i="3"/>
  <c r="I38" i="3"/>
  <c r="G38" i="3"/>
  <c r="F38" i="3"/>
  <c r="E38" i="3"/>
  <c r="H34" i="3"/>
  <c r="H32" i="3" s="1"/>
  <c r="AA32" i="3"/>
  <c r="Y32" i="3"/>
  <c r="W32" i="3"/>
  <c r="U32" i="3"/>
  <c r="S32" i="3"/>
  <c r="Q32" i="3"/>
  <c r="O32" i="3"/>
  <c r="M32" i="3"/>
  <c r="K32" i="3"/>
  <c r="I32" i="3"/>
  <c r="G32" i="3"/>
  <c r="F32" i="3"/>
  <c r="E32" i="3"/>
  <c r="H28" i="3"/>
  <c r="J28" i="3" s="1"/>
  <c r="AA26" i="3"/>
  <c r="Y26" i="3"/>
  <c r="W26" i="3"/>
  <c r="U26" i="3"/>
  <c r="S26" i="3"/>
  <c r="Q26" i="3"/>
  <c r="O26" i="3"/>
  <c r="M26" i="3"/>
  <c r="K26" i="3"/>
  <c r="I26" i="3"/>
  <c r="G26" i="3"/>
  <c r="F26" i="3"/>
  <c r="E26" i="3"/>
  <c r="H22" i="3"/>
  <c r="J22" i="3" s="1"/>
  <c r="AA20" i="3"/>
  <c r="Y20" i="3"/>
  <c r="W20" i="3"/>
  <c r="U20" i="3"/>
  <c r="S20" i="3"/>
  <c r="Q20" i="3"/>
  <c r="O20" i="3"/>
  <c r="M20" i="3"/>
  <c r="K20" i="3"/>
  <c r="I20" i="3"/>
  <c r="G20" i="3"/>
  <c r="F20" i="3"/>
  <c r="E20" i="3"/>
  <c r="H16" i="3"/>
  <c r="H14" i="3" s="1"/>
  <c r="AA14" i="3"/>
  <c r="Y14" i="3"/>
  <c r="W14" i="3"/>
  <c r="U14" i="3"/>
  <c r="S14" i="3"/>
  <c r="Q14" i="3"/>
  <c r="O14" i="3"/>
  <c r="M14" i="3"/>
  <c r="K14" i="3"/>
  <c r="I14" i="3"/>
  <c r="G14" i="3"/>
  <c r="F14" i="3"/>
  <c r="E14" i="3"/>
  <c r="H58" i="3"/>
  <c r="H56" i="3" s="1"/>
  <c r="AA56" i="3"/>
  <c r="Y56" i="3"/>
  <c r="W56" i="3"/>
  <c r="U56" i="3"/>
  <c r="S56" i="3"/>
  <c r="Q56" i="3"/>
  <c r="O56" i="3"/>
  <c r="M56" i="3"/>
  <c r="K56" i="3"/>
  <c r="I56" i="3"/>
  <c r="G56" i="3"/>
  <c r="F56" i="3"/>
  <c r="E56" i="3"/>
  <c r="H26" i="3" l="1"/>
  <c r="H20" i="3"/>
  <c r="I40" i="1"/>
  <c r="K40" i="1" s="1"/>
  <c r="K38" i="1" s="1"/>
  <c r="L40" i="1" s="1"/>
  <c r="J52" i="3"/>
  <c r="L46" i="3"/>
  <c r="J44" i="3"/>
  <c r="J40" i="3"/>
  <c r="J34" i="3"/>
  <c r="L28" i="3"/>
  <c r="J26" i="3"/>
  <c r="L22" i="3"/>
  <c r="J20" i="3"/>
  <c r="J16" i="3"/>
  <c r="J58" i="3"/>
  <c r="L52" i="3" l="1"/>
  <c r="J50" i="3"/>
  <c r="N46" i="3"/>
  <c r="L44" i="3"/>
  <c r="L40" i="3"/>
  <c r="J38" i="3"/>
  <c r="L34" i="3"/>
  <c r="J32" i="3"/>
  <c r="L26" i="3"/>
  <c r="N28" i="3"/>
  <c r="N22" i="3"/>
  <c r="L20" i="3"/>
  <c r="L16" i="3"/>
  <c r="J14" i="3"/>
  <c r="J56" i="3"/>
  <c r="L58" i="3"/>
  <c r="N52" i="3" l="1"/>
  <c r="L50" i="3"/>
  <c r="N44" i="3"/>
  <c r="P46" i="3"/>
  <c r="N40" i="3"/>
  <c r="L38" i="3"/>
  <c r="N34" i="3"/>
  <c r="L32" i="3"/>
  <c r="N26" i="3"/>
  <c r="P28" i="3"/>
  <c r="N20" i="3"/>
  <c r="P22" i="3"/>
  <c r="N16" i="3"/>
  <c r="L14" i="3"/>
  <c r="N58" i="3"/>
  <c r="L56" i="3"/>
  <c r="N50" i="3" l="1"/>
  <c r="P52" i="3"/>
  <c r="P44" i="3"/>
  <c r="R46" i="3"/>
  <c r="N38" i="3"/>
  <c r="P40" i="3"/>
  <c r="P34" i="3"/>
  <c r="N32" i="3"/>
  <c r="R28" i="3"/>
  <c r="P26" i="3"/>
  <c r="P20" i="3"/>
  <c r="R22" i="3"/>
  <c r="N14" i="3"/>
  <c r="P16" i="3"/>
  <c r="N56" i="3"/>
  <c r="P58" i="3"/>
  <c r="P50" i="3" l="1"/>
  <c r="R52" i="3"/>
  <c r="T46" i="3"/>
  <c r="R44" i="3"/>
  <c r="P38" i="3"/>
  <c r="R40" i="3"/>
  <c r="P32" i="3"/>
  <c r="R34" i="3"/>
  <c r="T28" i="3"/>
  <c r="R26" i="3"/>
  <c r="T22" i="3"/>
  <c r="R20" i="3"/>
  <c r="P14" i="3"/>
  <c r="R16" i="3"/>
  <c r="P56" i="3"/>
  <c r="R58" i="3"/>
  <c r="T52" i="3" l="1"/>
  <c r="R50" i="3"/>
  <c r="V46" i="3"/>
  <c r="T44" i="3"/>
  <c r="T40" i="3"/>
  <c r="R38" i="3"/>
  <c r="R32" i="3"/>
  <c r="T34" i="3"/>
  <c r="T26" i="3"/>
  <c r="V28" i="3"/>
  <c r="V22" i="3"/>
  <c r="T20" i="3"/>
  <c r="T16" i="3"/>
  <c r="R14" i="3"/>
  <c r="R56" i="3"/>
  <c r="T58" i="3"/>
  <c r="V52" i="3" l="1"/>
  <c r="T50" i="3"/>
  <c r="V44" i="3"/>
  <c r="X46" i="3"/>
  <c r="V40" i="3"/>
  <c r="T38" i="3"/>
  <c r="V34" i="3"/>
  <c r="T32" i="3"/>
  <c r="V26" i="3"/>
  <c r="X28" i="3"/>
  <c r="V20" i="3"/>
  <c r="X22" i="3"/>
  <c r="T14" i="3"/>
  <c r="V16" i="3"/>
  <c r="V58" i="3"/>
  <c r="T56" i="3"/>
  <c r="V50" i="3" l="1"/>
  <c r="X52" i="3"/>
  <c r="X44" i="3"/>
  <c r="Z46" i="3"/>
  <c r="V38" i="3"/>
  <c r="X40" i="3"/>
  <c r="V32" i="3"/>
  <c r="X34" i="3"/>
  <c r="Z28" i="3"/>
  <c r="X26" i="3"/>
  <c r="X20" i="3"/>
  <c r="Z22" i="3"/>
  <c r="V14" i="3"/>
  <c r="X16" i="3"/>
  <c r="V56" i="3"/>
  <c r="X58" i="3"/>
  <c r="X50" i="3" l="1"/>
  <c r="Z52" i="3"/>
  <c r="AB46" i="3"/>
  <c r="AB44" i="3" s="1"/>
  <c r="AC46" i="3" s="1"/>
  <c r="Z44" i="3"/>
  <c r="X38" i="3"/>
  <c r="Z40" i="3"/>
  <c r="X32" i="3"/>
  <c r="Z34" i="3"/>
  <c r="AB28" i="3"/>
  <c r="AB26" i="3" s="1"/>
  <c r="AC28" i="3" s="1"/>
  <c r="Z26" i="3"/>
  <c r="AB22" i="3"/>
  <c r="AB20" i="3" s="1"/>
  <c r="AC22" i="3" s="1"/>
  <c r="Z20" i="3"/>
  <c r="X14" i="3"/>
  <c r="Z16" i="3"/>
  <c r="X56" i="3"/>
  <c r="Z58" i="3"/>
  <c r="AB52" i="3" l="1"/>
  <c r="AB50" i="3" s="1"/>
  <c r="AC52" i="3" s="1"/>
  <c r="Z50" i="3"/>
  <c r="AB40" i="3"/>
  <c r="AB38" i="3" s="1"/>
  <c r="AC40" i="3" s="1"/>
  <c r="Z38" i="3"/>
  <c r="Z32" i="3"/>
  <c r="AB34" i="3"/>
  <c r="AB32" i="3" s="1"/>
  <c r="AC34" i="3" s="1"/>
  <c r="AB16" i="3"/>
  <c r="AB14" i="3" s="1"/>
  <c r="AC16" i="3" s="1"/>
  <c r="Z14" i="3"/>
  <c r="AB58" i="3"/>
  <c r="AB56" i="3" s="1"/>
  <c r="AC58" i="3" s="1"/>
  <c r="Z56" i="3"/>
  <c r="J20" i="1" l="1"/>
  <c r="H20" i="1"/>
  <c r="F20" i="1"/>
  <c r="E20" i="1"/>
  <c r="J44" i="1"/>
  <c r="H44" i="1"/>
  <c r="F44" i="1"/>
  <c r="E44" i="1"/>
  <c r="G22" i="1" l="1"/>
  <c r="G46" i="1"/>
  <c r="G20" i="1" l="1"/>
  <c r="I22" i="1"/>
  <c r="G44" i="1"/>
  <c r="I46" i="1"/>
  <c r="K22" i="1" l="1"/>
  <c r="K20" i="1" s="1"/>
  <c r="L22" i="1" s="1"/>
  <c r="I20" i="1"/>
  <c r="I44" i="1"/>
  <c r="K46" i="1"/>
  <c r="K44" i="1" s="1"/>
  <c r="L46" i="1" s="1"/>
  <c r="H106" i="4" l="1"/>
  <c r="H104" i="4" s="1"/>
  <c r="AA104" i="4"/>
  <c r="Y104" i="4"/>
  <c r="W104" i="4"/>
  <c r="U104" i="4"/>
  <c r="S104" i="4"/>
  <c r="Q104" i="4"/>
  <c r="O104" i="4"/>
  <c r="M104" i="4"/>
  <c r="K104" i="4"/>
  <c r="I104" i="4"/>
  <c r="G104" i="4"/>
  <c r="F104" i="4"/>
  <c r="E104" i="4"/>
  <c r="H100" i="4"/>
  <c r="J100" i="4" s="1"/>
  <c r="AA98" i="4"/>
  <c r="Y98" i="4"/>
  <c r="W98" i="4"/>
  <c r="U98" i="4"/>
  <c r="S98" i="4"/>
  <c r="Q98" i="4"/>
  <c r="O98" i="4"/>
  <c r="M98" i="4"/>
  <c r="K98" i="4"/>
  <c r="I98" i="4"/>
  <c r="G98" i="4"/>
  <c r="F98" i="4"/>
  <c r="E98" i="4"/>
  <c r="H94" i="4"/>
  <c r="H92" i="4" s="1"/>
  <c r="AA92" i="4"/>
  <c r="Y92" i="4"/>
  <c r="W92" i="4"/>
  <c r="U92" i="4"/>
  <c r="S92" i="4"/>
  <c r="Q92" i="4"/>
  <c r="O92" i="4"/>
  <c r="M92" i="4"/>
  <c r="K92" i="4"/>
  <c r="I92" i="4"/>
  <c r="G92" i="4"/>
  <c r="F92" i="4"/>
  <c r="E92" i="4"/>
  <c r="H88" i="4"/>
  <c r="H86" i="4" s="1"/>
  <c r="AA86" i="4"/>
  <c r="Y86" i="4"/>
  <c r="W86" i="4"/>
  <c r="U86" i="4"/>
  <c r="S86" i="4"/>
  <c r="Q86" i="4"/>
  <c r="O86" i="4"/>
  <c r="M86" i="4"/>
  <c r="K86" i="4"/>
  <c r="I86" i="4"/>
  <c r="G86" i="4"/>
  <c r="F86" i="4"/>
  <c r="E86" i="4"/>
  <c r="H82" i="4"/>
  <c r="H80" i="4" s="1"/>
  <c r="AA80" i="4"/>
  <c r="Y80" i="4"/>
  <c r="W80" i="4"/>
  <c r="U80" i="4"/>
  <c r="S80" i="4"/>
  <c r="Q80" i="4"/>
  <c r="O80" i="4"/>
  <c r="M80" i="4"/>
  <c r="K80" i="4"/>
  <c r="I80" i="4"/>
  <c r="G80" i="4"/>
  <c r="F80" i="4"/>
  <c r="E80" i="4"/>
  <c r="H98" i="4" l="1"/>
  <c r="J106" i="4"/>
  <c r="L100" i="4"/>
  <c r="J98" i="4"/>
  <c r="J94" i="4"/>
  <c r="J88" i="4"/>
  <c r="J82" i="4"/>
  <c r="L106" i="4" l="1"/>
  <c r="J104" i="4"/>
  <c r="N100" i="4"/>
  <c r="L98" i="4"/>
  <c r="L94" i="4"/>
  <c r="J92" i="4"/>
  <c r="L88" i="4"/>
  <c r="J86" i="4"/>
  <c r="J80" i="4"/>
  <c r="L82" i="4"/>
  <c r="N106" i="4" l="1"/>
  <c r="L104" i="4"/>
  <c r="N98" i="4"/>
  <c r="P100" i="4"/>
  <c r="N94" i="4"/>
  <c r="L92" i="4"/>
  <c r="N88" i="4"/>
  <c r="L86" i="4"/>
  <c r="N82" i="4"/>
  <c r="L80" i="4"/>
  <c r="N104" i="4" l="1"/>
  <c r="P106" i="4"/>
  <c r="R100" i="4"/>
  <c r="P98" i="4"/>
  <c r="N92" i="4"/>
  <c r="P94" i="4"/>
  <c r="N86" i="4"/>
  <c r="P88" i="4"/>
  <c r="P82" i="4"/>
  <c r="N80" i="4"/>
  <c r="P104" i="4" l="1"/>
  <c r="R106" i="4"/>
  <c r="R98" i="4"/>
  <c r="T100" i="4"/>
  <c r="P92" i="4"/>
  <c r="R94" i="4"/>
  <c r="P86" i="4"/>
  <c r="R88" i="4"/>
  <c r="P80" i="4"/>
  <c r="R82" i="4"/>
  <c r="R104" i="4" l="1"/>
  <c r="T106" i="4"/>
  <c r="V100" i="4"/>
  <c r="T98" i="4"/>
  <c r="T94" i="4"/>
  <c r="R92" i="4"/>
  <c r="T88" i="4"/>
  <c r="R86" i="4"/>
  <c r="T82" i="4"/>
  <c r="R80" i="4"/>
  <c r="V106" i="4" l="1"/>
  <c r="T104" i="4"/>
  <c r="X100" i="4"/>
  <c r="V98" i="4"/>
  <c r="V94" i="4"/>
  <c r="T92" i="4"/>
  <c r="V88" i="4"/>
  <c r="T86" i="4"/>
  <c r="V82" i="4"/>
  <c r="T80" i="4"/>
  <c r="V104" i="4" l="1"/>
  <c r="X106" i="4"/>
  <c r="Z100" i="4"/>
  <c r="X98" i="4"/>
  <c r="V92" i="4"/>
  <c r="X94" i="4"/>
  <c r="V86" i="4"/>
  <c r="X88" i="4"/>
  <c r="V80" i="4"/>
  <c r="X82" i="4"/>
  <c r="X104" i="4" l="1"/>
  <c r="Z106" i="4"/>
  <c r="AB100" i="4"/>
  <c r="AB98" i="4" s="1"/>
  <c r="AC100" i="4" s="1"/>
  <c r="Z98" i="4"/>
  <c r="X92" i="4"/>
  <c r="Z94" i="4"/>
  <c r="X86" i="4"/>
  <c r="Z88" i="4"/>
  <c r="X80" i="4"/>
  <c r="Z82" i="4"/>
  <c r="AB106" i="4" l="1"/>
  <c r="AB104" i="4" s="1"/>
  <c r="AC106" i="4" s="1"/>
  <c r="Z104" i="4"/>
  <c r="Z92" i="4"/>
  <c r="AB94" i="4"/>
  <c r="AB92" i="4" s="1"/>
  <c r="AC94" i="4" s="1"/>
  <c r="AB88" i="4"/>
  <c r="AB86" i="4" s="1"/>
  <c r="AC88" i="4" s="1"/>
  <c r="Z86" i="4"/>
  <c r="AB82" i="4"/>
  <c r="AB80" i="4" s="1"/>
  <c r="AC82" i="4" s="1"/>
  <c r="Z80" i="4"/>
  <c r="H76" i="4" l="1"/>
  <c r="H74" i="4" s="1"/>
  <c r="AA74" i="4"/>
  <c r="Y74" i="4"/>
  <c r="W74" i="4"/>
  <c r="U74" i="4"/>
  <c r="S74" i="4"/>
  <c r="Q74" i="4"/>
  <c r="O74" i="4"/>
  <c r="M74" i="4"/>
  <c r="K74" i="4"/>
  <c r="I74" i="4"/>
  <c r="G74" i="4"/>
  <c r="F74" i="4"/>
  <c r="E74" i="4"/>
  <c r="H70" i="4"/>
  <c r="H68" i="4" s="1"/>
  <c r="AA68" i="4"/>
  <c r="Y68" i="4"/>
  <c r="W68" i="4"/>
  <c r="U68" i="4"/>
  <c r="S68" i="4"/>
  <c r="Q68" i="4"/>
  <c r="O68" i="4"/>
  <c r="M68" i="4"/>
  <c r="K68" i="4"/>
  <c r="I68" i="4"/>
  <c r="G68" i="4"/>
  <c r="F68" i="4"/>
  <c r="E68" i="4"/>
  <c r="H64" i="4"/>
  <c r="H62" i="4" s="1"/>
  <c r="AA62" i="4"/>
  <c r="Y62" i="4"/>
  <c r="W62" i="4"/>
  <c r="U62" i="4"/>
  <c r="S62" i="4"/>
  <c r="Q62" i="4"/>
  <c r="O62" i="4"/>
  <c r="M62" i="4"/>
  <c r="K62" i="4"/>
  <c r="I62" i="4"/>
  <c r="G62" i="4"/>
  <c r="F62" i="4"/>
  <c r="E62" i="4"/>
  <c r="H58" i="4"/>
  <c r="H56" i="4" s="1"/>
  <c r="AA56" i="4"/>
  <c r="Y56" i="4"/>
  <c r="W56" i="4"/>
  <c r="U56" i="4"/>
  <c r="S56" i="4"/>
  <c r="Q56" i="4"/>
  <c r="O56" i="4"/>
  <c r="M56" i="4"/>
  <c r="K56" i="4"/>
  <c r="I56" i="4"/>
  <c r="G56" i="4"/>
  <c r="F56" i="4"/>
  <c r="E56" i="4"/>
  <c r="H52" i="4"/>
  <c r="H50" i="4" s="1"/>
  <c r="AA50" i="4"/>
  <c r="Y50" i="4"/>
  <c r="W50" i="4"/>
  <c r="U50" i="4"/>
  <c r="S50" i="4"/>
  <c r="Q50" i="4"/>
  <c r="O50" i="4"/>
  <c r="M50" i="4"/>
  <c r="K50" i="4"/>
  <c r="I50" i="4"/>
  <c r="G50" i="4"/>
  <c r="F50" i="4"/>
  <c r="E50" i="4"/>
  <c r="J76" i="4" l="1"/>
  <c r="J70" i="4"/>
  <c r="J64" i="4"/>
  <c r="J58" i="4"/>
  <c r="J52" i="4"/>
  <c r="L76" i="4" l="1"/>
  <c r="J74" i="4"/>
  <c r="L70" i="4"/>
  <c r="J68" i="4"/>
  <c r="L64" i="4"/>
  <c r="J62" i="4"/>
  <c r="J56" i="4"/>
  <c r="L58" i="4"/>
  <c r="L52" i="4"/>
  <c r="J50" i="4"/>
  <c r="N76" i="4" l="1"/>
  <c r="L74" i="4"/>
  <c r="N70" i="4"/>
  <c r="L68" i="4"/>
  <c r="N64" i="4"/>
  <c r="L62" i="4"/>
  <c r="N58" i="4"/>
  <c r="L56" i="4"/>
  <c r="N52" i="4"/>
  <c r="L50" i="4"/>
  <c r="N74" i="4" l="1"/>
  <c r="P76" i="4"/>
  <c r="P70" i="4"/>
  <c r="N68" i="4"/>
  <c r="N62" i="4"/>
  <c r="P64" i="4"/>
  <c r="P58" i="4"/>
  <c r="N56" i="4"/>
  <c r="N50" i="4"/>
  <c r="P52" i="4"/>
  <c r="P74" i="4" l="1"/>
  <c r="R76" i="4"/>
  <c r="P68" i="4"/>
  <c r="R70" i="4"/>
  <c r="P62" i="4"/>
  <c r="R64" i="4"/>
  <c r="P56" i="4"/>
  <c r="R58" i="4"/>
  <c r="P50" i="4"/>
  <c r="R52" i="4"/>
  <c r="T76" i="4" l="1"/>
  <c r="R74" i="4"/>
  <c r="R68" i="4"/>
  <c r="T70" i="4"/>
  <c r="T64" i="4"/>
  <c r="R62" i="4"/>
  <c r="T58" i="4"/>
  <c r="R56" i="4"/>
  <c r="R50" i="4"/>
  <c r="T52" i="4"/>
  <c r="V76" i="4" l="1"/>
  <c r="T74" i="4"/>
  <c r="V70" i="4"/>
  <c r="T68" i="4"/>
  <c r="V64" i="4"/>
  <c r="T62" i="4"/>
  <c r="T56" i="4"/>
  <c r="V58" i="4"/>
  <c r="V52" i="4"/>
  <c r="T50" i="4"/>
  <c r="V74" i="4" l="1"/>
  <c r="X76" i="4"/>
  <c r="V68" i="4"/>
  <c r="X70" i="4"/>
  <c r="V62" i="4"/>
  <c r="X64" i="4"/>
  <c r="V56" i="4"/>
  <c r="X58" i="4"/>
  <c r="V50" i="4"/>
  <c r="X52" i="4"/>
  <c r="X74" i="4" l="1"/>
  <c r="Z76" i="4"/>
  <c r="X68" i="4"/>
  <c r="Z70" i="4"/>
  <c r="X62" i="4"/>
  <c r="Z64" i="4"/>
  <c r="X56" i="4"/>
  <c r="Z58" i="4"/>
  <c r="X50" i="4"/>
  <c r="Z52" i="4"/>
  <c r="AB76" i="4" l="1"/>
  <c r="AB74" i="4" s="1"/>
  <c r="AC76" i="4" s="1"/>
  <c r="Z74" i="4"/>
  <c r="AB70" i="4"/>
  <c r="AB68" i="4" s="1"/>
  <c r="AC70" i="4" s="1"/>
  <c r="Z68" i="4"/>
  <c r="AB64" i="4"/>
  <c r="AB62" i="4" s="1"/>
  <c r="AC64" i="4" s="1"/>
  <c r="Z62" i="4"/>
  <c r="Z56" i="4"/>
  <c r="AB58" i="4"/>
  <c r="AB56" i="4" s="1"/>
  <c r="AC58" i="4" s="1"/>
  <c r="AB52" i="4"/>
  <c r="AB50" i="4" s="1"/>
  <c r="AC52" i="4" s="1"/>
  <c r="Z50" i="4"/>
  <c r="H46" i="4" l="1"/>
  <c r="H44" i="4" s="1"/>
  <c r="AA44" i="4"/>
  <c r="Y44" i="4"/>
  <c r="W44" i="4"/>
  <c r="U44" i="4"/>
  <c r="S44" i="4"/>
  <c r="Q44" i="4"/>
  <c r="O44" i="4"/>
  <c r="M44" i="4"/>
  <c r="K44" i="4"/>
  <c r="I44" i="4"/>
  <c r="G44" i="4"/>
  <c r="F44" i="4"/>
  <c r="E44" i="4"/>
  <c r="H40" i="4"/>
  <c r="H38" i="4" s="1"/>
  <c r="AA38" i="4"/>
  <c r="Y38" i="4"/>
  <c r="W38" i="4"/>
  <c r="U38" i="4"/>
  <c r="S38" i="4"/>
  <c r="Q38" i="4"/>
  <c r="O38" i="4"/>
  <c r="M38" i="4"/>
  <c r="K38" i="4"/>
  <c r="I38" i="4"/>
  <c r="G38" i="4"/>
  <c r="F38" i="4"/>
  <c r="E38" i="4"/>
  <c r="H34" i="4"/>
  <c r="H32" i="4" s="1"/>
  <c r="AA32" i="4"/>
  <c r="Y32" i="4"/>
  <c r="W32" i="4"/>
  <c r="U32" i="4"/>
  <c r="S32" i="4"/>
  <c r="Q32" i="4"/>
  <c r="O32" i="4"/>
  <c r="M32" i="4"/>
  <c r="K32" i="4"/>
  <c r="I32" i="4"/>
  <c r="G32" i="4"/>
  <c r="F32" i="4"/>
  <c r="E32" i="4"/>
  <c r="H28" i="4"/>
  <c r="H26" i="4" s="1"/>
  <c r="AA26" i="4"/>
  <c r="Y26" i="4"/>
  <c r="W26" i="4"/>
  <c r="U26" i="4"/>
  <c r="S26" i="4"/>
  <c r="Q26" i="4"/>
  <c r="O26" i="4"/>
  <c r="M26" i="4"/>
  <c r="K26" i="4"/>
  <c r="I26" i="4"/>
  <c r="G26" i="4"/>
  <c r="F26" i="4"/>
  <c r="E26" i="4"/>
  <c r="H22" i="4"/>
  <c r="H20" i="4" s="1"/>
  <c r="AA20" i="4"/>
  <c r="Y20" i="4"/>
  <c r="W20" i="4"/>
  <c r="U20" i="4"/>
  <c r="S20" i="4"/>
  <c r="Q20" i="4"/>
  <c r="O20" i="4"/>
  <c r="M20" i="4"/>
  <c r="K20" i="4"/>
  <c r="I20" i="4"/>
  <c r="G20" i="4"/>
  <c r="F20" i="4"/>
  <c r="E20" i="4"/>
  <c r="H16" i="4"/>
  <c r="J16" i="4" s="1"/>
  <c r="AA14" i="4"/>
  <c r="Y14" i="4"/>
  <c r="W14" i="4"/>
  <c r="U14" i="4"/>
  <c r="S14" i="4"/>
  <c r="Q14" i="4"/>
  <c r="O14" i="4"/>
  <c r="M14" i="4"/>
  <c r="K14" i="4"/>
  <c r="I14" i="4"/>
  <c r="G14" i="4"/>
  <c r="F14" i="4"/>
  <c r="E14" i="4"/>
  <c r="H14" i="4" l="1"/>
  <c r="J22" i="4"/>
  <c r="J46" i="4"/>
  <c r="J40" i="4"/>
  <c r="J34" i="4"/>
  <c r="J28" i="4"/>
  <c r="J14" i="4"/>
  <c r="L16" i="4"/>
  <c r="L22" i="4" l="1"/>
  <c r="J20" i="4"/>
  <c r="L46" i="4"/>
  <c r="J44" i="4"/>
  <c r="L40" i="4"/>
  <c r="J38" i="4"/>
  <c r="L34" i="4"/>
  <c r="J32" i="4"/>
  <c r="L28" i="4"/>
  <c r="J26" i="4"/>
  <c r="L14" i="4"/>
  <c r="N16" i="4"/>
  <c r="N22" i="4" l="1"/>
  <c r="L20" i="4"/>
  <c r="N46" i="4"/>
  <c r="L44" i="4"/>
  <c r="N40" i="4"/>
  <c r="L38" i="4"/>
  <c r="N34" i="4"/>
  <c r="L32" i="4"/>
  <c r="N28" i="4"/>
  <c r="L26" i="4"/>
  <c r="N14" i="4"/>
  <c r="P16" i="4"/>
  <c r="N20" i="4" l="1"/>
  <c r="P22" i="4"/>
  <c r="P46" i="4"/>
  <c r="N44" i="4"/>
  <c r="N38" i="4"/>
  <c r="P40" i="4"/>
  <c r="P34" i="4"/>
  <c r="N32" i="4"/>
  <c r="N26" i="4"/>
  <c r="P28" i="4"/>
  <c r="R16" i="4"/>
  <c r="P14" i="4"/>
  <c r="P20" i="4" l="1"/>
  <c r="R22" i="4"/>
  <c r="P44" i="4"/>
  <c r="R46" i="4"/>
  <c r="P38" i="4"/>
  <c r="R40" i="4"/>
  <c r="P32" i="4"/>
  <c r="R34" i="4"/>
  <c r="P26" i="4"/>
  <c r="R28" i="4"/>
  <c r="T16" i="4"/>
  <c r="R14" i="4"/>
  <c r="T22" i="4" l="1"/>
  <c r="R20" i="4"/>
  <c r="R44" i="4"/>
  <c r="T46" i="4"/>
  <c r="T40" i="4"/>
  <c r="R38" i="4"/>
  <c r="R32" i="4"/>
  <c r="T34" i="4"/>
  <c r="R26" i="4"/>
  <c r="T28" i="4"/>
  <c r="V16" i="4"/>
  <c r="T14" i="4"/>
  <c r="V22" i="4" l="1"/>
  <c r="T20" i="4"/>
  <c r="V46" i="4"/>
  <c r="T44" i="4"/>
  <c r="V40" i="4"/>
  <c r="T38" i="4"/>
  <c r="T32" i="4"/>
  <c r="V34" i="4"/>
  <c r="V28" i="4"/>
  <c r="T26" i="4"/>
  <c r="V14" i="4"/>
  <c r="X16" i="4"/>
  <c r="V20" i="4" l="1"/>
  <c r="X22" i="4"/>
  <c r="V44" i="4"/>
  <c r="X46" i="4"/>
  <c r="V38" i="4"/>
  <c r="X40" i="4"/>
  <c r="V32" i="4"/>
  <c r="X34" i="4"/>
  <c r="V26" i="4"/>
  <c r="X28" i="4"/>
  <c r="Z16" i="4"/>
  <c r="X14" i="4"/>
  <c r="X20" i="4" l="1"/>
  <c r="Z22" i="4"/>
  <c r="X44" i="4"/>
  <c r="Z46" i="4"/>
  <c r="X38" i="4"/>
  <c r="Z40" i="4"/>
  <c r="X32" i="4"/>
  <c r="Z34" i="4"/>
  <c r="X26" i="4"/>
  <c r="Z28" i="4"/>
  <c r="Z14" i="4"/>
  <c r="AB16" i="4"/>
  <c r="AB14" i="4" s="1"/>
  <c r="AC16" i="4" s="1"/>
  <c r="AB22" i="4" l="1"/>
  <c r="AB20" i="4" s="1"/>
  <c r="AC22" i="4" s="1"/>
  <c r="Z20" i="4"/>
  <c r="AB46" i="4"/>
  <c r="AB44" i="4" s="1"/>
  <c r="AC46" i="4" s="1"/>
  <c r="Z44" i="4"/>
  <c r="AB40" i="4"/>
  <c r="AB38" i="4" s="1"/>
  <c r="AC40" i="4" s="1"/>
  <c r="Z38" i="4"/>
  <c r="Z32" i="4"/>
  <c r="AB34" i="4"/>
  <c r="AB32" i="4" s="1"/>
  <c r="AC34" i="4" s="1"/>
  <c r="AB28" i="4"/>
  <c r="AB26" i="4" s="1"/>
  <c r="AC28" i="4" s="1"/>
  <c r="Z26" i="4"/>
  <c r="G18" i="1" l="1"/>
  <c r="I18" i="1" s="1"/>
  <c r="K18" i="1" s="1"/>
  <c r="E14" i="1"/>
  <c r="G16" i="1" l="1"/>
  <c r="G14" i="1" l="1"/>
  <c r="I16" i="1"/>
  <c r="I14" i="1" l="1"/>
  <c r="K16" i="1"/>
  <c r="K14" i="1" s="1"/>
  <c r="L16" i="1" s="1"/>
  <c r="G36" i="1" l="1"/>
  <c r="I36" i="1" s="1"/>
  <c r="K36" i="1" s="1"/>
  <c r="G30" i="1"/>
  <c r="I30" i="1" s="1"/>
  <c r="K30" i="1" s="1"/>
  <c r="G34" i="1"/>
  <c r="I34" i="1" s="1"/>
  <c r="K34" i="1" s="1"/>
  <c r="J32" i="1"/>
  <c r="H32" i="1"/>
  <c r="F32" i="1"/>
  <c r="E32" i="1"/>
  <c r="G28" i="1"/>
  <c r="I28" i="1" s="1"/>
  <c r="K28" i="1" s="1"/>
  <c r="J26" i="1"/>
  <c r="H26" i="1"/>
  <c r="F26" i="1"/>
  <c r="E26" i="1"/>
  <c r="K32" i="1" l="1"/>
  <c r="L34" i="1" s="1"/>
  <c r="K26" i="1"/>
  <c r="L28" i="1" s="1"/>
  <c r="F19" i="2" l="1"/>
  <c r="H19" i="2" s="1"/>
  <c r="J19" i="2" s="1"/>
  <c r="F17" i="2"/>
  <c r="H17" i="2" s="1"/>
  <c r="J17" i="2" s="1"/>
  <c r="J15" i="2" s="1"/>
  <c r="I15" i="2"/>
  <c r="G15" i="2"/>
  <c r="E15" i="2"/>
  <c r="D15" i="2"/>
  <c r="K17" i="2" l="1"/>
</calcChain>
</file>

<file path=xl/sharedStrings.xml><?xml version="1.0" encoding="utf-8"?>
<sst xmlns="http://schemas.openxmlformats.org/spreadsheetml/2006/main" count="2122" uniqueCount="127">
  <si>
    <t xml:space="preserve">SUBDIRECCIÓN SISTEMA DE INFORMACIÓN Y ADMINISTRACIÓN </t>
  </si>
  <si>
    <t>NÚMERO</t>
  </si>
  <si>
    <t xml:space="preserve">INDICADOR </t>
  </si>
  <si>
    <t>FORMULA</t>
  </si>
  <si>
    <t>Operandos</t>
  </si>
  <si>
    <t>Operandos  Estimados Meta</t>
  </si>
  <si>
    <t>Oct.</t>
  </si>
  <si>
    <t>Acum Oct.</t>
  </si>
  <si>
    <t>Nov.</t>
  </si>
  <si>
    <t>Acum Nov.</t>
  </si>
  <si>
    <t>Dic.</t>
  </si>
  <si>
    <t>Cumplimiento
2025</t>
  </si>
  <si>
    <t>% Cumplimiento de Meta</t>
  </si>
  <si>
    <t>3.5.1.24</t>
  </si>
  <si>
    <r>
      <rPr>
        <b/>
        <u/>
        <sz val="8"/>
        <color theme="1"/>
        <rFont val="Arial Narrow"/>
        <family val="2"/>
      </rPr>
      <t>1) 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</si>
  <si>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</si>
  <si>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</si>
  <si>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 xml:space="preserve">Valor indicador=   </t>
  </si>
  <si>
    <t xml:space="preserve">Operando 1=   </t>
  </si>
  <si>
    <t>N° Total de Beneficios Previsionales de las áreas Particulares, Públicos y SSS que se finiquitan en el año t)*100</t>
  </si>
  <si>
    <t xml:space="preserve">Operando 2=    </t>
  </si>
  <si>
    <t>5.1.3.41</t>
  </si>
  <si>
    <r>
      <rPr>
        <b/>
        <u/>
        <sz val="8"/>
        <rFont val="Arial Narrow"/>
        <family val="2"/>
      </rPr>
      <t xml:space="preserve">2) Eficacia/Proceso
</t>
    </r>
    <r>
      <rPr>
        <sz val="8"/>
        <rFont val="Arial Narrow"/>
        <family val="2"/>
      </rPr>
      <t>Porcentaje de hitos de control cumplidos de ejecución presupuestaria a nivel de los Subtítulos 22 y 29, dentro de los plazos establecidos. (Subdirección de Sistemas de Información y de Administración)</t>
    </r>
  </si>
  <si>
    <t>(Sumatoria de hitos de control cumplidos de ejecución presupuestaria a nivel de los Subtítulos 22 y 29, dentro de los plazos establecidos / N° total de hitos de control definidos de ejecución presupuestaria a nivel de los Subtítulos 22 y 29) *100</t>
  </si>
  <si>
    <t>Sumatoria de hitos de control cumplidos de ejecución presupuestaria a nivel de los Subtítulos 22 y 29, dentro de los plazos establecidos</t>
  </si>
  <si>
    <t>N° total de hitos de control definidos de ejecución presupuestaria a nivel de los Subtítulos 22 y 29</t>
  </si>
  <si>
    <t>4.3.1.14</t>
  </si>
  <si>
    <r>
      <rPr>
        <b/>
        <u/>
        <sz val="8"/>
        <rFont val="Arial Narrow"/>
        <family val="2"/>
      </rPr>
      <t xml:space="preserve">3) Eficacia/Proceso
</t>
    </r>
    <r>
      <rPr>
        <sz val="8"/>
        <rFont val="Arial Narrow"/>
        <family val="2"/>
      </rPr>
      <t>Porcentaje de gestiones de cobranzas realizadas a beneficiarios con deudas de seguridad social en el año t.</t>
    </r>
  </si>
  <si>
    <t>(Sumatoria de gestiones de cobranzas realizadas a beneficiarios con deudas de seguridad social en el año t / Sumatoria de beneficiarios con deudas de seguridad social recepcionadas en el año t.)*100</t>
  </si>
  <si>
    <t>Sumatoria de gestiones de cobranzas realizadas a beneficiarios con deudas de seguridad social en el año t</t>
  </si>
  <si>
    <t>Sumatoria de beneficiarios con deudas de seguridad social recepcionadas en el año t.)*100</t>
  </si>
  <si>
    <t>5.1.4.8</t>
  </si>
  <si>
    <r>
      <rPr>
        <b/>
        <u/>
        <sz val="8"/>
        <rFont val="Arial Narrow"/>
        <family val="2"/>
      </rPr>
      <t xml:space="preserve">4) Eficacia/Proceso
</t>
    </r>
    <r>
      <rPr>
        <sz val="8"/>
        <rFont val="Arial Narrow"/>
        <family val="2"/>
      </rPr>
      <t>Porcentaje de Resoluciones Exentas de aprobación de bases en procesos de licitación pública emitidas en 7 días hábiles en el año t.</t>
    </r>
  </si>
  <si>
    <t>(Número de Resoluciones Exentas de aprobación de bases en procesos de licitación pública emitidas en 7 días hábiles / Número de solicitudes de resoluciones exentas de aprobación de bases en procesos de licitación pública recibidos en el año t)*100</t>
  </si>
  <si>
    <t>(Número de Resoluciones Exentas de aprobación de bases en procesos de licitación pública emitidas en 7 días hábiles</t>
  </si>
  <si>
    <t>Número de solicitudes de resoluciones exentas de aprobación de bases en procesos de licitación pública recibidos en el año t)*100</t>
  </si>
  <si>
    <t>5.7.1.11</t>
  </si>
  <si>
    <r>
      <rPr>
        <b/>
        <u/>
        <sz val="8"/>
        <rFont val="Arial Narrow"/>
        <family val="2"/>
      </rPr>
      <t xml:space="preserve">5) Eficacia/Proceso
</t>
    </r>
    <r>
      <rPr>
        <sz val="8"/>
        <rFont val="Arial Narrow"/>
        <family val="2"/>
      </rPr>
      <t>Porcentaje de Requerimientos de entidades externas derivados en un plazo máximo de 2 días hábiles en el año t.</t>
    </r>
  </si>
  <si>
    <t>(Cantidad de Requerimientos de entidades externas derivados en un plazo máximo de 2 días hábiles en el año t / Cantidad total de Requerimientos de entidades externas recibidos en el año t) *100</t>
  </si>
  <si>
    <t>(Cantidad de Requerimientos de entidades externas derivados en un plazo máximo de 2 días hábiles en el año t</t>
  </si>
  <si>
    <t>Cantidad total de Requerimientos de entidades externas recibidos en el año t) *100</t>
  </si>
  <si>
    <t>5.4.1.78</t>
  </si>
  <si>
    <r>
      <rPr>
        <b/>
        <u/>
        <sz val="8"/>
        <rFont val="Arial Narrow"/>
        <family val="2"/>
      </rPr>
      <t>6) Eficacia/Proceso</t>
    </r>
    <r>
      <rPr>
        <sz val="8"/>
        <rFont val="Arial Narrow"/>
        <family val="2"/>
      </rPr>
      <t xml:space="preserve">
Porcentaje de Reportes Trimestrales de riesgos enviados oportunamente al Depto. Gestión Integral de Riesgos en el año t (Subdirección de Sistemas de Información y de Administración)</t>
    </r>
  </si>
  <si>
    <t>(Número de Reportes Trimestrales de riesgos enviados oportunamente al Depto. Gestión Integral de Riesgos en el año t / Número de Reportes Trimestrales de riesgos planificados enviados al Depto. Gestión Integral de Riesgos en el año t) *100</t>
  </si>
  <si>
    <t>(Número de Reportes Trimestrales de riesgos enviados oportunamente al Depto. Gestión Integral de Riesgos en el año t</t>
  </si>
  <si>
    <t>Número de Reportes Trimestrales de riesgos planificados enviados al Depto. Gestión Integral de Riesgos en el año t) *100</t>
  </si>
  <si>
    <t>5.1.3.33</t>
  </si>
  <si>
    <t>Concentración del gasto Subtitulos 22 y 29</t>
  </si>
  <si>
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</si>
  <si>
    <t>DIVISIÓN PLANIFICACIÓN</t>
  </si>
  <si>
    <t>Y DESARROLLO</t>
  </si>
  <si>
    <t xml:space="preserve">Fecha: </t>
  </si>
  <si>
    <t xml:space="preserve">  </t>
  </si>
  <si>
    <t xml:space="preserve">Aprobado por: </t>
  </si>
  <si>
    <t>ÁREAS CENTRALES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</si>
  <si>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</si>
  <si>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</si>
  <si>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</si>
  <si>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</si>
  <si>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</si>
  <si>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</si>
  <si>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</si>
  <si>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</si>
  <si>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</si>
  <si>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</si>
  <si>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</si>
  <si>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</si>
  <si>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</si>
  <si>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</si>
  <si>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</si>
  <si>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</si>
  <si>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</si>
  <si>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Cumplimiento
Proyectado
2025</t>
  </si>
  <si>
    <t>5.1.3.40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</si>
  <si>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 xml:space="preserve">Porcentaje de hitos de control cumplidos de ejecución presupuestaria a nivel de los Subtítulos 22 y 29, dentro de los plazos establecidos. (División Beneficios)
</t>
    </r>
  </si>
  <si>
    <t>(N° total de hitos de control definidos de ejecución presupuestaria a nivel de los Subtítulos 22 y 29) *100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</si>
  <si>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 los Subtítulos 22 y 29, dentro de los plazos establecidos. (Subdirección de Sistemas de Información y de Administración)</t>
    </r>
  </si>
  <si>
    <t>5.1.3.42</t>
  </si>
  <si>
    <r>
      <t xml:space="preserve">Eficacia/Proceso
</t>
    </r>
    <r>
      <rPr>
        <sz val="8"/>
        <rFont val="Arial Narrow"/>
        <family val="2"/>
      </rPr>
      <t xml:space="preserve">Porcentaje de hitos de control cumplidos de ejecución presupuestaria a nivel de los Subtítulos 22 y 29, dentro de los plazos establecidos. (Subdirección de Servicios al Cliente)
</t>
    </r>
  </si>
  <si>
    <t>5.1.3.43</t>
  </si>
  <si>
    <r>
      <t xml:space="preserve">Eficacia/Proceso
</t>
    </r>
    <r>
      <rPr>
        <sz val="8"/>
        <rFont val="Arial Narrow"/>
        <family val="2"/>
      </rPr>
      <t>Porcentaje de hitos de control cumplidos de ejecución presupuestaria a nivel de los Subtítulos 22 y 29, dentro de los plazos establecidos. (División Informática)</t>
    </r>
  </si>
  <si>
    <t>5.1.3.44</t>
  </si>
  <si>
    <r>
      <rPr>
        <b/>
        <sz val="8"/>
        <rFont val="Arial Narrow"/>
        <family val="2"/>
      </rPr>
      <t>8)</t>
    </r>
    <r>
      <rPr>
        <b/>
        <u/>
        <sz val="8"/>
        <rFont val="Arial Narrow"/>
        <family val="2"/>
      </rPr>
      <t xml:space="preserve"> Eficacia/Proceso
</t>
    </r>
    <r>
      <rPr>
        <sz val="8"/>
        <rFont val="Arial Narrow"/>
        <family val="2"/>
      </rPr>
      <t xml:space="preserve">Porcentaje de hitos de control cumplidos de ejecución presupuestaria a nivel de los Subtítulos 22 y 29, dentro de los plazos establecidos. (Departamento de Comunicaciones)
</t>
    </r>
  </si>
  <si>
    <t>5.1.3.45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</si>
  <si>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 los Subtítulos 22 y 29, dentro de los plazos establecidos. (División Planificación y Desarrollo)</t>
    </r>
  </si>
  <si>
    <t>5.1.3.46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</si>
  <si>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 los Subtítulos 22 y 29, dentro de los plazos establecidos. (Departamento Gestión y Desarrollo de Personas)</t>
    </r>
  </si>
  <si>
    <t>5.1.3.80</t>
  </si>
  <si>
    <r>
      <rPr>
        <b/>
        <sz val="8"/>
        <rFont val="Arial Narrow"/>
        <family val="2"/>
      </rPr>
      <t xml:space="preserve">6) </t>
    </r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 los Subtítulos 22 y 29, dentro de los plazos establecidos (TIC Chileatiende)</t>
    </r>
  </si>
  <si>
    <t>Gasto ejecutado de los subtítulos 22 y 29 al mes de noviembre del año t</t>
  </si>
  <si>
    <t>(Presupuesto vigente al mes de noviembre de los subtítulos 22 y 29 en el año t) *100</t>
  </si>
  <si>
    <t>DIRECCIONES REGIONALES</t>
  </si>
  <si>
    <t>5.1.3.60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</si>
  <si>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 Arica y Parinacota)</t>
    </r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</si>
  <si>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</si>
  <si>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(Sumatoria de hitos de control cumplidos de ejecución presupuestaria a nivel del Subtítulo 22 dentro de los plazos establecidos</t>
  </si>
  <si>
    <t>N° total de hitos de control definidos de ejecución presupuestaria a nivel del Subtítulo 22) *100</t>
  </si>
  <si>
    <t>5.1.3.65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</si>
  <si>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Tarapacá)</t>
    </r>
  </si>
  <si>
    <t>5.1.3.62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</si>
  <si>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 Antofagasta)</t>
    </r>
  </si>
  <si>
    <t>5.1.3.48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</si>
  <si>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 Atacama)</t>
    </r>
  </si>
  <si>
    <t>5.1.3.58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</si>
  <si>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 Coquimbo)</t>
    </r>
  </si>
  <si>
    <t>5.1.3.50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</si>
  <si>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 Valparaíso)</t>
    </r>
  </si>
  <si>
    <t>5.1.3.63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</si>
  <si>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del Libertador Bernardo O¨Higgins)</t>
    </r>
  </si>
  <si>
    <t>5.1.3.54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</si>
  <si>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del Maule)</t>
    </r>
  </si>
  <si>
    <t>5.1.3.52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</si>
  <si>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Ñuble)</t>
    </r>
  </si>
  <si>
    <t>5.1.3.59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</si>
  <si>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del Bio Bio)</t>
    </r>
  </si>
  <si>
    <t>5.1.3.61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</si>
  <si>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Araucanía)</t>
    </r>
  </si>
  <si>
    <t>5.1.3.56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</si>
  <si>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Los Ríos)</t>
    </r>
  </si>
  <si>
    <t>5.1.3.57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</si>
  <si>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 Los Lagos)</t>
    </r>
  </si>
  <si>
    <t>5.1.3.49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</si>
  <si>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Aisén)</t>
    </r>
  </si>
  <si>
    <t>5.1.3.55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</si>
  <si>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Magallanes)</t>
    </r>
  </si>
  <si>
    <t>5.1.3.53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</si>
  <si>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Metropolitana)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</si>
</sst>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"/>
  </numFmts>
  <fonts count="1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sz val="14"/>
      <name val="Arial Narrow"/>
      <family val="2"/>
    </font>
    <font>
      <b/>
      <sz val="12"/>
      <color indexed="12"/>
      <name val="Arial Narrow"/>
      <family val="2"/>
    </font>
    <font>
      <sz val="9"/>
      <name val="Arial Narrow"/>
      <family val="2"/>
    </font>
    <font>
      <sz val="12"/>
      <name val="Arial Narrow"/>
      <family val="2"/>
    </font>
    <font>
      <sz val="8"/>
      <color rgb="FFFF0000"/>
      <name val="Arial Narrow"/>
      <family val="2"/>
    </font>
    <font>
      <b/>
      <u/>
      <sz val="8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b/>
      <sz val="8"/>
      <color rgb="FF000000"/>
      <name val="Arial Narrow"/>
      <family val="2"/>
    </font>
    <font>
      <u/>
      <sz val="8"/>
      <color theme="1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FF00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9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3" fillId="0" borderId="0" xfId="0" applyFont="1"/>
    <xf numFmtId="0" fontId="7" fillId="0" borderId="4" xfId="0" applyFont="1" applyBorder="1" applyAlignment="1">
      <alignment horizontal="center"/>
    </xf>
    <xf numFmtId="0" fontId="5" fillId="0" borderId="0" xfId="0" applyFont="1"/>
    <xf numFmtId="0" fontId="8" fillId="0" borderId="0" xfId="0" applyFont="1"/>
    <xf numFmtId="3" fontId="7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9" fontId="5" fillId="0" borderId="5" xfId="4" applyFont="1" applyBorder="1" applyAlignment="1">
      <alignment vertical="center"/>
    </xf>
    <xf numFmtId="10" fontId="5" fillId="5" borderId="8" xfId="4" applyNumberFormat="1" applyFont="1" applyFill="1" applyBorder="1" applyAlignment="1" applyProtection="1">
      <alignment horizontal="right" vertical="center"/>
    </xf>
    <xf numFmtId="10" fontId="5" fillId="2" borderId="7" xfId="4" applyNumberFormat="1" applyFont="1" applyFill="1" applyBorder="1" applyAlignment="1" applyProtection="1">
      <alignment vertical="center"/>
    </xf>
    <xf numFmtId="9" fontId="5" fillId="0" borderId="8" xfId="4" applyFont="1" applyBorder="1" applyAlignment="1">
      <alignment vertical="center"/>
    </xf>
    <xf numFmtId="0" fontId="5" fillId="0" borderId="8" xfId="0" applyFont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3" fontId="5" fillId="2" borderId="8" xfId="0" applyNumberFormat="1" applyFont="1" applyFill="1" applyBorder="1" applyAlignment="1">
      <alignment horizontal="right" vertical="center" wrapText="1"/>
    </xf>
    <xf numFmtId="10" fontId="5" fillId="0" borderId="8" xfId="4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left" vertical="center" wrapText="1"/>
    </xf>
    <xf numFmtId="3" fontId="5" fillId="2" borderId="7" xfId="0" applyNumberFormat="1" applyFont="1" applyFill="1" applyBorder="1" applyAlignment="1">
      <alignment horizontal="left" vertical="center" wrapText="1"/>
    </xf>
    <xf numFmtId="3" fontId="5" fillId="2" borderId="9" xfId="0" applyNumberFormat="1" applyFont="1" applyFill="1" applyBorder="1" applyAlignment="1">
      <alignment horizontal="right" vertical="center" wrapText="1"/>
    </xf>
    <xf numFmtId="9" fontId="5" fillId="0" borderId="10" xfId="4" applyFont="1" applyBorder="1" applyAlignment="1">
      <alignment vertical="center"/>
    </xf>
    <xf numFmtId="3" fontId="5" fillId="5" borderId="10" xfId="0" applyNumberFormat="1" applyFont="1" applyFill="1" applyBorder="1" applyAlignment="1">
      <alignment horizontal="right" vertical="center" wrapText="1"/>
    </xf>
    <xf numFmtId="3" fontId="5" fillId="5" borderId="8" xfId="0" applyNumberFormat="1" applyFont="1" applyFill="1" applyBorder="1" applyAlignment="1">
      <alignment horizontal="right" vertical="center" wrapText="1"/>
    </xf>
    <xf numFmtId="10" fontId="4" fillId="7" borderId="8" xfId="4" applyNumberFormat="1" applyFont="1" applyFill="1" applyBorder="1" applyAlignment="1" applyProtection="1">
      <alignment horizontal="right" vertical="center"/>
    </xf>
    <xf numFmtId="3" fontId="5" fillId="6" borderId="8" xfId="0" applyNumberFormat="1" applyFont="1" applyFill="1" applyBorder="1" applyAlignment="1">
      <alignment horizontal="right" vertical="center" wrapText="1"/>
    </xf>
    <xf numFmtId="3" fontId="5" fillId="6" borderId="10" xfId="0" applyNumberFormat="1" applyFont="1" applyFill="1" applyBorder="1" applyAlignment="1">
      <alignment horizontal="right" vertical="center" wrapText="1"/>
    </xf>
    <xf numFmtId="0" fontId="12" fillId="0" borderId="0" xfId="0" applyFont="1"/>
    <xf numFmtId="0" fontId="7" fillId="0" borderId="0" xfId="0" applyFont="1" applyAlignment="1">
      <alignment horizontal="left"/>
    </xf>
    <xf numFmtId="10" fontId="5" fillId="2" borderId="8" xfId="7" applyNumberFormat="1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3" fontId="11" fillId="0" borderId="0" xfId="0" applyNumberFormat="1" applyFont="1" applyAlignment="1">
      <alignment horizontal="center" vertical="center" wrapText="1"/>
    </xf>
    <xf numFmtId="3" fontId="11" fillId="0" borderId="0" xfId="0" applyNumberFormat="1" applyFont="1" applyAlignment="1">
      <alignment horizontal="center"/>
    </xf>
    <xf numFmtId="0" fontId="11" fillId="0" borderId="4" xfId="0" applyFont="1" applyBorder="1" applyAlignment="1">
      <alignment horizontal="center"/>
    </xf>
    <xf numFmtId="3" fontId="11" fillId="0" borderId="4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4" fillId="0" borderId="5" xfId="0" applyFont="1" applyBorder="1" applyAlignment="1">
      <alignment horizontal="left" vertical="center" wrapText="1"/>
    </xf>
    <xf numFmtId="0" fontId="14" fillId="2" borderId="6" xfId="0" applyFont="1" applyFill="1" applyBorder="1" applyAlignment="1">
      <alignment horizontal="left" vertical="center" wrapText="1"/>
    </xf>
    <xf numFmtId="9" fontId="14" fillId="0" borderId="5" xfId="4" applyFont="1" applyBorder="1" applyAlignment="1">
      <alignment vertical="center"/>
    </xf>
    <xf numFmtId="10" fontId="14" fillId="3" borderId="8" xfId="4" applyNumberFormat="1" applyFont="1" applyFill="1" applyBorder="1" applyAlignment="1" applyProtection="1">
      <alignment horizontal="right" vertical="center"/>
    </xf>
    <xf numFmtId="10" fontId="14" fillId="2" borderId="7" xfId="4" applyNumberFormat="1" applyFont="1" applyFill="1" applyBorder="1" applyAlignment="1" applyProtection="1">
      <alignment vertical="center"/>
    </xf>
    <xf numFmtId="9" fontId="14" fillId="0" borderId="8" xfId="4" applyFont="1" applyBorder="1" applyAlignment="1">
      <alignment vertical="center"/>
    </xf>
    <xf numFmtId="0" fontId="14" fillId="0" borderId="8" xfId="0" applyFont="1" applyBorder="1" applyAlignment="1">
      <alignment horizontal="left" vertical="center" wrapText="1"/>
    </xf>
    <xf numFmtId="0" fontId="14" fillId="2" borderId="7" xfId="0" applyFont="1" applyFill="1" applyBorder="1" applyAlignment="1">
      <alignment horizontal="left" vertical="center" wrapText="1"/>
    </xf>
    <xf numFmtId="3" fontId="14" fillId="3" borderId="8" xfId="0" applyNumberFormat="1" applyFont="1" applyFill="1" applyBorder="1" applyAlignment="1">
      <alignment horizontal="right" vertical="center" wrapText="1"/>
    </xf>
    <xf numFmtId="3" fontId="14" fillId="2" borderId="8" xfId="0" applyNumberFormat="1" applyFont="1" applyFill="1" applyBorder="1" applyAlignment="1">
      <alignment horizontal="right" vertical="center" wrapText="1"/>
    </xf>
    <xf numFmtId="10" fontId="14" fillId="0" borderId="8" xfId="4" applyNumberFormat="1" applyFont="1" applyBorder="1" applyAlignment="1">
      <alignment horizontal="center" vertical="center"/>
    </xf>
    <xf numFmtId="3" fontId="14" fillId="0" borderId="8" xfId="0" applyNumberFormat="1" applyFont="1" applyBorder="1" applyAlignment="1">
      <alignment horizontal="left" vertical="center" wrapText="1"/>
    </xf>
    <xf numFmtId="3" fontId="14" fillId="2" borderId="7" xfId="0" applyNumberFormat="1" applyFont="1" applyFill="1" applyBorder="1" applyAlignment="1">
      <alignment horizontal="left" vertical="center" wrapText="1"/>
    </xf>
    <xf numFmtId="3" fontId="14" fillId="3" borderId="10" xfId="0" applyNumberFormat="1" applyFont="1" applyFill="1" applyBorder="1" applyAlignment="1">
      <alignment horizontal="right" vertical="center" wrapText="1"/>
    </xf>
    <xf numFmtId="3" fontId="14" fillId="2" borderId="9" xfId="0" applyNumberFormat="1" applyFont="1" applyFill="1" applyBorder="1" applyAlignment="1">
      <alignment horizontal="right" vertical="center" wrapText="1"/>
    </xf>
    <xf numFmtId="9" fontId="14" fillId="0" borderId="10" xfId="4" applyFont="1" applyBorder="1" applyAlignment="1">
      <alignment vertical="center"/>
    </xf>
    <xf numFmtId="0" fontId="5" fillId="2" borderId="5" xfId="0" applyFont="1" applyFill="1" applyBorder="1" applyAlignment="1">
      <alignment horizontal="left" vertical="center" wrapText="1"/>
    </xf>
    <xf numFmtId="2" fontId="5" fillId="2" borderId="8" xfId="4" applyNumberFormat="1" applyFont="1" applyFill="1" applyBorder="1" applyAlignment="1">
      <alignment vertical="center"/>
    </xf>
    <xf numFmtId="2" fontId="5" fillId="3" borderId="8" xfId="4" applyNumberFormat="1" applyFont="1" applyFill="1" applyBorder="1" applyAlignment="1">
      <alignment vertical="center"/>
    </xf>
    <xf numFmtId="0" fontId="5" fillId="2" borderId="8" xfId="0" applyFont="1" applyFill="1" applyBorder="1" applyAlignment="1">
      <alignment horizontal="left" vertical="center" wrapText="1"/>
    </xf>
    <xf numFmtId="3" fontId="5" fillId="2" borderId="8" xfId="0" applyNumberFormat="1" applyFont="1" applyFill="1" applyBorder="1" applyAlignment="1">
      <alignment horizontal="left" vertical="center" wrapText="1"/>
    </xf>
    <xf numFmtId="0" fontId="14" fillId="0" borderId="0" xfId="0" applyFont="1" applyProtection="1">
      <protection locked="0"/>
    </xf>
    <xf numFmtId="10" fontId="15" fillId="7" borderId="8" xfId="4" applyNumberFormat="1" applyFont="1" applyFill="1" applyBorder="1" applyAlignment="1" applyProtection="1">
      <alignment horizontal="right" vertical="center"/>
    </xf>
    <xf numFmtId="3" fontId="14" fillId="6" borderId="8" xfId="0" applyNumberFormat="1" applyFont="1" applyFill="1" applyBorder="1" applyAlignment="1">
      <alignment horizontal="right" vertical="center" wrapText="1"/>
    </xf>
    <xf numFmtId="164" fontId="14" fillId="3" borderId="8" xfId="0" applyNumberFormat="1" applyFont="1" applyFill="1" applyBorder="1" applyAlignment="1">
      <alignment horizontal="right" vertical="center" wrapText="1"/>
    </xf>
    <xf numFmtId="164" fontId="14" fillId="2" borderId="8" xfId="0" applyNumberFormat="1" applyFont="1" applyFill="1" applyBorder="1" applyAlignment="1">
      <alignment horizontal="right" vertical="center" wrapText="1"/>
    </xf>
    <xf numFmtId="0" fontId="7" fillId="0" borderId="12" xfId="0" applyFont="1" applyBorder="1" applyAlignment="1">
      <alignment wrapText="1"/>
    </xf>
    <xf numFmtId="0" fontId="18" fillId="0" borderId="0" xfId="0" applyFont="1" applyProtection="1">
      <protection locked="0"/>
    </xf>
    <xf numFmtId="1" fontId="5" fillId="8" borderId="5" xfId="0" applyNumberFormat="1" applyFont="1" applyFill="1" applyBorder="1" applyAlignment="1">
      <alignment horizontal="left" vertical="center" wrapText="1"/>
    </xf>
    <xf numFmtId="1" fontId="12" fillId="8" borderId="8" xfId="0" applyNumberFormat="1" applyFont="1" applyFill="1" applyBorder="1" applyAlignment="1">
      <alignment horizontal="left" vertical="center" wrapText="1"/>
    </xf>
    <xf numFmtId="1" fontId="12" fillId="8" borderId="10" xfId="0" applyNumberFormat="1" applyFont="1" applyFill="1" applyBorder="1" applyAlignment="1">
      <alignment horizontal="left" vertical="center" wrapText="1"/>
    </xf>
    <xf numFmtId="1" fontId="5" fillId="8" borderId="8" xfId="0" applyNumberFormat="1" applyFont="1" applyFill="1" applyBorder="1" applyAlignment="1">
      <alignment horizontal="left" vertical="center" wrapText="1"/>
    </xf>
    <xf numFmtId="1" fontId="5" fillId="8" borderId="10" xfId="0" applyNumberFormat="1" applyFont="1" applyFill="1" applyBorder="1" applyAlignment="1">
      <alignment horizontal="left" vertical="center" wrapText="1"/>
    </xf>
    <xf numFmtId="9" fontId="14" fillId="4" borderId="8" xfId="0" applyNumberFormat="1" applyFont="1" applyFill="1" applyBorder="1" applyAlignment="1">
      <alignment horizontal="left" vertical="center" wrapText="1"/>
    </xf>
    <xf numFmtId="0" fontId="14" fillId="4" borderId="8" xfId="0" applyFont="1" applyFill="1" applyBorder="1" applyAlignment="1">
      <alignment horizontal="left" wrapText="1"/>
    </xf>
    <xf numFmtId="0" fontId="14" fillId="4" borderId="10" xfId="0" applyFont="1" applyFill="1" applyBorder="1" applyAlignment="1">
      <alignment horizontal="left" wrapText="1"/>
    </xf>
    <xf numFmtId="9" fontId="14" fillId="4" borderId="5" xfId="0" applyNumberFormat="1" applyFont="1" applyFill="1" applyBorder="1" applyAlignment="1">
      <alignment horizontal="left" vertical="center" wrapText="1"/>
    </xf>
    <xf numFmtId="1" fontId="5" fillId="4" borderId="5" xfId="0" applyNumberFormat="1" applyFont="1" applyFill="1" applyBorder="1" applyAlignment="1">
      <alignment horizontal="left" vertical="center" wrapText="1"/>
    </xf>
    <xf numFmtId="1" fontId="5" fillId="4" borderId="8" xfId="0" applyNumberFormat="1" applyFont="1" applyFill="1" applyBorder="1" applyAlignment="1">
      <alignment horizontal="left" vertical="center" wrapText="1"/>
    </xf>
    <xf numFmtId="1" fontId="5" fillId="4" borderId="10" xfId="0" applyNumberFormat="1" applyFont="1" applyFill="1" applyBorder="1" applyAlignment="1">
      <alignment horizontal="left" vertical="center" wrapText="1"/>
    </xf>
    <xf numFmtId="0" fontId="4" fillId="2" borderId="5" xfId="2" applyFont="1" applyFill="1" applyBorder="1" applyAlignment="1">
      <alignment horizontal="center" vertical="center" wrapText="1"/>
    </xf>
    <xf numFmtId="0" fontId="4" fillId="2" borderId="10" xfId="2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wrapText="1"/>
    </xf>
    <xf numFmtId="0" fontId="10" fillId="0" borderId="12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4" fillId="4" borderId="5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left" vertical="center" wrapText="1"/>
    </xf>
    <xf numFmtId="0" fontId="15" fillId="4" borderId="8" xfId="0" applyFont="1" applyFill="1" applyBorder="1" applyAlignment="1">
      <alignment horizontal="left" vertical="center" wrapText="1"/>
    </xf>
    <xf numFmtId="0" fontId="15" fillId="4" borderId="10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vertical="top" wrapText="1"/>
    </xf>
    <xf numFmtId="0" fontId="5" fillId="8" borderId="8" xfId="0" applyFont="1" applyFill="1" applyBorder="1" applyAlignment="1">
      <alignment vertical="top" wrapText="1"/>
    </xf>
    <xf numFmtId="0" fontId="5" fillId="8" borderId="10" xfId="0" applyFont="1" applyFill="1" applyBorder="1" applyAlignment="1">
      <alignment vertical="top" wrapText="1"/>
    </xf>
    <xf numFmtId="0" fontId="5" fillId="8" borderId="5" xfId="0" applyFont="1" applyFill="1" applyBorder="1" applyAlignment="1">
      <alignment horizontal="left" vertical="center" wrapText="1"/>
    </xf>
    <xf numFmtId="0" fontId="5" fillId="8" borderId="8" xfId="0" applyFont="1" applyFill="1" applyBorder="1" applyAlignment="1">
      <alignment horizontal="left"/>
    </xf>
    <xf numFmtId="0" fontId="5" fillId="8" borderId="10" xfId="0" applyFont="1" applyFill="1" applyBorder="1" applyAlignment="1">
      <alignment horizontal="left"/>
    </xf>
    <xf numFmtId="0" fontId="5" fillId="4" borderId="5" xfId="0" applyFont="1" applyFill="1" applyBorder="1" applyAlignment="1">
      <alignment vertical="top" wrapText="1"/>
    </xf>
    <xf numFmtId="0" fontId="5" fillId="4" borderId="8" xfId="0" applyFont="1" applyFill="1" applyBorder="1" applyAlignment="1">
      <alignment vertical="top" wrapText="1"/>
    </xf>
    <xf numFmtId="0" fontId="5" fillId="4" borderId="10" xfId="0" applyFont="1" applyFill="1" applyBorder="1" applyAlignment="1">
      <alignment vertical="top" wrapText="1"/>
    </xf>
    <xf numFmtId="0" fontId="14" fillId="4" borderId="5" xfId="3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17" fillId="9" borderId="5" xfId="0" applyFont="1" applyFill="1" applyBorder="1" applyAlignment="1">
      <alignment horizontal="center" vertical="center" wrapText="1"/>
    </xf>
    <xf numFmtId="0" fontId="17" fillId="9" borderId="8" xfId="0" applyFont="1" applyFill="1" applyBorder="1" applyAlignment="1">
      <alignment horizontal="center" vertical="center" wrapText="1"/>
    </xf>
    <xf numFmtId="0" fontId="17" fillId="9" borderId="10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13" fillId="8" borderId="5" xfId="3" applyFont="1" applyFill="1" applyBorder="1" applyAlignment="1">
      <alignment horizontal="left" vertical="center" wrapText="1"/>
    </xf>
    <xf numFmtId="0" fontId="14" fillId="8" borderId="8" xfId="3" applyFont="1" applyFill="1" applyBorder="1" applyAlignment="1">
      <alignment horizontal="left" vertical="center"/>
    </xf>
    <xf numFmtId="0" fontId="14" fillId="8" borderId="10" xfId="3" applyFont="1" applyFill="1" applyBorder="1" applyAlignment="1">
      <alignment horizontal="left" vertical="center"/>
    </xf>
    <xf numFmtId="0" fontId="13" fillId="8" borderId="5" xfId="0" applyFont="1" applyFill="1" applyBorder="1" applyAlignment="1">
      <alignment horizontal="left" vertical="center" wrapText="1"/>
    </xf>
    <xf numFmtId="0" fontId="5" fillId="8" borderId="8" xfId="0" applyFont="1" applyFill="1" applyBorder="1" applyAlignment="1">
      <alignment horizontal="left" vertical="center"/>
    </xf>
    <xf numFmtId="0" fontId="5" fillId="8" borderId="10" xfId="0" applyFont="1" applyFill="1" applyBorder="1" applyAlignment="1">
      <alignment horizontal="left" vertical="center"/>
    </xf>
    <xf numFmtId="0" fontId="13" fillId="8" borderId="5" xfId="3" applyFont="1" applyFill="1" applyBorder="1" applyAlignment="1">
      <alignment horizontal="left" vertical="top" wrapText="1"/>
    </xf>
    <xf numFmtId="0" fontId="14" fillId="8" borderId="8" xfId="3" applyFont="1" applyFill="1" applyBorder="1" applyAlignment="1">
      <alignment horizontal="left" vertical="top"/>
    </xf>
    <xf numFmtId="0" fontId="14" fillId="8" borderId="10" xfId="3" applyFont="1" applyFill="1" applyBorder="1" applyAlignment="1">
      <alignment horizontal="left" vertical="top"/>
    </xf>
    <xf numFmtId="0" fontId="4" fillId="2" borderId="17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left" vertical="top" wrapText="1"/>
    </xf>
    <xf numFmtId="0" fontId="5" fillId="8" borderId="8" xfId="0" applyFont="1" applyFill="1" applyBorder="1" applyAlignment="1">
      <alignment horizontal="left" vertical="top"/>
    </xf>
    <xf numFmtId="0" fontId="5" fillId="8" borderId="10" xfId="0" applyFont="1" applyFill="1" applyBorder="1" applyAlignment="1">
      <alignment horizontal="left" vertical="top"/>
    </xf>
    <xf numFmtId="0" fontId="3" fillId="0" borderId="18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1" xfId="0" applyFont="1" applyBorder="1" applyAlignment="1">
      <alignment wrapText="1"/>
    </xf>
    <xf numFmtId="0" fontId="11" fillId="0" borderId="12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12" xfId="0" applyFont="1" applyBorder="1" applyAlignment="1">
      <alignment wrapText="1"/>
    </xf>
    <xf numFmtId="0" fontId="7" fillId="0" borderId="13" xfId="0" applyFont="1" applyBorder="1" applyAlignment="1">
      <alignment wrapText="1"/>
    </xf>
    <xf numFmtId="0" fontId="7" fillId="0" borderId="11" xfId="0" applyFont="1" applyBorder="1" applyAlignment="1">
      <alignment wrapText="1"/>
    </xf>
    <xf numFmtId="10" fontId="18" fillId="0" borderId="8" xfId="4" applyNumberFormat="1" applyFont="1" applyBorder="1" applyAlignment="1">
      <alignment horizontal="center" vertical="center"/>
    </xf>
    <xf numFmtId="0" fontId="14" fillId="4" borderId="8" xfId="3" applyFont="1" applyFill="1" applyBorder="1" applyAlignment="1"/>
    <xf numFmtId="0" fontId="14" fillId="4" borderId="10" xfId="3" applyFont="1" applyFill="1" applyBorder="1" applyAlignment="1"/>
  </cellXfs>
  <cellStyles count="10">
    <cellStyle name="Millares 2" xfId="1" xr:uid="{00000000-0005-0000-0000-000000000000}"/>
    <cellStyle name="Millares 2 2" xfId="8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  <cellStyle name="Normal 4" xfId="6" xr:uid="{00000000-0005-0000-0000-000005000000}"/>
    <cellStyle name="Porcentaje" xfId="4" builtinId="5"/>
    <cellStyle name="Porcentaje 2" xfId="5" xr:uid="{00000000-0005-0000-0000-000007000000}"/>
    <cellStyle name="Porcentaje 3" xfId="9" xr:uid="{00000000-0005-0000-0000-000008000000}"/>
    <cellStyle name="Porcentaje 4" xfId="7" xr:uid="{00000000-0005-0000-0000-000009000000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N215"/>
  <sheetViews>
    <sheetView showGridLines="0" tabSelected="1" topLeftCell="A8" zoomScaleNormal="100" workbookViewId="0">
      <pane xSplit="2" ySplit="5" topLeftCell="D23" activePane="bottomRight" state="frozen"/>
      <selection pane="bottomRight" activeCell="L46" sqref="L46"/>
      <selection pane="bottomLeft" activeCell="A13" sqref="A13"/>
      <selection pane="topRight" activeCell="D8" sqref="D8"/>
    </sheetView>
  </sheetViews>
  <sheetFormatPr defaultColWidth="11.42578125" defaultRowHeight="12.95"/>
  <cols>
    <col min="1" max="1" width="11.42578125" style="4"/>
    <col min="2" max="3" width="26.7109375" style="4" customWidth="1"/>
    <col min="4" max="4" width="28.5703125" style="4" customWidth="1"/>
    <col min="5" max="5" width="17" style="4" customWidth="1"/>
    <col min="6" max="11" width="10.7109375" style="3" customWidth="1"/>
    <col min="12" max="12" width="16" style="3" customWidth="1"/>
    <col min="13" max="13" width="21.28515625" style="4" customWidth="1"/>
    <col min="14" max="14" width="2.28515625" style="4" customWidth="1"/>
    <col min="15" max="16384" width="11.42578125" style="4"/>
  </cols>
  <sheetData>
    <row r="1" spans="1:14" s="12" customFormat="1" ht="12.75" customHeight="1">
      <c r="B1" s="98"/>
      <c r="C1" s="99"/>
      <c r="D1" s="91"/>
      <c r="E1" s="91"/>
      <c r="F1" s="13"/>
      <c r="G1" s="13"/>
      <c r="H1" s="13"/>
      <c r="I1" s="13"/>
      <c r="J1" s="13"/>
      <c r="K1" s="13"/>
      <c r="L1" s="13"/>
    </row>
    <row r="2" spans="1:14" s="12" customFormat="1" ht="12.75" customHeight="1">
      <c r="B2" s="100"/>
      <c r="C2" s="101"/>
      <c r="D2" s="92"/>
      <c r="E2" s="92"/>
      <c r="F2" s="13"/>
      <c r="G2" s="13"/>
      <c r="H2" s="13"/>
      <c r="I2" s="13"/>
      <c r="J2" s="13"/>
      <c r="K2" s="13"/>
      <c r="L2" s="13"/>
    </row>
    <row r="3" spans="1:14" s="12" customFormat="1" ht="15.75" customHeight="1">
      <c r="B3" s="100"/>
      <c r="C3" s="101"/>
      <c r="D3" s="92"/>
      <c r="E3" s="92"/>
      <c r="F3" s="13"/>
      <c r="G3" s="13"/>
      <c r="H3" s="13"/>
      <c r="I3" s="13"/>
      <c r="J3" s="13"/>
      <c r="K3" s="13"/>
      <c r="L3" s="13"/>
    </row>
    <row r="4" spans="1:14" s="12" customFormat="1" ht="12.75" customHeight="1">
      <c r="B4" s="100"/>
      <c r="C4" s="101"/>
      <c r="D4" s="92"/>
      <c r="E4" s="92"/>
      <c r="F4" s="13"/>
      <c r="G4" s="13"/>
      <c r="H4" s="13"/>
      <c r="I4" s="13"/>
      <c r="J4" s="13"/>
      <c r="K4" s="13"/>
      <c r="L4" s="13"/>
    </row>
    <row r="5" spans="1:14" s="12" customFormat="1" ht="20.25" customHeight="1">
      <c r="B5" s="102"/>
      <c r="C5" s="103"/>
      <c r="D5" s="93"/>
      <c r="E5" s="93"/>
      <c r="F5" s="13"/>
      <c r="G5" s="13"/>
      <c r="H5" s="13"/>
      <c r="I5" s="13"/>
      <c r="J5" s="13"/>
      <c r="K5" s="13"/>
      <c r="L5" s="13"/>
    </row>
    <row r="6" spans="1:14" ht="15" customHeight="1">
      <c r="B6" s="96"/>
      <c r="C6" s="97"/>
      <c r="D6" s="95"/>
      <c r="E6" s="95"/>
    </row>
    <row r="7" spans="1:14" ht="15" customHeight="1"/>
    <row r="8" spans="1:14" ht="15" customHeight="1">
      <c r="B8" s="10"/>
      <c r="C8" s="11"/>
      <c r="D8" s="8"/>
      <c r="E8" s="8"/>
      <c r="H8" s="9"/>
    </row>
    <row r="9" spans="1:14" ht="15" customHeight="1">
      <c r="B9" s="10" t="s">
        <v>0</v>
      </c>
      <c r="C9" s="10"/>
      <c r="D9" s="8"/>
      <c r="E9" s="8"/>
    </row>
    <row r="10" spans="1:14" ht="12" customHeight="1" thickBot="1">
      <c r="B10" s="5"/>
      <c r="C10" s="5"/>
      <c r="K10" s="6"/>
      <c r="L10" s="6"/>
      <c r="M10" s="1"/>
    </row>
    <row r="11" spans="1:14" s="2" customFormat="1" ht="22.9" customHeight="1" thickTop="1">
      <c r="A11" s="127" t="s">
        <v>1</v>
      </c>
      <c r="B11" s="89" t="s">
        <v>2</v>
      </c>
      <c r="C11" s="86" t="s">
        <v>3</v>
      </c>
      <c r="D11" s="86" t="s">
        <v>4</v>
      </c>
      <c r="E11" s="86" t="s">
        <v>5</v>
      </c>
      <c r="F11" s="86" t="s">
        <v>6</v>
      </c>
      <c r="G11" s="86" t="s">
        <v>7</v>
      </c>
      <c r="H11" s="89" t="s">
        <v>8</v>
      </c>
      <c r="I11" s="86" t="s">
        <v>9</v>
      </c>
      <c r="J11" s="86" t="s">
        <v>10</v>
      </c>
      <c r="K11" s="84" t="s">
        <v>11</v>
      </c>
      <c r="L11" s="86" t="s">
        <v>12</v>
      </c>
    </row>
    <row r="12" spans="1:14" s="2" customFormat="1" ht="22.9" customHeight="1" thickBot="1">
      <c r="A12" s="128"/>
      <c r="B12" s="110"/>
      <c r="C12" s="87"/>
      <c r="D12" s="87"/>
      <c r="E12" s="94"/>
      <c r="F12" s="88"/>
      <c r="G12" s="88"/>
      <c r="H12" s="90"/>
      <c r="I12" s="88"/>
      <c r="J12" s="87"/>
      <c r="K12" s="85"/>
      <c r="L12" s="87"/>
    </row>
    <row r="13" spans="1:14" s="65" customFormat="1" ht="22.9" customHeight="1" thickTop="1">
      <c r="A13" s="129" t="s">
        <v>13</v>
      </c>
      <c r="B13" s="107" t="s">
        <v>14</v>
      </c>
      <c r="C13" s="104" t="s">
        <v>15</v>
      </c>
      <c r="D13" s="81" t="s">
        <v>16</v>
      </c>
      <c r="E13" s="44" t="s">
        <v>17</v>
      </c>
      <c r="F13" s="16" t="s">
        <v>17</v>
      </c>
      <c r="G13" s="60" t="s">
        <v>17</v>
      </c>
      <c r="H13" s="16" t="s">
        <v>17</v>
      </c>
      <c r="I13" s="60" t="s">
        <v>17</v>
      </c>
      <c r="J13" s="16" t="s">
        <v>17</v>
      </c>
      <c r="K13" s="60" t="s">
        <v>17</v>
      </c>
      <c r="L13" s="46"/>
    </row>
    <row r="14" spans="1:14" s="65" customFormat="1" ht="22.9" customHeight="1">
      <c r="A14" s="130"/>
      <c r="B14" s="108"/>
      <c r="C14" s="105"/>
      <c r="D14" s="82"/>
      <c r="E14" s="66">
        <f>IF(E16&lt;&gt;0,+E16/E18,0%)</f>
        <v>0.85</v>
      </c>
      <c r="F14" s="62">
        <f>IF(F16&lt;&gt;0,ROUND(+F16/F18,4),0%)*100</f>
        <v>94.320000000000007</v>
      </c>
      <c r="G14" s="61" t="e">
        <f t="shared" ref="G14:I14" si="0">IF(G16&lt;&gt;0,+G16/G18,0%)</f>
        <v>#REF!</v>
      </c>
      <c r="H14" s="62">
        <f>IF(H16&lt;&gt;0,ROUND(+H16/H18,4),0%)*100</f>
        <v>94.48</v>
      </c>
      <c r="I14" s="61" t="e">
        <f t="shared" si="0"/>
        <v>#REF!</v>
      </c>
      <c r="J14" s="62">
        <f>IF(J16&lt;&gt;0,ROUND(+J16/J18,4),0%)*100</f>
        <v>94.52000000000001</v>
      </c>
      <c r="K14" s="61" t="e">
        <f>IF(K16&lt;&gt;0,+K16/K18,0%)</f>
        <v>#REF!</v>
      </c>
      <c r="L14" s="49"/>
    </row>
    <row r="15" spans="1:14" s="65" customFormat="1" ht="22.9" customHeight="1" thickBot="1">
      <c r="A15" s="130"/>
      <c r="B15" s="108"/>
      <c r="C15" s="105"/>
      <c r="D15" s="83"/>
      <c r="E15" s="50" t="s">
        <v>18</v>
      </c>
      <c r="F15" s="22" t="s">
        <v>18</v>
      </c>
      <c r="G15" s="63" t="s">
        <v>18</v>
      </c>
      <c r="H15" s="22" t="s">
        <v>18</v>
      </c>
      <c r="I15" s="63" t="s">
        <v>18</v>
      </c>
      <c r="J15" s="22" t="s">
        <v>18</v>
      </c>
      <c r="K15" s="63" t="s">
        <v>18</v>
      </c>
      <c r="L15" s="49"/>
    </row>
    <row r="16" spans="1:14" s="65" customFormat="1" ht="22.9" customHeight="1" thickTop="1">
      <c r="A16" s="130"/>
      <c r="B16" s="108"/>
      <c r="C16" s="105"/>
      <c r="D16" s="81" t="s">
        <v>19</v>
      </c>
      <c r="E16" s="33">
        <v>25500</v>
      </c>
      <c r="F16" s="31">
        <v>21237</v>
      </c>
      <c r="G16" s="24" t="e">
        <f>+#REF!+F16</f>
        <v>#REF!</v>
      </c>
      <c r="H16" s="31">
        <v>23177</v>
      </c>
      <c r="I16" s="24" t="e">
        <f>+G16+H16</f>
        <v>#REF!</v>
      </c>
      <c r="J16" s="31">
        <v>24830</v>
      </c>
      <c r="K16" s="24" t="e">
        <f>+I16+J16</f>
        <v>#REF!</v>
      </c>
      <c r="L16" s="54" t="e">
        <f>+K14/E14</f>
        <v>#REF!</v>
      </c>
      <c r="N16" s="71"/>
    </row>
    <row r="17" spans="1:12" s="65" customFormat="1" ht="22.9" customHeight="1">
      <c r="A17" s="130"/>
      <c r="B17" s="108"/>
      <c r="C17" s="105"/>
      <c r="D17" s="82"/>
      <c r="E17" s="26" t="s">
        <v>20</v>
      </c>
      <c r="F17" s="26" t="s">
        <v>20</v>
      </c>
      <c r="G17" s="27" t="s">
        <v>20</v>
      </c>
      <c r="H17" s="26" t="s">
        <v>20</v>
      </c>
      <c r="I17" s="27" t="s">
        <v>20</v>
      </c>
      <c r="J17" s="26" t="s">
        <v>20</v>
      </c>
      <c r="K17" s="64" t="s">
        <v>20</v>
      </c>
      <c r="L17" s="49"/>
    </row>
    <row r="18" spans="1:12" s="65" customFormat="1" ht="22.9" customHeight="1" thickBot="1">
      <c r="A18" s="131"/>
      <c r="B18" s="109"/>
      <c r="C18" s="106"/>
      <c r="D18" s="83"/>
      <c r="E18" s="33">
        <v>30000</v>
      </c>
      <c r="F18" s="30">
        <v>22517</v>
      </c>
      <c r="G18" s="28" t="e">
        <f>+#REF!+F18</f>
        <v>#REF!</v>
      </c>
      <c r="H18" s="30">
        <v>24531</v>
      </c>
      <c r="I18" s="28" t="e">
        <f>+G18+H18</f>
        <v>#REF!</v>
      </c>
      <c r="J18" s="30">
        <v>26269</v>
      </c>
      <c r="K18" s="28" t="e">
        <f>+I18+J18</f>
        <v>#REF!</v>
      </c>
      <c r="L18" s="59"/>
    </row>
    <row r="19" spans="1:12" s="35" customFormat="1" ht="22.9" customHeight="1" thickTop="1">
      <c r="A19" s="121" t="s">
        <v>21</v>
      </c>
      <c r="B19" s="111" t="s">
        <v>22</v>
      </c>
      <c r="C19" s="114" t="s">
        <v>23</v>
      </c>
      <c r="D19" s="72" t="s">
        <v>24</v>
      </c>
      <c r="E19" s="16" t="s">
        <v>17</v>
      </c>
      <c r="F19" s="16" t="s">
        <v>17</v>
      </c>
      <c r="G19" s="17" t="s">
        <v>17</v>
      </c>
      <c r="H19" s="16" t="s">
        <v>17</v>
      </c>
      <c r="I19" s="17" t="s">
        <v>17</v>
      </c>
      <c r="J19" s="16" t="s">
        <v>17</v>
      </c>
      <c r="K19" s="17" t="s">
        <v>17</v>
      </c>
      <c r="L19" s="18"/>
    </row>
    <row r="20" spans="1:12" s="35" customFormat="1" ht="22.9" customHeight="1">
      <c r="A20" s="122"/>
      <c r="B20" s="112"/>
      <c r="C20" s="115"/>
      <c r="D20" s="73"/>
      <c r="E20" s="32">
        <f t="shared" ref="E20:K20" si="1">IF(E22&lt;&gt;0,+E22/E24,0%)</f>
        <v>0.66666666666666663</v>
      </c>
      <c r="F20" s="19">
        <f t="shared" si="1"/>
        <v>0</v>
      </c>
      <c r="G20" s="20" t="e">
        <f t="shared" si="1"/>
        <v>#REF!</v>
      </c>
      <c r="H20" s="19">
        <f t="shared" si="1"/>
        <v>0</v>
      </c>
      <c r="I20" s="20" t="e">
        <f t="shared" si="1"/>
        <v>#REF!</v>
      </c>
      <c r="J20" s="19">
        <f t="shared" si="1"/>
        <v>0</v>
      </c>
      <c r="K20" s="20" t="e">
        <f t="shared" si="1"/>
        <v>#REF!</v>
      </c>
      <c r="L20" s="21"/>
    </row>
    <row r="21" spans="1:12" s="35" customFormat="1" ht="22.9" customHeight="1" thickBot="1">
      <c r="A21" s="122"/>
      <c r="B21" s="112"/>
      <c r="C21" s="115"/>
      <c r="D21" s="74"/>
      <c r="E21" s="22" t="s">
        <v>18</v>
      </c>
      <c r="F21" s="22" t="s">
        <v>18</v>
      </c>
      <c r="G21" s="23" t="s">
        <v>18</v>
      </c>
      <c r="H21" s="22" t="s">
        <v>18</v>
      </c>
      <c r="I21" s="23" t="s">
        <v>18</v>
      </c>
      <c r="J21" s="22" t="s">
        <v>18</v>
      </c>
      <c r="K21" s="23" t="s">
        <v>18</v>
      </c>
      <c r="L21" s="21"/>
    </row>
    <row r="22" spans="1:12" s="35" customFormat="1" ht="22.9" customHeight="1" thickTop="1">
      <c r="A22" s="122"/>
      <c r="B22" s="112"/>
      <c r="C22" s="115"/>
      <c r="D22" s="72" t="s">
        <v>25</v>
      </c>
      <c r="E22" s="33">
        <v>2</v>
      </c>
      <c r="F22" s="31">
        <v>0</v>
      </c>
      <c r="G22" s="24" t="e">
        <f>+#REF!+F22</f>
        <v>#REF!</v>
      </c>
      <c r="H22" s="31">
        <v>0</v>
      </c>
      <c r="I22" s="24" t="e">
        <f>+G22+H22</f>
        <v>#REF!</v>
      </c>
      <c r="J22" s="31">
        <v>0</v>
      </c>
      <c r="K22" s="24" t="e">
        <f>+I22+J22</f>
        <v>#REF!</v>
      </c>
      <c r="L22" s="25" t="e">
        <f>K20/E20</f>
        <v>#REF!</v>
      </c>
    </row>
    <row r="23" spans="1:12" s="35" customFormat="1" ht="22.9" customHeight="1">
      <c r="A23" s="122"/>
      <c r="B23" s="112"/>
      <c r="C23" s="115"/>
      <c r="D23" s="75"/>
      <c r="E23" s="26" t="s">
        <v>20</v>
      </c>
      <c r="F23" s="26" t="s">
        <v>20</v>
      </c>
      <c r="G23" s="27" t="s">
        <v>20</v>
      </c>
      <c r="H23" s="26" t="s">
        <v>20</v>
      </c>
      <c r="I23" s="27" t="s">
        <v>20</v>
      </c>
      <c r="J23" s="26" t="s">
        <v>20</v>
      </c>
      <c r="K23" s="27" t="s">
        <v>20</v>
      </c>
      <c r="L23" s="21"/>
    </row>
    <row r="24" spans="1:12" s="35" customFormat="1" ht="22.9" customHeight="1" thickBot="1">
      <c r="A24" s="123"/>
      <c r="B24" s="113"/>
      <c r="C24" s="116"/>
      <c r="D24" s="76"/>
      <c r="E24" s="34">
        <v>3</v>
      </c>
      <c r="F24" s="30">
        <v>3</v>
      </c>
      <c r="G24" s="28">
        <v>3</v>
      </c>
      <c r="H24" s="30">
        <v>3</v>
      </c>
      <c r="I24" s="28">
        <v>3</v>
      </c>
      <c r="J24" s="30">
        <v>3</v>
      </c>
      <c r="K24" s="28">
        <v>3</v>
      </c>
      <c r="L24" s="29"/>
    </row>
    <row r="25" spans="1:12" s="35" customFormat="1" ht="22.9" customHeight="1" thickTop="1">
      <c r="A25" s="121" t="s">
        <v>26</v>
      </c>
      <c r="B25" s="111" t="s">
        <v>27</v>
      </c>
      <c r="C25" s="114" t="s">
        <v>28</v>
      </c>
      <c r="D25" s="72" t="s">
        <v>29</v>
      </c>
      <c r="E25" s="16" t="s">
        <v>17</v>
      </c>
      <c r="F25" s="16" t="s">
        <v>17</v>
      </c>
      <c r="G25" s="17" t="s">
        <v>17</v>
      </c>
      <c r="H25" s="16" t="s">
        <v>17</v>
      </c>
      <c r="I25" s="17" t="s">
        <v>17</v>
      </c>
      <c r="J25" s="16" t="s">
        <v>17</v>
      </c>
      <c r="K25" s="17" t="s">
        <v>17</v>
      </c>
      <c r="L25" s="18"/>
    </row>
    <row r="26" spans="1:12" s="35" customFormat="1" ht="22.9" customHeight="1">
      <c r="A26" s="122"/>
      <c r="B26" s="112"/>
      <c r="C26" s="115"/>
      <c r="D26" s="73"/>
      <c r="E26" s="32">
        <f t="shared" ref="E26" si="2">IF(E28&lt;&gt;0,+E28/E30,0%)</f>
        <v>0.8</v>
      </c>
      <c r="F26" s="19">
        <f>IF(F28&lt;&gt;0,+F28/F30,0%)</f>
        <v>0.70807453416149069</v>
      </c>
      <c r="G26" s="37">
        <v>0</v>
      </c>
      <c r="H26" s="19">
        <f>IF(H28&lt;&gt;0,+H28/H30,0%)</f>
        <v>0.82933333333333337</v>
      </c>
      <c r="I26" s="37">
        <v>0</v>
      </c>
      <c r="J26" s="19">
        <f>IF(J28&lt;&gt;0,+J28/J30,0%)</f>
        <v>1.7190476190476192</v>
      </c>
      <c r="K26" s="20" t="e">
        <f t="shared" ref="K26" si="3">IF(K28&lt;&gt;0,+K28/K30,0%)</f>
        <v>#REF!</v>
      </c>
      <c r="L26" s="21"/>
    </row>
    <row r="27" spans="1:12" s="35" customFormat="1" ht="22.9" customHeight="1" thickBot="1">
      <c r="A27" s="122"/>
      <c r="B27" s="112"/>
      <c r="C27" s="115"/>
      <c r="D27" s="74"/>
      <c r="E27" s="22" t="s">
        <v>18</v>
      </c>
      <c r="F27" s="22" t="s">
        <v>18</v>
      </c>
      <c r="G27" s="23" t="s">
        <v>18</v>
      </c>
      <c r="H27" s="22" t="s">
        <v>18</v>
      </c>
      <c r="I27" s="23" t="s">
        <v>18</v>
      </c>
      <c r="J27" s="22" t="s">
        <v>18</v>
      </c>
      <c r="K27" s="23" t="s">
        <v>18</v>
      </c>
      <c r="L27" s="21"/>
    </row>
    <row r="28" spans="1:12" s="35" customFormat="1" ht="22.9" customHeight="1" thickTop="1">
      <c r="A28" s="122"/>
      <c r="B28" s="112"/>
      <c r="C28" s="115"/>
      <c r="D28" s="72" t="s">
        <v>30</v>
      </c>
      <c r="E28" s="33">
        <v>2200</v>
      </c>
      <c r="F28" s="52">
        <v>228</v>
      </c>
      <c r="G28" s="53" t="e">
        <f>+#REF!+F28</f>
        <v>#REF!</v>
      </c>
      <c r="H28" s="52">
        <v>311</v>
      </c>
      <c r="I28" s="53" t="e">
        <f t="shared" ref="I28" si="4">+G28+H28</f>
        <v>#REF!</v>
      </c>
      <c r="J28" s="52">
        <v>361</v>
      </c>
      <c r="K28" s="53" t="e">
        <f t="shared" ref="K28" si="5">+I28+J28</f>
        <v>#REF!</v>
      </c>
      <c r="L28" s="25" t="e">
        <f>K26/E26</f>
        <v>#REF!</v>
      </c>
    </row>
    <row r="29" spans="1:12" s="35" customFormat="1" ht="22.9" customHeight="1">
      <c r="A29" s="122"/>
      <c r="B29" s="112"/>
      <c r="C29" s="115"/>
      <c r="D29" s="75"/>
      <c r="E29" s="26" t="s">
        <v>20</v>
      </c>
      <c r="F29" s="55" t="s">
        <v>20</v>
      </c>
      <c r="G29" s="56" t="s">
        <v>20</v>
      </c>
      <c r="H29" s="55" t="s">
        <v>20</v>
      </c>
      <c r="I29" s="56" t="s">
        <v>20</v>
      </c>
      <c r="J29" s="55" t="s">
        <v>20</v>
      </c>
      <c r="K29" s="56" t="s">
        <v>20</v>
      </c>
      <c r="L29" s="21"/>
    </row>
    <row r="30" spans="1:12" s="35" customFormat="1" ht="22.9" customHeight="1" thickBot="1">
      <c r="A30" s="123"/>
      <c r="B30" s="113"/>
      <c r="C30" s="116"/>
      <c r="D30" s="76"/>
      <c r="E30" s="34">
        <v>2750</v>
      </c>
      <c r="F30" s="30">
        <v>322</v>
      </c>
      <c r="G30" s="28" t="e">
        <f>+#REF!+F30</f>
        <v>#REF!</v>
      </c>
      <c r="H30" s="30">
        <v>375</v>
      </c>
      <c r="I30" s="28" t="e">
        <f t="shared" ref="I30" si="6">+G30+H30</f>
        <v>#REF!</v>
      </c>
      <c r="J30" s="30">
        <v>210</v>
      </c>
      <c r="K30" s="28" t="e">
        <f>+I30+J30</f>
        <v>#REF!</v>
      </c>
      <c r="L30" s="29"/>
    </row>
    <row r="31" spans="1:12" s="35" customFormat="1" ht="22.9" customHeight="1" thickTop="1">
      <c r="A31" s="121" t="s">
        <v>31</v>
      </c>
      <c r="B31" s="111" t="s">
        <v>32</v>
      </c>
      <c r="C31" s="114" t="s">
        <v>33</v>
      </c>
      <c r="D31" s="72" t="s">
        <v>34</v>
      </c>
      <c r="E31" s="16" t="s">
        <v>17</v>
      </c>
      <c r="F31" s="16" t="s">
        <v>17</v>
      </c>
      <c r="G31" s="17" t="s">
        <v>17</v>
      </c>
      <c r="H31" s="16" t="s">
        <v>17</v>
      </c>
      <c r="I31" s="17" t="s">
        <v>17</v>
      </c>
      <c r="J31" s="16" t="s">
        <v>17</v>
      </c>
      <c r="K31" s="17" t="s">
        <v>17</v>
      </c>
      <c r="L31" s="18"/>
    </row>
    <row r="32" spans="1:12" s="35" customFormat="1" ht="22.9" customHeight="1">
      <c r="A32" s="122"/>
      <c r="B32" s="112"/>
      <c r="C32" s="115"/>
      <c r="D32" s="73"/>
      <c r="E32" s="32">
        <f t="shared" ref="E32" si="7">IF(E34&lt;&gt;0,+E34/E36,0%)</f>
        <v>0.85</v>
      </c>
      <c r="F32" s="19">
        <f>IF(F34&lt;&gt;0,+F34/F36,0%)</f>
        <v>1</v>
      </c>
      <c r="G32" s="37">
        <v>0</v>
      </c>
      <c r="H32" s="19">
        <f>IF(H34&lt;&gt;0,+H34/H36,0%)</f>
        <v>0.88235294117647056</v>
      </c>
      <c r="I32" s="37">
        <v>0</v>
      </c>
      <c r="J32" s="19">
        <f>IF(J34&lt;&gt;0,+J34/J36,0%)</f>
        <v>0.83333333333333337</v>
      </c>
      <c r="K32" s="20" t="e">
        <f t="shared" ref="K32" si="8">IF(K34&lt;&gt;0,+K34/K36,0%)</f>
        <v>#REF!</v>
      </c>
      <c r="L32" s="21"/>
    </row>
    <row r="33" spans="1:12" s="35" customFormat="1" ht="22.9" customHeight="1" thickBot="1">
      <c r="A33" s="122"/>
      <c r="B33" s="112"/>
      <c r="C33" s="115"/>
      <c r="D33" s="74"/>
      <c r="E33" s="22" t="s">
        <v>18</v>
      </c>
      <c r="F33" s="22" t="s">
        <v>18</v>
      </c>
      <c r="G33" s="23" t="s">
        <v>18</v>
      </c>
      <c r="H33" s="22" t="s">
        <v>18</v>
      </c>
      <c r="I33" s="23" t="s">
        <v>18</v>
      </c>
      <c r="J33" s="22" t="s">
        <v>18</v>
      </c>
      <c r="K33" s="23" t="s">
        <v>18</v>
      </c>
      <c r="L33" s="21"/>
    </row>
    <row r="34" spans="1:12" s="35" customFormat="1" ht="22.9" customHeight="1" thickTop="1">
      <c r="A34" s="122"/>
      <c r="B34" s="112"/>
      <c r="C34" s="115"/>
      <c r="D34" s="72" t="s">
        <v>35</v>
      </c>
      <c r="E34" s="33">
        <v>136</v>
      </c>
      <c r="F34" s="52">
        <v>11</v>
      </c>
      <c r="G34" s="53" t="e">
        <f>+#REF!+F34</f>
        <v>#REF!</v>
      </c>
      <c r="H34" s="52">
        <v>15</v>
      </c>
      <c r="I34" s="53" t="e">
        <f t="shared" ref="I34" si="9">+G34+H34</f>
        <v>#REF!</v>
      </c>
      <c r="J34" s="52">
        <v>5</v>
      </c>
      <c r="K34" s="53" t="e">
        <f t="shared" ref="K34" si="10">+I34+J34</f>
        <v>#REF!</v>
      </c>
      <c r="L34" s="25" t="e">
        <f>K32/E32</f>
        <v>#REF!</v>
      </c>
    </row>
    <row r="35" spans="1:12" s="35" customFormat="1" ht="22.9" customHeight="1">
      <c r="A35" s="122"/>
      <c r="B35" s="112"/>
      <c r="C35" s="115"/>
      <c r="D35" s="75"/>
      <c r="E35" s="26" t="s">
        <v>20</v>
      </c>
      <c r="F35" s="55" t="s">
        <v>20</v>
      </c>
      <c r="G35" s="56" t="s">
        <v>20</v>
      </c>
      <c r="H35" s="55" t="s">
        <v>20</v>
      </c>
      <c r="I35" s="56" t="s">
        <v>20</v>
      </c>
      <c r="J35" s="55" t="s">
        <v>20</v>
      </c>
      <c r="K35" s="56" t="s">
        <v>20</v>
      </c>
      <c r="L35" s="21"/>
    </row>
    <row r="36" spans="1:12" s="35" customFormat="1" ht="22.9" customHeight="1" thickBot="1">
      <c r="A36" s="123"/>
      <c r="B36" s="113"/>
      <c r="C36" s="116"/>
      <c r="D36" s="76"/>
      <c r="E36" s="34">
        <v>160</v>
      </c>
      <c r="F36" s="30">
        <v>11</v>
      </c>
      <c r="G36" s="28" t="e">
        <f>+#REF!+F36</f>
        <v>#REF!</v>
      </c>
      <c r="H36" s="30">
        <v>17</v>
      </c>
      <c r="I36" s="28" t="e">
        <f t="shared" ref="I36" si="11">+G36+H36</f>
        <v>#REF!</v>
      </c>
      <c r="J36" s="30">
        <v>6</v>
      </c>
      <c r="K36" s="28" t="e">
        <f>+I36+J36</f>
        <v>#REF!</v>
      </c>
      <c r="L36" s="29"/>
    </row>
    <row r="37" spans="1:12" s="35" customFormat="1" ht="22.9" customHeight="1" thickTop="1">
      <c r="A37" s="121" t="s">
        <v>36</v>
      </c>
      <c r="B37" s="111" t="s">
        <v>37</v>
      </c>
      <c r="C37" s="114" t="s">
        <v>38</v>
      </c>
      <c r="D37" s="72" t="s">
        <v>39</v>
      </c>
      <c r="E37" s="16" t="s">
        <v>17</v>
      </c>
      <c r="F37" s="16" t="s">
        <v>17</v>
      </c>
      <c r="G37" s="17" t="s">
        <v>17</v>
      </c>
      <c r="H37" s="16" t="s">
        <v>17</v>
      </c>
      <c r="I37" s="17" t="s">
        <v>17</v>
      </c>
      <c r="J37" s="16" t="s">
        <v>17</v>
      </c>
      <c r="K37" s="17" t="s">
        <v>17</v>
      </c>
      <c r="L37" s="18"/>
    </row>
    <row r="38" spans="1:12" s="35" customFormat="1" ht="22.9" customHeight="1">
      <c r="A38" s="122"/>
      <c r="B38" s="112"/>
      <c r="C38" s="115"/>
      <c r="D38" s="73"/>
      <c r="E38" s="32">
        <f t="shared" ref="E38" si="12">IF(E40&lt;&gt;0,+E40/E42,0%)</f>
        <v>0.8</v>
      </c>
      <c r="F38" s="19">
        <f>IF(F40&lt;&gt;0,+F40/F42,0%)</f>
        <v>0.99591836734693873</v>
      </c>
      <c r="G38" s="37">
        <v>0</v>
      </c>
      <c r="H38" s="19">
        <f>IF(H40&lt;&gt;0,+H40/H42,0%)</f>
        <v>0.98878085265519822</v>
      </c>
      <c r="I38" s="37">
        <v>0</v>
      </c>
      <c r="J38" s="19">
        <f>IF(J40&lt;&gt;0,+J40/J42,0%)</f>
        <v>0.95810055865921784</v>
      </c>
      <c r="K38" s="20">
        <f t="shared" ref="K38" si="13">IF(K40&lt;&gt;0,+K40/K42,0%)</f>
        <v>0.98089171974522293</v>
      </c>
      <c r="L38" s="21"/>
    </row>
    <row r="39" spans="1:12" s="35" customFormat="1" ht="22.9" customHeight="1" thickBot="1">
      <c r="A39" s="122"/>
      <c r="B39" s="112"/>
      <c r="C39" s="115"/>
      <c r="D39" s="74"/>
      <c r="E39" s="22" t="s">
        <v>18</v>
      </c>
      <c r="F39" s="22" t="s">
        <v>18</v>
      </c>
      <c r="G39" s="23" t="s">
        <v>18</v>
      </c>
      <c r="H39" s="22" t="s">
        <v>18</v>
      </c>
      <c r="I39" s="23" t="s">
        <v>18</v>
      </c>
      <c r="J39" s="22" t="s">
        <v>18</v>
      </c>
      <c r="K39" s="23" t="s">
        <v>18</v>
      </c>
      <c r="L39" s="21"/>
    </row>
    <row r="40" spans="1:12" s="35" customFormat="1" ht="22.9" customHeight="1" thickTop="1">
      <c r="A40" s="122"/>
      <c r="B40" s="112"/>
      <c r="C40" s="115"/>
      <c r="D40" s="72" t="s">
        <v>40</v>
      </c>
      <c r="E40" s="33">
        <v>14320</v>
      </c>
      <c r="F40" s="52">
        <v>1464</v>
      </c>
      <c r="G40" s="53">
        <f>F40</f>
        <v>1464</v>
      </c>
      <c r="H40" s="52">
        <v>1322</v>
      </c>
      <c r="I40" s="53">
        <f t="shared" ref="I40" si="14">+G40+H40</f>
        <v>2786</v>
      </c>
      <c r="J40" s="52">
        <v>1372</v>
      </c>
      <c r="K40" s="53">
        <f t="shared" ref="K40" si="15">+I40+J40</f>
        <v>4158</v>
      </c>
      <c r="L40" s="25">
        <f>K38/E38</f>
        <v>1.2261146496815285</v>
      </c>
    </row>
    <row r="41" spans="1:12" s="35" customFormat="1" ht="22.9" customHeight="1">
      <c r="A41" s="122"/>
      <c r="B41" s="112"/>
      <c r="C41" s="115"/>
      <c r="D41" s="75"/>
      <c r="E41" s="26" t="s">
        <v>20</v>
      </c>
      <c r="F41" s="55" t="s">
        <v>20</v>
      </c>
      <c r="G41" s="56" t="s">
        <v>20</v>
      </c>
      <c r="H41" s="55" t="s">
        <v>20</v>
      </c>
      <c r="I41" s="56" t="s">
        <v>20</v>
      </c>
      <c r="J41" s="55" t="s">
        <v>20</v>
      </c>
      <c r="K41" s="56" t="s">
        <v>20</v>
      </c>
      <c r="L41" s="21"/>
    </row>
    <row r="42" spans="1:12" s="35" customFormat="1" ht="22.9" customHeight="1" thickBot="1">
      <c r="A42" s="123"/>
      <c r="B42" s="113"/>
      <c r="C42" s="116"/>
      <c r="D42" s="76"/>
      <c r="E42" s="34">
        <v>17900</v>
      </c>
      <c r="F42" s="30">
        <v>1470</v>
      </c>
      <c r="G42" s="28">
        <f>F42</f>
        <v>1470</v>
      </c>
      <c r="H42" s="30">
        <v>1337</v>
      </c>
      <c r="I42" s="28">
        <f t="shared" ref="I42" si="16">+G42+H42</f>
        <v>2807</v>
      </c>
      <c r="J42" s="30">
        <v>1432</v>
      </c>
      <c r="K42" s="28">
        <f>+I42+J42</f>
        <v>4239</v>
      </c>
      <c r="L42" s="29"/>
    </row>
    <row r="43" spans="1:12" s="7" customFormat="1" ht="22.9" customHeight="1" thickTop="1">
      <c r="A43" s="124" t="s">
        <v>41</v>
      </c>
      <c r="B43" s="117" t="s">
        <v>42</v>
      </c>
      <c r="C43" s="120" t="s">
        <v>43</v>
      </c>
      <c r="D43" s="77" t="s">
        <v>44</v>
      </c>
      <c r="E43" s="44" t="s">
        <v>17</v>
      </c>
      <c r="F43" s="44" t="s">
        <v>17</v>
      </c>
      <c r="G43" s="45" t="s">
        <v>17</v>
      </c>
      <c r="H43" s="44" t="s">
        <v>17</v>
      </c>
      <c r="I43" s="45" t="s">
        <v>17</v>
      </c>
      <c r="J43" s="44" t="s">
        <v>17</v>
      </c>
      <c r="K43" s="45" t="s">
        <v>17</v>
      </c>
      <c r="L43" s="46"/>
    </row>
    <row r="44" spans="1:12" s="7" customFormat="1" ht="22.9" customHeight="1">
      <c r="A44" s="125"/>
      <c r="B44" s="118"/>
      <c r="C44" s="167"/>
      <c r="D44" s="78"/>
      <c r="E44" s="66">
        <f>IF(E46&lt;&gt;0,+E46/E48,0%)</f>
        <v>1</v>
      </c>
      <c r="F44" s="47">
        <f>IF(F46&lt;&gt;0,+F46/F48,0%)</f>
        <v>0.25</v>
      </c>
      <c r="G44" s="48" t="e">
        <f t="shared" ref="G44" si="17">IF(G46&lt;&gt;0,+G46/G48,0%)</f>
        <v>#REF!</v>
      </c>
      <c r="H44" s="47">
        <f>IF(H46&lt;&gt;0,+H46/H48,0%)</f>
        <v>0</v>
      </c>
      <c r="I44" s="48" t="e">
        <f t="shared" ref="I44" si="18">IF(I46&lt;&gt;0,+I46/I48,0%)</f>
        <v>#REF!</v>
      </c>
      <c r="J44" s="47">
        <f>IF(J46&lt;&gt;0,+J46/J48,0%)</f>
        <v>0</v>
      </c>
      <c r="K44" s="48" t="e">
        <f t="shared" ref="K44" si="19">IF(K46&lt;&gt;0,+K46/K48,0%)</f>
        <v>#REF!</v>
      </c>
      <c r="L44" s="49"/>
    </row>
    <row r="45" spans="1:12" s="7" customFormat="1" ht="22.9" customHeight="1" thickBot="1">
      <c r="A45" s="125"/>
      <c r="B45" s="118"/>
      <c r="C45" s="167"/>
      <c r="D45" s="79"/>
      <c r="E45" s="50" t="s">
        <v>18</v>
      </c>
      <c r="F45" s="50" t="s">
        <v>18</v>
      </c>
      <c r="G45" s="51" t="s">
        <v>18</v>
      </c>
      <c r="H45" s="50" t="s">
        <v>18</v>
      </c>
      <c r="I45" s="51" t="s">
        <v>18</v>
      </c>
      <c r="J45" s="50" t="s">
        <v>18</v>
      </c>
      <c r="K45" s="51" t="s">
        <v>18</v>
      </c>
      <c r="L45" s="49"/>
    </row>
    <row r="46" spans="1:12" s="7" customFormat="1" ht="22.9" customHeight="1" thickTop="1">
      <c r="A46" s="125"/>
      <c r="B46" s="118"/>
      <c r="C46" s="167"/>
      <c r="D46" s="80" t="s">
        <v>45</v>
      </c>
      <c r="E46" s="67">
        <v>4</v>
      </c>
      <c r="F46" s="52">
        <v>1</v>
      </c>
      <c r="G46" s="53" t="e">
        <f>+#REF!+F46</f>
        <v>#REF!</v>
      </c>
      <c r="H46" s="52">
        <v>0</v>
      </c>
      <c r="I46" s="53" t="e">
        <f t="shared" ref="I46" si="20">+G46+H46</f>
        <v>#REF!</v>
      </c>
      <c r="J46" s="68">
        <v>0</v>
      </c>
      <c r="K46" s="69" t="e">
        <f>+I46+J46</f>
        <v>#REF!</v>
      </c>
      <c r="L46" s="166" t="e">
        <f>+K44/E44</f>
        <v>#REF!</v>
      </c>
    </row>
    <row r="47" spans="1:12" s="7" customFormat="1" ht="22.9" customHeight="1">
      <c r="A47" s="125"/>
      <c r="B47" s="118"/>
      <c r="C47" s="167"/>
      <c r="D47" s="77"/>
      <c r="E47" s="55" t="s">
        <v>20</v>
      </c>
      <c r="F47" s="55" t="s">
        <v>20</v>
      </c>
      <c r="G47" s="56" t="s">
        <v>20</v>
      </c>
      <c r="H47" s="55" t="s">
        <v>20</v>
      </c>
      <c r="I47" s="56" t="s">
        <v>20</v>
      </c>
      <c r="J47" s="55" t="s">
        <v>20</v>
      </c>
      <c r="K47" s="56" t="s">
        <v>20</v>
      </c>
      <c r="L47" s="49"/>
    </row>
    <row r="48" spans="1:12" s="7" customFormat="1" ht="22.9" customHeight="1" thickBot="1">
      <c r="A48" s="126"/>
      <c r="B48" s="119"/>
      <c r="C48" s="168"/>
      <c r="D48" s="79"/>
      <c r="E48" s="67">
        <v>4</v>
      </c>
      <c r="F48" s="30">
        <v>4</v>
      </c>
      <c r="G48" s="28">
        <v>4</v>
      </c>
      <c r="H48" s="30">
        <v>4</v>
      </c>
      <c r="I48" s="28">
        <v>4</v>
      </c>
      <c r="J48" s="30">
        <v>4</v>
      </c>
      <c r="K48" s="28">
        <v>4</v>
      </c>
      <c r="L48" s="59"/>
    </row>
    <row r="49" spans="4:4" ht="13.5" thickTop="1">
      <c r="D49" s="36"/>
    </row>
    <row r="50" spans="4:4">
      <c r="D50" s="36"/>
    </row>
    <row r="51" spans="4:4">
      <c r="D51" s="36"/>
    </row>
    <row r="52" spans="4:4">
      <c r="D52" s="36"/>
    </row>
    <row r="53" spans="4:4">
      <c r="D53" s="36"/>
    </row>
    <row r="54" spans="4:4">
      <c r="D54" s="36"/>
    </row>
    <row r="55" spans="4:4">
      <c r="D55" s="36"/>
    </row>
    <row r="56" spans="4:4">
      <c r="D56" s="36"/>
    </row>
    <row r="57" spans="4:4">
      <c r="D57" s="36"/>
    </row>
    <row r="58" spans="4:4">
      <c r="D58" s="36"/>
    </row>
    <row r="59" spans="4:4">
      <c r="D59" s="36"/>
    </row>
    <row r="60" spans="4:4">
      <c r="D60" s="36"/>
    </row>
    <row r="61" spans="4:4">
      <c r="D61" s="36"/>
    </row>
    <row r="62" spans="4:4">
      <c r="D62" s="36"/>
    </row>
    <row r="63" spans="4:4">
      <c r="D63" s="36"/>
    </row>
    <row r="64" spans="4:4">
      <c r="D64" s="36"/>
    </row>
    <row r="65" spans="4:4">
      <c r="D65" s="36"/>
    </row>
    <row r="66" spans="4:4">
      <c r="D66" s="36"/>
    </row>
    <row r="67" spans="4:4">
      <c r="D67" s="36"/>
    </row>
    <row r="68" spans="4:4">
      <c r="D68" s="36"/>
    </row>
    <row r="69" spans="4:4">
      <c r="D69" s="36"/>
    </row>
    <row r="70" spans="4:4">
      <c r="D70" s="36"/>
    </row>
    <row r="71" spans="4:4">
      <c r="D71" s="36"/>
    </row>
    <row r="72" spans="4:4">
      <c r="D72" s="36"/>
    </row>
    <row r="73" spans="4:4">
      <c r="D73" s="36"/>
    </row>
    <row r="74" spans="4:4">
      <c r="D74" s="36"/>
    </row>
    <row r="75" spans="4:4">
      <c r="D75" s="36"/>
    </row>
    <row r="76" spans="4:4">
      <c r="D76" s="36"/>
    </row>
    <row r="77" spans="4:4">
      <c r="D77" s="36"/>
    </row>
    <row r="78" spans="4:4">
      <c r="D78" s="36"/>
    </row>
    <row r="79" spans="4:4">
      <c r="D79" s="36"/>
    </row>
    <row r="80" spans="4:4">
      <c r="D80" s="36"/>
    </row>
    <row r="81" spans="4:4">
      <c r="D81" s="36"/>
    </row>
    <row r="82" spans="4:4">
      <c r="D82" s="36"/>
    </row>
    <row r="83" spans="4:4">
      <c r="D83" s="36"/>
    </row>
    <row r="84" spans="4:4">
      <c r="D84" s="36"/>
    </row>
    <row r="85" spans="4:4">
      <c r="D85" s="36"/>
    </row>
    <row r="86" spans="4:4">
      <c r="D86" s="36"/>
    </row>
    <row r="87" spans="4:4">
      <c r="D87" s="36"/>
    </row>
    <row r="88" spans="4:4">
      <c r="D88" s="36"/>
    </row>
    <row r="89" spans="4:4">
      <c r="D89" s="36"/>
    </row>
    <row r="90" spans="4:4">
      <c r="D90" s="36"/>
    </row>
    <row r="91" spans="4:4">
      <c r="D91" s="36"/>
    </row>
    <row r="92" spans="4:4">
      <c r="D92" s="36"/>
    </row>
    <row r="93" spans="4:4">
      <c r="D93" s="36"/>
    </row>
    <row r="94" spans="4:4">
      <c r="D94" s="36"/>
    </row>
    <row r="95" spans="4:4">
      <c r="D95" s="36"/>
    </row>
    <row r="96" spans="4:4">
      <c r="D96" s="36"/>
    </row>
    <row r="97" spans="4:4">
      <c r="D97" s="36"/>
    </row>
    <row r="98" spans="4:4">
      <c r="D98" s="36"/>
    </row>
    <row r="99" spans="4:4">
      <c r="D99" s="36"/>
    </row>
    <row r="100" spans="4:4">
      <c r="D100" s="36"/>
    </row>
    <row r="101" spans="4:4">
      <c r="D101" s="36"/>
    </row>
    <row r="102" spans="4:4">
      <c r="D102" s="36"/>
    </row>
    <row r="103" spans="4:4">
      <c r="D103" s="36"/>
    </row>
    <row r="104" spans="4:4">
      <c r="D104" s="36"/>
    </row>
    <row r="105" spans="4:4">
      <c r="D105" s="36"/>
    </row>
    <row r="106" spans="4:4">
      <c r="D106" s="36"/>
    </row>
    <row r="107" spans="4:4">
      <c r="D107" s="36"/>
    </row>
    <row r="108" spans="4:4">
      <c r="D108" s="36"/>
    </row>
    <row r="109" spans="4:4">
      <c r="D109" s="36"/>
    </row>
    <row r="110" spans="4:4">
      <c r="D110" s="36"/>
    </row>
    <row r="111" spans="4:4">
      <c r="D111" s="36"/>
    </row>
    <row r="112" spans="4:4">
      <c r="D112" s="36"/>
    </row>
    <row r="113" spans="4:4">
      <c r="D113" s="36"/>
    </row>
    <row r="114" spans="4:4">
      <c r="D114" s="36"/>
    </row>
    <row r="115" spans="4:4">
      <c r="D115" s="36"/>
    </row>
    <row r="116" spans="4:4">
      <c r="D116" s="36"/>
    </row>
    <row r="117" spans="4:4">
      <c r="D117" s="36"/>
    </row>
    <row r="118" spans="4:4">
      <c r="D118" s="36"/>
    </row>
    <row r="119" spans="4:4">
      <c r="D119" s="36"/>
    </row>
    <row r="120" spans="4:4">
      <c r="D120" s="36"/>
    </row>
    <row r="121" spans="4:4">
      <c r="D121" s="36"/>
    </row>
    <row r="122" spans="4:4">
      <c r="D122" s="36"/>
    </row>
    <row r="123" spans="4:4">
      <c r="D123" s="36"/>
    </row>
    <row r="124" spans="4:4">
      <c r="D124" s="36"/>
    </row>
    <row r="125" spans="4:4">
      <c r="D125" s="36"/>
    </row>
    <row r="126" spans="4:4">
      <c r="D126" s="36"/>
    </row>
    <row r="127" spans="4:4">
      <c r="D127" s="36"/>
    </row>
    <row r="128" spans="4:4">
      <c r="D128" s="36"/>
    </row>
    <row r="129" spans="4:4">
      <c r="D129" s="36"/>
    </row>
    <row r="130" spans="4:4">
      <c r="D130" s="36"/>
    </row>
    <row r="131" spans="4:4">
      <c r="D131" s="36"/>
    </row>
    <row r="132" spans="4:4">
      <c r="D132" s="36"/>
    </row>
    <row r="133" spans="4:4">
      <c r="D133" s="36"/>
    </row>
    <row r="134" spans="4:4">
      <c r="D134" s="36"/>
    </row>
    <row r="135" spans="4:4">
      <c r="D135" s="36"/>
    </row>
    <row r="136" spans="4:4">
      <c r="D136" s="36"/>
    </row>
    <row r="137" spans="4:4">
      <c r="D137" s="36"/>
    </row>
    <row r="138" spans="4:4">
      <c r="D138" s="36"/>
    </row>
    <row r="139" spans="4:4">
      <c r="D139" s="36"/>
    </row>
    <row r="140" spans="4:4">
      <c r="D140" s="36"/>
    </row>
    <row r="141" spans="4:4">
      <c r="D141" s="36"/>
    </row>
    <row r="142" spans="4:4">
      <c r="D142" s="36"/>
    </row>
    <row r="143" spans="4:4">
      <c r="D143" s="36"/>
    </row>
    <row r="144" spans="4:4">
      <c r="D144" s="36"/>
    </row>
    <row r="145" spans="4:4">
      <c r="D145" s="36"/>
    </row>
    <row r="146" spans="4:4">
      <c r="D146" s="36"/>
    </row>
    <row r="147" spans="4:4">
      <c r="D147" s="36"/>
    </row>
    <row r="148" spans="4:4">
      <c r="D148" s="36"/>
    </row>
    <row r="149" spans="4:4">
      <c r="D149" s="36"/>
    </row>
    <row r="150" spans="4:4">
      <c r="D150" s="36"/>
    </row>
    <row r="151" spans="4:4">
      <c r="D151" s="36"/>
    </row>
    <row r="152" spans="4:4">
      <c r="D152" s="36"/>
    </row>
    <row r="153" spans="4:4">
      <c r="D153" s="36"/>
    </row>
    <row r="154" spans="4:4">
      <c r="D154" s="36"/>
    </row>
    <row r="155" spans="4:4">
      <c r="D155" s="36"/>
    </row>
    <row r="156" spans="4:4">
      <c r="D156" s="36"/>
    </row>
    <row r="157" spans="4:4">
      <c r="D157" s="36"/>
    </row>
    <row r="158" spans="4:4">
      <c r="D158" s="36"/>
    </row>
    <row r="159" spans="4:4">
      <c r="D159" s="36"/>
    </row>
    <row r="160" spans="4:4">
      <c r="D160" s="36"/>
    </row>
    <row r="161" spans="4:4">
      <c r="D161" s="36"/>
    </row>
    <row r="162" spans="4:4">
      <c r="D162" s="36"/>
    </row>
    <row r="163" spans="4:4">
      <c r="D163" s="36"/>
    </row>
    <row r="164" spans="4:4">
      <c r="D164" s="36"/>
    </row>
    <row r="165" spans="4:4">
      <c r="D165" s="36"/>
    </row>
    <row r="166" spans="4:4">
      <c r="D166" s="36"/>
    </row>
    <row r="167" spans="4:4">
      <c r="D167" s="36"/>
    </row>
    <row r="168" spans="4:4">
      <c r="D168" s="36"/>
    </row>
    <row r="169" spans="4:4">
      <c r="D169" s="36"/>
    </row>
    <row r="170" spans="4:4">
      <c r="D170" s="36"/>
    </row>
    <row r="171" spans="4:4">
      <c r="D171" s="36"/>
    </row>
    <row r="172" spans="4:4">
      <c r="D172" s="36"/>
    </row>
    <row r="173" spans="4:4">
      <c r="D173" s="36"/>
    </row>
    <row r="174" spans="4:4">
      <c r="D174" s="36"/>
    </row>
    <row r="175" spans="4:4">
      <c r="D175" s="36"/>
    </row>
    <row r="176" spans="4:4">
      <c r="D176" s="36"/>
    </row>
    <row r="177" spans="4:4">
      <c r="D177" s="36"/>
    </row>
    <row r="178" spans="4:4">
      <c r="D178" s="36"/>
    </row>
    <row r="179" spans="4:4">
      <c r="D179" s="36"/>
    </row>
    <row r="180" spans="4:4">
      <c r="D180" s="36"/>
    </row>
    <row r="181" spans="4:4">
      <c r="D181" s="36"/>
    </row>
    <row r="182" spans="4:4">
      <c r="D182" s="36"/>
    </row>
    <row r="183" spans="4:4">
      <c r="D183" s="36"/>
    </row>
    <row r="184" spans="4:4">
      <c r="D184" s="36"/>
    </row>
    <row r="185" spans="4:4">
      <c r="D185" s="36"/>
    </row>
    <row r="186" spans="4:4">
      <c r="D186" s="36"/>
    </row>
    <row r="187" spans="4:4">
      <c r="D187" s="36"/>
    </row>
    <row r="188" spans="4:4">
      <c r="D188" s="36"/>
    </row>
    <row r="189" spans="4:4">
      <c r="D189" s="36"/>
    </row>
    <row r="190" spans="4:4">
      <c r="D190" s="36"/>
    </row>
    <row r="191" spans="4:4">
      <c r="D191" s="36"/>
    </row>
    <row r="192" spans="4:4">
      <c r="D192" s="36"/>
    </row>
    <row r="193" spans="4:4">
      <c r="D193" s="36"/>
    </row>
    <row r="194" spans="4:4">
      <c r="D194" s="36"/>
    </row>
    <row r="195" spans="4:4">
      <c r="D195" s="36"/>
    </row>
    <row r="196" spans="4:4">
      <c r="D196" s="36"/>
    </row>
    <row r="197" spans="4:4">
      <c r="D197" s="36"/>
    </row>
    <row r="198" spans="4:4">
      <c r="D198" s="36"/>
    </row>
    <row r="199" spans="4:4">
      <c r="D199" s="36"/>
    </row>
    <row r="200" spans="4:4">
      <c r="D200" s="36"/>
    </row>
    <row r="201" spans="4:4">
      <c r="D201" s="36"/>
    </row>
    <row r="202" spans="4:4">
      <c r="D202" s="36"/>
    </row>
    <row r="203" spans="4:4">
      <c r="D203" s="36"/>
    </row>
    <row r="204" spans="4:4">
      <c r="D204" s="36"/>
    </row>
    <row r="205" spans="4:4">
      <c r="D205" s="36"/>
    </row>
    <row r="206" spans="4:4">
      <c r="D206" s="36"/>
    </row>
    <row r="207" spans="4:4">
      <c r="D207" s="36"/>
    </row>
    <row r="208" spans="4:4">
      <c r="D208" s="36"/>
    </row>
    <row r="209" spans="4:4">
      <c r="D209" s="36"/>
    </row>
    <row r="210" spans="4:4">
      <c r="D210" s="36"/>
    </row>
    <row r="211" spans="4:4">
      <c r="D211" s="36"/>
    </row>
    <row r="212" spans="4:4">
      <c r="D212" s="36"/>
    </row>
    <row r="213" spans="4:4">
      <c r="D213" s="36"/>
    </row>
    <row r="214" spans="4:4">
      <c r="D214" s="36"/>
    </row>
    <row r="215" spans="4:4">
      <c r="D215" s="36"/>
    </row>
  </sheetData>
  <mergeCells count="46">
    <mergeCell ref="A37:A42"/>
    <mergeCell ref="A43:A48"/>
    <mergeCell ref="A11:A12"/>
    <mergeCell ref="A13:A18"/>
    <mergeCell ref="A19:A24"/>
    <mergeCell ref="A25:A30"/>
    <mergeCell ref="A31:A36"/>
    <mergeCell ref="B43:B48"/>
    <mergeCell ref="C43:C48"/>
    <mergeCell ref="B19:B24"/>
    <mergeCell ref="C19:C24"/>
    <mergeCell ref="B25:B30"/>
    <mergeCell ref="B37:B42"/>
    <mergeCell ref="C37:C42"/>
    <mergeCell ref="C13:C18"/>
    <mergeCell ref="B13:B18"/>
    <mergeCell ref="B11:B12"/>
    <mergeCell ref="B31:B36"/>
    <mergeCell ref="C31:C36"/>
    <mergeCell ref="C25:C30"/>
    <mergeCell ref="C11:C12"/>
    <mergeCell ref="D1:E5"/>
    <mergeCell ref="E11:E12"/>
    <mergeCell ref="D6:E6"/>
    <mergeCell ref="B6:C6"/>
    <mergeCell ref="D11:D12"/>
    <mergeCell ref="B1:C5"/>
    <mergeCell ref="D13:D15"/>
    <mergeCell ref="D16:D18"/>
    <mergeCell ref="K11:K12"/>
    <mergeCell ref="L11:L12"/>
    <mergeCell ref="F11:F12"/>
    <mergeCell ref="I11:I12"/>
    <mergeCell ref="J11:J12"/>
    <mergeCell ref="G11:G12"/>
    <mergeCell ref="H11:H12"/>
    <mergeCell ref="D19:D21"/>
    <mergeCell ref="D22:D24"/>
    <mergeCell ref="D43:D45"/>
    <mergeCell ref="D46:D48"/>
    <mergeCell ref="D37:D39"/>
    <mergeCell ref="D40:D42"/>
    <mergeCell ref="D31:D33"/>
    <mergeCell ref="D34:D36"/>
    <mergeCell ref="D25:D27"/>
    <mergeCell ref="D28:D30"/>
  </mergeCells>
  <phoneticPr fontId="6" type="noConversion"/>
  <pageMargins left="0.56999999999999995" right="0.37" top="0.41" bottom="0.47" header="0" footer="0"/>
  <pageSetup scale="5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B00D0-ED32-4738-8AE1-04AFA944BDFC}">
  <dimension ref="A1:K20"/>
  <sheetViews>
    <sheetView topLeftCell="A11" zoomScale="102" zoomScaleNormal="102" workbookViewId="0">
      <pane xSplit="3" ySplit="3" topLeftCell="D24" activePane="bottomRight" state="frozen"/>
      <selection pane="bottomRight" activeCell="B24" sqref="B24"/>
      <selection pane="bottomLeft" activeCell="A13" sqref="A13"/>
      <selection pane="topRight" activeCell="E11" sqref="E11"/>
    </sheetView>
  </sheetViews>
  <sheetFormatPr defaultColWidth="11.42578125" defaultRowHeight="12.6"/>
  <cols>
    <col min="2" max="3" width="18.7109375" customWidth="1"/>
  </cols>
  <sheetData>
    <row r="1" spans="1:11" s="12" customFormat="1" ht="12.75" customHeight="1">
      <c r="B1" s="98"/>
      <c r="C1" s="99"/>
      <c r="D1" s="91"/>
      <c r="E1" s="13"/>
      <c r="F1" s="13"/>
      <c r="G1" s="13"/>
      <c r="H1" s="13"/>
      <c r="I1" s="13"/>
      <c r="J1" s="13"/>
      <c r="K1" s="13"/>
    </row>
    <row r="2" spans="1:11" s="12" customFormat="1" ht="12.75" customHeight="1">
      <c r="B2" s="100"/>
      <c r="C2" s="101"/>
      <c r="D2" s="92"/>
      <c r="E2" s="13"/>
      <c r="F2" s="13"/>
      <c r="G2" s="13"/>
      <c r="H2" s="13"/>
      <c r="I2" s="13"/>
      <c r="J2" s="13"/>
      <c r="K2" s="13"/>
    </row>
    <row r="3" spans="1:11" s="12" customFormat="1" ht="15.75" customHeight="1">
      <c r="B3" s="100"/>
      <c r="C3" s="101"/>
      <c r="D3" s="92"/>
      <c r="E3" s="13"/>
      <c r="F3" s="13"/>
      <c r="G3" s="13"/>
      <c r="H3" s="13"/>
      <c r="I3" s="13"/>
      <c r="J3" s="13"/>
      <c r="K3" s="13"/>
    </row>
    <row r="4" spans="1:11" s="12" customFormat="1" ht="12.75" customHeight="1">
      <c r="B4" s="100"/>
      <c r="C4" s="101"/>
      <c r="D4" s="92"/>
      <c r="E4" s="13"/>
      <c r="F4" s="13"/>
      <c r="G4" s="13"/>
      <c r="H4" s="13"/>
      <c r="I4" s="13"/>
      <c r="J4" s="13"/>
      <c r="K4" s="13"/>
    </row>
    <row r="5" spans="1:11" s="12" customFormat="1" ht="20.25" customHeight="1">
      <c r="B5" s="102"/>
      <c r="C5" s="103"/>
      <c r="D5" s="93"/>
      <c r="E5" s="13"/>
      <c r="F5" s="13"/>
      <c r="G5" s="13"/>
      <c r="H5" s="13"/>
      <c r="I5" s="13"/>
      <c r="J5" s="13"/>
      <c r="K5" s="13"/>
    </row>
    <row r="6" spans="1:11" s="4" customFormat="1" ht="15.75" customHeight="1">
      <c r="B6" s="132"/>
      <c r="C6" s="133"/>
      <c r="D6" s="70"/>
      <c r="E6" s="3"/>
      <c r="F6" s="3"/>
      <c r="G6" s="3"/>
      <c r="H6" s="3"/>
      <c r="I6" s="3"/>
      <c r="J6" s="3"/>
      <c r="K6" s="3"/>
    </row>
    <row r="7" spans="1:11" s="12" customFormat="1" ht="16.5" customHeight="1">
      <c r="E7" s="13"/>
      <c r="F7" s="13"/>
      <c r="G7" s="13"/>
      <c r="H7" s="13"/>
      <c r="I7" s="13"/>
      <c r="J7" s="13"/>
      <c r="K7" s="13"/>
    </row>
    <row r="8" spans="1:11" s="12" customFormat="1" ht="15.6">
      <c r="B8" s="10"/>
      <c r="C8" s="11"/>
      <c r="D8" s="39"/>
      <c r="E8" s="13"/>
      <c r="F8" s="40"/>
      <c r="G8" s="13"/>
      <c r="H8" s="13"/>
      <c r="I8" s="13"/>
      <c r="J8" s="13"/>
      <c r="K8" s="40"/>
    </row>
    <row r="9" spans="1:11" s="12" customFormat="1" ht="16.5" customHeight="1">
      <c r="B9" s="10"/>
      <c r="C9" s="10"/>
      <c r="D9" s="39"/>
      <c r="E9" s="13"/>
      <c r="F9" s="13"/>
      <c r="G9" s="13"/>
      <c r="H9" s="13"/>
      <c r="I9" s="13"/>
      <c r="J9" s="13"/>
      <c r="K9" s="13"/>
    </row>
    <row r="10" spans="1:11" s="12" customFormat="1" ht="15.95" thickBot="1">
      <c r="B10" s="5"/>
      <c r="C10" s="5"/>
      <c r="E10" s="13"/>
      <c r="F10" s="13"/>
      <c r="G10" s="13"/>
      <c r="H10" s="13"/>
      <c r="I10" s="41"/>
      <c r="J10" s="41"/>
      <c r="K10" s="41"/>
    </row>
    <row r="11" spans="1:11" s="12" customFormat="1" ht="16.5" thickTop="1" thickBot="1">
      <c r="B11" s="5"/>
      <c r="C11" s="5"/>
      <c r="E11" s="13"/>
      <c r="F11" s="13"/>
      <c r="G11" s="13"/>
      <c r="H11" s="13"/>
      <c r="I11" s="13"/>
      <c r="J11" s="13"/>
      <c r="K11" s="13"/>
    </row>
    <row r="12" spans="1:11" s="2" customFormat="1" ht="22.9" customHeight="1" thickTop="1">
      <c r="A12" s="127" t="s">
        <v>1</v>
      </c>
      <c r="B12" s="89" t="s">
        <v>2</v>
      </c>
      <c r="C12" s="86" t="s">
        <v>3</v>
      </c>
      <c r="D12" s="86" t="s">
        <v>5</v>
      </c>
      <c r="E12" s="86" t="s">
        <v>6</v>
      </c>
      <c r="F12" s="86" t="s">
        <v>7</v>
      </c>
      <c r="G12" s="89" t="s">
        <v>8</v>
      </c>
      <c r="H12" s="86" t="s">
        <v>9</v>
      </c>
      <c r="I12" s="86" t="s">
        <v>10</v>
      </c>
      <c r="J12" s="84" t="s">
        <v>11</v>
      </c>
      <c r="K12" s="86" t="s">
        <v>12</v>
      </c>
    </row>
    <row r="13" spans="1:11" s="2" customFormat="1" ht="22.9" customHeight="1" thickBot="1">
      <c r="A13" s="128"/>
      <c r="B13" s="110"/>
      <c r="C13" s="87"/>
      <c r="D13" s="94"/>
      <c r="E13" s="88"/>
      <c r="F13" s="88"/>
      <c r="G13" s="90"/>
      <c r="H13" s="88"/>
      <c r="I13" s="87"/>
      <c r="J13" s="85"/>
      <c r="K13" s="87"/>
    </row>
    <row r="14" spans="1:11" s="35" customFormat="1" ht="22.9" customHeight="1" thickTop="1">
      <c r="A14" s="121" t="s">
        <v>46</v>
      </c>
      <c r="B14" s="111" t="s">
        <v>47</v>
      </c>
      <c r="C14" s="114" t="s">
        <v>48</v>
      </c>
      <c r="D14" s="16" t="s">
        <v>17</v>
      </c>
      <c r="E14" s="16" t="s">
        <v>17</v>
      </c>
      <c r="F14" s="17" t="s">
        <v>17</v>
      </c>
      <c r="G14" s="16" t="s">
        <v>17</v>
      </c>
      <c r="H14" s="17" t="s">
        <v>17</v>
      </c>
      <c r="I14" s="16" t="s">
        <v>17</v>
      </c>
      <c r="J14" s="17" t="s">
        <v>17</v>
      </c>
      <c r="K14" s="18"/>
    </row>
    <row r="15" spans="1:11" s="35" customFormat="1" ht="22.9" customHeight="1">
      <c r="A15" s="122"/>
      <c r="B15" s="112"/>
      <c r="C15" s="115"/>
      <c r="D15" s="32">
        <f>IF(D17&lt;&gt;0,+D17/D19,0%)</f>
        <v>1.1276025508025485</v>
      </c>
      <c r="E15" s="19">
        <f>IF(E17&lt;&gt;0,+E17/E19,0%)</f>
        <v>0</v>
      </c>
      <c r="F15" s="37">
        <v>0</v>
      </c>
      <c r="G15" s="19">
        <f>IF(G17&lt;&gt;0,+G17/G19,0%)</f>
        <v>0</v>
      </c>
      <c r="H15" s="37">
        <v>0</v>
      </c>
      <c r="I15" s="19">
        <f>IF(I17&lt;&gt;0,+I17/I19,0%)</f>
        <v>0</v>
      </c>
      <c r="J15" s="20" t="e">
        <f t="shared" ref="J15" si="0">IF(J17&lt;&gt;0,+J17/J19,0%)</f>
        <v>#REF!</v>
      </c>
      <c r="K15" s="21"/>
    </row>
    <row r="16" spans="1:11" s="35" customFormat="1" ht="22.9" customHeight="1">
      <c r="A16" s="122"/>
      <c r="B16" s="112"/>
      <c r="C16" s="115"/>
      <c r="D16" s="22" t="s">
        <v>18</v>
      </c>
      <c r="E16" s="22" t="s">
        <v>18</v>
      </c>
      <c r="F16" s="23" t="s">
        <v>18</v>
      </c>
      <c r="G16" s="22" t="s">
        <v>18</v>
      </c>
      <c r="H16" s="23" t="s">
        <v>18</v>
      </c>
      <c r="I16" s="22" t="s">
        <v>18</v>
      </c>
      <c r="J16" s="23" t="s">
        <v>18</v>
      </c>
      <c r="K16" s="21"/>
    </row>
    <row r="17" spans="1:11" s="35" customFormat="1" ht="22.9" customHeight="1">
      <c r="A17" s="122"/>
      <c r="B17" s="112"/>
      <c r="C17" s="115"/>
      <c r="D17" s="33">
        <v>131684997</v>
      </c>
      <c r="E17" s="31"/>
      <c r="F17" s="24" t="e">
        <f>+#REF!+E17</f>
        <v>#REF!</v>
      </c>
      <c r="G17" s="31"/>
      <c r="H17" s="24" t="e">
        <f t="shared" ref="H17:J17" si="1">+F17+G17</f>
        <v>#REF!</v>
      </c>
      <c r="I17" s="31"/>
      <c r="J17" s="24" t="e">
        <f t="shared" si="1"/>
        <v>#REF!</v>
      </c>
      <c r="K17" s="25" t="e">
        <f>J15/D15</f>
        <v>#REF!</v>
      </c>
    </row>
    <row r="18" spans="1:11" s="35" customFormat="1" ht="22.9" customHeight="1">
      <c r="A18" s="122"/>
      <c r="B18" s="112"/>
      <c r="C18" s="115"/>
      <c r="D18" s="26" t="s">
        <v>20</v>
      </c>
      <c r="E18" s="26" t="s">
        <v>20</v>
      </c>
      <c r="F18" s="27" t="s">
        <v>20</v>
      </c>
      <c r="G18" s="26" t="s">
        <v>20</v>
      </c>
      <c r="H18" s="27" t="s">
        <v>20</v>
      </c>
      <c r="I18" s="26" t="s">
        <v>20</v>
      </c>
      <c r="J18" s="27" t="s">
        <v>20</v>
      </c>
      <c r="K18" s="21"/>
    </row>
    <row r="19" spans="1:11" s="35" customFormat="1" ht="22.9" customHeight="1" thickBot="1">
      <c r="A19" s="123"/>
      <c r="B19" s="113"/>
      <c r="C19" s="116"/>
      <c r="D19" s="34">
        <v>116783167</v>
      </c>
      <c r="E19" s="30"/>
      <c r="F19" s="28" t="e">
        <f>+#REF!+E19</f>
        <v>#REF!</v>
      </c>
      <c r="G19" s="30"/>
      <c r="H19" s="28" t="e">
        <f t="shared" ref="H19:J19" si="2">+F19+G19</f>
        <v>#REF!</v>
      </c>
      <c r="I19" s="30"/>
      <c r="J19" s="28" t="e">
        <f t="shared" si="2"/>
        <v>#REF!</v>
      </c>
      <c r="K19" s="29"/>
    </row>
    <row r="20" spans="1:11" ht="12.95" thickTop="1"/>
  </sheetData>
  <mergeCells count="17">
    <mergeCell ref="A14:A19"/>
    <mergeCell ref="B1:C5"/>
    <mergeCell ref="D1:D5"/>
    <mergeCell ref="B6:C6"/>
    <mergeCell ref="D12:D13"/>
    <mergeCell ref="A12:A13"/>
    <mergeCell ref="B14:B19"/>
    <mergeCell ref="C14:C19"/>
    <mergeCell ref="K12:K13"/>
    <mergeCell ref="G12:G13"/>
    <mergeCell ref="E12:E13"/>
    <mergeCell ref="F12:F13"/>
    <mergeCell ref="B12:B13"/>
    <mergeCell ref="C12:C13"/>
    <mergeCell ref="H12:H13"/>
    <mergeCell ref="I12:I13"/>
    <mergeCell ref="J12:J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B69C3-58B8-4344-934B-4A99ED4EFF12}">
  <dimension ref="A1:AD61"/>
  <sheetViews>
    <sheetView topLeftCell="A8" zoomScale="90" zoomScaleNormal="90" workbookViewId="0">
      <pane xSplit="2" ySplit="5" topLeftCell="C55" activePane="bottomRight" state="frozen"/>
      <selection pane="bottomRight" activeCell="B55" sqref="B55:B60"/>
      <selection pane="bottomLeft" activeCell="A12" sqref="A12"/>
      <selection pane="topRight" activeCell="D8" sqref="D8"/>
    </sheetView>
  </sheetViews>
  <sheetFormatPr defaultColWidth="11.42578125" defaultRowHeight="12.95"/>
  <cols>
    <col min="1" max="1" width="11.42578125" style="4"/>
    <col min="2" max="2" width="26.7109375" style="4" customWidth="1"/>
    <col min="3" max="3" width="24.7109375" style="4" customWidth="1"/>
    <col min="4" max="4" width="28.5703125" style="4" customWidth="1"/>
    <col min="5" max="5" width="17" style="4" customWidth="1"/>
    <col min="6" max="6" width="11.140625" style="4" customWidth="1"/>
    <col min="7" max="7" width="11.7109375" style="3" customWidth="1"/>
    <col min="8" max="28" width="10.7109375" style="3" customWidth="1"/>
    <col min="29" max="29" width="16" style="3" customWidth="1"/>
    <col min="30" max="30" width="21.28515625" style="4" customWidth="1"/>
    <col min="31" max="31" width="2.28515625" style="4" customWidth="1"/>
    <col min="32" max="16384" width="11.42578125" style="4"/>
  </cols>
  <sheetData>
    <row r="1" spans="1:30" s="12" customFormat="1" ht="12.75" customHeight="1">
      <c r="B1" s="98"/>
      <c r="C1" s="99"/>
      <c r="D1" s="91"/>
      <c r="E1" s="91"/>
      <c r="F1" s="91"/>
      <c r="G1" s="160"/>
      <c r="H1" s="148" t="s">
        <v>49</v>
      </c>
      <c r="I1" s="149"/>
      <c r="J1" s="149"/>
      <c r="K1" s="150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30" s="12" customFormat="1" ht="12.75" customHeight="1">
      <c r="B2" s="100"/>
      <c r="C2" s="101"/>
      <c r="D2" s="92"/>
      <c r="E2" s="92"/>
      <c r="F2" s="92"/>
      <c r="G2" s="161"/>
      <c r="H2" s="151" t="s">
        <v>50</v>
      </c>
      <c r="I2" s="152"/>
      <c r="J2" s="152"/>
      <c r="K2" s="15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 spans="1:30" s="12" customFormat="1" ht="15.75" customHeight="1">
      <c r="B3" s="100"/>
      <c r="C3" s="101"/>
      <c r="D3" s="92"/>
      <c r="E3" s="92"/>
      <c r="F3" s="92"/>
      <c r="G3" s="161"/>
      <c r="H3" s="154"/>
      <c r="I3" s="155"/>
      <c r="J3" s="155"/>
      <c r="K3" s="156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 spans="1:30" s="12" customFormat="1" ht="12.75" customHeight="1">
      <c r="B4" s="100"/>
      <c r="C4" s="101"/>
      <c r="D4" s="92"/>
      <c r="E4" s="92"/>
      <c r="F4" s="92"/>
      <c r="G4" s="161"/>
      <c r="H4" s="38"/>
      <c r="I4" s="14"/>
      <c r="J4" s="14"/>
      <c r="K4" s="15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spans="1:30" s="12" customFormat="1" ht="20.25" customHeight="1">
      <c r="B5" s="102"/>
      <c r="C5" s="103"/>
      <c r="D5" s="93"/>
      <c r="E5" s="93"/>
      <c r="F5" s="93"/>
      <c r="G5" s="162"/>
      <c r="H5" s="157" t="s">
        <v>51</v>
      </c>
      <c r="I5" s="158"/>
      <c r="J5" s="158"/>
      <c r="K5" s="159"/>
      <c r="L5" s="13"/>
      <c r="M5" s="13"/>
      <c r="N5" s="13"/>
      <c r="O5" s="13" t="s">
        <v>52</v>
      </c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 spans="1:30" ht="15.75" customHeight="1">
      <c r="B6" s="132"/>
      <c r="C6" s="133"/>
      <c r="D6" s="163"/>
      <c r="E6" s="163"/>
      <c r="F6" s="163"/>
      <c r="G6" s="164"/>
      <c r="H6" s="165" t="s">
        <v>53</v>
      </c>
      <c r="I6" s="163"/>
      <c r="J6" s="163"/>
      <c r="K6" s="164"/>
    </row>
    <row r="7" spans="1:30" s="12" customFormat="1" ht="16.5" customHeight="1"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 spans="1:30" s="12" customFormat="1" ht="15.6">
      <c r="B8" s="10"/>
      <c r="C8" s="11"/>
      <c r="F8" s="39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40"/>
      <c r="U8" s="13"/>
      <c r="V8" s="13"/>
      <c r="W8" s="13"/>
      <c r="X8" s="13"/>
      <c r="Y8" s="40"/>
      <c r="Z8" s="13"/>
      <c r="AA8" s="13"/>
      <c r="AB8" s="13"/>
      <c r="AC8" s="13"/>
    </row>
    <row r="9" spans="1:30" s="12" customFormat="1" ht="15.6">
      <c r="B9" s="10" t="s">
        <v>54</v>
      </c>
      <c r="C9" s="11"/>
      <c r="F9" s="39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40"/>
      <c r="U9" s="13"/>
      <c r="V9" s="13"/>
      <c r="W9" s="13"/>
      <c r="X9" s="13"/>
      <c r="Y9" s="40"/>
      <c r="Z9" s="13"/>
      <c r="AA9" s="13"/>
      <c r="AB9" s="13"/>
      <c r="AC9" s="13"/>
    </row>
    <row r="10" spans="1:30" s="12" customFormat="1" ht="15.95" thickBot="1">
      <c r="B10" s="5"/>
      <c r="C10" s="5"/>
      <c r="G10" s="13"/>
      <c r="H10" s="13"/>
      <c r="I10" s="41"/>
      <c r="J10" s="41"/>
      <c r="K10" s="42"/>
      <c r="L10" s="41"/>
      <c r="M10" s="41"/>
      <c r="N10" s="41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41"/>
      <c r="AC10" s="41"/>
      <c r="AD10" s="43"/>
    </row>
    <row r="11" spans="1:30" s="2" customFormat="1" ht="22.9" customHeight="1" thickTop="1">
      <c r="A11" s="127" t="s">
        <v>1</v>
      </c>
      <c r="B11" s="89" t="s">
        <v>2</v>
      </c>
      <c r="C11" s="86" t="s">
        <v>3</v>
      </c>
      <c r="D11" s="86" t="s">
        <v>4</v>
      </c>
      <c r="E11" s="86" t="s">
        <v>5</v>
      </c>
      <c r="F11" s="86" t="s">
        <v>55</v>
      </c>
      <c r="G11" s="86" t="s">
        <v>56</v>
      </c>
      <c r="H11" s="89" t="s">
        <v>57</v>
      </c>
      <c r="I11" s="86" t="s">
        <v>58</v>
      </c>
      <c r="J11" s="86" t="s">
        <v>59</v>
      </c>
      <c r="K11" s="86" t="s">
        <v>60</v>
      </c>
      <c r="L11" s="86" t="s">
        <v>61</v>
      </c>
      <c r="M11" s="86" t="s">
        <v>62</v>
      </c>
      <c r="N11" s="89" t="s">
        <v>63</v>
      </c>
      <c r="O11" s="89" t="s">
        <v>64</v>
      </c>
      <c r="P11" s="86" t="s">
        <v>65</v>
      </c>
      <c r="Q11" s="143" t="s">
        <v>66</v>
      </c>
      <c r="R11" s="86" t="s">
        <v>67</v>
      </c>
      <c r="S11" s="86" t="s">
        <v>68</v>
      </c>
      <c r="T11" s="86" t="s">
        <v>69</v>
      </c>
      <c r="U11" s="86" t="s">
        <v>70</v>
      </c>
      <c r="V11" s="86" t="s">
        <v>71</v>
      </c>
      <c r="W11" s="86" t="s">
        <v>6</v>
      </c>
      <c r="X11" s="86" t="s">
        <v>7</v>
      </c>
      <c r="Y11" s="89" t="s">
        <v>8</v>
      </c>
      <c r="Z11" s="86" t="s">
        <v>9</v>
      </c>
      <c r="AA11" s="86" t="s">
        <v>10</v>
      </c>
      <c r="AB11" s="84" t="s">
        <v>72</v>
      </c>
      <c r="AC11" s="86" t="s">
        <v>12</v>
      </c>
    </row>
    <row r="12" spans="1:30" s="2" customFormat="1" ht="22.9" customHeight="1" thickBot="1">
      <c r="A12" s="128"/>
      <c r="B12" s="110"/>
      <c r="C12" s="87"/>
      <c r="D12" s="87"/>
      <c r="E12" s="94"/>
      <c r="F12" s="87"/>
      <c r="G12" s="87"/>
      <c r="H12" s="110"/>
      <c r="I12" s="87"/>
      <c r="J12" s="87"/>
      <c r="K12" s="87"/>
      <c r="L12" s="88"/>
      <c r="M12" s="87"/>
      <c r="N12" s="90"/>
      <c r="O12" s="90"/>
      <c r="P12" s="88"/>
      <c r="Q12" s="144"/>
      <c r="R12" s="87"/>
      <c r="S12" s="88"/>
      <c r="T12" s="88"/>
      <c r="U12" s="88"/>
      <c r="V12" s="88"/>
      <c r="W12" s="88"/>
      <c r="X12" s="88"/>
      <c r="Y12" s="90"/>
      <c r="Z12" s="88"/>
      <c r="AA12" s="87"/>
      <c r="AB12" s="85"/>
      <c r="AC12" s="87"/>
    </row>
    <row r="13" spans="1:30" s="35" customFormat="1" ht="22.9" customHeight="1" thickTop="1">
      <c r="A13" s="121" t="s">
        <v>73</v>
      </c>
      <c r="B13" s="145" t="s">
        <v>74</v>
      </c>
      <c r="C13" s="114" t="s">
        <v>23</v>
      </c>
      <c r="D13" s="72" t="s">
        <v>24</v>
      </c>
      <c r="E13" s="16" t="s">
        <v>17</v>
      </c>
      <c r="F13" s="44" t="s">
        <v>17</v>
      </c>
      <c r="G13" s="44" t="s">
        <v>17</v>
      </c>
      <c r="H13" s="45" t="s">
        <v>17</v>
      </c>
      <c r="I13" s="44" t="s">
        <v>17</v>
      </c>
      <c r="J13" s="45" t="s">
        <v>17</v>
      </c>
      <c r="K13" s="44" t="s">
        <v>17</v>
      </c>
      <c r="L13" s="45" t="s">
        <v>17</v>
      </c>
      <c r="M13" s="44" t="s">
        <v>17</v>
      </c>
      <c r="N13" s="45" t="s">
        <v>17</v>
      </c>
      <c r="O13" s="44" t="s">
        <v>17</v>
      </c>
      <c r="P13" s="45" t="s">
        <v>17</v>
      </c>
      <c r="Q13" s="44" t="s">
        <v>17</v>
      </c>
      <c r="R13" s="45" t="s">
        <v>17</v>
      </c>
      <c r="S13" s="44" t="s">
        <v>17</v>
      </c>
      <c r="T13" s="45" t="s">
        <v>17</v>
      </c>
      <c r="U13" s="44" t="s">
        <v>17</v>
      </c>
      <c r="V13" s="45" t="s">
        <v>17</v>
      </c>
      <c r="W13" s="44" t="s">
        <v>17</v>
      </c>
      <c r="X13" s="45" t="s">
        <v>17</v>
      </c>
      <c r="Y13" s="44" t="s">
        <v>17</v>
      </c>
      <c r="Z13" s="45" t="s">
        <v>17</v>
      </c>
      <c r="AA13" s="44" t="s">
        <v>17</v>
      </c>
      <c r="AB13" s="45" t="s">
        <v>17</v>
      </c>
      <c r="AC13" s="46"/>
    </row>
    <row r="14" spans="1:30" s="35" customFormat="1" ht="22.9" customHeight="1">
      <c r="A14" s="122"/>
      <c r="B14" s="146"/>
      <c r="C14" s="115"/>
      <c r="D14" s="73"/>
      <c r="E14" s="32">
        <f>IF(E16&lt;&gt;0,+E16/E18,0%)</f>
        <v>0.66666666666666663</v>
      </c>
      <c r="F14" s="47">
        <f>IF(F16&lt;&gt;0,+F16/F18,0%)</f>
        <v>0</v>
      </c>
      <c r="G14" s="47">
        <f>IF(G16&lt;&gt;0,+G16/G18,0%)</f>
        <v>0</v>
      </c>
      <c r="H14" s="48">
        <f t="shared" ref="H14" si="0">IF(H16&lt;&gt;0,+H16/H18,0%)</f>
        <v>0</v>
      </c>
      <c r="I14" s="47">
        <f>IF(I16&lt;&gt;0,+I16/I18,0%)</f>
        <v>0</v>
      </c>
      <c r="J14" s="48">
        <f t="shared" ref="J14" si="1">IF(J16&lt;&gt;0,+J16/J18,0%)</f>
        <v>0</v>
      </c>
      <c r="K14" s="47">
        <f>IF(K16&lt;&gt;0,+K16/K18,0%)</f>
        <v>0.33333333333333331</v>
      </c>
      <c r="L14" s="48">
        <f t="shared" ref="L14" si="2">IF(L16&lt;&gt;0,+L16/L18,0%)</f>
        <v>0.33333333333333331</v>
      </c>
      <c r="M14" s="47">
        <f>IF(M16&lt;&gt;0,+M16/M18,0%)</f>
        <v>0</v>
      </c>
      <c r="N14" s="48">
        <f t="shared" ref="N14" si="3">IF(N16&lt;&gt;0,+N16/N18,0%)</f>
        <v>0.33333333333333331</v>
      </c>
      <c r="O14" s="47">
        <f>IF(O16&lt;&gt;0,+O16/O18,0%)</f>
        <v>0.33333333333333331</v>
      </c>
      <c r="P14" s="48">
        <f t="shared" ref="P14" si="4">IF(P16&lt;&gt;0,+P16/P18,0%)</f>
        <v>0.66666666666666663</v>
      </c>
      <c r="Q14" s="47">
        <f>IF(Q16&lt;&gt;0,+Q16/Q18,0%)</f>
        <v>0</v>
      </c>
      <c r="R14" s="48">
        <f t="shared" ref="R14" si="5">IF(R16&lt;&gt;0,+R16/R18,0%)</f>
        <v>0.66666666666666663</v>
      </c>
      <c r="S14" s="47">
        <f>IF(S16&lt;&gt;0,+S16/S18,0%)</f>
        <v>0</v>
      </c>
      <c r="T14" s="48">
        <f t="shared" ref="T14" si="6">IF(T16&lt;&gt;0,+T16/T18,0%)</f>
        <v>0.66666666666666663</v>
      </c>
      <c r="U14" s="47">
        <f>IF(U16&lt;&gt;0,+U16/U18,0%)</f>
        <v>0</v>
      </c>
      <c r="V14" s="48">
        <f t="shared" ref="V14" si="7">IF(V16&lt;&gt;0,+V16/V18,0%)</f>
        <v>0.66666666666666663</v>
      </c>
      <c r="W14" s="47">
        <f>IF(W16&lt;&gt;0,+W16/W18,0%)</f>
        <v>0</v>
      </c>
      <c r="X14" s="48">
        <f t="shared" ref="X14" si="8">IF(X16&lt;&gt;0,+X16/X18,0%)</f>
        <v>0.66666666666666663</v>
      </c>
      <c r="Y14" s="47">
        <f>IF(Y16&lt;&gt;0,+Y16/Y18,0%)</f>
        <v>0</v>
      </c>
      <c r="Z14" s="48">
        <f t="shared" ref="Z14" si="9">IF(Z16&lt;&gt;0,+Z16/Z18,0%)</f>
        <v>0.66666666666666663</v>
      </c>
      <c r="AA14" s="47">
        <f>IF(AA16&lt;&gt;0,+AA16/AA18,0%)</f>
        <v>0</v>
      </c>
      <c r="AB14" s="48">
        <f t="shared" ref="AB14" si="10">IF(AB16&lt;&gt;0,+AB16/AB18,0%)</f>
        <v>0.66666666666666663</v>
      </c>
      <c r="AC14" s="49"/>
    </row>
    <row r="15" spans="1:30" s="35" customFormat="1" ht="22.9" customHeight="1" thickBot="1">
      <c r="A15" s="122"/>
      <c r="B15" s="146"/>
      <c r="C15" s="115"/>
      <c r="D15" s="74"/>
      <c r="E15" s="22" t="s">
        <v>18</v>
      </c>
      <c r="F15" s="50" t="s">
        <v>18</v>
      </c>
      <c r="G15" s="50" t="s">
        <v>18</v>
      </c>
      <c r="H15" s="51" t="s">
        <v>18</v>
      </c>
      <c r="I15" s="50" t="s">
        <v>18</v>
      </c>
      <c r="J15" s="51" t="s">
        <v>18</v>
      </c>
      <c r="K15" s="50" t="s">
        <v>18</v>
      </c>
      <c r="L15" s="51" t="s">
        <v>18</v>
      </c>
      <c r="M15" s="50" t="s">
        <v>18</v>
      </c>
      <c r="N15" s="51" t="s">
        <v>18</v>
      </c>
      <c r="O15" s="50" t="s">
        <v>18</v>
      </c>
      <c r="P15" s="51" t="s">
        <v>18</v>
      </c>
      <c r="Q15" s="50" t="s">
        <v>18</v>
      </c>
      <c r="R15" s="51" t="s">
        <v>18</v>
      </c>
      <c r="S15" s="50" t="s">
        <v>18</v>
      </c>
      <c r="T15" s="51" t="s">
        <v>18</v>
      </c>
      <c r="U15" s="50" t="s">
        <v>18</v>
      </c>
      <c r="V15" s="51" t="s">
        <v>18</v>
      </c>
      <c r="W15" s="50" t="s">
        <v>18</v>
      </c>
      <c r="X15" s="51" t="s">
        <v>18</v>
      </c>
      <c r="Y15" s="50" t="s">
        <v>18</v>
      </c>
      <c r="Z15" s="51" t="s">
        <v>18</v>
      </c>
      <c r="AA15" s="50" t="s">
        <v>18</v>
      </c>
      <c r="AB15" s="51" t="s">
        <v>18</v>
      </c>
      <c r="AC15" s="49"/>
    </row>
    <row r="16" spans="1:30" s="35" customFormat="1" ht="22.9" customHeight="1" thickTop="1">
      <c r="A16" s="122"/>
      <c r="B16" s="146"/>
      <c r="C16" s="115"/>
      <c r="D16" s="72" t="s">
        <v>75</v>
      </c>
      <c r="E16" s="33">
        <v>2</v>
      </c>
      <c r="F16" s="52"/>
      <c r="G16" s="52"/>
      <c r="H16" s="53">
        <f>+F16+G16</f>
        <v>0</v>
      </c>
      <c r="I16" s="52"/>
      <c r="J16" s="53">
        <f t="shared" ref="J16" si="11">+H16+I16</f>
        <v>0</v>
      </c>
      <c r="K16" s="52">
        <v>1</v>
      </c>
      <c r="L16" s="53">
        <f t="shared" ref="L16" si="12">+J16+K16</f>
        <v>1</v>
      </c>
      <c r="M16" s="52"/>
      <c r="N16" s="53">
        <f t="shared" ref="N16" si="13">+L16+M16</f>
        <v>1</v>
      </c>
      <c r="O16" s="52">
        <v>1</v>
      </c>
      <c r="P16" s="53">
        <f t="shared" ref="P16" si="14">+N16+O16</f>
        <v>2</v>
      </c>
      <c r="Q16" s="52"/>
      <c r="R16" s="53">
        <f t="shared" ref="R16" si="15">+P16+Q16</f>
        <v>2</v>
      </c>
      <c r="S16" s="52"/>
      <c r="T16" s="53">
        <f t="shared" ref="T16" si="16">+R16+S16</f>
        <v>2</v>
      </c>
      <c r="U16" s="52">
        <v>0</v>
      </c>
      <c r="V16" s="53">
        <f t="shared" ref="V16" si="17">+T16+U16</f>
        <v>2</v>
      </c>
      <c r="W16" s="52"/>
      <c r="X16" s="53">
        <f t="shared" ref="X16" si="18">+V16+W16</f>
        <v>2</v>
      </c>
      <c r="Y16" s="52"/>
      <c r="Z16" s="53">
        <f t="shared" ref="Z16" si="19">+X16+Y16</f>
        <v>2</v>
      </c>
      <c r="AA16" s="52"/>
      <c r="AB16" s="53">
        <f t="shared" ref="AB16" si="20">+Z16+AA16</f>
        <v>2</v>
      </c>
      <c r="AC16" s="54">
        <f>AB14/E14</f>
        <v>1</v>
      </c>
    </row>
    <row r="17" spans="1:29" s="35" customFormat="1" ht="22.9" customHeight="1">
      <c r="A17" s="122"/>
      <c r="B17" s="146"/>
      <c r="C17" s="115"/>
      <c r="D17" s="75"/>
      <c r="E17" s="26" t="s">
        <v>20</v>
      </c>
      <c r="F17" s="55" t="s">
        <v>20</v>
      </c>
      <c r="G17" s="55" t="s">
        <v>20</v>
      </c>
      <c r="H17" s="56" t="s">
        <v>20</v>
      </c>
      <c r="I17" s="55" t="s">
        <v>20</v>
      </c>
      <c r="J17" s="56" t="s">
        <v>20</v>
      </c>
      <c r="K17" s="55" t="s">
        <v>20</v>
      </c>
      <c r="L17" s="56" t="s">
        <v>20</v>
      </c>
      <c r="M17" s="55" t="s">
        <v>20</v>
      </c>
      <c r="N17" s="56" t="s">
        <v>20</v>
      </c>
      <c r="O17" s="55" t="s">
        <v>20</v>
      </c>
      <c r="P17" s="56" t="s">
        <v>20</v>
      </c>
      <c r="Q17" s="55" t="s">
        <v>20</v>
      </c>
      <c r="R17" s="56" t="s">
        <v>20</v>
      </c>
      <c r="S17" s="55" t="s">
        <v>20</v>
      </c>
      <c r="T17" s="56" t="s">
        <v>20</v>
      </c>
      <c r="U17" s="55" t="s">
        <v>20</v>
      </c>
      <c r="V17" s="56" t="s">
        <v>20</v>
      </c>
      <c r="W17" s="55" t="s">
        <v>20</v>
      </c>
      <c r="X17" s="56" t="s">
        <v>20</v>
      </c>
      <c r="Y17" s="55" t="s">
        <v>20</v>
      </c>
      <c r="Z17" s="56" t="s">
        <v>20</v>
      </c>
      <c r="AA17" s="55" t="s">
        <v>20</v>
      </c>
      <c r="AB17" s="56" t="s">
        <v>20</v>
      </c>
      <c r="AC17" s="49"/>
    </row>
    <row r="18" spans="1:29" s="35" customFormat="1" ht="22.9" customHeight="1" thickBot="1">
      <c r="A18" s="123"/>
      <c r="B18" s="147"/>
      <c r="C18" s="116"/>
      <c r="D18" s="76"/>
      <c r="E18" s="34">
        <v>3</v>
      </c>
      <c r="F18" s="57">
        <v>3</v>
      </c>
      <c r="G18" s="57">
        <v>3</v>
      </c>
      <c r="H18" s="58">
        <v>3</v>
      </c>
      <c r="I18" s="57">
        <v>3</v>
      </c>
      <c r="J18" s="58">
        <v>3</v>
      </c>
      <c r="K18" s="57">
        <v>3</v>
      </c>
      <c r="L18" s="58">
        <v>3</v>
      </c>
      <c r="M18" s="57">
        <v>3</v>
      </c>
      <c r="N18" s="58">
        <v>3</v>
      </c>
      <c r="O18" s="57">
        <v>3</v>
      </c>
      <c r="P18" s="58">
        <v>3</v>
      </c>
      <c r="Q18" s="57">
        <v>3</v>
      </c>
      <c r="R18" s="58">
        <v>3</v>
      </c>
      <c r="S18" s="57">
        <v>3</v>
      </c>
      <c r="T18" s="58">
        <v>3</v>
      </c>
      <c r="U18" s="57">
        <v>3</v>
      </c>
      <c r="V18" s="58">
        <v>3</v>
      </c>
      <c r="W18" s="57">
        <v>3</v>
      </c>
      <c r="X18" s="58">
        <v>3</v>
      </c>
      <c r="Y18" s="57">
        <v>3</v>
      </c>
      <c r="Z18" s="58">
        <v>3</v>
      </c>
      <c r="AA18" s="57">
        <v>3</v>
      </c>
      <c r="AB18" s="28">
        <v>3</v>
      </c>
      <c r="AC18" s="59"/>
    </row>
    <row r="19" spans="1:29" s="35" customFormat="1" ht="22.9" customHeight="1" thickTop="1">
      <c r="A19" s="121" t="s">
        <v>21</v>
      </c>
      <c r="B19" s="111" t="s">
        <v>76</v>
      </c>
      <c r="C19" s="114" t="s">
        <v>23</v>
      </c>
      <c r="D19" s="72" t="s">
        <v>24</v>
      </c>
      <c r="E19" s="16" t="s">
        <v>17</v>
      </c>
      <c r="F19" s="44" t="s">
        <v>17</v>
      </c>
      <c r="G19" s="44" t="s">
        <v>17</v>
      </c>
      <c r="H19" s="45" t="s">
        <v>17</v>
      </c>
      <c r="I19" s="44" t="s">
        <v>17</v>
      </c>
      <c r="J19" s="45" t="s">
        <v>17</v>
      </c>
      <c r="K19" s="44" t="s">
        <v>17</v>
      </c>
      <c r="L19" s="45" t="s">
        <v>17</v>
      </c>
      <c r="M19" s="44" t="s">
        <v>17</v>
      </c>
      <c r="N19" s="45" t="s">
        <v>17</v>
      </c>
      <c r="O19" s="44" t="s">
        <v>17</v>
      </c>
      <c r="P19" s="45" t="s">
        <v>17</v>
      </c>
      <c r="Q19" s="44" t="s">
        <v>17</v>
      </c>
      <c r="R19" s="45" t="s">
        <v>17</v>
      </c>
      <c r="S19" s="44" t="s">
        <v>17</v>
      </c>
      <c r="T19" s="45" t="s">
        <v>17</v>
      </c>
      <c r="U19" s="44" t="s">
        <v>17</v>
      </c>
      <c r="V19" s="45" t="s">
        <v>17</v>
      </c>
      <c r="W19" s="44" t="s">
        <v>17</v>
      </c>
      <c r="X19" s="45" t="s">
        <v>17</v>
      </c>
      <c r="Y19" s="44" t="s">
        <v>17</v>
      </c>
      <c r="Z19" s="45" t="s">
        <v>17</v>
      </c>
      <c r="AA19" s="44" t="s">
        <v>17</v>
      </c>
      <c r="AB19" s="45" t="s">
        <v>17</v>
      </c>
      <c r="AC19" s="46"/>
    </row>
    <row r="20" spans="1:29" s="35" customFormat="1" ht="22.9" customHeight="1">
      <c r="A20" s="122"/>
      <c r="B20" s="112"/>
      <c r="C20" s="115"/>
      <c r="D20" s="73"/>
      <c r="E20" s="32">
        <f>IF(E22&lt;&gt;0,+E22/E24,0%)</f>
        <v>0.66666666666666663</v>
      </c>
      <c r="F20" s="47">
        <f>IF(F22&lt;&gt;0,+F22/F24,0%)</f>
        <v>0</v>
      </c>
      <c r="G20" s="47">
        <f>IF(G22&lt;&gt;0,+G22/G24,0%)</f>
        <v>0</v>
      </c>
      <c r="H20" s="48">
        <f t="shared" ref="H20" si="21">IF(H22&lt;&gt;0,+H22/H24,0%)</f>
        <v>0</v>
      </c>
      <c r="I20" s="47">
        <f>IF(I22&lt;&gt;0,+I22/I24,0%)</f>
        <v>0</v>
      </c>
      <c r="J20" s="48">
        <f t="shared" ref="J20" si="22">IF(J22&lt;&gt;0,+J22/J24,0%)</f>
        <v>0</v>
      </c>
      <c r="K20" s="47">
        <f>IF(K22&lt;&gt;0,+K22/K24,0%)</f>
        <v>0.33333333333333331</v>
      </c>
      <c r="L20" s="48">
        <f t="shared" ref="L20" si="23">IF(L22&lt;&gt;0,+L22/L24,0%)</f>
        <v>0.33333333333333331</v>
      </c>
      <c r="M20" s="47">
        <f>IF(M22&lt;&gt;0,+M22/M24,0%)</f>
        <v>0</v>
      </c>
      <c r="N20" s="48">
        <f t="shared" ref="N20" si="24">IF(N22&lt;&gt;0,+N22/N24,0%)</f>
        <v>0.33333333333333331</v>
      </c>
      <c r="O20" s="47">
        <f>IF(O22&lt;&gt;0,+O22/O24,0%)</f>
        <v>0.33333333333333331</v>
      </c>
      <c r="P20" s="48">
        <f t="shared" ref="P20" si="25">IF(P22&lt;&gt;0,+P22/P24,0%)</f>
        <v>0.66666666666666663</v>
      </c>
      <c r="Q20" s="47">
        <f>IF(Q22&lt;&gt;0,+Q22/Q24,0%)</f>
        <v>0</v>
      </c>
      <c r="R20" s="48">
        <f t="shared" ref="R20" si="26">IF(R22&lt;&gt;0,+R22/R24,0%)</f>
        <v>0.66666666666666663</v>
      </c>
      <c r="S20" s="47">
        <f>IF(S22&lt;&gt;0,+S22/S24,0%)</f>
        <v>0</v>
      </c>
      <c r="T20" s="48">
        <f t="shared" ref="T20" si="27">IF(T22&lt;&gt;0,+T22/T24,0%)</f>
        <v>0.66666666666666663</v>
      </c>
      <c r="U20" s="47">
        <f>IF(U22&lt;&gt;0,+U22/U24,0%)</f>
        <v>0</v>
      </c>
      <c r="V20" s="48">
        <f t="shared" ref="V20" si="28">IF(V22&lt;&gt;0,+V22/V24,0%)</f>
        <v>0.66666666666666663</v>
      </c>
      <c r="W20" s="47">
        <f>IF(W22&lt;&gt;0,+W22/W24,0%)</f>
        <v>0</v>
      </c>
      <c r="X20" s="48">
        <f t="shared" ref="X20" si="29">IF(X22&lt;&gt;0,+X22/X24,0%)</f>
        <v>0.66666666666666663</v>
      </c>
      <c r="Y20" s="47">
        <f>IF(Y22&lt;&gt;0,+Y22/Y24,0%)</f>
        <v>0</v>
      </c>
      <c r="Z20" s="48">
        <f t="shared" ref="Z20" si="30">IF(Z22&lt;&gt;0,+Z22/Z24,0%)</f>
        <v>0.66666666666666663</v>
      </c>
      <c r="AA20" s="47">
        <f>IF(AA22&lt;&gt;0,+AA22/AA24,0%)</f>
        <v>0</v>
      </c>
      <c r="AB20" s="48">
        <f t="shared" ref="AB20" si="31">IF(AB22&lt;&gt;0,+AB22/AB24,0%)</f>
        <v>0.66666666666666663</v>
      </c>
      <c r="AC20" s="49"/>
    </row>
    <row r="21" spans="1:29" s="35" customFormat="1" ht="22.9" customHeight="1" thickBot="1">
      <c r="A21" s="122"/>
      <c r="B21" s="112"/>
      <c r="C21" s="115"/>
      <c r="D21" s="74"/>
      <c r="E21" s="22" t="s">
        <v>18</v>
      </c>
      <c r="F21" s="50" t="s">
        <v>18</v>
      </c>
      <c r="G21" s="50" t="s">
        <v>18</v>
      </c>
      <c r="H21" s="51" t="s">
        <v>18</v>
      </c>
      <c r="I21" s="50" t="s">
        <v>18</v>
      </c>
      <c r="J21" s="51" t="s">
        <v>18</v>
      </c>
      <c r="K21" s="50" t="s">
        <v>18</v>
      </c>
      <c r="L21" s="51" t="s">
        <v>18</v>
      </c>
      <c r="M21" s="50" t="s">
        <v>18</v>
      </c>
      <c r="N21" s="51" t="s">
        <v>18</v>
      </c>
      <c r="O21" s="50" t="s">
        <v>18</v>
      </c>
      <c r="P21" s="51" t="s">
        <v>18</v>
      </c>
      <c r="Q21" s="50" t="s">
        <v>18</v>
      </c>
      <c r="R21" s="51" t="s">
        <v>18</v>
      </c>
      <c r="S21" s="50" t="s">
        <v>18</v>
      </c>
      <c r="T21" s="51" t="s">
        <v>18</v>
      </c>
      <c r="U21" s="50" t="s">
        <v>18</v>
      </c>
      <c r="V21" s="51" t="s">
        <v>18</v>
      </c>
      <c r="W21" s="50" t="s">
        <v>18</v>
      </c>
      <c r="X21" s="51" t="s">
        <v>18</v>
      </c>
      <c r="Y21" s="50" t="s">
        <v>18</v>
      </c>
      <c r="Z21" s="51" t="s">
        <v>18</v>
      </c>
      <c r="AA21" s="50" t="s">
        <v>18</v>
      </c>
      <c r="AB21" s="51" t="s">
        <v>18</v>
      </c>
      <c r="AC21" s="49"/>
    </row>
    <row r="22" spans="1:29" s="35" customFormat="1" ht="22.9" customHeight="1" thickTop="1">
      <c r="A22" s="122"/>
      <c r="B22" s="112"/>
      <c r="C22" s="115"/>
      <c r="D22" s="72" t="s">
        <v>75</v>
      </c>
      <c r="E22" s="33">
        <v>2</v>
      </c>
      <c r="F22" s="52"/>
      <c r="G22" s="52"/>
      <c r="H22" s="53">
        <f>+F22+G22</f>
        <v>0</v>
      </c>
      <c r="I22" s="52"/>
      <c r="J22" s="53">
        <f t="shared" ref="J22" si="32">+H22+I22</f>
        <v>0</v>
      </c>
      <c r="K22" s="52">
        <v>1</v>
      </c>
      <c r="L22" s="53">
        <f t="shared" ref="L22" si="33">+J22+K22</f>
        <v>1</v>
      </c>
      <c r="M22" s="52"/>
      <c r="N22" s="53">
        <f t="shared" ref="N22" si="34">+L22+M22</f>
        <v>1</v>
      </c>
      <c r="O22" s="52">
        <v>1</v>
      </c>
      <c r="P22" s="53">
        <f t="shared" ref="P22" si="35">+N22+O22</f>
        <v>2</v>
      </c>
      <c r="Q22" s="52"/>
      <c r="R22" s="53">
        <f t="shared" ref="R22" si="36">+P22+Q22</f>
        <v>2</v>
      </c>
      <c r="S22" s="52"/>
      <c r="T22" s="53">
        <f t="shared" ref="T22" si="37">+R22+S22</f>
        <v>2</v>
      </c>
      <c r="U22" s="52">
        <v>0</v>
      </c>
      <c r="V22" s="53">
        <f t="shared" ref="V22" si="38">+T22+U22</f>
        <v>2</v>
      </c>
      <c r="W22" s="52"/>
      <c r="X22" s="53">
        <f t="shared" ref="X22" si="39">+V22+W22</f>
        <v>2</v>
      </c>
      <c r="Y22" s="52"/>
      <c r="Z22" s="53">
        <f t="shared" ref="Z22" si="40">+X22+Y22</f>
        <v>2</v>
      </c>
      <c r="AA22" s="52"/>
      <c r="AB22" s="53">
        <f t="shared" ref="AB22" si="41">+Z22+AA22</f>
        <v>2</v>
      </c>
      <c r="AC22" s="54">
        <f>AB20/E20</f>
        <v>1</v>
      </c>
    </row>
    <row r="23" spans="1:29" s="35" customFormat="1" ht="22.9" customHeight="1">
      <c r="A23" s="122"/>
      <c r="B23" s="112"/>
      <c r="C23" s="115"/>
      <c r="D23" s="75"/>
      <c r="E23" s="26" t="s">
        <v>20</v>
      </c>
      <c r="F23" s="55" t="s">
        <v>20</v>
      </c>
      <c r="G23" s="55" t="s">
        <v>20</v>
      </c>
      <c r="H23" s="56" t="s">
        <v>20</v>
      </c>
      <c r="I23" s="55" t="s">
        <v>20</v>
      </c>
      <c r="J23" s="56" t="s">
        <v>20</v>
      </c>
      <c r="K23" s="55" t="s">
        <v>20</v>
      </c>
      <c r="L23" s="56" t="s">
        <v>20</v>
      </c>
      <c r="M23" s="55" t="s">
        <v>20</v>
      </c>
      <c r="N23" s="56" t="s">
        <v>20</v>
      </c>
      <c r="O23" s="55" t="s">
        <v>20</v>
      </c>
      <c r="P23" s="56" t="s">
        <v>20</v>
      </c>
      <c r="Q23" s="55" t="s">
        <v>20</v>
      </c>
      <c r="R23" s="56" t="s">
        <v>20</v>
      </c>
      <c r="S23" s="55" t="s">
        <v>20</v>
      </c>
      <c r="T23" s="56" t="s">
        <v>20</v>
      </c>
      <c r="U23" s="55" t="s">
        <v>20</v>
      </c>
      <c r="V23" s="56" t="s">
        <v>20</v>
      </c>
      <c r="W23" s="55" t="s">
        <v>20</v>
      </c>
      <c r="X23" s="56" t="s">
        <v>20</v>
      </c>
      <c r="Y23" s="55" t="s">
        <v>20</v>
      </c>
      <c r="Z23" s="56" t="s">
        <v>20</v>
      </c>
      <c r="AA23" s="55" t="s">
        <v>20</v>
      </c>
      <c r="AB23" s="56" t="s">
        <v>20</v>
      </c>
      <c r="AC23" s="49"/>
    </row>
    <row r="24" spans="1:29" s="35" customFormat="1" ht="22.9" customHeight="1" thickBot="1">
      <c r="A24" s="123"/>
      <c r="B24" s="113"/>
      <c r="C24" s="116"/>
      <c r="D24" s="76"/>
      <c r="E24" s="34">
        <v>3</v>
      </c>
      <c r="F24" s="57">
        <v>3</v>
      </c>
      <c r="G24" s="57">
        <v>3</v>
      </c>
      <c r="H24" s="58">
        <v>3</v>
      </c>
      <c r="I24" s="57">
        <v>3</v>
      </c>
      <c r="J24" s="58">
        <v>3</v>
      </c>
      <c r="K24" s="57">
        <v>3</v>
      </c>
      <c r="L24" s="58">
        <v>3</v>
      </c>
      <c r="M24" s="57">
        <v>3</v>
      </c>
      <c r="N24" s="58">
        <v>3</v>
      </c>
      <c r="O24" s="57">
        <v>3</v>
      </c>
      <c r="P24" s="58">
        <v>3</v>
      </c>
      <c r="Q24" s="57">
        <v>3</v>
      </c>
      <c r="R24" s="58">
        <v>3</v>
      </c>
      <c r="S24" s="57">
        <v>3</v>
      </c>
      <c r="T24" s="58">
        <v>3</v>
      </c>
      <c r="U24" s="57">
        <v>3</v>
      </c>
      <c r="V24" s="58">
        <v>3</v>
      </c>
      <c r="W24" s="57">
        <v>3</v>
      </c>
      <c r="X24" s="58">
        <v>3</v>
      </c>
      <c r="Y24" s="57">
        <v>3</v>
      </c>
      <c r="Z24" s="58">
        <v>3</v>
      </c>
      <c r="AA24" s="57">
        <v>3</v>
      </c>
      <c r="AB24" s="28">
        <v>3</v>
      </c>
      <c r="AC24" s="59"/>
    </row>
    <row r="25" spans="1:29" s="7" customFormat="1" ht="22.9" customHeight="1" thickTop="1">
      <c r="A25" s="121" t="s">
        <v>77</v>
      </c>
      <c r="B25" s="140" t="s">
        <v>78</v>
      </c>
      <c r="C25" s="114" t="s">
        <v>23</v>
      </c>
      <c r="D25" s="72" t="s">
        <v>24</v>
      </c>
      <c r="E25" s="16" t="s">
        <v>17</v>
      </c>
      <c r="F25" s="44" t="s">
        <v>17</v>
      </c>
      <c r="G25" s="44" t="s">
        <v>17</v>
      </c>
      <c r="H25" s="45" t="s">
        <v>17</v>
      </c>
      <c r="I25" s="44" t="s">
        <v>17</v>
      </c>
      <c r="J25" s="45" t="s">
        <v>17</v>
      </c>
      <c r="K25" s="44" t="s">
        <v>17</v>
      </c>
      <c r="L25" s="45" t="s">
        <v>17</v>
      </c>
      <c r="M25" s="44" t="s">
        <v>17</v>
      </c>
      <c r="N25" s="45" t="s">
        <v>17</v>
      </c>
      <c r="O25" s="44" t="s">
        <v>17</v>
      </c>
      <c r="P25" s="45" t="s">
        <v>17</v>
      </c>
      <c r="Q25" s="44" t="s">
        <v>17</v>
      </c>
      <c r="R25" s="45" t="s">
        <v>17</v>
      </c>
      <c r="S25" s="44" t="s">
        <v>17</v>
      </c>
      <c r="T25" s="45" t="s">
        <v>17</v>
      </c>
      <c r="U25" s="44" t="s">
        <v>17</v>
      </c>
      <c r="V25" s="45" t="s">
        <v>17</v>
      </c>
      <c r="W25" s="44" t="s">
        <v>17</v>
      </c>
      <c r="X25" s="45" t="s">
        <v>17</v>
      </c>
      <c r="Y25" s="44" t="s">
        <v>17</v>
      </c>
      <c r="Z25" s="45" t="s">
        <v>17</v>
      </c>
      <c r="AA25" s="44" t="s">
        <v>17</v>
      </c>
      <c r="AB25" s="45" t="s">
        <v>17</v>
      </c>
      <c r="AC25" s="46"/>
    </row>
    <row r="26" spans="1:29" s="7" customFormat="1" ht="22.9" customHeight="1">
      <c r="A26" s="122"/>
      <c r="B26" s="141"/>
      <c r="C26" s="115"/>
      <c r="D26" s="73"/>
      <c r="E26" s="32">
        <f>IF(E28&lt;&gt;0,+E28/E30,0%)</f>
        <v>0.66666666666666663</v>
      </c>
      <c r="F26" s="47">
        <f>IF(F28&lt;&gt;0,+F28/F30,0%)</f>
        <v>0</v>
      </c>
      <c r="G26" s="47">
        <f>IF(G28&lt;&gt;0,+G28/G30,0%)</f>
        <v>0</v>
      </c>
      <c r="H26" s="48">
        <f t="shared" ref="H26" si="42">IF(H28&lt;&gt;0,+H28/H30,0%)</f>
        <v>0</v>
      </c>
      <c r="I26" s="47">
        <f>IF(I28&lt;&gt;0,+I28/I30,0%)</f>
        <v>0</v>
      </c>
      <c r="J26" s="48">
        <f t="shared" ref="J26" si="43">IF(J28&lt;&gt;0,+J28/J30,0%)</f>
        <v>0</v>
      </c>
      <c r="K26" s="47">
        <f>IF(K28&lt;&gt;0,+K28/K30,0%)</f>
        <v>0.33333333333333331</v>
      </c>
      <c r="L26" s="48">
        <f t="shared" ref="L26" si="44">IF(L28&lt;&gt;0,+L28/L30,0%)</f>
        <v>0.33333333333333331</v>
      </c>
      <c r="M26" s="47">
        <f>IF(M28&lt;&gt;0,+M28/M30,0%)</f>
        <v>0</v>
      </c>
      <c r="N26" s="48">
        <f t="shared" ref="N26" si="45">IF(N28&lt;&gt;0,+N28/N30,0%)</f>
        <v>0.33333333333333331</v>
      </c>
      <c r="O26" s="47">
        <f>IF(O28&lt;&gt;0,+O28/O30,0%)</f>
        <v>0.33333333333333331</v>
      </c>
      <c r="P26" s="48">
        <f t="shared" ref="P26" si="46">IF(P28&lt;&gt;0,+P28/P30,0%)</f>
        <v>0.66666666666666663</v>
      </c>
      <c r="Q26" s="47">
        <f>IF(Q28&lt;&gt;0,+Q28/Q30,0%)</f>
        <v>0</v>
      </c>
      <c r="R26" s="48">
        <f t="shared" ref="R26" si="47">IF(R28&lt;&gt;0,+R28/R30,0%)</f>
        <v>0.66666666666666663</v>
      </c>
      <c r="S26" s="47">
        <f>IF(S28&lt;&gt;0,+S28/S30,0%)</f>
        <v>0</v>
      </c>
      <c r="T26" s="48">
        <f t="shared" ref="T26" si="48">IF(T28&lt;&gt;0,+T28/T30,0%)</f>
        <v>0.66666666666666663</v>
      </c>
      <c r="U26" s="47">
        <f>IF(U28&lt;&gt;0,+U28/U30,0%)</f>
        <v>0</v>
      </c>
      <c r="V26" s="48">
        <f t="shared" ref="V26" si="49">IF(V28&lt;&gt;0,+V28/V30,0%)</f>
        <v>0.66666666666666663</v>
      </c>
      <c r="W26" s="47">
        <f>IF(W28&lt;&gt;0,+W28/W30,0%)</f>
        <v>0</v>
      </c>
      <c r="X26" s="48">
        <f t="shared" ref="X26" si="50">IF(X28&lt;&gt;0,+X28/X30,0%)</f>
        <v>0.66666666666666663</v>
      </c>
      <c r="Y26" s="47">
        <f>IF(Y28&lt;&gt;0,+Y28/Y30,0%)</f>
        <v>0</v>
      </c>
      <c r="Z26" s="48">
        <f t="shared" ref="Z26" si="51">IF(Z28&lt;&gt;0,+Z28/Z30,0%)</f>
        <v>0.66666666666666663</v>
      </c>
      <c r="AA26" s="47">
        <f>IF(AA28&lt;&gt;0,+AA28/AA30,0%)</f>
        <v>0</v>
      </c>
      <c r="AB26" s="48">
        <f t="shared" ref="AB26" si="52">IF(AB28&lt;&gt;0,+AB28/AB30,0%)</f>
        <v>0.66666666666666663</v>
      </c>
      <c r="AC26" s="49"/>
    </row>
    <row r="27" spans="1:29" s="7" customFormat="1" ht="22.9" customHeight="1" thickBot="1">
      <c r="A27" s="122"/>
      <c r="B27" s="141"/>
      <c r="C27" s="115"/>
      <c r="D27" s="74"/>
      <c r="E27" s="22" t="s">
        <v>18</v>
      </c>
      <c r="F27" s="50" t="s">
        <v>18</v>
      </c>
      <c r="G27" s="50" t="s">
        <v>18</v>
      </c>
      <c r="H27" s="51" t="s">
        <v>18</v>
      </c>
      <c r="I27" s="50" t="s">
        <v>18</v>
      </c>
      <c r="J27" s="51" t="s">
        <v>18</v>
      </c>
      <c r="K27" s="50" t="s">
        <v>18</v>
      </c>
      <c r="L27" s="51" t="s">
        <v>18</v>
      </c>
      <c r="M27" s="50" t="s">
        <v>18</v>
      </c>
      <c r="N27" s="51" t="s">
        <v>18</v>
      </c>
      <c r="O27" s="50" t="s">
        <v>18</v>
      </c>
      <c r="P27" s="51" t="s">
        <v>18</v>
      </c>
      <c r="Q27" s="50" t="s">
        <v>18</v>
      </c>
      <c r="R27" s="51" t="s">
        <v>18</v>
      </c>
      <c r="S27" s="50" t="s">
        <v>18</v>
      </c>
      <c r="T27" s="51" t="s">
        <v>18</v>
      </c>
      <c r="U27" s="50" t="s">
        <v>18</v>
      </c>
      <c r="V27" s="51" t="s">
        <v>18</v>
      </c>
      <c r="W27" s="50" t="s">
        <v>18</v>
      </c>
      <c r="X27" s="51" t="s">
        <v>18</v>
      </c>
      <c r="Y27" s="50" t="s">
        <v>18</v>
      </c>
      <c r="Z27" s="51" t="s">
        <v>18</v>
      </c>
      <c r="AA27" s="50" t="s">
        <v>18</v>
      </c>
      <c r="AB27" s="51" t="s">
        <v>18</v>
      </c>
      <c r="AC27" s="49"/>
    </row>
    <row r="28" spans="1:29" s="7" customFormat="1" ht="22.9" customHeight="1" thickTop="1">
      <c r="A28" s="122"/>
      <c r="B28" s="141"/>
      <c r="C28" s="115"/>
      <c r="D28" s="72" t="s">
        <v>75</v>
      </c>
      <c r="E28" s="33">
        <v>2</v>
      </c>
      <c r="F28" s="52"/>
      <c r="G28" s="52"/>
      <c r="H28" s="53">
        <f>+F28+G28</f>
        <v>0</v>
      </c>
      <c r="I28" s="52"/>
      <c r="J28" s="53">
        <f t="shared" ref="J28" si="53">+H28+I28</f>
        <v>0</v>
      </c>
      <c r="K28" s="52">
        <v>1</v>
      </c>
      <c r="L28" s="53">
        <f t="shared" ref="L28" si="54">+J28+K28</f>
        <v>1</v>
      </c>
      <c r="M28" s="52"/>
      <c r="N28" s="53">
        <f t="shared" ref="N28" si="55">+L28+M28</f>
        <v>1</v>
      </c>
      <c r="O28" s="52">
        <v>1</v>
      </c>
      <c r="P28" s="53">
        <f t="shared" ref="P28" si="56">+N28+O28</f>
        <v>2</v>
      </c>
      <c r="Q28" s="52"/>
      <c r="R28" s="53">
        <f t="shared" ref="R28" si="57">+P28+Q28</f>
        <v>2</v>
      </c>
      <c r="S28" s="52"/>
      <c r="T28" s="53">
        <f t="shared" ref="T28" si="58">+R28+S28</f>
        <v>2</v>
      </c>
      <c r="U28" s="52">
        <v>0</v>
      </c>
      <c r="V28" s="53">
        <f t="shared" ref="V28" si="59">+T28+U28</f>
        <v>2</v>
      </c>
      <c r="W28" s="52"/>
      <c r="X28" s="53">
        <f t="shared" ref="X28" si="60">+V28+W28</f>
        <v>2</v>
      </c>
      <c r="Y28" s="52"/>
      <c r="Z28" s="53">
        <f t="shared" ref="Z28" si="61">+X28+Y28</f>
        <v>2</v>
      </c>
      <c r="AA28" s="52"/>
      <c r="AB28" s="53">
        <f t="shared" ref="AB28" si="62">+Z28+AA28</f>
        <v>2</v>
      </c>
      <c r="AC28" s="54">
        <f>AB26/E26</f>
        <v>1</v>
      </c>
    </row>
    <row r="29" spans="1:29" s="7" customFormat="1" ht="22.9" customHeight="1">
      <c r="A29" s="122"/>
      <c r="B29" s="141"/>
      <c r="C29" s="115"/>
      <c r="D29" s="75"/>
      <c r="E29" s="26" t="s">
        <v>20</v>
      </c>
      <c r="F29" s="55" t="s">
        <v>20</v>
      </c>
      <c r="G29" s="55" t="s">
        <v>20</v>
      </c>
      <c r="H29" s="56" t="s">
        <v>20</v>
      </c>
      <c r="I29" s="55" t="s">
        <v>20</v>
      </c>
      <c r="J29" s="56" t="s">
        <v>20</v>
      </c>
      <c r="K29" s="55" t="s">
        <v>20</v>
      </c>
      <c r="L29" s="56" t="s">
        <v>20</v>
      </c>
      <c r="M29" s="55" t="s">
        <v>20</v>
      </c>
      <c r="N29" s="56" t="s">
        <v>20</v>
      </c>
      <c r="O29" s="55" t="s">
        <v>20</v>
      </c>
      <c r="P29" s="56" t="s">
        <v>20</v>
      </c>
      <c r="Q29" s="55" t="s">
        <v>20</v>
      </c>
      <c r="R29" s="56" t="s">
        <v>20</v>
      </c>
      <c r="S29" s="55" t="s">
        <v>20</v>
      </c>
      <c r="T29" s="56" t="s">
        <v>20</v>
      </c>
      <c r="U29" s="55" t="s">
        <v>20</v>
      </c>
      <c r="V29" s="56" t="s">
        <v>20</v>
      </c>
      <c r="W29" s="55" t="s">
        <v>20</v>
      </c>
      <c r="X29" s="56" t="s">
        <v>20</v>
      </c>
      <c r="Y29" s="55" t="s">
        <v>20</v>
      </c>
      <c r="Z29" s="56" t="s">
        <v>20</v>
      </c>
      <c r="AA29" s="55" t="s">
        <v>20</v>
      </c>
      <c r="AB29" s="56" t="s">
        <v>20</v>
      </c>
      <c r="AC29" s="49"/>
    </row>
    <row r="30" spans="1:29" s="7" customFormat="1" ht="22.9" customHeight="1" thickBot="1">
      <c r="A30" s="123"/>
      <c r="B30" s="142"/>
      <c r="C30" s="116"/>
      <c r="D30" s="76"/>
      <c r="E30" s="34">
        <v>3</v>
      </c>
      <c r="F30" s="57">
        <v>3</v>
      </c>
      <c r="G30" s="57">
        <v>3</v>
      </c>
      <c r="H30" s="58">
        <v>3</v>
      </c>
      <c r="I30" s="57">
        <v>3</v>
      </c>
      <c r="J30" s="58">
        <v>3</v>
      </c>
      <c r="K30" s="57">
        <v>3</v>
      </c>
      <c r="L30" s="58">
        <v>3</v>
      </c>
      <c r="M30" s="57">
        <v>3</v>
      </c>
      <c r="N30" s="58">
        <v>3</v>
      </c>
      <c r="O30" s="57">
        <v>3</v>
      </c>
      <c r="P30" s="58">
        <v>3</v>
      </c>
      <c r="Q30" s="57">
        <v>3</v>
      </c>
      <c r="R30" s="58">
        <v>3</v>
      </c>
      <c r="S30" s="57">
        <v>3</v>
      </c>
      <c r="T30" s="58">
        <v>3</v>
      </c>
      <c r="U30" s="57">
        <v>3</v>
      </c>
      <c r="V30" s="58">
        <v>3</v>
      </c>
      <c r="W30" s="57">
        <v>3</v>
      </c>
      <c r="X30" s="58">
        <v>3</v>
      </c>
      <c r="Y30" s="57">
        <v>3</v>
      </c>
      <c r="Z30" s="58">
        <v>3</v>
      </c>
      <c r="AA30" s="57">
        <v>3</v>
      </c>
      <c r="AB30" s="28">
        <v>3</v>
      </c>
      <c r="AC30" s="59"/>
    </row>
    <row r="31" spans="1:29" s="7" customFormat="1" ht="22.9" customHeight="1" thickTop="1">
      <c r="A31" s="121" t="s">
        <v>79</v>
      </c>
      <c r="B31" s="137" t="s">
        <v>80</v>
      </c>
      <c r="C31" s="114" t="s">
        <v>23</v>
      </c>
      <c r="D31" s="72" t="s">
        <v>24</v>
      </c>
      <c r="E31" s="16" t="s">
        <v>17</v>
      </c>
      <c r="F31" s="44" t="s">
        <v>17</v>
      </c>
      <c r="G31" s="44" t="s">
        <v>17</v>
      </c>
      <c r="H31" s="45" t="s">
        <v>17</v>
      </c>
      <c r="I31" s="44" t="s">
        <v>17</v>
      </c>
      <c r="J31" s="45" t="s">
        <v>17</v>
      </c>
      <c r="K31" s="44" t="s">
        <v>17</v>
      </c>
      <c r="L31" s="45" t="s">
        <v>17</v>
      </c>
      <c r="M31" s="44" t="s">
        <v>17</v>
      </c>
      <c r="N31" s="45" t="s">
        <v>17</v>
      </c>
      <c r="O31" s="44" t="s">
        <v>17</v>
      </c>
      <c r="P31" s="45" t="s">
        <v>17</v>
      </c>
      <c r="Q31" s="44" t="s">
        <v>17</v>
      </c>
      <c r="R31" s="45" t="s">
        <v>17</v>
      </c>
      <c r="S31" s="44" t="s">
        <v>17</v>
      </c>
      <c r="T31" s="45" t="s">
        <v>17</v>
      </c>
      <c r="U31" s="44" t="s">
        <v>17</v>
      </c>
      <c r="V31" s="45" t="s">
        <v>17</v>
      </c>
      <c r="W31" s="44" t="s">
        <v>17</v>
      </c>
      <c r="X31" s="45" t="s">
        <v>17</v>
      </c>
      <c r="Y31" s="44" t="s">
        <v>17</v>
      </c>
      <c r="Z31" s="45" t="s">
        <v>17</v>
      </c>
      <c r="AA31" s="44" t="s">
        <v>17</v>
      </c>
      <c r="AB31" s="45" t="s">
        <v>17</v>
      </c>
      <c r="AC31" s="46"/>
    </row>
    <row r="32" spans="1:29" s="7" customFormat="1" ht="22.9" customHeight="1">
      <c r="A32" s="122"/>
      <c r="B32" s="138"/>
      <c r="C32" s="115"/>
      <c r="D32" s="73"/>
      <c r="E32" s="32">
        <f>IF(E34&lt;&gt;0,+E34/E36,0%)</f>
        <v>0.66666666666666663</v>
      </c>
      <c r="F32" s="47">
        <f>IF(F34&lt;&gt;0,+F34/F36,0%)</f>
        <v>0</v>
      </c>
      <c r="G32" s="47">
        <f>IF(G34&lt;&gt;0,+G34/G36,0%)</f>
        <v>0</v>
      </c>
      <c r="H32" s="48">
        <f t="shared" ref="H32" si="63">IF(H34&lt;&gt;0,+H34/H36,0%)</f>
        <v>0</v>
      </c>
      <c r="I32" s="47">
        <f>IF(I34&lt;&gt;0,+I34/I36,0%)</f>
        <v>0</v>
      </c>
      <c r="J32" s="48">
        <f t="shared" ref="J32" si="64">IF(J34&lt;&gt;0,+J34/J36,0%)</f>
        <v>0</v>
      </c>
      <c r="K32" s="47">
        <f>IF(K34&lt;&gt;0,+K34/K36,0%)</f>
        <v>0.33333333333333331</v>
      </c>
      <c r="L32" s="48">
        <f t="shared" ref="L32" si="65">IF(L34&lt;&gt;0,+L34/L36,0%)</f>
        <v>0.33333333333333331</v>
      </c>
      <c r="M32" s="47">
        <f>IF(M34&lt;&gt;0,+M34/M36,0%)</f>
        <v>0</v>
      </c>
      <c r="N32" s="48">
        <f t="shared" ref="N32" si="66">IF(N34&lt;&gt;0,+N34/N36,0%)</f>
        <v>0.33333333333333331</v>
      </c>
      <c r="O32" s="47">
        <f>IF(O34&lt;&gt;0,+O34/O36,0%)</f>
        <v>0.33333333333333331</v>
      </c>
      <c r="P32" s="48">
        <f t="shared" ref="P32" si="67">IF(P34&lt;&gt;0,+P34/P36,0%)</f>
        <v>0.66666666666666663</v>
      </c>
      <c r="Q32" s="47">
        <f>IF(Q34&lt;&gt;0,+Q34/Q36,0%)</f>
        <v>0</v>
      </c>
      <c r="R32" s="48">
        <f t="shared" ref="R32" si="68">IF(R34&lt;&gt;0,+R34/R36,0%)</f>
        <v>0.66666666666666663</v>
      </c>
      <c r="S32" s="47">
        <f>IF(S34&lt;&gt;0,+S34/S36,0%)</f>
        <v>0</v>
      </c>
      <c r="T32" s="48">
        <f t="shared" ref="T32" si="69">IF(T34&lt;&gt;0,+T34/T36,0%)</f>
        <v>0.66666666666666663</v>
      </c>
      <c r="U32" s="47">
        <f>IF(U34&lt;&gt;0,+U34/U36,0%)</f>
        <v>0</v>
      </c>
      <c r="V32" s="48">
        <f t="shared" ref="V32" si="70">IF(V34&lt;&gt;0,+V34/V36,0%)</f>
        <v>0.66666666666666663</v>
      </c>
      <c r="W32" s="47">
        <f>IF(W34&lt;&gt;0,+W34/W36,0%)</f>
        <v>0</v>
      </c>
      <c r="X32" s="48">
        <f t="shared" ref="X32" si="71">IF(X34&lt;&gt;0,+X34/X36,0%)</f>
        <v>0.66666666666666663</v>
      </c>
      <c r="Y32" s="47">
        <f>IF(Y34&lt;&gt;0,+Y34/Y36,0%)</f>
        <v>0</v>
      </c>
      <c r="Z32" s="48">
        <f t="shared" ref="Z32" si="72">IF(Z34&lt;&gt;0,+Z34/Z36,0%)</f>
        <v>0.66666666666666663</v>
      </c>
      <c r="AA32" s="47">
        <f>IF(AA34&lt;&gt;0,+AA34/AA36,0%)</f>
        <v>0</v>
      </c>
      <c r="AB32" s="48">
        <f t="shared" ref="AB32" si="73">IF(AB34&lt;&gt;0,+AB34/AB36,0%)</f>
        <v>0.66666666666666663</v>
      </c>
      <c r="AC32" s="49"/>
    </row>
    <row r="33" spans="1:29" s="7" customFormat="1" ht="22.9" customHeight="1" thickBot="1">
      <c r="A33" s="122"/>
      <c r="B33" s="138"/>
      <c r="C33" s="115"/>
      <c r="D33" s="74"/>
      <c r="E33" s="22" t="s">
        <v>18</v>
      </c>
      <c r="F33" s="50" t="s">
        <v>18</v>
      </c>
      <c r="G33" s="50" t="s">
        <v>18</v>
      </c>
      <c r="H33" s="51" t="s">
        <v>18</v>
      </c>
      <c r="I33" s="50" t="s">
        <v>18</v>
      </c>
      <c r="J33" s="51" t="s">
        <v>18</v>
      </c>
      <c r="K33" s="50" t="s">
        <v>18</v>
      </c>
      <c r="L33" s="51" t="s">
        <v>18</v>
      </c>
      <c r="M33" s="50" t="s">
        <v>18</v>
      </c>
      <c r="N33" s="51" t="s">
        <v>18</v>
      </c>
      <c r="O33" s="50" t="s">
        <v>18</v>
      </c>
      <c r="P33" s="51" t="s">
        <v>18</v>
      </c>
      <c r="Q33" s="50" t="s">
        <v>18</v>
      </c>
      <c r="R33" s="51" t="s">
        <v>18</v>
      </c>
      <c r="S33" s="50" t="s">
        <v>18</v>
      </c>
      <c r="T33" s="51" t="s">
        <v>18</v>
      </c>
      <c r="U33" s="50" t="s">
        <v>18</v>
      </c>
      <c r="V33" s="51" t="s">
        <v>18</v>
      </c>
      <c r="W33" s="50" t="s">
        <v>18</v>
      </c>
      <c r="X33" s="51" t="s">
        <v>18</v>
      </c>
      <c r="Y33" s="50" t="s">
        <v>18</v>
      </c>
      <c r="Z33" s="51" t="s">
        <v>18</v>
      </c>
      <c r="AA33" s="50" t="s">
        <v>18</v>
      </c>
      <c r="AB33" s="51" t="s">
        <v>18</v>
      </c>
      <c r="AC33" s="49"/>
    </row>
    <row r="34" spans="1:29" s="7" customFormat="1" ht="22.9" customHeight="1" thickTop="1">
      <c r="A34" s="122"/>
      <c r="B34" s="138"/>
      <c r="C34" s="115"/>
      <c r="D34" s="72" t="s">
        <v>75</v>
      </c>
      <c r="E34" s="33">
        <v>2</v>
      </c>
      <c r="F34" s="52"/>
      <c r="G34" s="52"/>
      <c r="H34" s="53">
        <f>+F34+G34</f>
        <v>0</v>
      </c>
      <c r="I34" s="52"/>
      <c r="J34" s="53">
        <f t="shared" ref="J34" si="74">+H34+I34</f>
        <v>0</v>
      </c>
      <c r="K34" s="52">
        <v>1</v>
      </c>
      <c r="L34" s="53">
        <f t="shared" ref="L34" si="75">+J34+K34</f>
        <v>1</v>
      </c>
      <c r="M34" s="52"/>
      <c r="N34" s="53">
        <f t="shared" ref="N34" si="76">+L34+M34</f>
        <v>1</v>
      </c>
      <c r="O34" s="52">
        <v>1</v>
      </c>
      <c r="P34" s="53">
        <f t="shared" ref="P34" si="77">+N34+O34</f>
        <v>2</v>
      </c>
      <c r="Q34" s="52"/>
      <c r="R34" s="53">
        <f t="shared" ref="R34" si="78">+P34+Q34</f>
        <v>2</v>
      </c>
      <c r="S34" s="52"/>
      <c r="T34" s="53">
        <f t="shared" ref="T34" si="79">+R34+S34</f>
        <v>2</v>
      </c>
      <c r="U34" s="52">
        <v>0</v>
      </c>
      <c r="V34" s="53">
        <f t="shared" ref="V34" si="80">+T34+U34</f>
        <v>2</v>
      </c>
      <c r="W34" s="52"/>
      <c r="X34" s="53">
        <f t="shared" ref="X34" si="81">+V34+W34</f>
        <v>2</v>
      </c>
      <c r="Y34" s="52"/>
      <c r="Z34" s="53">
        <f t="shared" ref="Z34" si="82">+X34+Y34</f>
        <v>2</v>
      </c>
      <c r="AA34" s="52"/>
      <c r="AB34" s="53">
        <f t="shared" ref="AB34" si="83">+Z34+AA34</f>
        <v>2</v>
      </c>
      <c r="AC34" s="54">
        <f>AB32/E32</f>
        <v>1</v>
      </c>
    </row>
    <row r="35" spans="1:29" s="7" customFormat="1" ht="22.9" customHeight="1">
      <c r="A35" s="122"/>
      <c r="B35" s="138"/>
      <c r="C35" s="115"/>
      <c r="D35" s="75"/>
      <c r="E35" s="26" t="s">
        <v>20</v>
      </c>
      <c r="F35" s="55" t="s">
        <v>20</v>
      </c>
      <c r="G35" s="55" t="s">
        <v>20</v>
      </c>
      <c r="H35" s="56" t="s">
        <v>20</v>
      </c>
      <c r="I35" s="55" t="s">
        <v>20</v>
      </c>
      <c r="J35" s="56" t="s">
        <v>20</v>
      </c>
      <c r="K35" s="55" t="s">
        <v>20</v>
      </c>
      <c r="L35" s="56" t="s">
        <v>20</v>
      </c>
      <c r="M35" s="55" t="s">
        <v>20</v>
      </c>
      <c r="N35" s="56" t="s">
        <v>20</v>
      </c>
      <c r="O35" s="55" t="s">
        <v>20</v>
      </c>
      <c r="P35" s="56" t="s">
        <v>20</v>
      </c>
      <c r="Q35" s="55" t="s">
        <v>20</v>
      </c>
      <c r="R35" s="56" t="s">
        <v>20</v>
      </c>
      <c r="S35" s="55" t="s">
        <v>20</v>
      </c>
      <c r="T35" s="56" t="s">
        <v>20</v>
      </c>
      <c r="U35" s="55" t="s">
        <v>20</v>
      </c>
      <c r="V35" s="56" t="s">
        <v>20</v>
      </c>
      <c r="W35" s="55" t="s">
        <v>20</v>
      </c>
      <c r="X35" s="56" t="s">
        <v>20</v>
      </c>
      <c r="Y35" s="55" t="s">
        <v>20</v>
      </c>
      <c r="Z35" s="56" t="s">
        <v>20</v>
      </c>
      <c r="AA35" s="55" t="s">
        <v>20</v>
      </c>
      <c r="AB35" s="56" t="s">
        <v>20</v>
      </c>
      <c r="AC35" s="49"/>
    </row>
    <row r="36" spans="1:29" s="7" customFormat="1" ht="22.9" customHeight="1" thickBot="1">
      <c r="A36" s="123"/>
      <c r="B36" s="139"/>
      <c r="C36" s="116"/>
      <c r="D36" s="76"/>
      <c r="E36" s="34">
        <v>3</v>
      </c>
      <c r="F36" s="57">
        <v>3</v>
      </c>
      <c r="G36" s="57">
        <v>3</v>
      </c>
      <c r="H36" s="58">
        <v>3</v>
      </c>
      <c r="I36" s="57">
        <v>3</v>
      </c>
      <c r="J36" s="58">
        <v>3</v>
      </c>
      <c r="K36" s="57">
        <v>3</v>
      </c>
      <c r="L36" s="58">
        <v>3</v>
      </c>
      <c r="M36" s="57">
        <v>3</v>
      </c>
      <c r="N36" s="58">
        <v>3</v>
      </c>
      <c r="O36" s="57">
        <v>3</v>
      </c>
      <c r="P36" s="58">
        <v>3</v>
      </c>
      <c r="Q36" s="57">
        <v>3</v>
      </c>
      <c r="R36" s="58">
        <v>3</v>
      </c>
      <c r="S36" s="57">
        <v>3</v>
      </c>
      <c r="T36" s="58">
        <v>3</v>
      </c>
      <c r="U36" s="57">
        <v>3</v>
      </c>
      <c r="V36" s="58">
        <v>3</v>
      </c>
      <c r="W36" s="57">
        <v>3</v>
      </c>
      <c r="X36" s="58">
        <v>3</v>
      </c>
      <c r="Y36" s="57">
        <v>3</v>
      </c>
      <c r="Z36" s="58">
        <v>3</v>
      </c>
      <c r="AA36" s="57">
        <v>3</v>
      </c>
      <c r="AB36" s="28">
        <v>3</v>
      </c>
      <c r="AC36" s="59"/>
    </row>
    <row r="37" spans="1:29" s="35" customFormat="1" ht="22.9" customHeight="1" thickTop="1">
      <c r="A37" s="121" t="s">
        <v>81</v>
      </c>
      <c r="B37" s="114" t="s">
        <v>82</v>
      </c>
      <c r="C37" s="114" t="s">
        <v>23</v>
      </c>
      <c r="D37" s="72" t="s">
        <v>24</v>
      </c>
      <c r="E37" s="16" t="s">
        <v>17</v>
      </c>
      <c r="F37" s="44" t="s">
        <v>17</v>
      </c>
      <c r="G37" s="44" t="s">
        <v>17</v>
      </c>
      <c r="H37" s="45" t="s">
        <v>17</v>
      </c>
      <c r="I37" s="44" t="s">
        <v>17</v>
      </c>
      <c r="J37" s="45" t="s">
        <v>17</v>
      </c>
      <c r="K37" s="44" t="s">
        <v>17</v>
      </c>
      <c r="L37" s="45" t="s">
        <v>17</v>
      </c>
      <c r="M37" s="44" t="s">
        <v>17</v>
      </c>
      <c r="N37" s="45" t="s">
        <v>17</v>
      </c>
      <c r="O37" s="44" t="s">
        <v>17</v>
      </c>
      <c r="P37" s="45" t="s">
        <v>17</v>
      </c>
      <c r="Q37" s="44" t="s">
        <v>17</v>
      </c>
      <c r="R37" s="45" t="s">
        <v>17</v>
      </c>
      <c r="S37" s="44" t="s">
        <v>17</v>
      </c>
      <c r="T37" s="45" t="s">
        <v>17</v>
      </c>
      <c r="U37" s="44" t="s">
        <v>17</v>
      </c>
      <c r="V37" s="45" t="s">
        <v>17</v>
      </c>
      <c r="W37" s="44" t="s">
        <v>17</v>
      </c>
      <c r="X37" s="45" t="s">
        <v>17</v>
      </c>
      <c r="Y37" s="44" t="s">
        <v>17</v>
      </c>
      <c r="Z37" s="45" t="s">
        <v>17</v>
      </c>
      <c r="AA37" s="44" t="s">
        <v>17</v>
      </c>
      <c r="AB37" s="45" t="s">
        <v>17</v>
      </c>
      <c r="AC37" s="46"/>
    </row>
    <row r="38" spans="1:29" s="35" customFormat="1" ht="22.9" customHeight="1">
      <c r="A38" s="122"/>
      <c r="B38" s="115"/>
      <c r="C38" s="115"/>
      <c r="D38" s="73"/>
      <c r="E38" s="32">
        <f>IF(E40&lt;&gt;0,+E40/E42,0%)</f>
        <v>0.66666666666666663</v>
      </c>
      <c r="F38" s="47">
        <f>IF(F40&lt;&gt;0,+F40/F42,0%)</f>
        <v>0</v>
      </c>
      <c r="G38" s="47">
        <f>IF(G40&lt;&gt;0,+G40/G42,0%)</f>
        <v>0</v>
      </c>
      <c r="H38" s="48">
        <f t="shared" ref="H38" si="84">IF(H40&lt;&gt;0,+H40/H42,0%)</f>
        <v>0</v>
      </c>
      <c r="I38" s="47">
        <f>IF(I40&lt;&gt;0,+I40/I42,0%)</f>
        <v>0</v>
      </c>
      <c r="J38" s="48">
        <f t="shared" ref="J38" si="85">IF(J40&lt;&gt;0,+J40/J42,0%)</f>
        <v>0</v>
      </c>
      <c r="K38" s="47">
        <f>IF(K40&lt;&gt;0,+K40/K42,0%)</f>
        <v>0.33333333333333331</v>
      </c>
      <c r="L38" s="48">
        <f t="shared" ref="L38" si="86">IF(L40&lt;&gt;0,+L40/L42,0%)</f>
        <v>0.33333333333333331</v>
      </c>
      <c r="M38" s="47">
        <f>IF(M40&lt;&gt;0,+M40/M42,0%)</f>
        <v>0</v>
      </c>
      <c r="N38" s="48">
        <f t="shared" ref="N38" si="87">IF(N40&lt;&gt;0,+N40/N42,0%)</f>
        <v>0.33333333333333331</v>
      </c>
      <c r="O38" s="47">
        <f>IF(O40&lt;&gt;0,+O40/O42,0%)</f>
        <v>0.33333333333333331</v>
      </c>
      <c r="P38" s="48">
        <f t="shared" ref="P38" si="88">IF(P40&lt;&gt;0,+P40/P42,0%)</f>
        <v>0.66666666666666663</v>
      </c>
      <c r="Q38" s="47">
        <f>IF(Q40&lt;&gt;0,+Q40/Q42,0%)</f>
        <v>0</v>
      </c>
      <c r="R38" s="48">
        <f t="shared" ref="R38" si="89">IF(R40&lt;&gt;0,+R40/R42,0%)</f>
        <v>0.66666666666666663</v>
      </c>
      <c r="S38" s="47">
        <f>IF(S40&lt;&gt;0,+S40/S42,0%)</f>
        <v>0</v>
      </c>
      <c r="T38" s="48">
        <f t="shared" ref="T38" si="90">IF(T40&lt;&gt;0,+T40/T42,0%)</f>
        <v>0.66666666666666663</v>
      </c>
      <c r="U38" s="47">
        <f>IF(U40&lt;&gt;0,+U40/U42,0%)</f>
        <v>0</v>
      </c>
      <c r="V38" s="48">
        <f t="shared" ref="V38" si="91">IF(V40&lt;&gt;0,+V40/V42,0%)</f>
        <v>0.66666666666666663</v>
      </c>
      <c r="W38" s="47">
        <f>IF(W40&lt;&gt;0,+W40/W42,0%)</f>
        <v>0</v>
      </c>
      <c r="X38" s="48">
        <f t="shared" ref="X38" si="92">IF(X40&lt;&gt;0,+X40/X42,0%)</f>
        <v>0.66666666666666663</v>
      </c>
      <c r="Y38" s="47">
        <f>IF(Y40&lt;&gt;0,+Y40/Y42,0%)</f>
        <v>0</v>
      </c>
      <c r="Z38" s="48">
        <f t="shared" ref="Z38" si="93">IF(Z40&lt;&gt;0,+Z40/Z42,0%)</f>
        <v>0.66666666666666663</v>
      </c>
      <c r="AA38" s="47">
        <f>IF(AA40&lt;&gt;0,+AA40/AA42,0%)</f>
        <v>0</v>
      </c>
      <c r="AB38" s="48">
        <f t="shared" ref="AB38" si="94">IF(AB40&lt;&gt;0,+AB40/AB42,0%)</f>
        <v>0.66666666666666663</v>
      </c>
      <c r="AC38" s="49"/>
    </row>
    <row r="39" spans="1:29" s="35" customFormat="1" ht="22.9" customHeight="1" thickBot="1">
      <c r="A39" s="122"/>
      <c r="B39" s="115"/>
      <c r="C39" s="115"/>
      <c r="D39" s="74"/>
      <c r="E39" s="22" t="s">
        <v>18</v>
      </c>
      <c r="F39" s="50" t="s">
        <v>18</v>
      </c>
      <c r="G39" s="50" t="s">
        <v>18</v>
      </c>
      <c r="H39" s="51" t="s">
        <v>18</v>
      </c>
      <c r="I39" s="50" t="s">
        <v>18</v>
      </c>
      <c r="J39" s="51" t="s">
        <v>18</v>
      </c>
      <c r="K39" s="50" t="s">
        <v>18</v>
      </c>
      <c r="L39" s="51" t="s">
        <v>18</v>
      </c>
      <c r="M39" s="50" t="s">
        <v>18</v>
      </c>
      <c r="N39" s="51" t="s">
        <v>18</v>
      </c>
      <c r="O39" s="50" t="s">
        <v>18</v>
      </c>
      <c r="P39" s="51" t="s">
        <v>18</v>
      </c>
      <c r="Q39" s="50" t="s">
        <v>18</v>
      </c>
      <c r="R39" s="51" t="s">
        <v>18</v>
      </c>
      <c r="S39" s="50" t="s">
        <v>18</v>
      </c>
      <c r="T39" s="51" t="s">
        <v>18</v>
      </c>
      <c r="U39" s="50" t="s">
        <v>18</v>
      </c>
      <c r="V39" s="51" t="s">
        <v>18</v>
      </c>
      <c r="W39" s="50" t="s">
        <v>18</v>
      </c>
      <c r="X39" s="51" t="s">
        <v>18</v>
      </c>
      <c r="Y39" s="50" t="s">
        <v>18</v>
      </c>
      <c r="Z39" s="51" t="s">
        <v>18</v>
      </c>
      <c r="AA39" s="50" t="s">
        <v>18</v>
      </c>
      <c r="AB39" s="51" t="s">
        <v>18</v>
      </c>
      <c r="AC39" s="49"/>
    </row>
    <row r="40" spans="1:29" s="35" customFormat="1" ht="22.9" customHeight="1" thickTop="1">
      <c r="A40" s="122"/>
      <c r="B40" s="115"/>
      <c r="C40" s="115"/>
      <c r="D40" s="72" t="s">
        <v>75</v>
      </c>
      <c r="E40" s="33">
        <v>2</v>
      </c>
      <c r="F40" s="52"/>
      <c r="G40" s="52"/>
      <c r="H40" s="53">
        <f>+F40+G40</f>
        <v>0</v>
      </c>
      <c r="I40" s="52"/>
      <c r="J40" s="53">
        <f t="shared" ref="J40" si="95">+H40+I40</f>
        <v>0</v>
      </c>
      <c r="K40" s="52">
        <v>1</v>
      </c>
      <c r="L40" s="53">
        <f t="shared" ref="L40" si="96">+J40+K40</f>
        <v>1</v>
      </c>
      <c r="M40" s="52"/>
      <c r="N40" s="53">
        <f t="shared" ref="N40" si="97">+L40+M40</f>
        <v>1</v>
      </c>
      <c r="O40" s="52">
        <v>1</v>
      </c>
      <c r="P40" s="53">
        <f t="shared" ref="P40" si="98">+N40+O40</f>
        <v>2</v>
      </c>
      <c r="Q40" s="52"/>
      <c r="R40" s="53">
        <f t="shared" ref="R40" si="99">+P40+Q40</f>
        <v>2</v>
      </c>
      <c r="S40" s="52"/>
      <c r="T40" s="53">
        <f t="shared" ref="T40" si="100">+R40+S40</f>
        <v>2</v>
      </c>
      <c r="U40" s="52">
        <v>0</v>
      </c>
      <c r="V40" s="53">
        <f t="shared" ref="V40" si="101">+T40+U40</f>
        <v>2</v>
      </c>
      <c r="W40" s="52"/>
      <c r="X40" s="53">
        <f t="shared" ref="X40" si="102">+V40+W40</f>
        <v>2</v>
      </c>
      <c r="Y40" s="52"/>
      <c r="Z40" s="53">
        <f t="shared" ref="Z40" si="103">+X40+Y40</f>
        <v>2</v>
      </c>
      <c r="AA40" s="52"/>
      <c r="AB40" s="53">
        <f t="shared" ref="AB40" si="104">+Z40+AA40</f>
        <v>2</v>
      </c>
      <c r="AC40" s="54">
        <f>AB38/E38</f>
        <v>1</v>
      </c>
    </row>
    <row r="41" spans="1:29" s="35" customFormat="1" ht="22.9" customHeight="1">
      <c r="A41" s="122"/>
      <c r="B41" s="115"/>
      <c r="C41" s="115"/>
      <c r="D41" s="75"/>
      <c r="E41" s="26" t="s">
        <v>20</v>
      </c>
      <c r="F41" s="55" t="s">
        <v>20</v>
      </c>
      <c r="G41" s="55" t="s">
        <v>20</v>
      </c>
      <c r="H41" s="56" t="s">
        <v>20</v>
      </c>
      <c r="I41" s="55" t="s">
        <v>20</v>
      </c>
      <c r="J41" s="56" t="s">
        <v>20</v>
      </c>
      <c r="K41" s="55" t="s">
        <v>20</v>
      </c>
      <c r="L41" s="56" t="s">
        <v>20</v>
      </c>
      <c r="M41" s="55" t="s">
        <v>20</v>
      </c>
      <c r="N41" s="56" t="s">
        <v>20</v>
      </c>
      <c r="O41" s="55" t="s">
        <v>20</v>
      </c>
      <c r="P41" s="56" t="s">
        <v>20</v>
      </c>
      <c r="Q41" s="55" t="s">
        <v>20</v>
      </c>
      <c r="R41" s="56" t="s">
        <v>20</v>
      </c>
      <c r="S41" s="55" t="s">
        <v>20</v>
      </c>
      <c r="T41" s="56" t="s">
        <v>20</v>
      </c>
      <c r="U41" s="55" t="s">
        <v>20</v>
      </c>
      <c r="V41" s="56" t="s">
        <v>20</v>
      </c>
      <c r="W41" s="55" t="s">
        <v>20</v>
      </c>
      <c r="X41" s="56" t="s">
        <v>20</v>
      </c>
      <c r="Y41" s="55" t="s">
        <v>20</v>
      </c>
      <c r="Z41" s="56" t="s">
        <v>20</v>
      </c>
      <c r="AA41" s="55" t="s">
        <v>20</v>
      </c>
      <c r="AB41" s="56" t="s">
        <v>20</v>
      </c>
      <c r="AC41" s="49"/>
    </row>
    <row r="42" spans="1:29" s="35" customFormat="1" ht="22.9" customHeight="1" thickBot="1">
      <c r="A42" s="123"/>
      <c r="B42" s="116"/>
      <c r="C42" s="116"/>
      <c r="D42" s="76"/>
      <c r="E42" s="34">
        <v>3</v>
      </c>
      <c r="F42" s="57">
        <v>3</v>
      </c>
      <c r="G42" s="57">
        <v>3</v>
      </c>
      <c r="H42" s="58">
        <v>3</v>
      </c>
      <c r="I42" s="57">
        <v>3</v>
      </c>
      <c r="J42" s="58">
        <v>3</v>
      </c>
      <c r="K42" s="57">
        <v>3</v>
      </c>
      <c r="L42" s="58">
        <v>3</v>
      </c>
      <c r="M42" s="57">
        <v>3</v>
      </c>
      <c r="N42" s="58">
        <v>3</v>
      </c>
      <c r="O42" s="57">
        <v>3</v>
      </c>
      <c r="P42" s="58">
        <v>3</v>
      </c>
      <c r="Q42" s="57">
        <v>3</v>
      </c>
      <c r="R42" s="58">
        <v>3</v>
      </c>
      <c r="S42" s="57">
        <v>3</v>
      </c>
      <c r="T42" s="58">
        <v>3</v>
      </c>
      <c r="U42" s="57">
        <v>3</v>
      </c>
      <c r="V42" s="58">
        <v>3</v>
      </c>
      <c r="W42" s="57">
        <v>3</v>
      </c>
      <c r="X42" s="58">
        <v>3</v>
      </c>
      <c r="Y42" s="57">
        <v>3</v>
      </c>
      <c r="Z42" s="58">
        <v>3</v>
      </c>
      <c r="AA42" s="57">
        <v>3</v>
      </c>
      <c r="AB42" s="28">
        <v>3</v>
      </c>
      <c r="AC42" s="59"/>
    </row>
    <row r="43" spans="1:29" s="35" customFormat="1" ht="22.9" customHeight="1" thickTop="1">
      <c r="A43" s="121" t="s">
        <v>83</v>
      </c>
      <c r="B43" s="114" t="s">
        <v>84</v>
      </c>
      <c r="C43" s="114" t="s">
        <v>23</v>
      </c>
      <c r="D43" s="72" t="s">
        <v>24</v>
      </c>
      <c r="E43" s="16" t="s">
        <v>17</v>
      </c>
      <c r="F43" s="44" t="s">
        <v>17</v>
      </c>
      <c r="G43" s="44" t="s">
        <v>17</v>
      </c>
      <c r="H43" s="45" t="s">
        <v>17</v>
      </c>
      <c r="I43" s="44" t="s">
        <v>17</v>
      </c>
      <c r="J43" s="45" t="s">
        <v>17</v>
      </c>
      <c r="K43" s="44" t="s">
        <v>17</v>
      </c>
      <c r="L43" s="45" t="s">
        <v>17</v>
      </c>
      <c r="M43" s="44" t="s">
        <v>17</v>
      </c>
      <c r="N43" s="45" t="s">
        <v>17</v>
      </c>
      <c r="O43" s="44" t="s">
        <v>17</v>
      </c>
      <c r="P43" s="45" t="s">
        <v>17</v>
      </c>
      <c r="Q43" s="44" t="s">
        <v>17</v>
      </c>
      <c r="R43" s="45" t="s">
        <v>17</v>
      </c>
      <c r="S43" s="44" t="s">
        <v>17</v>
      </c>
      <c r="T43" s="45" t="s">
        <v>17</v>
      </c>
      <c r="U43" s="44" t="s">
        <v>17</v>
      </c>
      <c r="V43" s="45" t="s">
        <v>17</v>
      </c>
      <c r="W43" s="44" t="s">
        <v>17</v>
      </c>
      <c r="X43" s="45" t="s">
        <v>17</v>
      </c>
      <c r="Y43" s="44" t="s">
        <v>17</v>
      </c>
      <c r="Z43" s="45" t="s">
        <v>17</v>
      </c>
      <c r="AA43" s="44" t="s">
        <v>17</v>
      </c>
      <c r="AB43" s="45" t="s">
        <v>17</v>
      </c>
      <c r="AC43" s="46"/>
    </row>
    <row r="44" spans="1:29" s="35" customFormat="1" ht="22.9" customHeight="1">
      <c r="A44" s="122"/>
      <c r="B44" s="115"/>
      <c r="C44" s="115"/>
      <c r="D44" s="73"/>
      <c r="E44" s="32">
        <f>IF(E46&lt;&gt;0,+E46/E48,0%)</f>
        <v>0.66666666666666663</v>
      </c>
      <c r="F44" s="47">
        <f>IF(F46&lt;&gt;0,+F46/F48,0%)</f>
        <v>0</v>
      </c>
      <c r="G44" s="47">
        <f>IF(G46&lt;&gt;0,+G46/G48,0%)</f>
        <v>0</v>
      </c>
      <c r="H44" s="48">
        <f t="shared" ref="H44" si="105">IF(H46&lt;&gt;0,+H46/H48,0%)</f>
        <v>0</v>
      </c>
      <c r="I44" s="47">
        <f>IF(I46&lt;&gt;0,+I46/I48,0%)</f>
        <v>0</v>
      </c>
      <c r="J44" s="48">
        <f t="shared" ref="J44" si="106">IF(J46&lt;&gt;0,+J46/J48,0%)</f>
        <v>0</v>
      </c>
      <c r="K44" s="47">
        <f>IF(K46&lt;&gt;0,+K46/K48,0%)</f>
        <v>0.33333333333333331</v>
      </c>
      <c r="L44" s="48">
        <f t="shared" ref="L44" si="107">IF(L46&lt;&gt;0,+L46/L48,0%)</f>
        <v>0.33333333333333331</v>
      </c>
      <c r="M44" s="47">
        <f>IF(M46&lt;&gt;0,+M46/M48,0%)</f>
        <v>0</v>
      </c>
      <c r="N44" s="48">
        <f t="shared" ref="N44" si="108">IF(N46&lt;&gt;0,+N46/N48,0%)</f>
        <v>0.33333333333333331</v>
      </c>
      <c r="O44" s="47">
        <f>IF(O46&lt;&gt;0,+O46/O48,0%)</f>
        <v>0.33333333333333331</v>
      </c>
      <c r="P44" s="48">
        <f t="shared" ref="P44" si="109">IF(P46&lt;&gt;0,+P46/P48,0%)</f>
        <v>0.66666666666666663</v>
      </c>
      <c r="Q44" s="47">
        <f>IF(Q46&lt;&gt;0,+Q46/Q48,0%)</f>
        <v>0</v>
      </c>
      <c r="R44" s="48">
        <f t="shared" ref="R44" si="110">IF(R46&lt;&gt;0,+R46/R48,0%)</f>
        <v>0.66666666666666663</v>
      </c>
      <c r="S44" s="47">
        <f>IF(S46&lt;&gt;0,+S46/S48,0%)</f>
        <v>0</v>
      </c>
      <c r="T44" s="48">
        <f t="shared" ref="T44" si="111">IF(T46&lt;&gt;0,+T46/T48,0%)</f>
        <v>0.66666666666666663</v>
      </c>
      <c r="U44" s="47">
        <f>IF(U46&lt;&gt;0,+U46/U48,0%)</f>
        <v>0</v>
      </c>
      <c r="V44" s="48">
        <f t="shared" ref="V44" si="112">IF(V46&lt;&gt;0,+V46/V48,0%)</f>
        <v>0.66666666666666663</v>
      </c>
      <c r="W44" s="47">
        <f>IF(W46&lt;&gt;0,+W46/W48,0%)</f>
        <v>0</v>
      </c>
      <c r="X44" s="48">
        <f t="shared" ref="X44" si="113">IF(X46&lt;&gt;0,+X46/X48,0%)</f>
        <v>0.66666666666666663</v>
      </c>
      <c r="Y44" s="47">
        <f>IF(Y46&lt;&gt;0,+Y46/Y48,0%)</f>
        <v>0</v>
      </c>
      <c r="Z44" s="48">
        <f t="shared" ref="Z44" si="114">IF(Z46&lt;&gt;0,+Z46/Z48,0%)</f>
        <v>0.66666666666666663</v>
      </c>
      <c r="AA44" s="47">
        <f>IF(AA46&lt;&gt;0,+AA46/AA48,0%)</f>
        <v>0</v>
      </c>
      <c r="AB44" s="48">
        <f t="shared" ref="AB44" si="115">IF(AB46&lt;&gt;0,+AB46/AB48,0%)</f>
        <v>0.66666666666666663</v>
      </c>
      <c r="AC44" s="49"/>
    </row>
    <row r="45" spans="1:29" s="35" customFormat="1" ht="22.9" customHeight="1" thickBot="1">
      <c r="A45" s="122"/>
      <c r="B45" s="115"/>
      <c r="C45" s="115"/>
      <c r="D45" s="74"/>
      <c r="E45" s="22" t="s">
        <v>18</v>
      </c>
      <c r="F45" s="50" t="s">
        <v>18</v>
      </c>
      <c r="G45" s="50" t="s">
        <v>18</v>
      </c>
      <c r="H45" s="51" t="s">
        <v>18</v>
      </c>
      <c r="I45" s="50" t="s">
        <v>18</v>
      </c>
      <c r="J45" s="51" t="s">
        <v>18</v>
      </c>
      <c r="K45" s="50" t="s">
        <v>18</v>
      </c>
      <c r="L45" s="51" t="s">
        <v>18</v>
      </c>
      <c r="M45" s="50" t="s">
        <v>18</v>
      </c>
      <c r="N45" s="51" t="s">
        <v>18</v>
      </c>
      <c r="O45" s="50" t="s">
        <v>18</v>
      </c>
      <c r="P45" s="51" t="s">
        <v>18</v>
      </c>
      <c r="Q45" s="50" t="s">
        <v>18</v>
      </c>
      <c r="R45" s="51" t="s">
        <v>18</v>
      </c>
      <c r="S45" s="50" t="s">
        <v>18</v>
      </c>
      <c r="T45" s="51" t="s">
        <v>18</v>
      </c>
      <c r="U45" s="50" t="s">
        <v>18</v>
      </c>
      <c r="V45" s="51" t="s">
        <v>18</v>
      </c>
      <c r="W45" s="50" t="s">
        <v>18</v>
      </c>
      <c r="X45" s="51" t="s">
        <v>18</v>
      </c>
      <c r="Y45" s="50" t="s">
        <v>18</v>
      </c>
      <c r="Z45" s="51" t="s">
        <v>18</v>
      </c>
      <c r="AA45" s="50" t="s">
        <v>18</v>
      </c>
      <c r="AB45" s="51" t="s">
        <v>18</v>
      </c>
      <c r="AC45" s="49"/>
    </row>
    <row r="46" spans="1:29" s="35" customFormat="1" ht="22.9" customHeight="1" thickTop="1">
      <c r="A46" s="122"/>
      <c r="B46" s="115"/>
      <c r="C46" s="115"/>
      <c r="D46" s="72" t="s">
        <v>75</v>
      </c>
      <c r="E46" s="33">
        <v>2</v>
      </c>
      <c r="F46" s="52"/>
      <c r="G46" s="52"/>
      <c r="H46" s="53">
        <f>+F46+G46</f>
        <v>0</v>
      </c>
      <c r="I46" s="52"/>
      <c r="J46" s="53">
        <f t="shared" ref="J46" si="116">+H46+I46</f>
        <v>0</v>
      </c>
      <c r="K46" s="52">
        <v>1</v>
      </c>
      <c r="L46" s="53">
        <f t="shared" ref="L46" si="117">+J46+K46</f>
        <v>1</v>
      </c>
      <c r="M46" s="52"/>
      <c r="N46" s="53">
        <f t="shared" ref="N46" si="118">+L46+M46</f>
        <v>1</v>
      </c>
      <c r="O46" s="52">
        <v>1</v>
      </c>
      <c r="P46" s="53">
        <f t="shared" ref="P46" si="119">+N46+O46</f>
        <v>2</v>
      </c>
      <c r="Q46" s="52"/>
      <c r="R46" s="53">
        <f t="shared" ref="R46" si="120">+P46+Q46</f>
        <v>2</v>
      </c>
      <c r="S46" s="52"/>
      <c r="T46" s="53">
        <f t="shared" ref="T46" si="121">+R46+S46</f>
        <v>2</v>
      </c>
      <c r="U46" s="52">
        <v>0</v>
      </c>
      <c r="V46" s="53">
        <f t="shared" ref="V46" si="122">+T46+U46</f>
        <v>2</v>
      </c>
      <c r="W46" s="52"/>
      <c r="X46" s="53">
        <f t="shared" ref="X46" si="123">+V46+W46</f>
        <v>2</v>
      </c>
      <c r="Y46" s="52"/>
      <c r="Z46" s="53">
        <f t="shared" ref="Z46" si="124">+X46+Y46</f>
        <v>2</v>
      </c>
      <c r="AA46" s="52"/>
      <c r="AB46" s="53">
        <f t="shared" ref="AB46" si="125">+Z46+AA46</f>
        <v>2</v>
      </c>
      <c r="AC46" s="54">
        <f>AB44/E44</f>
        <v>1</v>
      </c>
    </row>
    <row r="47" spans="1:29" s="35" customFormat="1" ht="22.9" customHeight="1">
      <c r="A47" s="122"/>
      <c r="B47" s="115"/>
      <c r="C47" s="115"/>
      <c r="D47" s="75"/>
      <c r="E47" s="26" t="s">
        <v>20</v>
      </c>
      <c r="F47" s="55" t="s">
        <v>20</v>
      </c>
      <c r="G47" s="55" t="s">
        <v>20</v>
      </c>
      <c r="H47" s="56" t="s">
        <v>20</v>
      </c>
      <c r="I47" s="55" t="s">
        <v>20</v>
      </c>
      <c r="J47" s="56" t="s">
        <v>20</v>
      </c>
      <c r="K47" s="55" t="s">
        <v>20</v>
      </c>
      <c r="L47" s="56" t="s">
        <v>20</v>
      </c>
      <c r="M47" s="55" t="s">
        <v>20</v>
      </c>
      <c r="N47" s="56" t="s">
        <v>20</v>
      </c>
      <c r="O47" s="55" t="s">
        <v>20</v>
      </c>
      <c r="P47" s="56" t="s">
        <v>20</v>
      </c>
      <c r="Q47" s="55" t="s">
        <v>20</v>
      </c>
      <c r="R47" s="56" t="s">
        <v>20</v>
      </c>
      <c r="S47" s="55" t="s">
        <v>20</v>
      </c>
      <c r="T47" s="56" t="s">
        <v>20</v>
      </c>
      <c r="U47" s="55" t="s">
        <v>20</v>
      </c>
      <c r="V47" s="56" t="s">
        <v>20</v>
      </c>
      <c r="W47" s="55" t="s">
        <v>20</v>
      </c>
      <c r="X47" s="56" t="s">
        <v>20</v>
      </c>
      <c r="Y47" s="55" t="s">
        <v>20</v>
      </c>
      <c r="Z47" s="56" t="s">
        <v>20</v>
      </c>
      <c r="AA47" s="55" t="s">
        <v>20</v>
      </c>
      <c r="AB47" s="56" t="s">
        <v>20</v>
      </c>
      <c r="AC47" s="49"/>
    </row>
    <row r="48" spans="1:29" s="35" customFormat="1" ht="22.9" customHeight="1" thickBot="1">
      <c r="A48" s="123"/>
      <c r="B48" s="116"/>
      <c r="C48" s="116"/>
      <c r="D48" s="76"/>
      <c r="E48" s="34">
        <v>3</v>
      </c>
      <c r="F48" s="57">
        <v>3</v>
      </c>
      <c r="G48" s="57">
        <v>3</v>
      </c>
      <c r="H48" s="58">
        <v>3</v>
      </c>
      <c r="I48" s="57">
        <v>3</v>
      </c>
      <c r="J48" s="58">
        <v>3</v>
      </c>
      <c r="K48" s="57">
        <v>3</v>
      </c>
      <c r="L48" s="58">
        <v>3</v>
      </c>
      <c r="M48" s="57">
        <v>3</v>
      </c>
      <c r="N48" s="58">
        <v>3</v>
      </c>
      <c r="O48" s="57">
        <v>3</v>
      </c>
      <c r="P48" s="58">
        <v>3</v>
      </c>
      <c r="Q48" s="57">
        <v>3</v>
      </c>
      <c r="R48" s="58">
        <v>3</v>
      </c>
      <c r="S48" s="57">
        <v>3</v>
      </c>
      <c r="T48" s="58">
        <v>3</v>
      </c>
      <c r="U48" s="57">
        <v>3</v>
      </c>
      <c r="V48" s="58">
        <v>3</v>
      </c>
      <c r="W48" s="57">
        <v>3</v>
      </c>
      <c r="X48" s="58">
        <v>3</v>
      </c>
      <c r="Y48" s="57">
        <v>3</v>
      </c>
      <c r="Z48" s="58">
        <v>3</v>
      </c>
      <c r="AA48" s="57">
        <v>3</v>
      </c>
      <c r="AB48" s="28">
        <v>3</v>
      </c>
      <c r="AC48" s="59"/>
    </row>
    <row r="49" spans="1:29" s="35" customFormat="1" ht="22.9" customHeight="1" thickTop="1">
      <c r="A49" s="121" t="s">
        <v>85</v>
      </c>
      <c r="B49" s="114" t="s">
        <v>86</v>
      </c>
      <c r="C49" s="114" t="s">
        <v>23</v>
      </c>
      <c r="D49" s="72" t="s">
        <v>24</v>
      </c>
      <c r="E49" s="16" t="s">
        <v>17</v>
      </c>
      <c r="F49" s="44" t="s">
        <v>17</v>
      </c>
      <c r="G49" s="44" t="s">
        <v>17</v>
      </c>
      <c r="H49" s="45" t="s">
        <v>17</v>
      </c>
      <c r="I49" s="44" t="s">
        <v>17</v>
      </c>
      <c r="J49" s="45" t="s">
        <v>17</v>
      </c>
      <c r="K49" s="44" t="s">
        <v>17</v>
      </c>
      <c r="L49" s="45" t="s">
        <v>17</v>
      </c>
      <c r="M49" s="44" t="s">
        <v>17</v>
      </c>
      <c r="N49" s="45" t="s">
        <v>17</v>
      </c>
      <c r="O49" s="44" t="s">
        <v>17</v>
      </c>
      <c r="P49" s="45" t="s">
        <v>17</v>
      </c>
      <c r="Q49" s="44" t="s">
        <v>17</v>
      </c>
      <c r="R49" s="45" t="s">
        <v>17</v>
      </c>
      <c r="S49" s="44" t="s">
        <v>17</v>
      </c>
      <c r="T49" s="45" t="s">
        <v>17</v>
      </c>
      <c r="U49" s="44" t="s">
        <v>17</v>
      </c>
      <c r="V49" s="45" t="s">
        <v>17</v>
      </c>
      <c r="W49" s="44" t="s">
        <v>17</v>
      </c>
      <c r="X49" s="45" t="s">
        <v>17</v>
      </c>
      <c r="Y49" s="44" t="s">
        <v>17</v>
      </c>
      <c r="Z49" s="45" t="s">
        <v>17</v>
      </c>
      <c r="AA49" s="44" t="s">
        <v>17</v>
      </c>
      <c r="AB49" s="45" t="s">
        <v>17</v>
      </c>
      <c r="AC49" s="46"/>
    </row>
    <row r="50" spans="1:29" s="35" customFormat="1" ht="22.9" customHeight="1">
      <c r="A50" s="122"/>
      <c r="B50" s="115"/>
      <c r="C50" s="115"/>
      <c r="D50" s="73"/>
      <c r="E50" s="32">
        <f>IF(E52&lt;&gt;0,+E52/E54,0%)</f>
        <v>0.66666666666666663</v>
      </c>
      <c r="F50" s="47">
        <f>IF(F52&lt;&gt;0,+F52/F54,0%)</f>
        <v>0</v>
      </c>
      <c r="G50" s="47">
        <f>IF(G52&lt;&gt;0,+G52/G54,0%)</f>
        <v>0</v>
      </c>
      <c r="H50" s="48">
        <f t="shared" ref="H50" si="126">IF(H52&lt;&gt;0,+H52/H54,0%)</f>
        <v>0</v>
      </c>
      <c r="I50" s="47">
        <f>IF(I52&lt;&gt;0,+I52/I54,0%)</f>
        <v>0</v>
      </c>
      <c r="J50" s="48">
        <f t="shared" ref="J50" si="127">IF(J52&lt;&gt;0,+J52/J54,0%)</f>
        <v>0</v>
      </c>
      <c r="K50" s="47">
        <f>IF(K52&lt;&gt;0,+K52/K54,0%)</f>
        <v>0.33333333333333331</v>
      </c>
      <c r="L50" s="48">
        <f t="shared" ref="L50" si="128">IF(L52&lt;&gt;0,+L52/L54,0%)</f>
        <v>0.33333333333333331</v>
      </c>
      <c r="M50" s="47">
        <f>IF(M52&lt;&gt;0,+M52/M54,0%)</f>
        <v>0</v>
      </c>
      <c r="N50" s="48">
        <f t="shared" ref="N50" si="129">IF(N52&lt;&gt;0,+N52/N54,0%)</f>
        <v>0.33333333333333331</v>
      </c>
      <c r="O50" s="47">
        <f>IF(O52&lt;&gt;0,+O52/O54,0%)</f>
        <v>0.33333333333333331</v>
      </c>
      <c r="P50" s="48">
        <f t="shared" ref="P50" si="130">IF(P52&lt;&gt;0,+P52/P54,0%)</f>
        <v>0.66666666666666663</v>
      </c>
      <c r="Q50" s="47">
        <f>IF(Q52&lt;&gt;0,+Q52/Q54,0%)</f>
        <v>0</v>
      </c>
      <c r="R50" s="48">
        <f t="shared" ref="R50" si="131">IF(R52&lt;&gt;0,+R52/R54,0%)</f>
        <v>0.66666666666666663</v>
      </c>
      <c r="S50" s="47">
        <f>IF(S52&lt;&gt;0,+S52/S54,0%)</f>
        <v>0</v>
      </c>
      <c r="T50" s="48">
        <f t="shared" ref="T50" si="132">IF(T52&lt;&gt;0,+T52/T54,0%)</f>
        <v>0.66666666666666663</v>
      </c>
      <c r="U50" s="47">
        <f>IF(U52&lt;&gt;0,+U52/U54,0%)</f>
        <v>0</v>
      </c>
      <c r="V50" s="48">
        <f t="shared" ref="V50" si="133">IF(V52&lt;&gt;0,+V52/V54,0%)</f>
        <v>0.66666666666666663</v>
      </c>
      <c r="W50" s="47">
        <f>IF(W52&lt;&gt;0,+W52/W54,0%)</f>
        <v>0</v>
      </c>
      <c r="X50" s="48">
        <f t="shared" ref="X50" si="134">IF(X52&lt;&gt;0,+X52/X54,0%)</f>
        <v>0.66666666666666663</v>
      </c>
      <c r="Y50" s="47">
        <f>IF(Y52&lt;&gt;0,+Y52/Y54,0%)</f>
        <v>0</v>
      </c>
      <c r="Z50" s="48">
        <f t="shared" ref="Z50" si="135">IF(Z52&lt;&gt;0,+Z52/Z54,0%)</f>
        <v>0.66666666666666663</v>
      </c>
      <c r="AA50" s="47">
        <f>IF(AA52&lt;&gt;0,+AA52/AA54,0%)</f>
        <v>0</v>
      </c>
      <c r="AB50" s="48">
        <f t="shared" ref="AB50" si="136">IF(AB52&lt;&gt;0,+AB52/AB54,0%)</f>
        <v>0.66666666666666663</v>
      </c>
      <c r="AC50" s="49"/>
    </row>
    <row r="51" spans="1:29" s="35" customFormat="1" ht="22.9" customHeight="1" thickBot="1">
      <c r="A51" s="122"/>
      <c r="B51" s="115"/>
      <c r="C51" s="115"/>
      <c r="D51" s="74"/>
      <c r="E51" s="22" t="s">
        <v>18</v>
      </c>
      <c r="F51" s="50" t="s">
        <v>18</v>
      </c>
      <c r="G51" s="50" t="s">
        <v>18</v>
      </c>
      <c r="H51" s="51" t="s">
        <v>18</v>
      </c>
      <c r="I51" s="50" t="s">
        <v>18</v>
      </c>
      <c r="J51" s="51" t="s">
        <v>18</v>
      </c>
      <c r="K51" s="50" t="s">
        <v>18</v>
      </c>
      <c r="L51" s="51" t="s">
        <v>18</v>
      </c>
      <c r="M51" s="50" t="s">
        <v>18</v>
      </c>
      <c r="N51" s="51" t="s">
        <v>18</v>
      </c>
      <c r="O51" s="50" t="s">
        <v>18</v>
      </c>
      <c r="P51" s="51" t="s">
        <v>18</v>
      </c>
      <c r="Q51" s="50" t="s">
        <v>18</v>
      </c>
      <c r="R51" s="51" t="s">
        <v>18</v>
      </c>
      <c r="S51" s="50" t="s">
        <v>18</v>
      </c>
      <c r="T51" s="51" t="s">
        <v>18</v>
      </c>
      <c r="U51" s="50" t="s">
        <v>18</v>
      </c>
      <c r="V51" s="51" t="s">
        <v>18</v>
      </c>
      <c r="W51" s="50" t="s">
        <v>18</v>
      </c>
      <c r="X51" s="51" t="s">
        <v>18</v>
      </c>
      <c r="Y51" s="50" t="s">
        <v>18</v>
      </c>
      <c r="Z51" s="51" t="s">
        <v>18</v>
      </c>
      <c r="AA51" s="50" t="s">
        <v>18</v>
      </c>
      <c r="AB51" s="51" t="s">
        <v>18</v>
      </c>
      <c r="AC51" s="49"/>
    </row>
    <row r="52" spans="1:29" s="35" customFormat="1" ht="22.9" customHeight="1" thickTop="1">
      <c r="A52" s="122"/>
      <c r="B52" s="115"/>
      <c r="C52" s="115"/>
      <c r="D52" s="72" t="s">
        <v>75</v>
      </c>
      <c r="E52" s="33">
        <v>2</v>
      </c>
      <c r="F52" s="52"/>
      <c r="G52" s="52"/>
      <c r="H52" s="53">
        <f>+F52+G52</f>
        <v>0</v>
      </c>
      <c r="I52" s="52"/>
      <c r="J52" s="53">
        <f t="shared" ref="J52" si="137">+H52+I52</f>
        <v>0</v>
      </c>
      <c r="K52" s="52">
        <v>1</v>
      </c>
      <c r="L52" s="53">
        <f t="shared" ref="L52" si="138">+J52+K52</f>
        <v>1</v>
      </c>
      <c r="M52" s="52"/>
      <c r="N52" s="53">
        <f t="shared" ref="N52" si="139">+L52+M52</f>
        <v>1</v>
      </c>
      <c r="O52" s="52">
        <v>1</v>
      </c>
      <c r="P52" s="53">
        <f t="shared" ref="P52" si="140">+N52+O52</f>
        <v>2</v>
      </c>
      <c r="Q52" s="52"/>
      <c r="R52" s="53">
        <f t="shared" ref="R52" si="141">+P52+Q52</f>
        <v>2</v>
      </c>
      <c r="S52" s="52"/>
      <c r="T52" s="53">
        <f t="shared" ref="T52" si="142">+R52+S52</f>
        <v>2</v>
      </c>
      <c r="U52" s="52">
        <v>0</v>
      </c>
      <c r="V52" s="53">
        <f t="shared" ref="V52" si="143">+T52+U52</f>
        <v>2</v>
      </c>
      <c r="W52" s="52"/>
      <c r="X52" s="53">
        <f t="shared" ref="X52" si="144">+V52+W52</f>
        <v>2</v>
      </c>
      <c r="Y52" s="52"/>
      <c r="Z52" s="53">
        <f t="shared" ref="Z52" si="145">+X52+Y52</f>
        <v>2</v>
      </c>
      <c r="AA52" s="52"/>
      <c r="AB52" s="53">
        <f t="shared" ref="AB52" si="146">+Z52+AA52</f>
        <v>2</v>
      </c>
      <c r="AC52" s="54">
        <f>AB50/E50</f>
        <v>1</v>
      </c>
    </row>
    <row r="53" spans="1:29" s="35" customFormat="1" ht="22.9" customHeight="1">
      <c r="A53" s="122"/>
      <c r="B53" s="115"/>
      <c r="C53" s="115"/>
      <c r="D53" s="75"/>
      <c r="E53" s="26" t="s">
        <v>20</v>
      </c>
      <c r="F53" s="55" t="s">
        <v>20</v>
      </c>
      <c r="G53" s="55" t="s">
        <v>20</v>
      </c>
      <c r="H53" s="56" t="s">
        <v>20</v>
      </c>
      <c r="I53" s="55" t="s">
        <v>20</v>
      </c>
      <c r="J53" s="56" t="s">
        <v>20</v>
      </c>
      <c r="K53" s="55" t="s">
        <v>20</v>
      </c>
      <c r="L53" s="56" t="s">
        <v>20</v>
      </c>
      <c r="M53" s="55" t="s">
        <v>20</v>
      </c>
      <c r="N53" s="56" t="s">
        <v>20</v>
      </c>
      <c r="O53" s="55" t="s">
        <v>20</v>
      </c>
      <c r="P53" s="56" t="s">
        <v>20</v>
      </c>
      <c r="Q53" s="55" t="s">
        <v>20</v>
      </c>
      <c r="R53" s="56" t="s">
        <v>20</v>
      </c>
      <c r="S53" s="55" t="s">
        <v>20</v>
      </c>
      <c r="T53" s="56" t="s">
        <v>20</v>
      </c>
      <c r="U53" s="55" t="s">
        <v>20</v>
      </c>
      <c r="V53" s="56" t="s">
        <v>20</v>
      </c>
      <c r="W53" s="55" t="s">
        <v>20</v>
      </c>
      <c r="X53" s="56" t="s">
        <v>20</v>
      </c>
      <c r="Y53" s="55" t="s">
        <v>20</v>
      </c>
      <c r="Z53" s="56" t="s">
        <v>20</v>
      </c>
      <c r="AA53" s="55" t="s">
        <v>20</v>
      </c>
      <c r="AB53" s="56" t="s">
        <v>20</v>
      </c>
      <c r="AC53" s="49"/>
    </row>
    <row r="54" spans="1:29" s="35" customFormat="1" ht="22.9" customHeight="1" thickBot="1">
      <c r="A54" s="123"/>
      <c r="B54" s="116"/>
      <c r="C54" s="116"/>
      <c r="D54" s="76"/>
      <c r="E54" s="34">
        <v>3</v>
      </c>
      <c r="F54" s="57">
        <v>3</v>
      </c>
      <c r="G54" s="57">
        <v>3</v>
      </c>
      <c r="H54" s="58">
        <v>3</v>
      </c>
      <c r="I54" s="57">
        <v>3</v>
      </c>
      <c r="J54" s="58">
        <v>3</v>
      </c>
      <c r="K54" s="57">
        <v>3</v>
      </c>
      <c r="L54" s="58">
        <v>3</v>
      </c>
      <c r="M54" s="57">
        <v>3</v>
      </c>
      <c r="N54" s="58">
        <v>3</v>
      </c>
      <c r="O54" s="57">
        <v>3</v>
      </c>
      <c r="P54" s="58">
        <v>3</v>
      </c>
      <c r="Q54" s="57">
        <v>3</v>
      </c>
      <c r="R54" s="58">
        <v>3</v>
      </c>
      <c r="S54" s="57">
        <v>3</v>
      </c>
      <c r="T54" s="58">
        <v>3</v>
      </c>
      <c r="U54" s="57">
        <v>3</v>
      </c>
      <c r="V54" s="58">
        <v>3</v>
      </c>
      <c r="W54" s="57">
        <v>3</v>
      </c>
      <c r="X54" s="58">
        <v>3</v>
      </c>
      <c r="Y54" s="57">
        <v>3</v>
      </c>
      <c r="Z54" s="58">
        <v>3</v>
      </c>
      <c r="AA54" s="57">
        <v>3</v>
      </c>
      <c r="AB54" s="28">
        <v>3</v>
      </c>
      <c r="AC54" s="59"/>
    </row>
    <row r="55" spans="1:29" s="35" customFormat="1" ht="22.9" customHeight="1" thickTop="1">
      <c r="A55" s="121" t="s">
        <v>87</v>
      </c>
      <c r="B55" s="134" t="s">
        <v>88</v>
      </c>
      <c r="C55" s="114" t="s">
        <v>23</v>
      </c>
      <c r="D55" s="72" t="s">
        <v>89</v>
      </c>
      <c r="E55" s="16" t="s">
        <v>17</v>
      </c>
      <c r="F55" s="44" t="s">
        <v>17</v>
      </c>
      <c r="G55" s="44" t="s">
        <v>17</v>
      </c>
      <c r="H55" s="45" t="s">
        <v>17</v>
      </c>
      <c r="I55" s="44" t="s">
        <v>17</v>
      </c>
      <c r="J55" s="45" t="s">
        <v>17</v>
      </c>
      <c r="K55" s="44" t="s">
        <v>17</v>
      </c>
      <c r="L55" s="45" t="s">
        <v>17</v>
      </c>
      <c r="M55" s="44" t="s">
        <v>17</v>
      </c>
      <c r="N55" s="45" t="s">
        <v>17</v>
      </c>
      <c r="O55" s="44" t="s">
        <v>17</v>
      </c>
      <c r="P55" s="45" t="s">
        <v>17</v>
      </c>
      <c r="Q55" s="44" t="s">
        <v>17</v>
      </c>
      <c r="R55" s="45" t="s">
        <v>17</v>
      </c>
      <c r="S55" s="44" t="s">
        <v>17</v>
      </c>
      <c r="T55" s="45" t="s">
        <v>17</v>
      </c>
      <c r="U55" s="44" t="s">
        <v>17</v>
      </c>
      <c r="V55" s="45" t="s">
        <v>17</v>
      </c>
      <c r="W55" s="44" t="s">
        <v>17</v>
      </c>
      <c r="X55" s="45" t="s">
        <v>17</v>
      </c>
      <c r="Y55" s="44" t="s">
        <v>17</v>
      </c>
      <c r="Z55" s="45" t="s">
        <v>17</v>
      </c>
      <c r="AA55" s="44" t="s">
        <v>17</v>
      </c>
      <c r="AB55" s="45" t="s">
        <v>17</v>
      </c>
      <c r="AC55" s="46"/>
    </row>
    <row r="56" spans="1:29" s="35" customFormat="1" ht="22.9" customHeight="1">
      <c r="A56" s="122"/>
      <c r="B56" s="135"/>
      <c r="C56" s="115"/>
      <c r="D56" s="73"/>
      <c r="E56" s="32">
        <f>IF(E58&lt;&gt;0,+E58/E60,0%)</f>
        <v>0.66666666666666663</v>
      </c>
      <c r="F56" s="47">
        <f>IF(F58&lt;&gt;0,+F58/F60,0%)</f>
        <v>0</v>
      </c>
      <c r="G56" s="47">
        <f>IF(G58&lt;&gt;0,+G58/G60,0%)</f>
        <v>0</v>
      </c>
      <c r="H56" s="48">
        <f t="shared" ref="H56" si="147">IF(H58&lt;&gt;0,+H58/H60,0%)</f>
        <v>0</v>
      </c>
      <c r="I56" s="47">
        <f>IF(I58&lt;&gt;0,+I58/I60,0%)</f>
        <v>0</v>
      </c>
      <c r="J56" s="48">
        <f t="shared" ref="J56" si="148">IF(J58&lt;&gt;0,+J58/J60,0%)</f>
        <v>0</v>
      </c>
      <c r="K56" s="47">
        <f>IF(K58&lt;&gt;0,+K58/K60,0%)</f>
        <v>0.33333333333333331</v>
      </c>
      <c r="L56" s="48">
        <f t="shared" ref="L56" si="149">IF(L58&lt;&gt;0,+L58/L60,0%)</f>
        <v>0.33333333333333331</v>
      </c>
      <c r="M56" s="47">
        <f>IF(M58&lt;&gt;0,+M58/M60,0%)</f>
        <v>0</v>
      </c>
      <c r="N56" s="48">
        <f t="shared" ref="N56" si="150">IF(N58&lt;&gt;0,+N58/N60,0%)</f>
        <v>0.33333333333333331</v>
      </c>
      <c r="O56" s="47">
        <f>IF(O58&lt;&gt;0,+O58/O60,0%)</f>
        <v>0.33333333333333331</v>
      </c>
      <c r="P56" s="48">
        <f t="shared" ref="P56" si="151">IF(P58&lt;&gt;0,+P58/P60,0%)</f>
        <v>0.66666666666666663</v>
      </c>
      <c r="Q56" s="47">
        <f>IF(Q58&lt;&gt;0,+Q58/Q60,0%)</f>
        <v>0</v>
      </c>
      <c r="R56" s="48">
        <f t="shared" ref="R56" si="152">IF(R58&lt;&gt;0,+R58/R60,0%)</f>
        <v>0.66666666666666663</v>
      </c>
      <c r="S56" s="47">
        <f>IF(S58&lt;&gt;0,+S58/S60,0%)</f>
        <v>0</v>
      </c>
      <c r="T56" s="48">
        <f t="shared" ref="T56" si="153">IF(T58&lt;&gt;0,+T58/T60,0%)</f>
        <v>0.66666666666666663</v>
      </c>
      <c r="U56" s="47">
        <f>IF(U58&lt;&gt;0,+U58/U60,0%)</f>
        <v>0</v>
      </c>
      <c r="V56" s="48">
        <f t="shared" ref="V56" si="154">IF(V58&lt;&gt;0,+V58/V60,0%)</f>
        <v>0.66666666666666663</v>
      </c>
      <c r="W56" s="47">
        <f>IF(W58&lt;&gt;0,+W58/W60,0%)</f>
        <v>0</v>
      </c>
      <c r="X56" s="48">
        <f t="shared" ref="X56" si="155">IF(X58&lt;&gt;0,+X58/X60,0%)</f>
        <v>0.66666666666666663</v>
      </c>
      <c r="Y56" s="47">
        <f>IF(Y58&lt;&gt;0,+Y58/Y60,0%)</f>
        <v>0</v>
      </c>
      <c r="Z56" s="48">
        <f t="shared" ref="Z56" si="156">IF(Z58&lt;&gt;0,+Z58/Z60,0%)</f>
        <v>0.66666666666666663</v>
      </c>
      <c r="AA56" s="47">
        <f>IF(AA58&lt;&gt;0,+AA58/AA60,0%)</f>
        <v>0</v>
      </c>
      <c r="AB56" s="48">
        <f t="shared" ref="AB56" si="157">IF(AB58&lt;&gt;0,+AB58/AB60,0%)</f>
        <v>0.66666666666666663</v>
      </c>
      <c r="AC56" s="49"/>
    </row>
    <row r="57" spans="1:29" s="35" customFormat="1" ht="22.9" customHeight="1" thickBot="1">
      <c r="A57" s="122"/>
      <c r="B57" s="135"/>
      <c r="C57" s="115"/>
      <c r="D57" s="74"/>
      <c r="E57" s="22" t="s">
        <v>18</v>
      </c>
      <c r="F57" s="50" t="s">
        <v>18</v>
      </c>
      <c r="G57" s="50" t="s">
        <v>18</v>
      </c>
      <c r="H57" s="51" t="s">
        <v>18</v>
      </c>
      <c r="I57" s="50" t="s">
        <v>18</v>
      </c>
      <c r="J57" s="51" t="s">
        <v>18</v>
      </c>
      <c r="K57" s="50" t="s">
        <v>18</v>
      </c>
      <c r="L57" s="51" t="s">
        <v>18</v>
      </c>
      <c r="M57" s="50" t="s">
        <v>18</v>
      </c>
      <c r="N57" s="51" t="s">
        <v>18</v>
      </c>
      <c r="O57" s="50" t="s">
        <v>18</v>
      </c>
      <c r="P57" s="51" t="s">
        <v>18</v>
      </c>
      <c r="Q57" s="50" t="s">
        <v>18</v>
      </c>
      <c r="R57" s="51" t="s">
        <v>18</v>
      </c>
      <c r="S57" s="50" t="s">
        <v>18</v>
      </c>
      <c r="T57" s="51" t="s">
        <v>18</v>
      </c>
      <c r="U57" s="50" t="s">
        <v>18</v>
      </c>
      <c r="V57" s="51" t="s">
        <v>18</v>
      </c>
      <c r="W57" s="50" t="s">
        <v>18</v>
      </c>
      <c r="X57" s="51" t="s">
        <v>18</v>
      </c>
      <c r="Y57" s="50" t="s">
        <v>18</v>
      </c>
      <c r="Z57" s="51" t="s">
        <v>18</v>
      </c>
      <c r="AA57" s="50" t="s">
        <v>18</v>
      </c>
      <c r="AB57" s="51" t="s">
        <v>18</v>
      </c>
      <c r="AC57" s="49"/>
    </row>
    <row r="58" spans="1:29" s="35" customFormat="1" ht="22.9" customHeight="1" thickTop="1">
      <c r="A58" s="122"/>
      <c r="B58" s="135"/>
      <c r="C58" s="115"/>
      <c r="D58" s="72" t="s">
        <v>90</v>
      </c>
      <c r="E58" s="33">
        <v>2</v>
      </c>
      <c r="F58" s="52"/>
      <c r="G58" s="52"/>
      <c r="H58" s="53">
        <f>+F58+G58</f>
        <v>0</v>
      </c>
      <c r="I58" s="52"/>
      <c r="J58" s="53">
        <f t="shared" ref="J58" si="158">+H58+I58</f>
        <v>0</v>
      </c>
      <c r="K58" s="52">
        <v>1</v>
      </c>
      <c r="L58" s="53">
        <f t="shared" ref="L58" si="159">+J58+K58</f>
        <v>1</v>
      </c>
      <c r="M58" s="52"/>
      <c r="N58" s="53">
        <f t="shared" ref="N58" si="160">+L58+M58</f>
        <v>1</v>
      </c>
      <c r="O58" s="52">
        <v>1</v>
      </c>
      <c r="P58" s="53">
        <f t="shared" ref="P58" si="161">+N58+O58</f>
        <v>2</v>
      </c>
      <c r="Q58" s="52"/>
      <c r="R58" s="53">
        <f t="shared" ref="R58" si="162">+P58+Q58</f>
        <v>2</v>
      </c>
      <c r="S58" s="52"/>
      <c r="T58" s="53">
        <f t="shared" ref="T58" si="163">+R58+S58</f>
        <v>2</v>
      </c>
      <c r="U58" s="52">
        <v>0</v>
      </c>
      <c r="V58" s="53">
        <f t="shared" ref="V58" si="164">+T58+U58</f>
        <v>2</v>
      </c>
      <c r="W58" s="52"/>
      <c r="X58" s="53">
        <f t="shared" ref="X58" si="165">+V58+W58</f>
        <v>2</v>
      </c>
      <c r="Y58" s="52"/>
      <c r="Z58" s="53">
        <f t="shared" ref="Z58" si="166">+X58+Y58</f>
        <v>2</v>
      </c>
      <c r="AA58" s="52"/>
      <c r="AB58" s="53">
        <f t="shared" ref="AB58" si="167">+Z58+AA58</f>
        <v>2</v>
      </c>
      <c r="AC58" s="54">
        <f>AB56/E56</f>
        <v>1</v>
      </c>
    </row>
    <row r="59" spans="1:29" s="35" customFormat="1" ht="22.9" customHeight="1">
      <c r="A59" s="122"/>
      <c r="B59" s="135"/>
      <c r="C59" s="115"/>
      <c r="D59" s="75"/>
      <c r="E59" s="26" t="s">
        <v>20</v>
      </c>
      <c r="F59" s="55" t="s">
        <v>20</v>
      </c>
      <c r="G59" s="55" t="s">
        <v>20</v>
      </c>
      <c r="H59" s="56" t="s">
        <v>20</v>
      </c>
      <c r="I59" s="55" t="s">
        <v>20</v>
      </c>
      <c r="J59" s="56" t="s">
        <v>20</v>
      </c>
      <c r="K59" s="55" t="s">
        <v>20</v>
      </c>
      <c r="L59" s="56" t="s">
        <v>20</v>
      </c>
      <c r="M59" s="55" t="s">
        <v>20</v>
      </c>
      <c r="N59" s="56" t="s">
        <v>20</v>
      </c>
      <c r="O59" s="55" t="s">
        <v>20</v>
      </c>
      <c r="P59" s="56" t="s">
        <v>20</v>
      </c>
      <c r="Q59" s="55" t="s">
        <v>20</v>
      </c>
      <c r="R59" s="56" t="s">
        <v>20</v>
      </c>
      <c r="S59" s="55" t="s">
        <v>20</v>
      </c>
      <c r="T59" s="56" t="s">
        <v>20</v>
      </c>
      <c r="U59" s="55" t="s">
        <v>20</v>
      </c>
      <c r="V59" s="56" t="s">
        <v>20</v>
      </c>
      <c r="W59" s="55" t="s">
        <v>20</v>
      </c>
      <c r="X59" s="56" t="s">
        <v>20</v>
      </c>
      <c r="Y59" s="55" t="s">
        <v>20</v>
      </c>
      <c r="Z59" s="56" t="s">
        <v>20</v>
      </c>
      <c r="AA59" s="55" t="s">
        <v>20</v>
      </c>
      <c r="AB59" s="56" t="s">
        <v>20</v>
      </c>
      <c r="AC59" s="49"/>
    </row>
    <row r="60" spans="1:29" s="35" customFormat="1" ht="22.9" customHeight="1" thickBot="1">
      <c r="A60" s="123"/>
      <c r="B60" s="136"/>
      <c r="C60" s="116"/>
      <c r="D60" s="76"/>
      <c r="E60" s="34">
        <v>3</v>
      </c>
      <c r="F60" s="57">
        <v>3</v>
      </c>
      <c r="G60" s="57">
        <v>3</v>
      </c>
      <c r="H60" s="58">
        <v>3</v>
      </c>
      <c r="I60" s="57">
        <v>3</v>
      </c>
      <c r="J60" s="58">
        <v>3</v>
      </c>
      <c r="K60" s="57">
        <v>3</v>
      </c>
      <c r="L60" s="58">
        <v>3</v>
      </c>
      <c r="M60" s="57">
        <v>3</v>
      </c>
      <c r="N60" s="58">
        <v>3</v>
      </c>
      <c r="O60" s="57">
        <v>3</v>
      </c>
      <c r="P60" s="58">
        <v>3</v>
      </c>
      <c r="Q60" s="57">
        <v>3</v>
      </c>
      <c r="R60" s="58">
        <v>3</v>
      </c>
      <c r="S60" s="57">
        <v>3</v>
      </c>
      <c r="T60" s="58">
        <v>3</v>
      </c>
      <c r="U60" s="57">
        <v>3</v>
      </c>
      <c r="V60" s="58">
        <v>3</v>
      </c>
      <c r="W60" s="57">
        <v>3</v>
      </c>
      <c r="X60" s="58">
        <v>3</v>
      </c>
      <c r="Y60" s="57">
        <v>3</v>
      </c>
      <c r="Z60" s="58">
        <v>3</v>
      </c>
      <c r="AA60" s="57">
        <v>3</v>
      </c>
      <c r="AB60" s="28">
        <v>3</v>
      </c>
      <c r="AC60" s="59"/>
    </row>
    <row r="61" spans="1:29" ht="13.5" thickTop="1"/>
  </sheetData>
  <mergeCells count="78">
    <mergeCell ref="A37:A42"/>
    <mergeCell ref="A43:A48"/>
    <mergeCell ref="A49:A54"/>
    <mergeCell ref="A55:A60"/>
    <mergeCell ref="A11:A12"/>
    <mergeCell ref="A13:A18"/>
    <mergeCell ref="A19:A24"/>
    <mergeCell ref="A25:A30"/>
    <mergeCell ref="A31:A36"/>
    <mergeCell ref="H1:K1"/>
    <mergeCell ref="H2:K2"/>
    <mergeCell ref="H3:K3"/>
    <mergeCell ref="H5:K5"/>
    <mergeCell ref="B11:B12"/>
    <mergeCell ref="C11:C12"/>
    <mergeCell ref="B1:C5"/>
    <mergeCell ref="D1:G5"/>
    <mergeCell ref="D11:D12"/>
    <mergeCell ref="E11:E12"/>
    <mergeCell ref="F11:F12"/>
    <mergeCell ref="B6:C6"/>
    <mergeCell ref="D6:G6"/>
    <mergeCell ref="H6:K6"/>
    <mergeCell ref="AC11:AC12"/>
    <mergeCell ref="J11:J12"/>
    <mergeCell ref="K11:K12"/>
    <mergeCell ref="L11:L12"/>
    <mergeCell ref="B13:B18"/>
    <mergeCell ref="C13:C18"/>
    <mergeCell ref="Y11:Y12"/>
    <mergeCell ref="S11:S12"/>
    <mergeCell ref="T11:T12"/>
    <mergeCell ref="U11:U12"/>
    <mergeCell ref="V11:V12"/>
    <mergeCell ref="W11:W12"/>
    <mergeCell ref="X11:X12"/>
    <mergeCell ref="M11:M12"/>
    <mergeCell ref="N11:N12"/>
    <mergeCell ref="O11:O12"/>
    <mergeCell ref="D13:D15"/>
    <mergeCell ref="D16:D18"/>
    <mergeCell ref="Z11:Z12"/>
    <mergeCell ref="AA11:AA12"/>
    <mergeCell ref="AB11:AB12"/>
    <mergeCell ref="P11:P12"/>
    <mergeCell ref="Q11:Q12"/>
    <mergeCell ref="R11:R12"/>
    <mergeCell ref="G11:G12"/>
    <mergeCell ref="H11:H12"/>
    <mergeCell ref="I11:I12"/>
    <mergeCell ref="D22:D24"/>
    <mergeCell ref="B25:B30"/>
    <mergeCell ref="C25:C30"/>
    <mergeCell ref="D19:D21"/>
    <mergeCell ref="B19:B24"/>
    <mergeCell ref="C19:C24"/>
    <mergeCell ref="D31:D33"/>
    <mergeCell ref="D34:D36"/>
    <mergeCell ref="D28:D30"/>
    <mergeCell ref="D25:D27"/>
    <mergeCell ref="B31:B36"/>
    <mergeCell ref="C31:C36"/>
    <mergeCell ref="D43:D45"/>
    <mergeCell ref="D40:D42"/>
    <mergeCell ref="D37:D39"/>
    <mergeCell ref="B43:B48"/>
    <mergeCell ref="C43:C48"/>
    <mergeCell ref="B37:B42"/>
    <mergeCell ref="C37:C42"/>
    <mergeCell ref="D55:D57"/>
    <mergeCell ref="D58:D60"/>
    <mergeCell ref="B55:B60"/>
    <mergeCell ref="C55:C60"/>
    <mergeCell ref="D46:D48"/>
    <mergeCell ref="D49:D51"/>
    <mergeCell ref="D52:D54"/>
    <mergeCell ref="B49:B54"/>
    <mergeCell ref="C49:C5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E7EA5-6E9C-4329-A9D6-07A8079DEF5C}">
  <dimension ref="A1:AD127"/>
  <sheetViews>
    <sheetView topLeftCell="A8" zoomScale="90" zoomScaleNormal="90" workbookViewId="0">
      <pane xSplit="2" ySplit="1" topLeftCell="C89" activePane="bottomRight" state="frozen"/>
      <selection pane="bottomRight" activeCell="A103" sqref="A103:A108"/>
      <selection pane="bottomLeft" activeCell="A9" sqref="A9"/>
      <selection pane="topRight" activeCell="B8" sqref="B8"/>
    </sheetView>
  </sheetViews>
  <sheetFormatPr defaultColWidth="11.42578125" defaultRowHeight="12.95"/>
  <cols>
    <col min="1" max="1" width="11.42578125" style="4"/>
    <col min="2" max="2" width="26.7109375" style="4" customWidth="1"/>
    <col min="3" max="3" width="24.7109375" style="4" customWidth="1"/>
    <col min="4" max="4" width="28.5703125" style="4" customWidth="1"/>
    <col min="5" max="5" width="17" style="4" customWidth="1"/>
    <col min="6" max="6" width="11.140625" style="4" customWidth="1"/>
    <col min="7" max="7" width="11.7109375" style="3" customWidth="1"/>
    <col min="8" max="28" width="10.7109375" style="3" customWidth="1"/>
    <col min="29" max="29" width="16" style="3" customWidth="1"/>
    <col min="30" max="30" width="21.28515625" style="4" customWidth="1"/>
    <col min="31" max="31" width="2.28515625" style="4" customWidth="1"/>
    <col min="32" max="16384" width="11.42578125" style="4"/>
  </cols>
  <sheetData>
    <row r="1" spans="1:30" s="12" customFormat="1" ht="12.75" customHeight="1">
      <c r="B1" s="98"/>
      <c r="C1" s="99"/>
      <c r="D1" s="91"/>
      <c r="E1" s="91"/>
      <c r="F1" s="91"/>
      <c r="G1" s="160"/>
      <c r="H1" s="148" t="s">
        <v>49</v>
      </c>
      <c r="I1" s="149"/>
      <c r="J1" s="149"/>
      <c r="K1" s="150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30" s="12" customFormat="1" ht="12.75" customHeight="1">
      <c r="B2" s="100"/>
      <c r="C2" s="101"/>
      <c r="D2" s="92"/>
      <c r="E2" s="92"/>
      <c r="F2" s="92"/>
      <c r="G2" s="161"/>
      <c r="H2" s="151" t="s">
        <v>50</v>
      </c>
      <c r="I2" s="152"/>
      <c r="J2" s="152"/>
      <c r="K2" s="15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 spans="1:30" s="12" customFormat="1" ht="15.75" customHeight="1">
      <c r="B3" s="100"/>
      <c r="C3" s="101"/>
      <c r="D3" s="92"/>
      <c r="E3" s="92"/>
      <c r="F3" s="92"/>
      <c r="G3" s="161"/>
      <c r="H3" s="154"/>
      <c r="I3" s="155"/>
      <c r="J3" s="155"/>
      <c r="K3" s="156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 spans="1:30" s="12" customFormat="1" ht="12.75" customHeight="1">
      <c r="B4" s="100"/>
      <c r="C4" s="101"/>
      <c r="D4" s="92"/>
      <c r="E4" s="92"/>
      <c r="F4" s="92"/>
      <c r="G4" s="161"/>
      <c r="H4" s="38"/>
      <c r="I4" s="14"/>
      <c r="J4" s="14"/>
      <c r="K4" s="15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spans="1:30" s="12" customFormat="1" ht="20.25" customHeight="1">
      <c r="B5" s="102"/>
      <c r="C5" s="103"/>
      <c r="D5" s="93"/>
      <c r="E5" s="93"/>
      <c r="F5" s="93"/>
      <c r="G5" s="162"/>
      <c r="H5" s="157" t="s">
        <v>51</v>
      </c>
      <c r="I5" s="158"/>
      <c r="J5" s="158"/>
      <c r="K5" s="159"/>
      <c r="L5" s="13"/>
      <c r="M5" s="13"/>
      <c r="N5" s="13"/>
      <c r="O5" s="13" t="s">
        <v>52</v>
      </c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 spans="1:30" ht="15.75" customHeight="1">
      <c r="B6" s="132"/>
      <c r="C6" s="133"/>
      <c r="D6" s="163"/>
      <c r="E6" s="163"/>
      <c r="F6" s="163"/>
      <c r="G6" s="164"/>
      <c r="H6" s="165" t="s">
        <v>53</v>
      </c>
      <c r="I6" s="163"/>
      <c r="J6" s="163"/>
      <c r="K6" s="164"/>
    </row>
    <row r="7" spans="1:30" s="12" customFormat="1" ht="16.5" customHeight="1"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 spans="1:30" s="12" customFormat="1" ht="15.6">
      <c r="B8" s="10"/>
      <c r="C8" s="11"/>
      <c r="F8" s="39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40"/>
      <c r="U8" s="13"/>
      <c r="V8" s="13"/>
      <c r="W8" s="13"/>
      <c r="X8" s="13"/>
      <c r="Y8" s="40"/>
      <c r="Z8" s="13"/>
      <c r="AA8" s="13"/>
      <c r="AB8" s="13"/>
      <c r="AC8" s="13"/>
    </row>
    <row r="9" spans="1:30" s="12" customFormat="1" ht="15.6">
      <c r="B9" s="10" t="s">
        <v>91</v>
      </c>
      <c r="C9" s="11"/>
      <c r="F9" s="39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40"/>
      <c r="U9" s="13"/>
      <c r="V9" s="13"/>
      <c r="W9" s="13"/>
      <c r="X9" s="13"/>
      <c r="Y9" s="40"/>
      <c r="Z9" s="13"/>
      <c r="AA9" s="13"/>
      <c r="AB9" s="13"/>
      <c r="AC9" s="13"/>
    </row>
    <row r="10" spans="1:30" s="12" customFormat="1" ht="15.95" thickBot="1">
      <c r="B10" s="5"/>
      <c r="C10" s="5"/>
      <c r="G10" s="13"/>
      <c r="H10" s="13"/>
      <c r="I10" s="41"/>
      <c r="J10" s="41"/>
      <c r="K10" s="42"/>
      <c r="L10" s="41"/>
      <c r="M10" s="41"/>
      <c r="N10" s="41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41"/>
      <c r="AC10" s="41"/>
      <c r="AD10" s="43"/>
    </row>
    <row r="11" spans="1:30" s="2" customFormat="1" ht="22.9" customHeight="1" thickTop="1">
      <c r="A11" s="127" t="s">
        <v>1</v>
      </c>
      <c r="B11" s="89" t="s">
        <v>2</v>
      </c>
      <c r="C11" s="86" t="s">
        <v>3</v>
      </c>
      <c r="D11" s="86" t="s">
        <v>4</v>
      </c>
      <c r="E11" s="86" t="s">
        <v>5</v>
      </c>
      <c r="F11" s="86" t="s">
        <v>55</v>
      </c>
      <c r="G11" s="86" t="s">
        <v>56</v>
      </c>
      <c r="H11" s="89" t="s">
        <v>57</v>
      </c>
      <c r="I11" s="86" t="s">
        <v>58</v>
      </c>
      <c r="J11" s="86" t="s">
        <v>59</v>
      </c>
      <c r="K11" s="86" t="s">
        <v>60</v>
      </c>
      <c r="L11" s="86" t="s">
        <v>61</v>
      </c>
      <c r="M11" s="86" t="s">
        <v>62</v>
      </c>
      <c r="N11" s="89" t="s">
        <v>63</v>
      </c>
      <c r="O11" s="89" t="s">
        <v>64</v>
      </c>
      <c r="P11" s="86" t="s">
        <v>65</v>
      </c>
      <c r="Q11" s="143" t="s">
        <v>66</v>
      </c>
      <c r="R11" s="86" t="s">
        <v>67</v>
      </c>
      <c r="S11" s="86" t="s">
        <v>68</v>
      </c>
      <c r="T11" s="86" t="s">
        <v>69</v>
      </c>
      <c r="U11" s="86" t="s">
        <v>70</v>
      </c>
      <c r="V11" s="86" t="s">
        <v>71</v>
      </c>
      <c r="W11" s="86" t="s">
        <v>6</v>
      </c>
      <c r="X11" s="86" t="s">
        <v>7</v>
      </c>
      <c r="Y11" s="89" t="s">
        <v>8</v>
      </c>
      <c r="Z11" s="86" t="s">
        <v>9</v>
      </c>
      <c r="AA11" s="86" t="s">
        <v>10</v>
      </c>
      <c r="AB11" s="84" t="s">
        <v>11</v>
      </c>
      <c r="AC11" s="86" t="s">
        <v>12</v>
      </c>
    </row>
    <row r="12" spans="1:30" s="2" customFormat="1" ht="22.9" customHeight="1" thickBot="1">
      <c r="A12" s="128"/>
      <c r="B12" s="110"/>
      <c r="C12" s="87"/>
      <c r="D12" s="87"/>
      <c r="E12" s="94"/>
      <c r="F12" s="87"/>
      <c r="G12" s="87"/>
      <c r="H12" s="110"/>
      <c r="I12" s="87"/>
      <c r="J12" s="87"/>
      <c r="K12" s="87"/>
      <c r="L12" s="88"/>
      <c r="M12" s="87"/>
      <c r="N12" s="90"/>
      <c r="O12" s="90"/>
      <c r="P12" s="88"/>
      <c r="Q12" s="144"/>
      <c r="R12" s="87"/>
      <c r="S12" s="88"/>
      <c r="T12" s="88"/>
      <c r="U12" s="88"/>
      <c r="V12" s="88"/>
      <c r="W12" s="88"/>
      <c r="X12" s="88"/>
      <c r="Y12" s="90"/>
      <c r="Z12" s="88"/>
      <c r="AA12" s="87"/>
      <c r="AB12" s="85"/>
      <c r="AC12" s="87"/>
    </row>
    <row r="13" spans="1:30" s="35" customFormat="1" ht="22.9" customHeight="1" thickTop="1">
      <c r="A13" s="121" t="s">
        <v>92</v>
      </c>
      <c r="B13" s="145" t="s">
        <v>93</v>
      </c>
      <c r="C13" s="114" t="s">
        <v>94</v>
      </c>
      <c r="D13" s="72" t="s">
        <v>95</v>
      </c>
      <c r="E13" s="16" t="s">
        <v>17</v>
      </c>
      <c r="F13" s="16" t="s">
        <v>17</v>
      </c>
      <c r="G13" s="16" t="s">
        <v>17</v>
      </c>
      <c r="H13" s="17" t="s">
        <v>17</v>
      </c>
      <c r="I13" s="16" t="s">
        <v>17</v>
      </c>
      <c r="J13" s="17" t="s">
        <v>17</v>
      </c>
      <c r="K13" s="16" t="s">
        <v>17</v>
      </c>
      <c r="L13" s="17" t="s">
        <v>17</v>
      </c>
      <c r="M13" s="16" t="s">
        <v>17</v>
      </c>
      <c r="N13" s="17" t="s">
        <v>17</v>
      </c>
      <c r="O13" s="16" t="s">
        <v>17</v>
      </c>
      <c r="P13" s="17" t="s">
        <v>17</v>
      </c>
      <c r="Q13" s="16" t="s">
        <v>17</v>
      </c>
      <c r="R13" s="17" t="s">
        <v>17</v>
      </c>
      <c r="S13" s="16" t="s">
        <v>17</v>
      </c>
      <c r="T13" s="17" t="s">
        <v>17</v>
      </c>
      <c r="U13" s="16" t="s">
        <v>17</v>
      </c>
      <c r="V13" s="17" t="s">
        <v>17</v>
      </c>
      <c r="W13" s="16" t="s">
        <v>17</v>
      </c>
      <c r="X13" s="17" t="s">
        <v>17</v>
      </c>
      <c r="Y13" s="16" t="s">
        <v>17</v>
      </c>
      <c r="Z13" s="17" t="s">
        <v>17</v>
      </c>
      <c r="AA13" s="16" t="s">
        <v>17</v>
      </c>
      <c r="AB13" s="17" t="s">
        <v>17</v>
      </c>
      <c r="AC13" s="18"/>
    </row>
    <row r="14" spans="1:30" s="35" customFormat="1" ht="22.9" customHeight="1">
      <c r="A14" s="122"/>
      <c r="B14" s="146"/>
      <c r="C14" s="115"/>
      <c r="D14" s="73"/>
      <c r="E14" s="32">
        <f t="shared" ref="E14:AB14" si="0">IF(E16&lt;&gt;0,+E16/E18,0%)</f>
        <v>0.66666666666666663</v>
      </c>
      <c r="F14" s="19">
        <f t="shared" si="0"/>
        <v>0</v>
      </c>
      <c r="G14" s="19">
        <f t="shared" si="0"/>
        <v>0</v>
      </c>
      <c r="H14" s="20">
        <f t="shared" si="0"/>
        <v>0</v>
      </c>
      <c r="I14" s="19">
        <f t="shared" si="0"/>
        <v>0</v>
      </c>
      <c r="J14" s="20">
        <f t="shared" si="0"/>
        <v>0</v>
      </c>
      <c r="K14" s="19">
        <f t="shared" si="0"/>
        <v>0.33333333333333331</v>
      </c>
      <c r="L14" s="20">
        <f t="shared" si="0"/>
        <v>0.33333333333333331</v>
      </c>
      <c r="M14" s="19">
        <f t="shared" si="0"/>
        <v>0</v>
      </c>
      <c r="N14" s="20">
        <f t="shared" si="0"/>
        <v>0.33333333333333331</v>
      </c>
      <c r="O14" s="19">
        <f t="shared" si="0"/>
        <v>0.33333333333333331</v>
      </c>
      <c r="P14" s="20">
        <f t="shared" si="0"/>
        <v>0.66666666666666663</v>
      </c>
      <c r="Q14" s="19">
        <f t="shared" si="0"/>
        <v>0</v>
      </c>
      <c r="R14" s="20">
        <f t="shared" si="0"/>
        <v>0.66666666666666663</v>
      </c>
      <c r="S14" s="19">
        <f t="shared" si="0"/>
        <v>0</v>
      </c>
      <c r="T14" s="20">
        <f t="shared" si="0"/>
        <v>0.66666666666666663</v>
      </c>
      <c r="U14" s="19">
        <f t="shared" si="0"/>
        <v>0</v>
      </c>
      <c r="V14" s="20">
        <f t="shared" si="0"/>
        <v>0.66666666666666663</v>
      </c>
      <c r="W14" s="19">
        <f t="shared" si="0"/>
        <v>0</v>
      </c>
      <c r="X14" s="20">
        <f t="shared" si="0"/>
        <v>0.66666666666666663</v>
      </c>
      <c r="Y14" s="19">
        <f t="shared" si="0"/>
        <v>0</v>
      </c>
      <c r="Z14" s="20">
        <f t="shared" si="0"/>
        <v>0.66666666666666663</v>
      </c>
      <c r="AA14" s="19">
        <f t="shared" si="0"/>
        <v>0</v>
      </c>
      <c r="AB14" s="20">
        <f t="shared" si="0"/>
        <v>0.66666666666666663</v>
      </c>
      <c r="AC14" s="21"/>
    </row>
    <row r="15" spans="1:30" s="35" customFormat="1" ht="22.9" customHeight="1" thickBot="1">
      <c r="A15" s="122"/>
      <c r="B15" s="146"/>
      <c r="C15" s="115"/>
      <c r="D15" s="74"/>
      <c r="E15" s="22" t="s">
        <v>18</v>
      </c>
      <c r="F15" s="22" t="s">
        <v>18</v>
      </c>
      <c r="G15" s="22" t="s">
        <v>18</v>
      </c>
      <c r="H15" s="23" t="s">
        <v>18</v>
      </c>
      <c r="I15" s="22" t="s">
        <v>18</v>
      </c>
      <c r="J15" s="23" t="s">
        <v>18</v>
      </c>
      <c r="K15" s="22" t="s">
        <v>18</v>
      </c>
      <c r="L15" s="23" t="s">
        <v>18</v>
      </c>
      <c r="M15" s="22" t="s">
        <v>18</v>
      </c>
      <c r="N15" s="23" t="s">
        <v>18</v>
      </c>
      <c r="O15" s="22" t="s">
        <v>18</v>
      </c>
      <c r="P15" s="23" t="s">
        <v>18</v>
      </c>
      <c r="Q15" s="22" t="s">
        <v>18</v>
      </c>
      <c r="R15" s="23" t="s">
        <v>18</v>
      </c>
      <c r="S15" s="22" t="s">
        <v>18</v>
      </c>
      <c r="T15" s="23" t="s">
        <v>18</v>
      </c>
      <c r="U15" s="22" t="s">
        <v>18</v>
      </c>
      <c r="V15" s="23" t="s">
        <v>18</v>
      </c>
      <c r="W15" s="22" t="s">
        <v>18</v>
      </c>
      <c r="X15" s="23" t="s">
        <v>18</v>
      </c>
      <c r="Y15" s="22" t="s">
        <v>18</v>
      </c>
      <c r="Z15" s="23" t="s">
        <v>18</v>
      </c>
      <c r="AA15" s="22" t="s">
        <v>18</v>
      </c>
      <c r="AB15" s="23" t="s">
        <v>18</v>
      </c>
      <c r="AC15" s="21"/>
    </row>
    <row r="16" spans="1:30" s="35" customFormat="1" ht="22.9" customHeight="1" thickTop="1">
      <c r="A16" s="122"/>
      <c r="B16" s="146"/>
      <c r="C16" s="115"/>
      <c r="D16" s="72" t="s">
        <v>96</v>
      </c>
      <c r="E16" s="33">
        <v>2</v>
      </c>
      <c r="F16" s="52"/>
      <c r="G16" s="52"/>
      <c r="H16" s="53">
        <f>+F16+G16</f>
        <v>0</v>
      </c>
      <c r="I16" s="52"/>
      <c r="J16" s="53">
        <f t="shared" ref="J16:AB16" si="1">+H16+I16</f>
        <v>0</v>
      </c>
      <c r="K16" s="52">
        <v>1</v>
      </c>
      <c r="L16" s="53">
        <f t="shared" si="1"/>
        <v>1</v>
      </c>
      <c r="M16" s="52"/>
      <c r="N16" s="53">
        <f t="shared" si="1"/>
        <v>1</v>
      </c>
      <c r="O16" s="52">
        <v>1</v>
      </c>
      <c r="P16" s="53">
        <f t="shared" si="1"/>
        <v>2</v>
      </c>
      <c r="Q16" s="52"/>
      <c r="R16" s="53">
        <f t="shared" si="1"/>
        <v>2</v>
      </c>
      <c r="S16" s="52"/>
      <c r="T16" s="53">
        <f t="shared" si="1"/>
        <v>2</v>
      </c>
      <c r="U16" s="52">
        <v>0</v>
      </c>
      <c r="V16" s="53">
        <f t="shared" si="1"/>
        <v>2</v>
      </c>
      <c r="W16" s="52"/>
      <c r="X16" s="53">
        <f t="shared" si="1"/>
        <v>2</v>
      </c>
      <c r="Y16" s="52"/>
      <c r="Z16" s="53">
        <f t="shared" si="1"/>
        <v>2</v>
      </c>
      <c r="AA16" s="52"/>
      <c r="AB16" s="53">
        <f t="shared" si="1"/>
        <v>2</v>
      </c>
      <c r="AC16" s="25">
        <f>AB14/E14</f>
        <v>1</v>
      </c>
    </row>
    <row r="17" spans="1:29" s="35" customFormat="1" ht="22.9" customHeight="1">
      <c r="A17" s="122"/>
      <c r="B17" s="146"/>
      <c r="C17" s="115"/>
      <c r="D17" s="75"/>
      <c r="E17" s="26" t="s">
        <v>20</v>
      </c>
      <c r="F17" s="55" t="s">
        <v>20</v>
      </c>
      <c r="G17" s="55" t="s">
        <v>20</v>
      </c>
      <c r="H17" s="56" t="s">
        <v>20</v>
      </c>
      <c r="I17" s="55" t="s">
        <v>20</v>
      </c>
      <c r="J17" s="56" t="s">
        <v>20</v>
      </c>
      <c r="K17" s="55" t="s">
        <v>20</v>
      </c>
      <c r="L17" s="56" t="s">
        <v>20</v>
      </c>
      <c r="M17" s="55" t="s">
        <v>20</v>
      </c>
      <c r="N17" s="56" t="s">
        <v>20</v>
      </c>
      <c r="O17" s="55" t="s">
        <v>20</v>
      </c>
      <c r="P17" s="56" t="s">
        <v>20</v>
      </c>
      <c r="Q17" s="55" t="s">
        <v>20</v>
      </c>
      <c r="R17" s="56" t="s">
        <v>20</v>
      </c>
      <c r="S17" s="55" t="s">
        <v>20</v>
      </c>
      <c r="T17" s="56" t="s">
        <v>20</v>
      </c>
      <c r="U17" s="55" t="s">
        <v>20</v>
      </c>
      <c r="V17" s="56" t="s">
        <v>20</v>
      </c>
      <c r="W17" s="55" t="s">
        <v>20</v>
      </c>
      <c r="X17" s="56" t="s">
        <v>20</v>
      </c>
      <c r="Y17" s="55" t="s">
        <v>20</v>
      </c>
      <c r="Z17" s="56" t="s">
        <v>20</v>
      </c>
      <c r="AA17" s="55" t="s">
        <v>20</v>
      </c>
      <c r="AB17" s="56" t="s">
        <v>20</v>
      </c>
      <c r="AC17" s="21"/>
    </row>
    <row r="18" spans="1:29" s="35" customFormat="1" ht="22.9" customHeight="1" thickBot="1">
      <c r="A18" s="123"/>
      <c r="B18" s="147"/>
      <c r="C18" s="116"/>
      <c r="D18" s="76"/>
      <c r="E18" s="34">
        <v>3</v>
      </c>
      <c r="F18" s="57">
        <v>3</v>
      </c>
      <c r="G18" s="57">
        <v>3</v>
      </c>
      <c r="H18" s="58">
        <v>3</v>
      </c>
      <c r="I18" s="57">
        <v>3</v>
      </c>
      <c r="J18" s="58">
        <v>3</v>
      </c>
      <c r="K18" s="57">
        <v>3</v>
      </c>
      <c r="L18" s="58">
        <v>3</v>
      </c>
      <c r="M18" s="57">
        <v>3</v>
      </c>
      <c r="N18" s="58">
        <v>3</v>
      </c>
      <c r="O18" s="57">
        <v>3</v>
      </c>
      <c r="P18" s="58">
        <v>3</v>
      </c>
      <c r="Q18" s="57">
        <v>3</v>
      </c>
      <c r="R18" s="58">
        <v>3</v>
      </c>
      <c r="S18" s="57">
        <v>3</v>
      </c>
      <c r="T18" s="58">
        <v>3</v>
      </c>
      <c r="U18" s="57">
        <v>3</v>
      </c>
      <c r="V18" s="58">
        <v>3</v>
      </c>
      <c r="W18" s="57">
        <v>3</v>
      </c>
      <c r="X18" s="58">
        <v>3</v>
      </c>
      <c r="Y18" s="57">
        <v>3</v>
      </c>
      <c r="Z18" s="58">
        <v>3</v>
      </c>
      <c r="AA18" s="57">
        <v>3</v>
      </c>
      <c r="AB18" s="58">
        <v>3</v>
      </c>
      <c r="AC18" s="29"/>
    </row>
    <row r="19" spans="1:29" s="35" customFormat="1" ht="22.9" customHeight="1" thickTop="1">
      <c r="A19" s="121" t="s">
        <v>97</v>
      </c>
      <c r="B19" s="145" t="s">
        <v>98</v>
      </c>
      <c r="C19" s="114" t="s">
        <v>94</v>
      </c>
      <c r="D19" s="72" t="s">
        <v>95</v>
      </c>
      <c r="E19" s="16" t="s">
        <v>17</v>
      </c>
      <c r="F19" s="16" t="s">
        <v>17</v>
      </c>
      <c r="G19" s="16" t="s">
        <v>17</v>
      </c>
      <c r="H19" s="17" t="s">
        <v>17</v>
      </c>
      <c r="I19" s="16" t="s">
        <v>17</v>
      </c>
      <c r="J19" s="17" t="s">
        <v>17</v>
      </c>
      <c r="K19" s="16" t="s">
        <v>17</v>
      </c>
      <c r="L19" s="17" t="s">
        <v>17</v>
      </c>
      <c r="M19" s="16" t="s">
        <v>17</v>
      </c>
      <c r="N19" s="17" t="s">
        <v>17</v>
      </c>
      <c r="O19" s="16" t="s">
        <v>17</v>
      </c>
      <c r="P19" s="17" t="s">
        <v>17</v>
      </c>
      <c r="Q19" s="16" t="s">
        <v>17</v>
      </c>
      <c r="R19" s="17" t="s">
        <v>17</v>
      </c>
      <c r="S19" s="16" t="s">
        <v>17</v>
      </c>
      <c r="T19" s="17" t="s">
        <v>17</v>
      </c>
      <c r="U19" s="16" t="s">
        <v>17</v>
      </c>
      <c r="V19" s="17" t="s">
        <v>17</v>
      </c>
      <c r="W19" s="16" t="s">
        <v>17</v>
      </c>
      <c r="X19" s="17" t="s">
        <v>17</v>
      </c>
      <c r="Y19" s="16" t="s">
        <v>17</v>
      </c>
      <c r="Z19" s="17" t="s">
        <v>17</v>
      </c>
      <c r="AA19" s="16" t="s">
        <v>17</v>
      </c>
      <c r="AB19" s="17" t="s">
        <v>17</v>
      </c>
      <c r="AC19" s="18"/>
    </row>
    <row r="20" spans="1:29" s="35" customFormat="1" ht="22.9" customHeight="1">
      <c r="A20" s="122"/>
      <c r="B20" s="146"/>
      <c r="C20" s="115"/>
      <c r="D20" s="73"/>
      <c r="E20" s="32">
        <f t="shared" ref="E20:AB20" si="2">IF(E22&lt;&gt;0,+E22/E24,0%)</f>
        <v>0.66666666666666663</v>
      </c>
      <c r="F20" s="19">
        <f t="shared" si="2"/>
        <v>0</v>
      </c>
      <c r="G20" s="19">
        <f t="shared" si="2"/>
        <v>0</v>
      </c>
      <c r="H20" s="20">
        <f t="shared" si="2"/>
        <v>0</v>
      </c>
      <c r="I20" s="19">
        <f t="shared" si="2"/>
        <v>0</v>
      </c>
      <c r="J20" s="20">
        <f t="shared" si="2"/>
        <v>0</v>
      </c>
      <c r="K20" s="19">
        <f t="shared" si="2"/>
        <v>0.33333333333333331</v>
      </c>
      <c r="L20" s="20">
        <f t="shared" si="2"/>
        <v>0.33333333333333331</v>
      </c>
      <c r="M20" s="19">
        <f t="shared" si="2"/>
        <v>0</v>
      </c>
      <c r="N20" s="20">
        <f t="shared" si="2"/>
        <v>0.33333333333333331</v>
      </c>
      <c r="O20" s="19">
        <f t="shared" si="2"/>
        <v>0.33333333333333331</v>
      </c>
      <c r="P20" s="20">
        <f t="shared" si="2"/>
        <v>0.66666666666666663</v>
      </c>
      <c r="Q20" s="19">
        <f t="shared" si="2"/>
        <v>0</v>
      </c>
      <c r="R20" s="20">
        <f t="shared" si="2"/>
        <v>0.66666666666666663</v>
      </c>
      <c r="S20" s="19">
        <f t="shared" si="2"/>
        <v>0</v>
      </c>
      <c r="T20" s="20">
        <f t="shared" si="2"/>
        <v>0.66666666666666663</v>
      </c>
      <c r="U20" s="19">
        <f t="shared" si="2"/>
        <v>0</v>
      </c>
      <c r="V20" s="20">
        <f t="shared" si="2"/>
        <v>0.66666666666666663</v>
      </c>
      <c r="W20" s="19">
        <f t="shared" si="2"/>
        <v>0</v>
      </c>
      <c r="X20" s="20">
        <f t="shared" si="2"/>
        <v>0.66666666666666663</v>
      </c>
      <c r="Y20" s="19">
        <f t="shared" si="2"/>
        <v>0</v>
      </c>
      <c r="Z20" s="20">
        <f t="shared" si="2"/>
        <v>0.66666666666666663</v>
      </c>
      <c r="AA20" s="19">
        <f t="shared" si="2"/>
        <v>0</v>
      </c>
      <c r="AB20" s="20">
        <f t="shared" si="2"/>
        <v>0.66666666666666663</v>
      </c>
      <c r="AC20" s="21"/>
    </row>
    <row r="21" spans="1:29" s="35" customFormat="1" ht="22.9" customHeight="1" thickBot="1">
      <c r="A21" s="122"/>
      <c r="B21" s="146"/>
      <c r="C21" s="115"/>
      <c r="D21" s="74"/>
      <c r="E21" s="22" t="s">
        <v>18</v>
      </c>
      <c r="F21" s="22" t="s">
        <v>18</v>
      </c>
      <c r="G21" s="22" t="s">
        <v>18</v>
      </c>
      <c r="H21" s="23" t="s">
        <v>18</v>
      </c>
      <c r="I21" s="22" t="s">
        <v>18</v>
      </c>
      <c r="J21" s="23" t="s">
        <v>18</v>
      </c>
      <c r="K21" s="22" t="s">
        <v>18</v>
      </c>
      <c r="L21" s="23" t="s">
        <v>18</v>
      </c>
      <c r="M21" s="22" t="s">
        <v>18</v>
      </c>
      <c r="N21" s="23" t="s">
        <v>18</v>
      </c>
      <c r="O21" s="22" t="s">
        <v>18</v>
      </c>
      <c r="P21" s="23" t="s">
        <v>18</v>
      </c>
      <c r="Q21" s="22" t="s">
        <v>18</v>
      </c>
      <c r="R21" s="23" t="s">
        <v>18</v>
      </c>
      <c r="S21" s="22" t="s">
        <v>18</v>
      </c>
      <c r="T21" s="23" t="s">
        <v>18</v>
      </c>
      <c r="U21" s="22" t="s">
        <v>18</v>
      </c>
      <c r="V21" s="23" t="s">
        <v>18</v>
      </c>
      <c r="W21" s="22" t="s">
        <v>18</v>
      </c>
      <c r="X21" s="23" t="s">
        <v>18</v>
      </c>
      <c r="Y21" s="22" t="s">
        <v>18</v>
      </c>
      <c r="Z21" s="23" t="s">
        <v>18</v>
      </c>
      <c r="AA21" s="22" t="s">
        <v>18</v>
      </c>
      <c r="AB21" s="23" t="s">
        <v>18</v>
      </c>
      <c r="AC21" s="21"/>
    </row>
    <row r="22" spans="1:29" s="35" customFormat="1" ht="22.9" customHeight="1" thickTop="1">
      <c r="A22" s="122"/>
      <c r="B22" s="146"/>
      <c r="C22" s="115"/>
      <c r="D22" s="72" t="s">
        <v>96</v>
      </c>
      <c r="E22" s="33">
        <v>2</v>
      </c>
      <c r="F22" s="52"/>
      <c r="G22" s="52"/>
      <c r="H22" s="53">
        <f>+F22+G22</f>
        <v>0</v>
      </c>
      <c r="I22" s="52"/>
      <c r="J22" s="53">
        <f t="shared" ref="J22:AB22" si="3">+H22+I22</f>
        <v>0</v>
      </c>
      <c r="K22" s="52">
        <v>1</v>
      </c>
      <c r="L22" s="53">
        <f t="shared" si="3"/>
        <v>1</v>
      </c>
      <c r="M22" s="52"/>
      <c r="N22" s="53">
        <f t="shared" si="3"/>
        <v>1</v>
      </c>
      <c r="O22" s="52">
        <v>1</v>
      </c>
      <c r="P22" s="53">
        <f t="shared" si="3"/>
        <v>2</v>
      </c>
      <c r="Q22" s="52"/>
      <c r="R22" s="53">
        <f t="shared" si="3"/>
        <v>2</v>
      </c>
      <c r="S22" s="52"/>
      <c r="T22" s="53">
        <f t="shared" si="3"/>
        <v>2</v>
      </c>
      <c r="U22" s="52">
        <v>0</v>
      </c>
      <c r="V22" s="53">
        <f t="shared" si="3"/>
        <v>2</v>
      </c>
      <c r="W22" s="52"/>
      <c r="X22" s="53">
        <f t="shared" si="3"/>
        <v>2</v>
      </c>
      <c r="Y22" s="52"/>
      <c r="Z22" s="53">
        <f t="shared" si="3"/>
        <v>2</v>
      </c>
      <c r="AA22" s="52"/>
      <c r="AB22" s="53">
        <f t="shared" si="3"/>
        <v>2</v>
      </c>
      <c r="AC22" s="25">
        <f>AB20/E20</f>
        <v>1</v>
      </c>
    </row>
    <row r="23" spans="1:29" s="35" customFormat="1" ht="22.9" customHeight="1">
      <c r="A23" s="122"/>
      <c r="B23" s="146"/>
      <c r="C23" s="115"/>
      <c r="D23" s="75"/>
      <c r="E23" s="26" t="s">
        <v>20</v>
      </c>
      <c r="F23" s="55" t="s">
        <v>20</v>
      </c>
      <c r="G23" s="55" t="s">
        <v>20</v>
      </c>
      <c r="H23" s="56" t="s">
        <v>20</v>
      </c>
      <c r="I23" s="55" t="s">
        <v>20</v>
      </c>
      <c r="J23" s="56" t="s">
        <v>20</v>
      </c>
      <c r="K23" s="55" t="s">
        <v>20</v>
      </c>
      <c r="L23" s="56" t="s">
        <v>20</v>
      </c>
      <c r="M23" s="55" t="s">
        <v>20</v>
      </c>
      <c r="N23" s="56" t="s">
        <v>20</v>
      </c>
      <c r="O23" s="55" t="s">
        <v>20</v>
      </c>
      <c r="P23" s="56" t="s">
        <v>20</v>
      </c>
      <c r="Q23" s="55" t="s">
        <v>20</v>
      </c>
      <c r="R23" s="56" t="s">
        <v>20</v>
      </c>
      <c r="S23" s="55" t="s">
        <v>20</v>
      </c>
      <c r="T23" s="56" t="s">
        <v>20</v>
      </c>
      <c r="U23" s="55" t="s">
        <v>20</v>
      </c>
      <c r="V23" s="56" t="s">
        <v>20</v>
      </c>
      <c r="W23" s="55" t="s">
        <v>20</v>
      </c>
      <c r="X23" s="56" t="s">
        <v>20</v>
      </c>
      <c r="Y23" s="55" t="s">
        <v>20</v>
      </c>
      <c r="Z23" s="56" t="s">
        <v>20</v>
      </c>
      <c r="AA23" s="55" t="s">
        <v>20</v>
      </c>
      <c r="AB23" s="56" t="s">
        <v>20</v>
      </c>
      <c r="AC23" s="21"/>
    </row>
    <row r="24" spans="1:29" s="35" customFormat="1" ht="22.9" customHeight="1" thickBot="1">
      <c r="A24" s="123"/>
      <c r="B24" s="147"/>
      <c r="C24" s="116"/>
      <c r="D24" s="76"/>
      <c r="E24" s="34">
        <v>3</v>
      </c>
      <c r="F24" s="57">
        <v>3</v>
      </c>
      <c r="G24" s="57">
        <v>3</v>
      </c>
      <c r="H24" s="58">
        <v>3</v>
      </c>
      <c r="I24" s="57">
        <v>3</v>
      </c>
      <c r="J24" s="58">
        <v>3</v>
      </c>
      <c r="K24" s="57">
        <v>3</v>
      </c>
      <c r="L24" s="58">
        <v>3</v>
      </c>
      <c r="M24" s="57">
        <v>3</v>
      </c>
      <c r="N24" s="58">
        <v>3</v>
      </c>
      <c r="O24" s="57">
        <v>3</v>
      </c>
      <c r="P24" s="58">
        <v>3</v>
      </c>
      <c r="Q24" s="57">
        <v>3</v>
      </c>
      <c r="R24" s="58">
        <v>3</v>
      </c>
      <c r="S24" s="57">
        <v>3</v>
      </c>
      <c r="T24" s="58">
        <v>3</v>
      </c>
      <c r="U24" s="57">
        <v>3</v>
      </c>
      <c r="V24" s="58">
        <v>3</v>
      </c>
      <c r="W24" s="57">
        <v>3</v>
      </c>
      <c r="X24" s="58">
        <v>3</v>
      </c>
      <c r="Y24" s="57">
        <v>3</v>
      </c>
      <c r="Z24" s="58">
        <v>3</v>
      </c>
      <c r="AA24" s="57">
        <v>3</v>
      </c>
      <c r="AB24" s="58">
        <v>3</v>
      </c>
      <c r="AC24" s="29"/>
    </row>
    <row r="25" spans="1:29" s="35" customFormat="1" ht="22.9" customHeight="1" thickTop="1">
      <c r="A25" s="121" t="s">
        <v>99</v>
      </c>
      <c r="B25" s="145" t="s">
        <v>100</v>
      </c>
      <c r="C25" s="114" t="s">
        <v>94</v>
      </c>
      <c r="D25" s="72" t="s">
        <v>95</v>
      </c>
      <c r="E25" s="16" t="s">
        <v>17</v>
      </c>
      <c r="F25" s="16" t="s">
        <v>17</v>
      </c>
      <c r="G25" s="16" t="s">
        <v>17</v>
      </c>
      <c r="H25" s="17" t="s">
        <v>17</v>
      </c>
      <c r="I25" s="16" t="s">
        <v>17</v>
      </c>
      <c r="J25" s="17" t="s">
        <v>17</v>
      </c>
      <c r="K25" s="16" t="s">
        <v>17</v>
      </c>
      <c r="L25" s="17" t="s">
        <v>17</v>
      </c>
      <c r="M25" s="16" t="s">
        <v>17</v>
      </c>
      <c r="N25" s="17" t="s">
        <v>17</v>
      </c>
      <c r="O25" s="16" t="s">
        <v>17</v>
      </c>
      <c r="P25" s="17" t="s">
        <v>17</v>
      </c>
      <c r="Q25" s="16" t="s">
        <v>17</v>
      </c>
      <c r="R25" s="17" t="s">
        <v>17</v>
      </c>
      <c r="S25" s="16" t="s">
        <v>17</v>
      </c>
      <c r="T25" s="17" t="s">
        <v>17</v>
      </c>
      <c r="U25" s="16" t="s">
        <v>17</v>
      </c>
      <c r="V25" s="17" t="s">
        <v>17</v>
      </c>
      <c r="W25" s="16" t="s">
        <v>17</v>
      </c>
      <c r="X25" s="17" t="s">
        <v>17</v>
      </c>
      <c r="Y25" s="16" t="s">
        <v>17</v>
      </c>
      <c r="Z25" s="17" t="s">
        <v>17</v>
      </c>
      <c r="AA25" s="16" t="s">
        <v>17</v>
      </c>
      <c r="AB25" s="17" t="s">
        <v>17</v>
      </c>
      <c r="AC25" s="18"/>
    </row>
    <row r="26" spans="1:29" s="35" customFormat="1" ht="22.9" customHeight="1">
      <c r="A26" s="122"/>
      <c r="B26" s="146"/>
      <c r="C26" s="115"/>
      <c r="D26" s="73"/>
      <c r="E26" s="32">
        <f t="shared" ref="E26:AB26" si="4">IF(E28&lt;&gt;0,+E28/E30,0%)</f>
        <v>0.66666666666666663</v>
      </c>
      <c r="F26" s="19">
        <f t="shared" si="4"/>
        <v>0</v>
      </c>
      <c r="G26" s="19">
        <f t="shared" si="4"/>
        <v>0</v>
      </c>
      <c r="H26" s="20">
        <f t="shared" si="4"/>
        <v>0</v>
      </c>
      <c r="I26" s="19">
        <f t="shared" si="4"/>
        <v>0</v>
      </c>
      <c r="J26" s="20">
        <f t="shared" si="4"/>
        <v>0</v>
      </c>
      <c r="K26" s="19">
        <f t="shared" si="4"/>
        <v>0.33333333333333331</v>
      </c>
      <c r="L26" s="20">
        <f t="shared" si="4"/>
        <v>0.33333333333333331</v>
      </c>
      <c r="M26" s="19">
        <f t="shared" si="4"/>
        <v>0</v>
      </c>
      <c r="N26" s="20">
        <f t="shared" si="4"/>
        <v>0.33333333333333331</v>
      </c>
      <c r="O26" s="19">
        <f t="shared" si="4"/>
        <v>0.33333333333333331</v>
      </c>
      <c r="P26" s="20">
        <f t="shared" si="4"/>
        <v>0.66666666666666663</v>
      </c>
      <c r="Q26" s="19">
        <f t="shared" si="4"/>
        <v>0</v>
      </c>
      <c r="R26" s="20">
        <f t="shared" si="4"/>
        <v>0.66666666666666663</v>
      </c>
      <c r="S26" s="19">
        <f t="shared" si="4"/>
        <v>0</v>
      </c>
      <c r="T26" s="20">
        <f t="shared" si="4"/>
        <v>0.66666666666666663</v>
      </c>
      <c r="U26" s="19">
        <f t="shared" si="4"/>
        <v>0</v>
      </c>
      <c r="V26" s="20">
        <f t="shared" si="4"/>
        <v>0.66666666666666663</v>
      </c>
      <c r="W26" s="19">
        <f t="shared" si="4"/>
        <v>0</v>
      </c>
      <c r="X26" s="20">
        <f t="shared" si="4"/>
        <v>0.66666666666666663</v>
      </c>
      <c r="Y26" s="19">
        <f t="shared" si="4"/>
        <v>0</v>
      </c>
      <c r="Z26" s="20">
        <f t="shared" si="4"/>
        <v>0.66666666666666663</v>
      </c>
      <c r="AA26" s="19">
        <f t="shared" si="4"/>
        <v>0</v>
      </c>
      <c r="AB26" s="20">
        <f t="shared" si="4"/>
        <v>0.66666666666666663</v>
      </c>
      <c r="AC26" s="21"/>
    </row>
    <row r="27" spans="1:29" s="35" customFormat="1" ht="22.9" customHeight="1" thickBot="1">
      <c r="A27" s="122"/>
      <c r="B27" s="146"/>
      <c r="C27" s="115"/>
      <c r="D27" s="74"/>
      <c r="E27" s="22" t="s">
        <v>18</v>
      </c>
      <c r="F27" s="22" t="s">
        <v>18</v>
      </c>
      <c r="G27" s="22" t="s">
        <v>18</v>
      </c>
      <c r="H27" s="23" t="s">
        <v>18</v>
      </c>
      <c r="I27" s="22" t="s">
        <v>18</v>
      </c>
      <c r="J27" s="23" t="s">
        <v>18</v>
      </c>
      <c r="K27" s="22" t="s">
        <v>18</v>
      </c>
      <c r="L27" s="23" t="s">
        <v>18</v>
      </c>
      <c r="M27" s="22" t="s">
        <v>18</v>
      </c>
      <c r="N27" s="23" t="s">
        <v>18</v>
      </c>
      <c r="O27" s="22" t="s">
        <v>18</v>
      </c>
      <c r="P27" s="23" t="s">
        <v>18</v>
      </c>
      <c r="Q27" s="22" t="s">
        <v>18</v>
      </c>
      <c r="R27" s="23" t="s">
        <v>18</v>
      </c>
      <c r="S27" s="22" t="s">
        <v>18</v>
      </c>
      <c r="T27" s="23" t="s">
        <v>18</v>
      </c>
      <c r="U27" s="22" t="s">
        <v>18</v>
      </c>
      <c r="V27" s="23" t="s">
        <v>18</v>
      </c>
      <c r="W27" s="22" t="s">
        <v>18</v>
      </c>
      <c r="X27" s="23" t="s">
        <v>18</v>
      </c>
      <c r="Y27" s="22" t="s">
        <v>18</v>
      </c>
      <c r="Z27" s="23" t="s">
        <v>18</v>
      </c>
      <c r="AA27" s="22" t="s">
        <v>18</v>
      </c>
      <c r="AB27" s="23" t="s">
        <v>18</v>
      </c>
      <c r="AC27" s="21"/>
    </row>
    <row r="28" spans="1:29" s="35" customFormat="1" ht="22.9" customHeight="1" thickTop="1">
      <c r="A28" s="122"/>
      <c r="B28" s="146"/>
      <c r="C28" s="115"/>
      <c r="D28" s="72" t="s">
        <v>96</v>
      </c>
      <c r="E28" s="33">
        <v>2</v>
      </c>
      <c r="F28" s="52"/>
      <c r="G28" s="52"/>
      <c r="H28" s="53">
        <f>+F28+G28</f>
        <v>0</v>
      </c>
      <c r="I28" s="52"/>
      <c r="J28" s="53">
        <f t="shared" ref="J28:AB28" si="5">+H28+I28</f>
        <v>0</v>
      </c>
      <c r="K28" s="52">
        <v>1</v>
      </c>
      <c r="L28" s="53">
        <f t="shared" si="5"/>
        <v>1</v>
      </c>
      <c r="M28" s="52"/>
      <c r="N28" s="53">
        <f t="shared" si="5"/>
        <v>1</v>
      </c>
      <c r="O28" s="52">
        <v>1</v>
      </c>
      <c r="P28" s="53">
        <f t="shared" si="5"/>
        <v>2</v>
      </c>
      <c r="Q28" s="52"/>
      <c r="R28" s="53">
        <f t="shared" si="5"/>
        <v>2</v>
      </c>
      <c r="S28" s="52"/>
      <c r="T28" s="53">
        <f t="shared" si="5"/>
        <v>2</v>
      </c>
      <c r="U28" s="52">
        <v>0</v>
      </c>
      <c r="V28" s="53">
        <f t="shared" si="5"/>
        <v>2</v>
      </c>
      <c r="W28" s="52"/>
      <c r="X28" s="53">
        <f t="shared" si="5"/>
        <v>2</v>
      </c>
      <c r="Y28" s="52"/>
      <c r="Z28" s="53">
        <f t="shared" si="5"/>
        <v>2</v>
      </c>
      <c r="AA28" s="52"/>
      <c r="AB28" s="53">
        <f t="shared" si="5"/>
        <v>2</v>
      </c>
      <c r="AC28" s="25">
        <f>AB26/E26</f>
        <v>1</v>
      </c>
    </row>
    <row r="29" spans="1:29" s="35" customFormat="1" ht="22.9" customHeight="1">
      <c r="A29" s="122"/>
      <c r="B29" s="146"/>
      <c r="C29" s="115"/>
      <c r="D29" s="75"/>
      <c r="E29" s="26" t="s">
        <v>20</v>
      </c>
      <c r="F29" s="55" t="s">
        <v>20</v>
      </c>
      <c r="G29" s="55" t="s">
        <v>20</v>
      </c>
      <c r="H29" s="56" t="s">
        <v>20</v>
      </c>
      <c r="I29" s="55" t="s">
        <v>20</v>
      </c>
      <c r="J29" s="56" t="s">
        <v>20</v>
      </c>
      <c r="K29" s="55" t="s">
        <v>20</v>
      </c>
      <c r="L29" s="56" t="s">
        <v>20</v>
      </c>
      <c r="M29" s="55" t="s">
        <v>20</v>
      </c>
      <c r="N29" s="56" t="s">
        <v>20</v>
      </c>
      <c r="O29" s="55" t="s">
        <v>20</v>
      </c>
      <c r="P29" s="56" t="s">
        <v>20</v>
      </c>
      <c r="Q29" s="55" t="s">
        <v>20</v>
      </c>
      <c r="R29" s="56" t="s">
        <v>20</v>
      </c>
      <c r="S29" s="55" t="s">
        <v>20</v>
      </c>
      <c r="T29" s="56" t="s">
        <v>20</v>
      </c>
      <c r="U29" s="55" t="s">
        <v>20</v>
      </c>
      <c r="V29" s="56" t="s">
        <v>20</v>
      </c>
      <c r="W29" s="55" t="s">
        <v>20</v>
      </c>
      <c r="X29" s="56" t="s">
        <v>20</v>
      </c>
      <c r="Y29" s="55" t="s">
        <v>20</v>
      </c>
      <c r="Z29" s="56" t="s">
        <v>20</v>
      </c>
      <c r="AA29" s="55" t="s">
        <v>20</v>
      </c>
      <c r="AB29" s="56" t="s">
        <v>20</v>
      </c>
      <c r="AC29" s="21"/>
    </row>
    <row r="30" spans="1:29" s="35" customFormat="1" ht="22.9" customHeight="1" thickBot="1">
      <c r="A30" s="123"/>
      <c r="B30" s="147"/>
      <c r="C30" s="116"/>
      <c r="D30" s="76"/>
      <c r="E30" s="34">
        <v>3</v>
      </c>
      <c r="F30" s="57">
        <v>3</v>
      </c>
      <c r="G30" s="57">
        <v>3</v>
      </c>
      <c r="H30" s="58">
        <v>3</v>
      </c>
      <c r="I30" s="57">
        <v>3</v>
      </c>
      <c r="J30" s="58">
        <v>3</v>
      </c>
      <c r="K30" s="57">
        <v>3</v>
      </c>
      <c r="L30" s="58">
        <v>3</v>
      </c>
      <c r="M30" s="57">
        <v>3</v>
      </c>
      <c r="N30" s="58">
        <v>3</v>
      </c>
      <c r="O30" s="57">
        <v>3</v>
      </c>
      <c r="P30" s="58">
        <v>3</v>
      </c>
      <c r="Q30" s="57">
        <v>3</v>
      </c>
      <c r="R30" s="58">
        <v>3</v>
      </c>
      <c r="S30" s="57">
        <v>3</v>
      </c>
      <c r="T30" s="58">
        <v>3</v>
      </c>
      <c r="U30" s="57">
        <v>3</v>
      </c>
      <c r="V30" s="58">
        <v>3</v>
      </c>
      <c r="W30" s="57">
        <v>3</v>
      </c>
      <c r="X30" s="58">
        <v>3</v>
      </c>
      <c r="Y30" s="57">
        <v>3</v>
      </c>
      <c r="Z30" s="58">
        <v>3</v>
      </c>
      <c r="AA30" s="57">
        <v>3</v>
      </c>
      <c r="AB30" s="58">
        <v>3</v>
      </c>
      <c r="AC30" s="29"/>
    </row>
    <row r="31" spans="1:29" s="35" customFormat="1" ht="22.9" customHeight="1" thickTop="1">
      <c r="A31" s="121" t="s">
        <v>101</v>
      </c>
      <c r="B31" s="145" t="s">
        <v>102</v>
      </c>
      <c r="C31" s="114" t="s">
        <v>94</v>
      </c>
      <c r="D31" s="72" t="s">
        <v>95</v>
      </c>
      <c r="E31" s="16" t="s">
        <v>17</v>
      </c>
      <c r="F31" s="16" t="s">
        <v>17</v>
      </c>
      <c r="G31" s="16" t="s">
        <v>17</v>
      </c>
      <c r="H31" s="17" t="s">
        <v>17</v>
      </c>
      <c r="I31" s="16" t="s">
        <v>17</v>
      </c>
      <c r="J31" s="17" t="s">
        <v>17</v>
      </c>
      <c r="K31" s="16" t="s">
        <v>17</v>
      </c>
      <c r="L31" s="17" t="s">
        <v>17</v>
      </c>
      <c r="M31" s="16" t="s">
        <v>17</v>
      </c>
      <c r="N31" s="17" t="s">
        <v>17</v>
      </c>
      <c r="O31" s="16" t="s">
        <v>17</v>
      </c>
      <c r="P31" s="17" t="s">
        <v>17</v>
      </c>
      <c r="Q31" s="16" t="s">
        <v>17</v>
      </c>
      <c r="R31" s="17" t="s">
        <v>17</v>
      </c>
      <c r="S31" s="16" t="s">
        <v>17</v>
      </c>
      <c r="T31" s="17" t="s">
        <v>17</v>
      </c>
      <c r="U31" s="16" t="s">
        <v>17</v>
      </c>
      <c r="V31" s="17" t="s">
        <v>17</v>
      </c>
      <c r="W31" s="16" t="s">
        <v>17</v>
      </c>
      <c r="X31" s="17" t="s">
        <v>17</v>
      </c>
      <c r="Y31" s="16" t="s">
        <v>17</v>
      </c>
      <c r="Z31" s="17" t="s">
        <v>17</v>
      </c>
      <c r="AA31" s="16" t="s">
        <v>17</v>
      </c>
      <c r="AB31" s="17" t="s">
        <v>17</v>
      </c>
      <c r="AC31" s="18"/>
    </row>
    <row r="32" spans="1:29" s="35" customFormat="1" ht="22.9" customHeight="1">
      <c r="A32" s="122"/>
      <c r="B32" s="146"/>
      <c r="C32" s="115"/>
      <c r="D32" s="73"/>
      <c r="E32" s="32">
        <f t="shared" ref="E32:AB32" si="6">IF(E34&lt;&gt;0,+E34/E36,0%)</f>
        <v>0.66666666666666663</v>
      </c>
      <c r="F32" s="19">
        <f t="shared" si="6"/>
        <v>0</v>
      </c>
      <c r="G32" s="19">
        <f t="shared" si="6"/>
        <v>0</v>
      </c>
      <c r="H32" s="20">
        <f t="shared" si="6"/>
        <v>0</v>
      </c>
      <c r="I32" s="19">
        <f t="shared" si="6"/>
        <v>0</v>
      </c>
      <c r="J32" s="20">
        <f t="shared" si="6"/>
        <v>0</v>
      </c>
      <c r="K32" s="19">
        <f t="shared" si="6"/>
        <v>0.33333333333333331</v>
      </c>
      <c r="L32" s="20">
        <f t="shared" si="6"/>
        <v>0.33333333333333331</v>
      </c>
      <c r="M32" s="19">
        <f t="shared" si="6"/>
        <v>0</v>
      </c>
      <c r="N32" s="20">
        <f t="shared" si="6"/>
        <v>0.33333333333333331</v>
      </c>
      <c r="O32" s="19">
        <f t="shared" si="6"/>
        <v>0.33333333333333331</v>
      </c>
      <c r="P32" s="20">
        <f t="shared" si="6"/>
        <v>0.66666666666666663</v>
      </c>
      <c r="Q32" s="19">
        <f t="shared" si="6"/>
        <v>0</v>
      </c>
      <c r="R32" s="20">
        <f t="shared" si="6"/>
        <v>0.66666666666666663</v>
      </c>
      <c r="S32" s="19">
        <f t="shared" si="6"/>
        <v>0</v>
      </c>
      <c r="T32" s="20">
        <f t="shared" si="6"/>
        <v>0.66666666666666663</v>
      </c>
      <c r="U32" s="19">
        <f t="shared" si="6"/>
        <v>0</v>
      </c>
      <c r="V32" s="20">
        <f t="shared" si="6"/>
        <v>0.66666666666666663</v>
      </c>
      <c r="W32" s="19">
        <f t="shared" si="6"/>
        <v>0</v>
      </c>
      <c r="X32" s="20">
        <f t="shared" si="6"/>
        <v>0.66666666666666663</v>
      </c>
      <c r="Y32" s="19">
        <f t="shared" si="6"/>
        <v>0</v>
      </c>
      <c r="Z32" s="20">
        <f t="shared" si="6"/>
        <v>0.66666666666666663</v>
      </c>
      <c r="AA32" s="19">
        <f t="shared" si="6"/>
        <v>0</v>
      </c>
      <c r="AB32" s="20">
        <f t="shared" si="6"/>
        <v>0.66666666666666663</v>
      </c>
      <c r="AC32" s="21"/>
    </row>
    <row r="33" spans="1:29" s="35" customFormat="1" ht="22.9" customHeight="1" thickBot="1">
      <c r="A33" s="122"/>
      <c r="B33" s="146"/>
      <c r="C33" s="115"/>
      <c r="D33" s="74"/>
      <c r="E33" s="22" t="s">
        <v>18</v>
      </c>
      <c r="F33" s="22" t="s">
        <v>18</v>
      </c>
      <c r="G33" s="22" t="s">
        <v>18</v>
      </c>
      <c r="H33" s="23" t="s">
        <v>18</v>
      </c>
      <c r="I33" s="22" t="s">
        <v>18</v>
      </c>
      <c r="J33" s="23" t="s">
        <v>18</v>
      </c>
      <c r="K33" s="22" t="s">
        <v>18</v>
      </c>
      <c r="L33" s="23" t="s">
        <v>18</v>
      </c>
      <c r="M33" s="22" t="s">
        <v>18</v>
      </c>
      <c r="N33" s="23" t="s">
        <v>18</v>
      </c>
      <c r="O33" s="22" t="s">
        <v>18</v>
      </c>
      <c r="P33" s="23" t="s">
        <v>18</v>
      </c>
      <c r="Q33" s="22" t="s">
        <v>18</v>
      </c>
      <c r="R33" s="23" t="s">
        <v>18</v>
      </c>
      <c r="S33" s="22" t="s">
        <v>18</v>
      </c>
      <c r="T33" s="23" t="s">
        <v>18</v>
      </c>
      <c r="U33" s="22" t="s">
        <v>18</v>
      </c>
      <c r="V33" s="23" t="s">
        <v>18</v>
      </c>
      <c r="W33" s="22" t="s">
        <v>18</v>
      </c>
      <c r="X33" s="23" t="s">
        <v>18</v>
      </c>
      <c r="Y33" s="22" t="s">
        <v>18</v>
      </c>
      <c r="Z33" s="23" t="s">
        <v>18</v>
      </c>
      <c r="AA33" s="22" t="s">
        <v>18</v>
      </c>
      <c r="AB33" s="23" t="s">
        <v>18</v>
      </c>
      <c r="AC33" s="21"/>
    </row>
    <row r="34" spans="1:29" s="35" customFormat="1" ht="22.9" customHeight="1" thickTop="1">
      <c r="A34" s="122"/>
      <c r="B34" s="146"/>
      <c r="C34" s="115"/>
      <c r="D34" s="72" t="s">
        <v>96</v>
      </c>
      <c r="E34" s="33">
        <v>2</v>
      </c>
      <c r="F34" s="52"/>
      <c r="G34" s="52"/>
      <c r="H34" s="53">
        <f>+F34+G34</f>
        <v>0</v>
      </c>
      <c r="I34" s="52"/>
      <c r="J34" s="53">
        <f t="shared" ref="J34:AB34" si="7">+H34+I34</f>
        <v>0</v>
      </c>
      <c r="K34" s="52">
        <v>1</v>
      </c>
      <c r="L34" s="53">
        <f t="shared" si="7"/>
        <v>1</v>
      </c>
      <c r="M34" s="52"/>
      <c r="N34" s="53">
        <f t="shared" si="7"/>
        <v>1</v>
      </c>
      <c r="O34" s="52">
        <v>1</v>
      </c>
      <c r="P34" s="53">
        <f t="shared" si="7"/>
        <v>2</v>
      </c>
      <c r="Q34" s="52"/>
      <c r="R34" s="53">
        <f t="shared" si="7"/>
        <v>2</v>
      </c>
      <c r="S34" s="52"/>
      <c r="T34" s="53">
        <f t="shared" si="7"/>
        <v>2</v>
      </c>
      <c r="U34" s="52">
        <v>0</v>
      </c>
      <c r="V34" s="53">
        <f t="shared" si="7"/>
        <v>2</v>
      </c>
      <c r="W34" s="52"/>
      <c r="X34" s="53">
        <f t="shared" si="7"/>
        <v>2</v>
      </c>
      <c r="Y34" s="52"/>
      <c r="Z34" s="53">
        <f t="shared" si="7"/>
        <v>2</v>
      </c>
      <c r="AA34" s="52"/>
      <c r="AB34" s="53">
        <f t="shared" si="7"/>
        <v>2</v>
      </c>
      <c r="AC34" s="25">
        <f>AB32/E32</f>
        <v>1</v>
      </c>
    </row>
    <row r="35" spans="1:29" s="35" customFormat="1" ht="22.9" customHeight="1">
      <c r="A35" s="122"/>
      <c r="B35" s="146"/>
      <c r="C35" s="115"/>
      <c r="D35" s="75"/>
      <c r="E35" s="26" t="s">
        <v>20</v>
      </c>
      <c r="F35" s="55" t="s">
        <v>20</v>
      </c>
      <c r="G35" s="55" t="s">
        <v>20</v>
      </c>
      <c r="H35" s="56" t="s">
        <v>20</v>
      </c>
      <c r="I35" s="55" t="s">
        <v>20</v>
      </c>
      <c r="J35" s="56" t="s">
        <v>20</v>
      </c>
      <c r="K35" s="55" t="s">
        <v>20</v>
      </c>
      <c r="L35" s="56" t="s">
        <v>20</v>
      </c>
      <c r="M35" s="55" t="s">
        <v>20</v>
      </c>
      <c r="N35" s="56" t="s">
        <v>20</v>
      </c>
      <c r="O35" s="55" t="s">
        <v>20</v>
      </c>
      <c r="P35" s="56" t="s">
        <v>20</v>
      </c>
      <c r="Q35" s="55" t="s">
        <v>20</v>
      </c>
      <c r="R35" s="56" t="s">
        <v>20</v>
      </c>
      <c r="S35" s="55" t="s">
        <v>20</v>
      </c>
      <c r="T35" s="56" t="s">
        <v>20</v>
      </c>
      <c r="U35" s="55" t="s">
        <v>20</v>
      </c>
      <c r="V35" s="56" t="s">
        <v>20</v>
      </c>
      <c r="W35" s="55" t="s">
        <v>20</v>
      </c>
      <c r="X35" s="56" t="s">
        <v>20</v>
      </c>
      <c r="Y35" s="55" t="s">
        <v>20</v>
      </c>
      <c r="Z35" s="56" t="s">
        <v>20</v>
      </c>
      <c r="AA35" s="55" t="s">
        <v>20</v>
      </c>
      <c r="AB35" s="56" t="s">
        <v>20</v>
      </c>
      <c r="AC35" s="21"/>
    </row>
    <row r="36" spans="1:29" s="35" customFormat="1" ht="22.9" customHeight="1" thickBot="1">
      <c r="A36" s="123"/>
      <c r="B36" s="147"/>
      <c r="C36" s="116"/>
      <c r="D36" s="76"/>
      <c r="E36" s="34">
        <v>3</v>
      </c>
      <c r="F36" s="57">
        <v>3</v>
      </c>
      <c r="G36" s="57">
        <v>3</v>
      </c>
      <c r="H36" s="58">
        <v>3</v>
      </c>
      <c r="I36" s="57">
        <v>3</v>
      </c>
      <c r="J36" s="58">
        <v>3</v>
      </c>
      <c r="K36" s="57">
        <v>3</v>
      </c>
      <c r="L36" s="58">
        <v>3</v>
      </c>
      <c r="M36" s="57">
        <v>3</v>
      </c>
      <c r="N36" s="58">
        <v>3</v>
      </c>
      <c r="O36" s="57">
        <v>3</v>
      </c>
      <c r="P36" s="58">
        <v>3</v>
      </c>
      <c r="Q36" s="57">
        <v>3</v>
      </c>
      <c r="R36" s="58">
        <v>3</v>
      </c>
      <c r="S36" s="57">
        <v>3</v>
      </c>
      <c r="T36" s="58">
        <v>3</v>
      </c>
      <c r="U36" s="57">
        <v>3</v>
      </c>
      <c r="V36" s="58">
        <v>3</v>
      </c>
      <c r="W36" s="57">
        <v>3</v>
      </c>
      <c r="X36" s="58">
        <v>3</v>
      </c>
      <c r="Y36" s="57">
        <v>3</v>
      </c>
      <c r="Z36" s="58">
        <v>3</v>
      </c>
      <c r="AA36" s="57">
        <v>3</v>
      </c>
      <c r="AB36" s="58">
        <v>3</v>
      </c>
      <c r="AC36" s="29"/>
    </row>
    <row r="37" spans="1:29" s="35" customFormat="1" ht="22.9" customHeight="1" thickTop="1">
      <c r="A37" s="121" t="s">
        <v>103</v>
      </c>
      <c r="B37" s="145" t="s">
        <v>104</v>
      </c>
      <c r="C37" s="114" t="s">
        <v>94</v>
      </c>
      <c r="D37" s="72" t="s">
        <v>95</v>
      </c>
      <c r="E37" s="16" t="s">
        <v>17</v>
      </c>
      <c r="F37" s="16" t="s">
        <v>17</v>
      </c>
      <c r="G37" s="16" t="s">
        <v>17</v>
      </c>
      <c r="H37" s="17" t="s">
        <v>17</v>
      </c>
      <c r="I37" s="16" t="s">
        <v>17</v>
      </c>
      <c r="J37" s="17" t="s">
        <v>17</v>
      </c>
      <c r="K37" s="16" t="s">
        <v>17</v>
      </c>
      <c r="L37" s="17" t="s">
        <v>17</v>
      </c>
      <c r="M37" s="16" t="s">
        <v>17</v>
      </c>
      <c r="N37" s="17" t="s">
        <v>17</v>
      </c>
      <c r="O37" s="16" t="s">
        <v>17</v>
      </c>
      <c r="P37" s="17" t="s">
        <v>17</v>
      </c>
      <c r="Q37" s="16" t="s">
        <v>17</v>
      </c>
      <c r="R37" s="17" t="s">
        <v>17</v>
      </c>
      <c r="S37" s="16" t="s">
        <v>17</v>
      </c>
      <c r="T37" s="17" t="s">
        <v>17</v>
      </c>
      <c r="U37" s="16" t="s">
        <v>17</v>
      </c>
      <c r="V37" s="17" t="s">
        <v>17</v>
      </c>
      <c r="W37" s="16" t="s">
        <v>17</v>
      </c>
      <c r="X37" s="17" t="s">
        <v>17</v>
      </c>
      <c r="Y37" s="16" t="s">
        <v>17</v>
      </c>
      <c r="Z37" s="17" t="s">
        <v>17</v>
      </c>
      <c r="AA37" s="16" t="s">
        <v>17</v>
      </c>
      <c r="AB37" s="17" t="s">
        <v>17</v>
      </c>
      <c r="AC37" s="18"/>
    </row>
    <row r="38" spans="1:29" s="35" customFormat="1" ht="22.9" customHeight="1">
      <c r="A38" s="122"/>
      <c r="B38" s="146"/>
      <c r="C38" s="115"/>
      <c r="D38" s="73"/>
      <c r="E38" s="32">
        <f t="shared" ref="E38:AB38" si="8">IF(E40&lt;&gt;0,+E40/E42,0%)</f>
        <v>0.66666666666666663</v>
      </c>
      <c r="F38" s="19">
        <f t="shared" si="8"/>
        <v>0</v>
      </c>
      <c r="G38" s="19">
        <f t="shared" si="8"/>
        <v>0</v>
      </c>
      <c r="H38" s="20">
        <f t="shared" si="8"/>
        <v>0</v>
      </c>
      <c r="I38" s="19">
        <f t="shared" si="8"/>
        <v>0</v>
      </c>
      <c r="J38" s="20">
        <f t="shared" si="8"/>
        <v>0</v>
      </c>
      <c r="K38" s="19">
        <f t="shared" si="8"/>
        <v>0.33333333333333331</v>
      </c>
      <c r="L38" s="20">
        <f t="shared" si="8"/>
        <v>0.33333333333333331</v>
      </c>
      <c r="M38" s="19">
        <f t="shared" si="8"/>
        <v>0</v>
      </c>
      <c r="N38" s="20">
        <f t="shared" si="8"/>
        <v>0.33333333333333331</v>
      </c>
      <c r="O38" s="19">
        <f t="shared" si="8"/>
        <v>0.33333333333333331</v>
      </c>
      <c r="P38" s="20">
        <f t="shared" si="8"/>
        <v>0.66666666666666663</v>
      </c>
      <c r="Q38" s="19">
        <f t="shared" si="8"/>
        <v>0</v>
      </c>
      <c r="R38" s="20">
        <f t="shared" si="8"/>
        <v>0.66666666666666663</v>
      </c>
      <c r="S38" s="19">
        <f t="shared" si="8"/>
        <v>0</v>
      </c>
      <c r="T38" s="20">
        <f t="shared" si="8"/>
        <v>0.66666666666666663</v>
      </c>
      <c r="U38" s="19">
        <f t="shared" si="8"/>
        <v>0</v>
      </c>
      <c r="V38" s="20">
        <f t="shared" si="8"/>
        <v>0.66666666666666663</v>
      </c>
      <c r="W38" s="19">
        <f t="shared" si="8"/>
        <v>0</v>
      </c>
      <c r="X38" s="20">
        <f t="shared" si="8"/>
        <v>0.66666666666666663</v>
      </c>
      <c r="Y38" s="19">
        <f t="shared" si="8"/>
        <v>0</v>
      </c>
      <c r="Z38" s="20">
        <f t="shared" si="8"/>
        <v>0.66666666666666663</v>
      </c>
      <c r="AA38" s="19">
        <f t="shared" si="8"/>
        <v>0</v>
      </c>
      <c r="AB38" s="20">
        <f t="shared" si="8"/>
        <v>0.66666666666666663</v>
      </c>
      <c r="AC38" s="21"/>
    </row>
    <row r="39" spans="1:29" s="35" customFormat="1" ht="22.9" customHeight="1" thickBot="1">
      <c r="A39" s="122"/>
      <c r="B39" s="146"/>
      <c r="C39" s="115"/>
      <c r="D39" s="74"/>
      <c r="E39" s="22" t="s">
        <v>18</v>
      </c>
      <c r="F39" s="22" t="s">
        <v>18</v>
      </c>
      <c r="G39" s="22" t="s">
        <v>18</v>
      </c>
      <c r="H39" s="23" t="s">
        <v>18</v>
      </c>
      <c r="I39" s="22" t="s">
        <v>18</v>
      </c>
      <c r="J39" s="23" t="s">
        <v>18</v>
      </c>
      <c r="K39" s="22" t="s">
        <v>18</v>
      </c>
      <c r="L39" s="23" t="s">
        <v>18</v>
      </c>
      <c r="M39" s="22" t="s">
        <v>18</v>
      </c>
      <c r="N39" s="23" t="s">
        <v>18</v>
      </c>
      <c r="O39" s="22" t="s">
        <v>18</v>
      </c>
      <c r="P39" s="23" t="s">
        <v>18</v>
      </c>
      <c r="Q39" s="22" t="s">
        <v>18</v>
      </c>
      <c r="R39" s="23" t="s">
        <v>18</v>
      </c>
      <c r="S39" s="22" t="s">
        <v>18</v>
      </c>
      <c r="T39" s="23" t="s">
        <v>18</v>
      </c>
      <c r="U39" s="22" t="s">
        <v>18</v>
      </c>
      <c r="V39" s="23" t="s">
        <v>18</v>
      </c>
      <c r="W39" s="22" t="s">
        <v>18</v>
      </c>
      <c r="X39" s="23" t="s">
        <v>18</v>
      </c>
      <c r="Y39" s="22" t="s">
        <v>18</v>
      </c>
      <c r="Z39" s="23" t="s">
        <v>18</v>
      </c>
      <c r="AA39" s="22" t="s">
        <v>18</v>
      </c>
      <c r="AB39" s="23" t="s">
        <v>18</v>
      </c>
      <c r="AC39" s="21"/>
    </row>
    <row r="40" spans="1:29" s="35" customFormat="1" ht="22.9" customHeight="1" thickTop="1">
      <c r="A40" s="122"/>
      <c r="B40" s="146"/>
      <c r="C40" s="115"/>
      <c r="D40" s="72" t="s">
        <v>96</v>
      </c>
      <c r="E40" s="33">
        <v>2</v>
      </c>
      <c r="F40" s="52"/>
      <c r="G40" s="52"/>
      <c r="H40" s="53">
        <f>+F40+G40</f>
        <v>0</v>
      </c>
      <c r="I40" s="52"/>
      <c r="J40" s="53">
        <f t="shared" ref="J40:AB40" si="9">+H40+I40</f>
        <v>0</v>
      </c>
      <c r="K40" s="52">
        <v>1</v>
      </c>
      <c r="L40" s="53">
        <f t="shared" si="9"/>
        <v>1</v>
      </c>
      <c r="M40" s="52"/>
      <c r="N40" s="53">
        <f t="shared" si="9"/>
        <v>1</v>
      </c>
      <c r="O40" s="52">
        <v>1</v>
      </c>
      <c r="P40" s="53">
        <f t="shared" si="9"/>
        <v>2</v>
      </c>
      <c r="Q40" s="52"/>
      <c r="R40" s="53">
        <f t="shared" si="9"/>
        <v>2</v>
      </c>
      <c r="S40" s="52"/>
      <c r="T40" s="53">
        <f t="shared" si="9"/>
        <v>2</v>
      </c>
      <c r="U40" s="52">
        <v>0</v>
      </c>
      <c r="V40" s="53">
        <f t="shared" si="9"/>
        <v>2</v>
      </c>
      <c r="W40" s="52"/>
      <c r="X40" s="53">
        <f t="shared" si="9"/>
        <v>2</v>
      </c>
      <c r="Y40" s="52"/>
      <c r="Z40" s="53">
        <f t="shared" si="9"/>
        <v>2</v>
      </c>
      <c r="AA40" s="52"/>
      <c r="AB40" s="53">
        <f t="shared" si="9"/>
        <v>2</v>
      </c>
      <c r="AC40" s="25">
        <f>AB38/E38</f>
        <v>1</v>
      </c>
    </row>
    <row r="41" spans="1:29" s="35" customFormat="1" ht="22.9" customHeight="1">
      <c r="A41" s="122"/>
      <c r="B41" s="146"/>
      <c r="C41" s="115"/>
      <c r="D41" s="75"/>
      <c r="E41" s="26" t="s">
        <v>20</v>
      </c>
      <c r="F41" s="55" t="s">
        <v>20</v>
      </c>
      <c r="G41" s="55" t="s">
        <v>20</v>
      </c>
      <c r="H41" s="56" t="s">
        <v>20</v>
      </c>
      <c r="I41" s="55" t="s">
        <v>20</v>
      </c>
      <c r="J41" s="56" t="s">
        <v>20</v>
      </c>
      <c r="K41" s="55" t="s">
        <v>20</v>
      </c>
      <c r="L41" s="56" t="s">
        <v>20</v>
      </c>
      <c r="M41" s="55" t="s">
        <v>20</v>
      </c>
      <c r="N41" s="56" t="s">
        <v>20</v>
      </c>
      <c r="O41" s="55" t="s">
        <v>20</v>
      </c>
      <c r="P41" s="56" t="s">
        <v>20</v>
      </c>
      <c r="Q41" s="55" t="s">
        <v>20</v>
      </c>
      <c r="R41" s="56" t="s">
        <v>20</v>
      </c>
      <c r="S41" s="55" t="s">
        <v>20</v>
      </c>
      <c r="T41" s="56" t="s">
        <v>20</v>
      </c>
      <c r="U41" s="55" t="s">
        <v>20</v>
      </c>
      <c r="V41" s="56" t="s">
        <v>20</v>
      </c>
      <c r="W41" s="55" t="s">
        <v>20</v>
      </c>
      <c r="X41" s="56" t="s">
        <v>20</v>
      </c>
      <c r="Y41" s="55" t="s">
        <v>20</v>
      </c>
      <c r="Z41" s="56" t="s">
        <v>20</v>
      </c>
      <c r="AA41" s="55" t="s">
        <v>20</v>
      </c>
      <c r="AB41" s="56" t="s">
        <v>20</v>
      </c>
      <c r="AC41" s="21"/>
    </row>
    <row r="42" spans="1:29" s="35" customFormat="1" ht="22.9" customHeight="1" thickBot="1">
      <c r="A42" s="123"/>
      <c r="B42" s="147"/>
      <c r="C42" s="116"/>
      <c r="D42" s="76"/>
      <c r="E42" s="34">
        <v>3</v>
      </c>
      <c r="F42" s="57">
        <v>3</v>
      </c>
      <c r="G42" s="57">
        <v>3</v>
      </c>
      <c r="H42" s="58">
        <v>3</v>
      </c>
      <c r="I42" s="57">
        <v>3</v>
      </c>
      <c r="J42" s="58">
        <v>3</v>
      </c>
      <c r="K42" s="57">
        <v>3</v>
      </c>
      <c r="L42" s="58">
        <v>3</v>
      </c>
      <c r="M42" s="57">
        <v>3</v>
      </c>
      <c r="N42" s="58">
        <v>3</v>
      </c>
      <c r="O42" s="57">
        <v>3</v>
      </c>
      <c r="P42" s="58">
        <v>3</v>
      </c>
      <c r="Q42" s="57">
        <v>3</v>
      </c>
      <c r="R42" s="58">
        <v>3</v>
      </c>
      <c r="S42" s="57">
        <v>3</v>
      </c>
      <c r="T42" s="58">
        <v>3</v>
      </c>
      <c r="U42" s="57">
        <v>3</v>
      </c>
      <c r="V42" s="58">
        <v>3</v>
      </c>
      <c r="W42" s="57">
        <v>3</v>
      </c>
      <c r="X42" s="58">
        <v>3</v>
      </c>
      <c r="Y42" s="57">
        <v>3</v>
      </c>
      <c r="Z42" s="58">
        <v>3</v>
      </c>
      <c r="AA42" s="57">
        <v>3</v>
      </c>
      <c r="AB42" s="58">
        <v>3</v>
      </c>
      <c r="AC42" s="29"/>
    </row>
    <row r="43" spans="1:29" s="35" customFormat="1" ht="22.9" customHeight="1" thickTop="1">
      <c r="A43" s="121" t="s">
        <v>105</v>
      </c>
      <c r="B43" s="145" t="s">
        <v>106</v>
      </c>
      <c r="C43" s="114" t="s">
        <v>94</v>
      </c>
      <c r="D43" s="72" t="s">
        <v>95</v>
      </c>
      <c r="E43" s="16" t="s">
        <v>17</v>
      </c>
      <c r="F43" s="16" t="s">
        <v>17</v>
      </c>
      <c r="G43" s="16" t="s">
        <v>17</v>
      </c>
      <c r="H43" s="17" t="s">
        <v>17</v>
      </c>
      <c r="I43" s="16" t="s">
        <v>17</v>
      </c>
      <c r="J43" s="17" t="s">
        <v>17</v>
      </c>
      <c r="K43" s="16" t="s">
        <v>17</v>
      </c>
      <c r="L43" s="17" t="s">
        <v>17</v>
      </c>
      <c r="M43" s="16" t="s">
        <v>17</v>
      </c>
      <c r="N43" s="17" t="s">
        <v>17</v>
      </c>
      <c r="O43" s="16" t="s">
        <v>17</v>
      </c>
      <c r="P43" s="17" t="s">
        <v>17</v>
      </c>
      <c r="Q43" s="16" t="s">
        <v>17</v>
      </c>
      <c r="R43" s="17" t="s">
        <v>17</v>
      </c>
      <c r="S43" s="16" t="s">
        <v>17</v>
      </c>
      <c r="T43" s="17" t="s">
        <v>17</v>
      </c>
      <c r="U43" s="16" t="s">
        <v>17</v>
      </c>
      <c r="V43" s="17" t="s">
        <v>17</v>
      </c>
      <c r="W43" s="16" t="s">
        <v>17</v>
      </c>
      <c r="X43" s="17" t="s">
        <v>17</v>
      </c>
      <c r="Y43" s="16" t="s">
        <v>17</v>
      </c>
      <c r="Z43" s="17" t="s">
        <v>17</v>
      </c>
      <c r="AA43" s="16" t="s">
        <v>17</v>
      </c>
      <c r="AB43" s="17" t="s">
        <v>17</v>
      </c>
      <c r="AC43" s="18"/>
    </row>
    <row r="44" spans="1:29" s="35" customFormat="1" ht="22.9" customHeight="1">
      <c r="A44" s="122"/>
      <c r="B44" s="146"/>
      <c r="C44" s="115"/>
      <c r="D44" s="73"/>
      <c r="E44" s="32">
        <f t="shared" ref="E44:AB44" si="10">IF(E46&lt;&gt;0,+E46/E48,0%)</f>
        <v>0.66666666666666663</v>
      </c>
      <c r="F44" s="19">
        <f t="shared" si="10"/>
        <v>0</v>
      </c>
      <c r="G44" s="19">
        <f t="shared" si="10"/>
        <v>0</v>
      </c>
      <c r="H44" s="20">
        <f t="shared" si="10"/>
        <v>0</v>
      </c>
      <c r="I44" s="19">
        <f t="shared" si="10"/>
        <v>0</v>
      </c>
      <c r="J44" s="20">
        <f t="shared" si="10"/>
        <v>0</v>
      </c>
      <c r="K44" s="19">
        <f t="shared" si="10"/>
        <v>0.33333333333333331</v>
      </c>
      <c r="L44" s="20">
        <f t="shared" si="10"/>
        <v>0.33333333333333331</v>
      </c>
      <c r="M44" s="19">
        <f t="shared" si="10"/>
        <v>0</v>
      </c>
      <c r="N44" s="20">
        <f t="shared" si="10"/>
        <v>0.33333333333333331</v>
      </c>
      <c r="O44" s="19">
        <f t="shared" si="10"/>
        <v>0.33333333333333331</v>
      </c>
      <c r="P44" s="20">
        <f t="shared" si="10"/>
        <v>0.66666666666666663</v>
      </c>
      <c r="Q44" s="19">
        <f t="shared" si="10"/>
        <v>0</v>
      </c>
      <c r="R44" s="20">
        <f t="shared" si="10"/>
        <v>0.66666666666666663</v>
      </c>
      <c r="S44" s="19">
        <f t="shared" si="10"/>
        <v>0</v>
      </c>
      <c r="T44" s="20">
        <f t="shared" si="10"/>
        <v>0.66666666666666663</v>
      </c>
      <c r="U44" s="19">
        <f t="shared" si="10"/>
        <v>0</v>
      </c>
      <c r="V44" s="20">
        <f t="shared" si="10"/>
        <v>0.66666666666666663</v>
      </c>
      <c r="W44" s="19">
        <f t="shared" si="10"/>
        <v>0</v>
      </c>
      <c r="X44" s="20">
        <f t="shared" si="10"/>
        <v>0.66666666666666663</v>
      </c>
      <c r="Y44" s="19">
        <f t="shared" si="10"/>
        <v>0</v>
      </c>
      <c r="Z44" s="20">
        <f t="shared" si="10"/>
        <v>0.66666666666666663</v>
      </c>
      <c r="AA44" s="19">
        <f t="shared" si="10"/>
        <v>0</v>
      </c>
      <c r="AB44" s="20">
        <f t="shared" si="10"/>
        <v>0.66666666666666663</v>
      </c>
      <c r="AC44" s="21"/>
    </row>
    <row r="45" spans="1:29" s="35" customFormat="1" ht="22.9" customHeight="1" thickBot="1">
      <c r="A45" s="122"/>
      <c r="B45" s="146"/>
      <c r="C45" s="115"/>
      <c r="D45" s="74"/>
      <c r="E45" s="22" t="s">
        <v>18</v>
      </c>
      <c r="F45" s="22" t="s">
        <v>18</v>
      </c>
      <c r="G45" s="22" t="s">
        <v>18</v>
      </c>
      <c r="H45" s="23" t="s">
        <v>18</v>
      </c>
      <c r="I45" s="22" t="s">
        <v>18</v>
      </c>
      <c r="J45" s="23" t="s">
        <v>18</v>
      </c>
      <c r="K45" s="22" t="s">
        <v>18</v>
      </c>
      <c r="L45" s="23" t="s">
        <v>18</v>
      </c>
      <c r="M45" s="22" t="s">
        <v>18</v>
      </c>
      <c r="N45" s="23" t="s">
        <v>18</v>
      </c>
      <c r="O45" s="22" t="s">
        <v>18</v>
      </c>
      <c r="P45" s="23" t="s">
        <v>18</v>
      </c>
      <c r="Q45" s="22" t="s">
        <v>18</v>
      </c>
      <c r="R45" s="23" t="s">
        <v>18</v>
      </c>
      <c r="S45" s="22" t="s">
        <v>18</v>
      </c>
      <c r="T45" s="23" t="s">
        <v>18</v>
      </c>
      <c r="U45" s="22" t="s">
        <v>18</v>
      </c>
      <c r="V45" s="23" t="s">
        <v>18</v>
      </c>
      <c r="W45" s="22" t="s">
        <v>18</v>
      </c>
      <c r="X45" s="23" t="s">
        <v>18</v>
      </c>
      <c r="Y45" s="22" t="s">
        <v>18</v>
      </c>
      <c r="Z45" s="23" t="s">
        <v>18</v>
      </c>
      <c r="AA45" s="22" t="s">
        <v>18</v>
      </c>
      <c r="AB45" s="23" t="s">
        <v>18</v>
      </c>
      <c r="AC45" s="21"/>
    </row>
    <row r="46" spans="1:29" s="35" customFormat="1" ht="22.9" customHeight="1" thickTop="1">
      <c r="A46" s="122"/>
      <c r="B46" s="146"/>
      <c r="C46" s="115"/>
      <c r="D46" s="72" t="s">
        <v>96</v>
      </c>
      <c r="E46" s="33">
        <v>2</v>
      </c>
      <c r="F46" s="52"/>
      <c r="G46" s="52"/>
      <c r="H46" s="53">
        <f>+F46+G46</f>
        <v>0</v>
      </c>
      <c r="I46" s="52"/>
      <c r="J46" s="53">
        <f t="shared" ref="J46:AB46" si="11">+H46+I46</f>
        <v>0</v>
      </c>
      <c r="K46" s="52">
        <v>1</v>
      </c>
      <c r="L46" s="53">
        <f t="shared" si="11"/>
        <v>1</v>
      </c>
      <c r="M46" s="52"/>
      <c r="N46" s="53">
        <f t="shared" si="11"/>
        <v>1</v>
      </c>
      <c r="O46" s="52">
        <v>1</v>
      </c>
      <c r="P46" s="53">
        <f t="shared" si="11"/>
        <v>2</v>
      </c>
      <c r="Q46" s="52"/>
      <c r="R46" s="53">
        <f t="shared" si="11"/>
        <v>2</v>
      </c>
      <c r="S46" s="52"/>
      <c r="T46" s="53">
        <f t="shared" si="11"/>
        <v>2</v>
      </c>
      <c r="U46" s="52">
        <v>0</v>
      </c>
      <c r="V46" s="53">
        <f t="shared" si="11"/>
        <v>2</v>
      </c>
      <c r="W46" s="52"/>
      <c r="X46" s="53">
        <f t="shared" si="11"/>
        <v>2</v>
      </c>
      <c r="Y46" s="52"/>
      <c r="Z46" s="53">
        <f t="shared" si="11"/>
        <v>2</v>
      </c>
      <c r="AA46" s="52"/>
      <c r="AB46" s="53">
        <f t="shared" si="11"/>
        <v>2</v>
      </c>
      <c r="AC46" s="25">
        <f>AB44/E44</f>
        <v>1</v>
      </c>
    </row>
    <row r="47" spans="1:29" s="35" customFormat="1" ht="22.9" customHeight="1">
      <c r="A47" s="122"/>
      <c r="B47" s="146"/>
      <c r="C47" s="115"/>
      <c r="D47" s="75"/>
      <c r="E47" s="26" t="s">
        <v>20</v>
      </c>
      <c r="F47" s="55" t="s">
        <v>20</v>
      </c>
      <c r="G47" s="55" t="s">
        <v>20</v>
      </c>
      <c r="H47" s="56" t="s">
        <v>20</v>
      </c>
      <c r="I47" s="55" t="s">
        <v>20</v>
      </c>
      <c r="J47" s="56" t="s">
        <v>20</v>
      </c>
      <c r="K47" s="55" t="s">
        <v>20</v>
      </c>
      <c r="L47" s="56" t="s">
        <v>20</v>
      </c>
      <c r="M47" s="55" t="s">
        <v>20</v>
      </c>
      <c r="N47" s="56" t="s">
        <v>20</v>
      </c>
      <c r="O47" s="55" t="s">
        <v>20</v>
      </c>
      <c r="P47" s="56" t="s">
        <v>20</v>
      </c>
      <c r="Q47" s="55" t="s">
        <v>20</v>
      </c>
      <c r="R47" s="56" t="s">
        <v>20</v>
      </c>
      <c r="S47" s="55" t="s">
        <v>20</v>
      </c>
      <c r="T47" s="56" t="s">
        <v>20</v>
      </c>
      <c r="U47" s="55" t="s">
        <v>20</v>
      </c>
      <c r="V47" s="56" t="s">
        <v>20</v>
      </c>
      <c r="W47" s="55" t="s">
        <v>20</v>
      </c>
      <c r="X47" s="56" t="s">
        <v>20</v>
      </c>
      <c r="Y47" s="55" t="s">
        <v>20</v>
      </c>
      <c r="Z47" s="56" t="s">
        <v>20</v>
      </c>
      <c r="AA47" s="55" t="s">
        <v>20</v>
      </c>
      <c r="AB47" s="56" t="s">
        <v>20</v>
      </c>
      <c r="AC47" s="21"/>
    </row>
    <row r="48" spans="1:29" s="35" customFormat="1" ht="22.9" customHeight="1" thickBot="1">
      <c r="A48" s="123"/>
      <c r="B48" s="147"/>
      <c r="C48" s="116"/>
      <c r="D48" s="76"/>
      <c r="E48" s="34">
        <v>3</v>
      </c>
      <c r="F48" s="57">
        <v>3</v>
      </c>
      <c r="G48" s="57">
        <v>3</v>
      </c>
      <c r="H48" s="58">
        <v>3</v>
      </c>
      <c r="I48" s="57">
        <v>3</v>
      </c>
      <c r="J48" s="58">
        <v>3</v>
      </c>
      <c r="K48" s="57">
        <v>3</v>
      </c>
      <c r="L48" s="58">
        <v>3</v>
      </c>
      <c r="M48" s="57">
        <v>3</v>
      </c>
      <c r="N48" s="58">
        <v>3</v>
      </c>
      <c r="O48" s="57">
        <v>3</v>
      </c>
      <c r="P48" s="58">
        <v>3</v>
      </c>
      <c r="Q48" s="57">
        <v>3</v>
      </c>
      <c r="R48" s="58">
        <v>3</v>
      </c>
      <c r="S48" s="57">
        <v>3</v>
      </c>
      <c r="T48" s="58">
        <v>3</v>
      </c>
      <c r="U48" s="57">
        <v>3</v>
      </c>
      <c r="V48" s="58">
        <v>3</v>
      </c>
      <c r="W48" s="57">
        <v>3</v>
      </c>
      <c r="X48" s="58">
        <v>3</v>
      </c>
      <c r="Y48" s="57">
        <v>3</v>
      </c>
      <c r="Z48" s="58">
        <v>3</v>
      </c>
      <c r="AA48" s="57">
        <v>3</v>
      </c>
      <c r="AB48" s="58">
        <v>3</v>
      </c>
      <c r="AC48" s="29"/>
    </row>
    <row r="49" spans="1:29" s="35" customFormat="1" ht="22.9" customHeight="1" thickTop="1">
      <c r="A49" s="121" t="s">
        <v>107</v>
      </c>
      <c r="B49" s="145" t="s">
        <v>108</v>
      </c>
      <c r="C49" s="114" t="s">
        <v>94</v>
      </c>
      <c r="D49" s="72" t="s">
        <v>95</v>
      </c>
      <c r="E49" s="16" t="s">
        <v>17</v>
      </c>
      <c r="F49" s="16" t="s">
        <v>17</v>
      </c>
      <c r="G49" s="16" t="s">
        <v>17</v>
      </c>
      <c r="H49" s="17" t="s">
        <v>17</v>
      </c>
      <c r="I49" s="16" t="s">
        <v>17</v>
      </c>
      <c r="J49" s="17" t="s">
        <v>17</v>
      </c>
      <c r="K49" s="16" t="s">
        <v>17</v>
      </c>
      <c r="L49" s="17" t="s">
        <v>17</v>
      </c>
      <c r="M49" s="16" t="s">
        <v>17</v>
      </c>
      <c r="N49" s="17" t="s">
        <v>17</v>
      </c>
      <c r="O49" s="16" t="s">
        <v>17</v>
      </c>
      <c r="P49" s="17" t="s">
        <v>17</v>
      </c>
      <c r="Q49" s="16" t="s">
        <v>17</v>
      </c>
      <c r="R49" s="17" t="s">
        <v>17</v>
      </c>
      <c r="S49" s="16" t="s">
        <v>17</v>
      </c>
      <c r="T49" s="17" t="s">
        <v>17</v>
      </c>
      <c r="U49" s="16" t="s">
        <v>17</v>
      </c>
      <c r="V49" s="17" t="s">
        <v>17</v>
      </c>
      <c r="W49" s="16" t="s">
        <v>17</v>
      </c>
      <c r="X49" s="17" t="s">
        <v>17</v>
      </c>
      <c r="Y49" s="16" t="s">
        <v>17</v>
      </c>
      <c r="Z49" s="17" t="s">
        <v>17</v>
      </c>
      <c r="AA49" s="16" t="s">
        <v>17</v>
      </c>
      <c r="AB49" s="17" t="s">
        <v>17</v>
      </c>
      <c r="AC49" s="18"/>
    </row>
    <row r="50" spans="1:29" s="35" customFormat="1" ht="22.9" customHeight="1">
      <c r="A50" s="122"/>
      <c r="B50" s="146"/>
      <c r="C50" s="115"/>
      <c r="D50" s="73"/>
      <c r="E50" s="32">
        <f t="shared" ref="E50:AB50" si="12">IF(E52&lt;&gt;0,+E52/E54,0%)</f>
        <v>0.66666666666666663</v>
      </c>
      <c r="F50" s="19">
        <f t="shared" si="12"/>
        <v>0</v>
      </c>
      <c r="G50" s="19">
        <f t="shared" si="12"/>
        <v>0</v>
      </c>
      <c r="H50" s="20">
        <f t="shared" si="12"/>
        <v>0</v>
      </c>
      <c r="I50" s="19">
        <f t="shared" si="12"/>
        <v>0</v>
      </c>
      <c r="J50" s="20">
        <f t="shared" si="12"/>
        <v>0</v>
      </c>
      <c r="K50" s="19">
        <f t="shared" si="12"/>
        <v>0.33333333333333331</v>
      </c>
      <c r="L50" s="20">
        <f t="shared" si="12"/>
        <v>0.33333333333333331</v>
      </c>
      <c r="M50" s="19">
        <f t="shared" si="12"/>
        <v>0</v>
      </c>
      <c r="N50" s="20">
        <f t="shared" si="12"/>
        <v>0.33333333333333331</v>
      </c>
      <c r="O50" s="19">
        <f t="shared" si="12"/>
        <v>0.33333333333333331</v>
      </c>
      <c r="P50" s="20">
        <f t="shared" si="12"/>
        <v>0.66666666666666663</v>
      </c>
      <c r="Q50" s="19">
        <f t="shared" si="12"/>
        <v>0</v>
      </c>
      <c r="R50" s="20">
        <f t="shared" si="12"/>
        <v>0.66666666666666663</v>
      </c>
      <c r="S50" s="19">
        <f t="shared" si="12"/>
        <v>0</v>
      </c>
      <c r="T50" s="20">
        <f t="shared" si="12"/>
        <v>0.66666666666666663</v>
      </c>
      <c r="U50" s="19">
        <f t="shared" si="12"/>
        <v>0</v>
      </c>
      <c r="V50" s="20">
        <f t="shared" si="12"/>
        <v>0.66666666666666663</v>
      </c>
      <c r="W50" s="19">
        <f t="shared" si="12"/>
        <v>0</v>
      </c>
      <c r="X50" s="20">
        <f t="shared" si="12"/>
        <v>0.66666666666666663</v>
      </c>
      <c r="Y50" s="19">
        <f t="shared" si="12"/>
        <v>0</v>
      </c>
      <c r="Z50" s="20">
        <f t="shared" si="12"/>
        <v>0.66666666666666663</v>
      </c>
      <c r="AA50" s="19">
        <f t="shared" si="12"/>
        <v>0</v>
      </c>
      <c r="AB50" s="20">
        <f t="shared" si="12"/>
        <v>0.66666666666666663</v>
      </c>
      <c r="AC50" s="21"/>
    </row>
    <row r="51" spans="1:29" s="35" customFormat="1" ht="22.9" customHeight="1" thickBot="1">
      <c r="A51" s="122"/>
      <c r="B51" s="146"/>
      <c r="C51" s="115"/>
      <c r="D51" s="74"/>
      <c r="E51" s="22" t="s">
        <v>18</v>
      </c>
      <c r="F51" s="22" t="s">
        <v>18</v>
      </c>
      <c r="G51" s="22" t="s">
        <v>18</v>
      </c>
      <c r="H51" s="23" t="s">
        <v>18</v>
      </c>
      <c r="I51" s="22" t="s">
        <v>18</v>
      </c>
      <c r="J51" s="23" t="s">
        <v>18</v>
      </c>
      <c r="K51" s="22" t="s">
        <v>18</v>
      </c>
      <c r="L51" s="23" t="s">
        <v>18</v>
      </c>
      <c r="M51" s="22" t="s">
        <v>18</v>
      </c>
      <c r="N51" s="23" t="s">
        <v>18</v>
      </c>
      <c r="O51" s="22" t="s">
        <v>18</v>
      </c>
      <c r="P51" s="23" t="s">
        <v>18</v>
      </c>
      <c r="Q51" s="22" t="s">
        <v>18</v>
      </c>
      <c r="R51" s="23" t="s">
        <v>18</v>
      </c>
      <c r="S51" s="22" t="s">
        <v>18</v>
      </c>
      <c r="T51" s="23" t="s">
        <v>18</v>
      </c>
      <c r="U51" s="22" t="s">
        <v>18</v>
      </c>
      <c r="V51" s="23" t="s">
        <v>18</v>
      </c>
      <c r="W51" s="22" t="s">
        <v>18</v>
      </c>
      <c r="X51" s="23" t="s">
        <v>18</v>
      </c>
      <c r="Y51" s="22" t="s">
        <v>18</v>
      </c>
      <c r="Z51" s="23" t="s">
        <v>18</v>
      </c>
      <c r="AA51" s="22" t="s">
        <v>18</v>
      </c>
      <c r="AB51" s="23" t="s">
        <v>18</v>
      </c>
      <c r="AC51" s="21"/>
    </row>
    <row r="52" spans="1:29" s="35" customFormat="1" ht="22.9" customHeight="1" thickTop="1">
      <c r="A52" s="122"/>
      <c r="B52" s="146"/>
      <c r="C52" s="115"/>
      <c r="D52" s="72" t="s">
        <v>96</v>
      </c>
      <c r="E52" s="33">
        <v>2</v>
      </c>
      <c r="F52" s="52"/>
      <c r="G52" s="52"/>
      <c r="H52" s="53">
        <f>+F52+G52</f>
        <v>0</v>
      </c>
      <c r="I52" s="52"/>
      <c r="J52" s="53">
        <f t="shared" ref="J52:AB52" si="13">+H52+I52</f>
        <v>0</v>
      </c>
      <c r="K52" s="52">
        <v>1</v>
      </c>
      <c r="L52" s="53">
        <f t="shared" si="13"/>
        <v>1</v>
      </c>
      <c r="M52" s="52"/>
      <c r="N52" s="53">
        <f t="shared" si="13"/>
        <v>1</v>
      </c>
      <c r="O52" s="52">
        <v>1</v>
      </c>
      <c r="P52" s="53">
        <f t="shared" si="13"/>
        <v>2</v>
      </c>
      <c r="Q52" s="52"/>
      <c r="R52" s="53">
        <f t="shared" si="13"/>
        <v>2</v>
      </c>
      <c r="S52" s="52"/>
      <c r="T52" s="53">
        <f t="shared" si="13"/>
        <v>2</v>
      </c>
      <c r="U52" s="52">
        <v>0</v>
      </c>
      <c r="V52" s="53">
        <f t="shared" si="13"/>
        <v>2</v>
      </c>
      <c r="W52" s="52"/>
      <c r="X52" s="53">
        <f t="shared" si="13"/>
        <v>2</v>
      </c>
      <c r="Y52" s="52"/>
      <c r="Z52" s="53">
        <f t="shared" si="13"/>
        <v>2</v>
      </c>
      <c r="AA52" s="52"/>
      <c r="AB52" s="53">
        <f t="shared" si="13"/>
        <v>2</v>
      </c>
      <c r="AC52" s="25">
        <f>AB50/E50</f>
        <v>1</v>
      </c>
    </row>
    <row r="53" spans="1:29" s="35" customFormat="1" ht="22.9" customHeight="1">
      <c r="A53" s="122"/>
      <c r="B53" s="146"/>
      <c r="C53" s="115"/>
      <c r="D53" s="75"/>
      <c r="E53" s="26" t="s">
        <v>20</v>
      </c>
      <c r="F53" s="55" t="s">
        <v>20</v>
      </c>
      <c r="G53" s="55" t="s">
        <v>20</v>
      </c>
      <c r="H53" s="56" t="s">
        <v>20</v>
      </c>
      <c r="I53" s="55" t="s">
        <v>20</v>
      </c>
      <c r="J53" s="56" t="s">
        <v>20</v>
      </c>
      <c r="K53" s="55" t="s">
        <v>20</v>
      </c>
      <c r="L53" s="56" t="s">
        <v>20</v>
      </c>
      <c r="M53" s="55" t="s">
        <v>20</v>
      </c>
      <c r="N53" s="56" t="s">
        <v>20</v>
      </c>
      <c r="O53" s="55" t="s">
        <v>20</v>
      </c>
      <c r="P53" s="56" t="s">
        <v>20</v>
      </c>
      <c r="Q53" s="55" t="s">
        <v>20</v>
      </c>
      <c r="R53" s="56" t="s">
        <v>20</v>
      </c>
      <c r="S53" s="55" t="s">
        <v>20</v>
      </c>
      <c r="T53" s="56" t="s">
        <v>20</v>
      </c>
      <c r="U53" s="55" t="s">
        <v>20</v>
      </c>
      <c r="V53" s="56" t="s">
        <v>20</v>
      </c>
      <c r="W53" s="55" t="s">
        <v>20</v>
      </c>
      <c r="X53" s="56" t="s">
        <v>20</v>
      </c>
      <c r="Y53" s="55" t="s">
        <v>20</v>
      </c>
      <c r="Z53" s="56" t="s">
        <v>20</v>
      </c>
      <c r="AA53" s="55" t="s">
        <v>20</v>
      </c>
      <c r="AB53" s="56" t="s">
        <v>20</v>
      </c>
      <c r="AC53" s="21"/>
    </row>
    <row r="54" spans="1:29" s="35" customFormat="1" ht="22.9" customHeight="1" thickBot="1">
      <c r="A54" s="123"/>
      <c r="B54" s="147"/>
      <c r="C54" s="116"/>
      <c r="D54" s="76"/>
      <c r="E54" s="34">
        <v>3</v>
      </c>
      <c r="F54" s="57">
        <v>3</v>
      </c>
      <c r="G54" s="57">
        <v>3</v>
      </c>
      <c r="H54" s="58">
        <v>3</v>
      </c>
      <c r="I54" s="57">
        <v>3</v>
      </c>
      <c r="J54" s="58">
        <v>3</v>
      </c>
      <c r="K54" s="57">
        <v>3</v>
      </c>
      <c r="L54" s="58">
        <v>3</v>
      </c>
      <c r="M54" s="57">
        <v>3</v>
      </c>
      <c r="N54" s="58">
        <v>3</v>
      </c>
      <c r="O54" s="57">
        <v>3</v>
      </c>
      <c r="P54" s="58">
        <v>3</v>
      </c>
      <c r="Q54" s="57">
        <v>3</v>
      </c>
      <c r="R54" s="58">
        <v>3</v>
      </c>
      <c r="S54" s="57">
        <v>3</v>
      </c>
      <c r="T54" s="58">
        <v>3</v>
      </c>
      <c r="U54" s="57">
        <v>3</v>
      </c>
      <c r="V54" s="58">
        <v>3</v>
      </c>
      <c r="W54" s="57">
        <v>3</v>
      </c>
      <c r="X54" s="58">
        <v>3</v>
      </c>
      <c r="Y54" s="57">
        <v>3</v>
      </c>
      <c r="Z54" s="58">
        <v>3</v>
      </c>
      <c r="AA54" s="57">
        <v>3</v>
      </c>
      <c r="AB54" s="58">
        <v>3</v>
      </c>
      <c r="AC54" s="29"/>
    </row>
    <row r="55" spans="1:29" s="35" customFormat="1" ht="22.9" customHeight="1" thickTop="1">
      <c r="A55" s="121" t="s">
        <v>109</v>
      </c>
      <c r="B55" s="145" t="s">
        <v>110</v>
      </c>
      <c r="C55" s="114" t="s">
        <v>94</v>
      </c>
      <c r="D55" s="72" t="s">
        <v>95</v>
      </c>
      <c r="E55" s="16" t="s">
        <v>17</v>
      </c>
      <c r="F55" s="16" t="s">
        <v>17</v>
      </c>
      <c r="G55" s="16" t="s">
        <v>17</v>
      </c>
      <c r="H55" s="17" t="s">
        <v>17</v>
      </c>
      <c r="I55" s="16" t="s">
        <v>17</v>
      </c>
      <c r="J55" s="17" t="s">
        <v>17</v>
      </c>
      <c r="K55" s="16" t="s">
        <v>17</v>
      </c>
      <c r="L55" s="17" t="s">
        <v>17</v>
      </c>
      <c r="M55" s="16" t="s">
        <v>17</v>
      </c>
      <c r="N55" s="17" t="s">
        <v>17</v>
      </c>
      <c r="O55" s="16" t="s">
        <v>17</v>
      </c>
      <c r="P55" s="17" t="s">
        <v>17</v>
      </c>
      <c r="Q55" s="16" t="s">
        <v>17</v>
      </c>
      <c r="R55" s="17" t="s">
        <v>17</v>
      </c>
      <c r="S55" s="16" t="s">
        <v>17</v>
      </c>
      <c r="T55" s="17" t="s">
        <v>17</v>
      </c>
      <c r="U55" s="16" t="s">
        <v>17</v>
      </c>
      <c r="V55" s="17" t="s">
        <v>17</v>
      </c>
      <c r="W55" s="16" t="s">
        <v>17</v>
      </c>
      <c r="X55" s="17" t="s">
        <v>17</v>
      </c>
      <c r="Y55" s="16" t="s">
        <v>17</v>
      </c>
      <c r="Z55" s="17" t="s">
        <v>17</v>
      </c>
      <c r="AA55" s="16" t="s">
        <v>17</v>
      </c>
      <c r="AB55" s="17" t="s">
        <v>17</v>
      </c>
      <c r="AC55" s="18"/>
    </row>
    <row r="56" spans="1:29" s="35" customFormat="1" ht="22.9" customHeight="1">
      <c r="A56" s="122"/>
      <c r="B56" s="146"/>
      <c r="C56" s="115"/>
      <c r="D56" s="73"/>
      <c r="E56" s="32">
        <f t="shared" ref="E56:AB56" si="14">IF(E58&lt;&gt;0,+E58/E60,0%)</f>
        <v>0.66666666666666663</v>
      </c>
      <c r="F56" s="19">
        <f t="shared" si="14"/>
        <v>0</v>
      </c>
      <c r="G56" s="19">
        <f t="shared" si="14"/>
        <v>0</v>
      </c>
      <c r="H56" s="20">
        <f t="shared" si="14"/>
        <v>0</v>
      </c>
      <c r="I56" s="19">
        <f t="shared" si="14"/>
        <v>0</v>
      </c>
      <c r="J56" s="20">
        <f t="shared" si="14"/>
        <v>0</v>
      </c>
      <c r="K56" s="19">
        <f t="shared" si="14"/>
        <v>0.33333333333333331</v>
      </c>
      <c r="L56" s="20">
        <f t="shared" si="14"/>
        <v>0.33333333333333331</v>
      </c>
      <c r="M56" s="19">
        <f t="shared" si="14"/>
        <v>0</v>
      </c>
      <c r="N56" s="20">
        <f t="shared" si="14"/>
        <v>0.33333333333333331</v>
      </c>
      <c r="O56" s="19">
        <f t="shared" si="14"/>
        <v>0.33333333333333331</v>
      </c>
      <c r="P56" s="20">
        <f t="shared" si="14"/>
        <v>0.66666666666666663</v>
      </c>
      <c r="Q56" s="19">
        <f t="shared" si="14"/>
        <v>0</v>
      </c>
      <c r="R56" s="20">
        <f t="shared" si="14"/>
        <v>0.66666666666666663</v>
      </c>
      <c r="S56" s="19">
        <f t="shared" si="14"/>
        <v>0</v>
      </c>
      <c r="T56" s="20">
        <f t="shared" si="14"/>
        <v>0.66666666666666663</v>
      </c>
      <c r="U56" s="19">
        <f t="shared" si="14"/>
        <v>0</v>
      </c>
      <c r="V56" s="20">
        <f t="shared" si="14"/>
        <v>0.66666666666666663</v>
      </c>
      <c r="W56" s="19">
        <f t="shared" si="14"/>
        <v>0</v>
      </c>
      <c r="X56" s="20">
        <f t="shared" si="14"/>
        <v>0.66666666666666663</v>
      </c>
      <c r="Y56" s="19">
        <f t="shared" si="14"/>
        <v>0</v>
      </c>
      <c r="Z56" s="20">
        <f t="shared" si="14"/>
        <v>0.66666666666666663</v>
      </c>
      <c r="AA56" s="19">
        <f t="shared" si="14"/>
        <v>0</v>
      </c>
      <c r="AB56" s="20">
        <f t="shared" si="14"/>
        <v>0.66666666666666663</v>
      </c>
      <c r="AC56" s="21"/>
    </row>
    <row r="57" spans="1:29" s="35" customFormat="1" ht="22.9" customHeight="1" thickBot="1">
      <c r="A57" s="122"/>
      <c r="B57" s="146"/>
      <c r="C57" s="115"/>
      <c r="D57" s="74"/>
      <c r="E57" s="22" t="s">
        <v>18</v>
      </c>
      <c r="F57" s="22" t="s">
        <v>18</v>
      </c>
      <c r="G57" s="22" t="s">
        <v>18</v>
      </c>
      <c r="H57" s="23" t="s">
        <v>18</v>
      </c>
      <c r="I57" s="22" t="s">
        <v>18</v>
      </c>
      <c r="J57" s="23" t="s">
        <v>18</v>
      </c>
      <c r="K57" s="22" t="s">
        <v>18</v>
      </c>
      <c r="L57" s="23" t="s">
        <v>18</v>
      </c>
      <c r="M57" s="22" t="s">
        <v>18</v>
      </c>
      <c r="N57" s="23" t="s">
        <v>18</v>
      </c>
      <c r="O57" s="22" t="s">
        <v>18</v>
      </c>
      <c r="P57" s="23" t="s">
        <v>18</v>
      </c>
      <c r="Q57" s="22" t="s">
        <v>18</v>
      </c>
      <c r="R57" s="23" t="s">
        <v>18</v>
      </c>
      <c r="S57" s="22" t="s">
        <v>18</v>
      </c>
      <c r="T57" s="23" t="s">
        <v>18</v>
      </c>
      <c r="U57" s="22" t="s">
        <v>18</v>
      </c>
      <c r="V57" s="23" t="s">
        <v>18</v>
      </c>
      <c r="W57" s="22" t="s">
        <v>18</v>
      </c>
      <c r="X57" s="23" t="s">
        <v>18</v>
      </c>
      <c r="Y57" s="22" t="s">
        <v>18</v>
      </c>
      <c r="Z57" s="23" t="s">
        <v>18</v>
      </c>
      <c r="AA57" s="22" t="s">
        <v>18</v>
      </c>
      <c r="AB57" s="23" t="s">
        <v>18</v>
      </c>
      <c r="AC57" s="21"/>
    </row>
    <row r="58" spans="1:29" s="35" customFormat="1" ht="22.9" customHeight="1" thickTop="1">
      <c r="A58" s="122"/>
      <c r="B58" s="146"/>
      <c r="C58" s="115"/>
      <c r="D58" s="72" t="s">
        <v>96</v>
      </c>
      <c r="E58" s="33">
        <v>2</v>
      </c>
      <c r="F58" s="52"/>
      <c r="G58" s="52"/>
      <c r="H58" s="53">
        <f>+F58+G58</f>
        <v>0</v>
      </c>
      <c r="I58" s="52"/>
      <c r="J58" s="53">
        <f t="shared" ref="J58:AB58" si="15">+H58+I58</f>
        <v>0</v>
      </c>
      <c r="K58" s="52">
        <v>1</v>
      </c>
      <c r="L58" s="53">
        <f t="shared" si="15"/>
        <v>1</v>
      </c>
      <c r="M58" s="52"/>
      <c r="N58" s="53">
        <f t="shared" si="15"/>
        <v>1</v>
      </c>
      <c r="O58" s="52">
        <v>1</v>
      </c>
      <c r="P58" s="53">
        <f t="shared" si="15"/>
        <v>2</v>
      </c>
      <c r="Q58" s="52"/>
      <c r="R58" s="53">
        <f t="shared" si="15"/>
        <v>2</v>
      </c>
      <c r="S58" s="52"/>
      <c r="T58" s="53">
        <f t="shared" si="15"/>
        <v>2</v>
      </c>
      <c r="U58" s="52">
        <v>0</v>
      </c>
      <c r="V58" s="53">
        <f t="shared" si="15"/>
        <v>2</v>
      </c>
      <c r="W58" s="52"/>
      <c r="X58" s="53">
        <f t="shared" si="15"/>
        <v>2</v>
      </c>
      <c r="Y58" s="52"/>
      <c r="Z58" s="53">
        <f t="shared" si="15"/>
        <v>2</v>
      </c>
      <c r="AA58" s="52"/>
      <c r="AB58" s="53">
        <f t="shared" si="15"/>
        <v>2</v>
      </c>
      <c r="AC58" s="25">
        <f>AB56/E56</f>
        <v>1</v>
      </c>
    </row>
    <row r="59" spans="1:29" s="35" customFormat="1" ht="22.9" customHeight="1">
      <c r="A59" s="122"/>
      <c r="B59" s="146"/>
      <c r="C59" s="115"/>
      <c r="D59" s="75"/>
      <c r="E59" s="26" t="s">
        <v>20</v>
      </c>
      <c r="F59" s="55" t="s">
        <v>20</v>
      </c>
      <c r="G59" s="55" t="s">
        <v>20</v>
      </c>
      <c r="H59" s="56" t="s">
        <v>20</v>
      </c>
      <c r="I59" s="55" t="s">
        <v>20</v>
      </c>
      <c r="J59" s="56" t="s">
        <v>20</v>
      </c>
      <c r="K59" s="55" t="s">
        <v>20</v>
      </c>
      <c r="L59" s="56" t="s">
        <v>20</v>
      </c>
      <c r="M59" s="55" t="s">
        <v>20</v>
      </c>
      <c r="N59" s="56" t="s">
        <v>20</v>
      </c>
      <c r="O59" s="55" t="s">
        <v>20</v>
      </c>
      <c r="P59" s="56" t="s">
        <v>20</v>
      </c>
      <c r="Q59" s="55" t="s">
        <v>20</v>
      </c>
      <c r="R59" s="56" t="s">
        <v>20</v>
      </c>
      <c r="S59" s="55" t="s">
        <v>20</v>
      </c>
      <c r="T59" s="56" t="s">
        <v>20</v>
      </c>
      <c r="U59" s="55" t="s">
        <v>20</v>
      </c>
      <c r="V59" s="56" t="s">
        <v>20</v>
      </c>
      <c r="W59" s="55" t="s">
        <v>20</v>
      </c>
      <c r="X59" s="56" t="s">
        <v>20</v>
      </c>
      <c r="Y59" s="55" t="s">
        <v>20</v>
      </c>
      <c r="Z59" s="56" t="s">
        <v>20</v>
      </c>
      <c r="AA59" s="55" t="s">
        <v>20</v>
      </c>
      <c r="AB59" s="56" t="s">
        <v>20</v>
      </c>
      <c r="AC59" s="21"/>
    </row>
    <row r="60" spans="1:29" s="35" customFormat="1" ht="22.9" customHeight="1" thickBot="1">
      <c r="A60" s="123"/>
      <c r="B60" s="147"/>
      <c r="C60" s="116"/>
      <c r="D60" s="76"/>
      <c r="E60" s="34">
        <v>3</v>
      </c>
      <c r="F60" s="57">
        <v>3</v>
      </c>
      <c r="G60" s="57">
        <v>3</v>
      </c>
      <c r="H60" s="58">
        <v>3</v>
      </c>
      <c r="I60" s="57">
        <v>3</v>
      </c>
      <c r="J60" s="58">
        <v>3</v>
      </c>
      <c r="K60" s="57">
        <v>3</v>
      </c>
      <c r="L60" s="58">
        <v>3</v>
      </c>
      <c r="M60" s="57">
        <v>3</v>
      </c>
      <c r="N60" s="58">
        <v>3</v>
      </c>
      <c r="O60" s="57">
        <v>3</v>
      </c>
      <c r="P60" s="58">
        <v>3</v>
      </c>
      <c r="Q60" s="57">
        <v>3</v>
      </c>
      <c r="R60" s="58">
        <v>3</v>
      </c>
      <c r="S60" s="57">
        <v>3</v>
      </c>
      <c r="T60" s="58">
        <v>3</v>
      </c>
      <c r="U60" s="57">
        <v>3</v>
      </c>
      <c r="V60" s="58">
        <v>3</v>
      </c>
      <c r="W60" s="57">
        <v>3</v>
      </c>
      <c r="X60" s="58">
        <v>3</v>
      </c>
      <c r="Y60" s="57">
        <v>3</v>
      </c>
      <c r="Z60" s="58">
        <v>3</v>
      </c>
      <c r="AA60" s="57">
        <v>3</v>
      </c>
      <c r="AB60" s="58">
        <v>3</v>
      </c>
      <c r="AC60" s="29"/>
    </row>
    <row r="61" spans="1:29" s="35" customFormat="1" ht="22.9" customHeight="1" thickTop="1">
      <c r="A61" s="121" t="s">
        <v>111</v>
      </c>
      <c r="B61" s="145" t="s">
        <v>112</v>
      </c>
      <c r="C61" s="114" t="s">
        <v>94</v>
      </c>
      <c r="D61" s="72" t="s">
        <v>95</v>
      </c>
      <c r="E61" s="16" t="s">
        <v>17</v>
      </c>
      <c r="F61" s="16" t="s">
        <v>17</v>
      </c>
      <c r="G61" s="16" t="s">
        <v>17</v>
      </c>
      <c r="H61" s="17" t="s">
        <v>17</v>
      </c>
      <c r="I61" s="16" t="s">
        <v>17</v>
      </c>
      <c r="J61" s="17" t="s">
        <v>17</v>
      </c>
      <c r="K61" s="16" t="s">
        <v>17</v>
      </c>
      <c r="L61" s="17" t="s">
        <v>17</v>
      </c>
      <c r="M61" s="16" t="s">
        <v>17</v>
      </c>
      <c r="N61" s="17" t="s">
        <v>17</v>
      </c>
      <c r="O61" s="16" t="s">
        <v>17</v>
      </c>
      <c r="P61" s="17" t="s">
        <v>17</v>
      </c>
      <c r="Q61" s="16" t="s">
        <v>17</v>
      </c>
      <c r="R61" s="17" t="s">
        <v>17</v>
      </c>
      <c r="S61" s="16" t="s">
        <v>17</v>
      </c>
      <c r="T61" s="17" t="s">
        <v>17</v>
      </c>
      <c r="U61" s="16" t="s">
        <v>17</v>
      </c>
      <c r="V61" s="17" t="s">
        <v>17</v>
      </c>
      <c r="W61" s="16" t="s">
        <v>17</v>
      </c>
      <c r="X61" s="17" t="s">
        <v>17</v>
      </c>
      <c r="Y61" s="16" t="s">
        <v>17</v>
      </c>
      <c r="Z61" s="17" t="s">
        <v>17</v>
      </c>
      <c r="AA61" s="16" t="s">
        <v>17</v>
      </c>
      <c r="AB61" s="17" t="s">
        <v>17</v>
      </c>
      <c r="AC61" s="18"/>
    </row>
    <row r="62" spans="1:29" s="35" customFormat="1" ht="22.9" customHeight="1">
      <c r="A62" s="122"/>
      <c r="B62" s="146"/>
      <c r="C62" s="115"/>
      <c r="D62" s="73"/>
      <c r="E62" s="32">
        <f t="shared" ref="E62:AB62" si="16">IF(E64&lt;&gt;0,+E64/E66,0%)</f>
        <v>0.66666666666666663</v>
      </c>
      <c r="F62" s="19">
        <f t="shared" si="16"/>
        <v>0</v>
      </c>
      <c r="G62" s="19">
        <f t="shared" si="16"/>
        <v>0</v>
      </c>
      <c r="H62" s="20">
        <f t="shared" si="16"/>
        <v>0</v>
      </c>
      <c r="I62" s="19">
        <f t="shared" si="16"/>
        <v>0</v>
      </c>
      <c r="J62" s="20">
        <f t="shared" si="16"/>
        <v>0</v>
      </c>
      <c r="K62" s="19">
        <f t="shared" si="16"/>
        <v>0.33333333333333331</v>
      </c>
      <c r="L62" s="20">
        <f t="shared" si="16"/>
        <v>0.33333333333333331</v>
      </c>
      <c r="M62" s="19">
        <f t="shared" si="16"/>
        <v>0</v>
      </c>
      <c r="N62" s="20">
        <f t="shared" si="16"/>
        <v>0.33333333333333331</v>
      </c>
      <c r="O62" s="19">
        <f t="shared" si="16"/>
        <v>0.33333333333333331</v>
      </c>
      <c r="P62" s="20">
        <f t="shared" si="16"/>
        <v>0.66666666666666663</v>
      </c>
      <c r="Q62" s="19">
        <f t="shared" si="16"/>
        <v>0</v>
      </c>
      <c r="R62" s="20">
        <f t="shared" si="16"/>
        <v>0.66666666666666663</v>
      </c>
      <c r="S62" s="19">
        <f t="shared" si="16"/>
        <v>0</v>
      </c>
      <c r="T62" s="20">
        <f t="shared" si="16"/>
        <v>0.66666666666666663</v>
      </c>
      <c r="U62" s="19">
        <f t="shared" si="16"/>
        <v>0</v>
      </c>
      <c r="V62" s="20">
        <f t="shared" si="16"/>
        <v>0.66666666666666663</v>
      </c>
      <c r="W62" s="19">
        <f t="shared" si="16"/>
        <v>0</v>
      </c>
      <c r="X62" s="20">
        <f t="shared" si="16"/>
        <v>0.66666666666666663</v>
      </c>
      <c r="Y62" s="19">
        <f t="shared" si="16"/>
        <v>0</v>
      </c>
      <c r="Z62" s="20">
        <f t="shared" si="16"/>
        <v>0.66666666666666663</v>
      </c>
      <c r="AA62" s="19">
        <f t="shared" si="16"/>
        <v>0</v>
      </c>
      <c r="AB62" s="20">
        <f t="shared" si="16"/>
        <v>0.66666666666666663</v>
      </c>
      <c r="AC62" s="21"/>
    </row>
    <row r="63" spans="1:29" s="35" customFormat="1" ht="22.9" customHeight="1" thickBot="1">
      <c r="A63" s="122"/>
      <c r="B63" s="146"/>
      <c r="C63" s="115"/>
      <c r="D63" s="74"/>
      <c r="E63" s="22" t="s">
        <v>18</v>
      </c>
      <c r="F63" s="22" t="s">
        <v>18</v>
      </c>
      <c r="G63" s="22" t="s">
        <v>18</v>
      </c>
      <c r="H63" s="23" t="s">
        <v>18</v>
      </c>
      <c r="I63" s="22" t="s">
        <v>18</v>
      </c>
      <c r="J63" s="23" t="s">
        <v>18</v>
      </c>
      <c r="K63" s="22" t="s">
        <v>18</v>
      </c>
      <c r="L63" s="23" t="s">
        <v>18</v>
      </c>
      <c r="M63" s="22" t="s">
        <v>18</v>
      </c>
      <c r="N63" s="23" t="s">
        <v>18</v>
      </c>
      <c r="O63" s="22" t="s">
        <v>18</v>
      </c>
      <c r="P63" s="23" t="s">
        <v>18</v>
      </c>
      <c r="Q63" s="22" t="s">
        <v>18</v>
      </c>
      <c r="R63" s="23" t="s">
        <v>18</v>
      </c>
      <c r="S63" s="22" t="s">
        <v>18</v>
      </c>
      <c r="T63" s="23" t="s">
        <v>18</v>
      </c>
      <c r="U63" s="22" t="s">
        <v>18</v>
      </c>
      <c r="V63" s="23" t="s">
        <v>18</v>
      </c>
      <c r="W63" s="22" t="s">
        <v>18</v>
      </c>
      <c r="X63" s="23" t="s">
        <v>18</v>
      </c>
      <c r="Y63" s="22" t="s">
        <v>18</v>
      </c>
      <c r="Z63" s="23" t="s">
        <v>18</v>
      </c>
      <c r="AA63" s="22" t="s">
        <v>18</v>
      </c>
      <c r="AB63" s="23" t="s">
        <v>18</v>
      </c>
      <c r="AC63" s="21"/>
    </row>
    <row r="64" spans="1:29" s="35" customFormat="1" ht="22.9" customHeight="1" thickTop="1">
      <c r="A64" s="122"/>
      <c r="B64" s="146"/>
      <c r="C64" s="115"/>
      <c r="D64" s="72" t="s">
        <v>96</v>
      </c>
      <c r="E64" s="33">
        <v>2</v>
      </c>
      <c r="F64" s="52"/>
      <c r="G64" s="52"/>
      <c r="H64" s="53">
        <f>+F64+G64</f>
        <v>0</v>
      </c>
      <c r="I64" s="52"/>
      <c r="J64" s="53">
        <f t="shared" ref="J64:AB64" si="17">+H64+I64</f>
        <v>0</v>
      </c>
      <c r="K64" s="52">
        <v>1</v>
      </c>
      <c r="L64" s="53">
        <f t="shared" si="17"/>
        <v>1</v>
      </c>
      <c r="M64" s="52"/>
      <c r="N64" s="53">
        <f t="shared" si="17"/>
        <v>1</v>
      </c>
      <c r="O64" s="52">
        <v>1</v>
      </c>
      <c r="P64" s="53">
        <f t="shared" si="17"/>
        <v>2</v>
      </c>
      <c r="Q64" s="52"/>
      <c r="R64" s="53">
        <f t="shared" si="17"/>
        <v>2</v>
      </c>
      <c r="S64" s="52"/>
      <c r="T64" s="53">
        <f t="shared" si="17"/>
        <v>2</v>
      </c>
      <c r="U64" s="52">
        <v>0</v>
      </c>
      <c r="V64" s="53">
        <f t="shared" si="17"/>
        <v>2</v>
      </c>
      <c r="W64" s="52"/>
      <c r="X64" s="53">
        <f t="shared" si="17"/>
        <v>2</v>
      </c>
      <c r="Y64" s="52"/>
      <c r="Z64" s="53">
        <f t="shared" si="17"/>
        <v>2</v>
      </c>
      <c r="AA64" s="52"/>
      <c r="AB64" s="53">
        <f t="shared" si="17"/>
        <v>2</v>
      </c>
      <c r="AC64" s="25">
        <f>AB62/E62</f>
        <v>1</v>
      </c>
    </row>
    <row r="65" spans="1:29" s="35" customFormat="1" ht="22.9" customHeight="1">
      <c r="A65" s="122"/>
      <c r="B65" s="146"/>
      <c r="C65" s="115"/>
      <c r="D65" s="75"/>
      <c r="E65" s="26" t="s">
        <v>20</v>
      </c>
      <c r="F65" s="55" t="s">
        <v>20</v>
      </c>
      <c r="G65" s="55" t="s">
        <v>20</v>
      </c>
      <c r="H65" s="56" t="s">
        <v>20</v>
      </c>
      <c r="I65" s="55" t="s">
        <v>20</v>
      </c>
      <c r="J65" s="56" t="s">
        <v>20</v>
      </c>
      <c r="K65" s="55" t="s">
        <v>20</v>
      </c>
      <c r="L65" s="56" t="s">
        <v>20</v>
      </c>
      <c r="M65" s="55" t="s">
        <v>20</v>
      </c>
      <c r="N65" s="56" t="s">
        <v>20</v>
      </c>
      <c r="O65" s="55" t="s">
        <v>20</v>
      </c>
      <c r="P65" s="56" t="s">
        <v>20</v>
      </c>
      <c r="Q65" s="55" t="s">
        <v>20</v>
      </c>
      <c r="R65" s="56" t="s">
        <v>20</v>
      </c>
      <c r="S65" s="55" t="s">
        <v>20</v>
      </c>
      <c r="T65" s="56" t="s">
        <v>20</v>
      </c>
      <c r="U65" s="55" t="s">
        <v>20</v>
      </c>
      <c r="V65" s="56" t="s">
        <v>20</v>
      </c>
      <c r="W65" s="55" t="s">
        <v>20</v>
      </c>
      <c r="X65" s="56" t="s">
        <v>20</v>
      </c>
      <c r="Y65" s="55" t="s">
        <v>20</v>
      </c>
      <c r="Z65" s="56" t="s">
        <v>20</v>
      </c>
      <c r="AA65" s="55" t="s">
        <v>20</v>
      </c>
      <c r="AB65" s="56" t="s">
        <v>20</v>
      </c>
      <c r="AC65" s="21"/>
    </row>
    <row r="66" spans="1:29" s="35" customFormat="1" ht="22.9" customHeight="1" thickBot="1">
      <c r="A66" s="123"/>
      <c r="B66" s="147"/>
      <c r="C66" s="116"/>
      <c r="D66" s="76"/>
      <c r="E66" s="34">
        <v>3</v>
      </c>
      <c r="F66" s="57">
        <v>3</v>
      </c>
      <c r="G66" s="57">
        <v>3</v>
      </c>
      <c r="H66" s="58">
        <v>3</v>
      </c>
      <c r="I66" s="57">
        <v>3</v>
      </c>
      <c r="J66" s="58">
        <v>3</v>
      </c>
      <c r="K66" s="57">
        <v>3</v>
      </c>
      <c r="L66" s="58">
        <v>3</v>
      </c>
      <c r="M66" s="57">
        <v>3</v>
      </c>
      <c r="N66" s="58">
        <v>3</v>
      </c>
      <c r="O66" s="57">
        <v>3</v>
      </c>
      <c r="P66" s="58">
        <v>3</v>
      </c>
      <c r="Q66" s="57">
        <v>3</v>
      </c>
      <c r="R66" s="58">
        <v>3</v>
      </c>
      <c r="S66" s="57">
        <v>3</v>
      </c>
      <c r="T66" s="58">
        <v>3</v>
      </c>
      <c r="U66" s="57">
        <v>3</v>
      </c>
      <c r="V66" s="58">
        <v>3</v>
      </c>
      <c r="W66" s="57">
        <v>3</v>
      </c>
      <c r="X66" s="58">
        <v>3</v>
      </c>
      <c r="Y66" s="57">
        <v>3</v>
      </c>
      <c r="Z66" s="58">
        <v>3</v>
      </c>
      <c r="AA66" s="57">
        <v>3</v>
      </c>
      <c r="AB66" s="58">
        <v>3</v>
      </c>
      <c r="AC66" s="29"/>
    </row>
    <row r="67" spans="1:29" s="35" customFormat="1" ht="22.9" customHeight="1" thickTop="1">
      <c r="A67" s="121" t="s">
        <v>113</v>
      </c>
      <c r="B67" s="145" t="s">
        <v>114</v>
      </c>
      <c r="C67" s="114" t="s">
        <v>94</v>
      </c>
      <c r="D67" s="72" t="s">
        <v>95</v>
      </c>
      <c r="E67" s="16" t="s">
        <v>17</v>
      </c>
      <c r="F67" s="16" t="s">
        <v>17</v>
      </c>
      <c r="G67" s="16" t="s">
        <v>17</v>
      </c>
      <c r="H67" s="17" t="s">
        <v>17</v>
      </c>
      <c r="I67" s="16" t="s">
        <v>17</v>
      </c>
      <c r="J67" s="17" t="s">
        <v>17</v>
      </c>
      <c r="K67" s="16" t="s">
        <v>17</v>
      </c>
      <c r="L67" s="17" t="s">
        <v>17</v>
      </c>
      <c r="M67" s="16" t="s">
        <v>17</v>
      </c>
      <c r="N67" s="17" t="s">
        <v>17</v>
      </c>
      <c r="O67" s="16" t="s">
        <v>17</v>
      </c>
      <c r="P67" s="17" t="s">
        <v>17</v>
      </c>
      <c r="Q67" s="16" t="s">
        <v>17</v>
      </c>
      <c r="R67" s="17" t="s">
        <v>17</v>
      </c>
      <c r="S67" s="16" t="s">
        <v>17</v>
      </c>
      <c r="T67" s="17" t="s">
        <v>17</v>
      </c>
      <c r="U67" s="16" t="s">
        <v>17</v>
      </c>
      <c r="V67" s="17" t="s">
        <v>17</v>
      </c>
      <c r="W67" s="16" t="s">
        <v>17</v>
      </c>
      <c r="X67" s="17" t="s">
        <v>17</v>
      </c>
      <c r="Y67" s="16" t="s">
        <v>17</v>
      </c>
      <c r="Z67" s="17" t="s">
        <v>17</v>
      </c>
      <c r="AA67" s="16" t="s">
        <v>17</v>
      </c>
      <c r="AB67" s="17" t="s">
        <v>17</v>
      </c>
      <c r="AC67" s="18"/>
    </row>
    <row r="68" spans="1:29" s="35" customFormat="1" ht="22.9" customHeight="1">
      <c r="A68" s="122"/>
      <c r="B68" s="146"/>
      <c r="C68" s="115"/>
      <c r="D68" s="73"/>
      <c r="E68" s="32">
        <f t="shared" ref="E68:AB68" si="18">IF(E70&lt;&gt;0,+E70/E72,0%)</f>
        <v>0.66666666666666663</v>
      </c>
      <c r="F68" s="19">
        <f t="shared" si="18"/>
        <v>0</v>
      </c>
      <c r="G68" s="19">
        <f t="shared" si="18"/>
        <v>0</v>
      </c>
      <c r="H68" s="20">
        <f t="shared" si="18"/>
        <v>0</v>
      </c>
      <c r="I68" s="19">
        <f t="shared" si="18"/>
        <v>0</v>
      </c>
      <c r="J68" s="20">
        <f t="shared" si="18"/>
        <v>0</v>
      </c>
      <c r="K68" s="19">
        <f t="shared" si="18"/>
        <v>0.33333333333333331</v>
      </c>
      <c r="L68" s="20">
        <f t="shared" si="18"/>
        <v>0.33333333333333331</v>
      </c>
      <c r="M68" s="19">
        <f t="shared" si="18"/>
        <v>0</v>
      </c>
      <c r="N68" s="20">
        <f t="shared" si="18"/>
        <v>0.33333333333333331</v>
      </c>
      <c r="O68" s="19">
        <f t="shared" si="18"/>
        <v>0.33333333333333331</v>
      </c>
      <c r="P68" s="20">
        <f t="shared" si="18"/>
        <v>0.66666666666666663</v>
      </c>
      <c r="Q68" s="19">
        <f t="shared" si="18"/>
        <v>0</v>
      </c>
      <c r="R68" s="20">
        <f t="shared" si="18"/>
        <v>0.66666666666666663</v>
      </c>
      <c r="S68" s="19">
        <f t="shared" si="18"/>
        <v>0</v>
      </c>
      <c r="T68" s="20">
        <f t="shared" si="18"/>
        <v>0.66666666666666663</v>
      </c>
      <c r="U68" s="19">
        <f t="shared" si="18"/>
        <v>0</v>
      </c>
      <c r="V68" s="20">
        <f t="shared" si="18"/>
        <v>0.66666666666666663</v>
      </c>
      <c r="W68" s="19">
        <f t="shared" si="18"/>
        <v>0</v>
      </c>
      <c r="X68" s="20">
        <f t="shared" si="18"/>
        <v>0.66666666666666663</v>
      </c>
      <c r="Y68" s="19">
        <f t="shared" si="18"/>
        <v>0</v>
      </c>
      <c r="Z68" s="20">
        <f t="shared" si="18"/>
        <v>0.66666666666666663</v>
      </c>
      <c r="AA68" s="19">
        <f t="shared" si="18"/>
        <v>0</v>
      </c>
      <c r="AB68" s="20">
        <f t="shared" si="18"/>
        <v>0.66666666666666663</v>
      </c>
      <c r="AC68" s="21"/>
    </row>
    <row r="69" spans="1:29" s="35" customFormat="1" ht="22.9" customHeight="1" thickBot="1">
      <c r="A69" s="122"/>
      <c r="B69" s="146"/>
      <c r="C69" s="115"/>
      <c r="D69" s="74"/>
      <c r="E69" s="22" t="s">
        <v>18</v>
      </c>
      <c r="F69" s="22" t="s">
        <v>18</v>
      </c>
      <c r="G69" s="22" t="s">
        <v>18</v>
      </c>
      <c r="H69" s="23" t="s">
        <v>18</v>
      </c>
      <c r="I69" s="22" t="s">
        <v>18</v>
      </c>
      <c r="J69" s="23" t="s">
        <v>18</v>
      </c>
      <c r="K69" s="22" t="s">
        <v>18</v>
      </c>
      <c r="L69" s="23" t="s">
        <v>18</v>
      </c>
      <c r="M69" s="22" t="s">
        <v>18</v>
      </c>
      <c r="N69" s="23" t="s">
        <v>18</v>
      </c>
      <c r="O69" s="22" t="s">
        <v>18</v>
      </c>
      <c r="P69" s="23" t="s">
        <v>18</v>
      </c>
      <c r="Q69" s="22" t="s">
        <v>18</v>
      </c>
      <c r="R69" s="23" t="s">
        <v>18</v>
      </c>
      <c r="S69" s="22" t="s">
        <v>18</v>
      </c>
      <c r="T69" s="23" t="s">
        <v>18</v>
      </c>
      <c r="U69" s="22" t="s">
        <v>18</v>
      </c>
      <c r="V69" s="23" t="s">
        <v>18</v>
      </c>
      <c r="W69" s="22" t="s">
        <v>18</v>
      </c>
      <c r="X69" s="23" t="s">
        <v>18</v>
      </c>
      <c r="Y69" s="22" t="s">
        <v>18</v>
      </c>
      <c r="Z69" s="23" t="s">
        <v>18</v>
      </c>
      <c r="AA69" s="22" t="s">
        <v>18</v>
      </c>
      <c r="AB69" s="23" t="s">
        <v>18</v>
      </c>
      <c r="AC69" s="21"/>
    </row>
    <row r="70" spans="1:29" s="35" customFormat="1" ht="22.9" customHeight="1" thickTop="1">
      <c r="A70" s="122"/>
      <c r="B70" s="146"/>
      <c r="C70" s="115"/>
      <c r="D70" s="72" t="s">
        <v>96</v>
      </c>
      <c r="E70" s="33">
        <v>2</v>
      </c>
      <c r="F70" s="52"/>
      <c r="G70" s="52"/>
      <c r="H70" s="53">
        <f>+F70+G70</f>
        <v>0</v>
      </c>
      <c r="I70" s="52"/>
      <c r="J70" s="53">
        <f t="shared" ref="J70:AB70" si="19">+H70+I70</f>
        <v>0</v>
      </c>
      <c r="K70" s="52">
        <v>1</v>
      </c>
      <c r="L70" s="53">
        <f t="shared" si="19"/>
        <v>1</v>
      </c>
      <c r="M70" s="52"/>
      <c r="N70" s="53">
        <f t="shared" si="19"/>
        <v>1</v>
      </c>
      <c r="O70" s="52">
        <v>1</v>
      </c>
      <c r="P70" s="53">
        <f t="shared" si="19"/>
        <v>2</v>
      </c>
      <c r="Q70" s="52"/>
      <c r="R70" s="53">
        <f t="shared" si="19"/>
        <v>2</v>
      </c>
      <c r="S70" s="52"/>
      <c r="T70" s="53">
        <f t="shared" si="19"/>
        <v>2</v>
      </c>
      <c r="U70" s="52">
        <v>0</v>
      </c>
      <c r="V70" s="53">
        <f t="shared" si="19"/>
        <v>2</v>
      </c>
      <c r="W70" s="52"/>
      <c r="X70" s="53">
        <f t="shared" si="19"/>
        <v>2</v>
      </c>
      <c r="Y70" s="52"/>
      <c r="Z70" s="53">
        <f t="shared" si="19"/>
        <v>2</v>
      </c>
      <c r="AA70" s="52"/>
      <c r="AB70" s="53">
        <f t="shared" si="19"/>
        <v>2</v>
      </c>
      <c r="AC70" s="25">
        <f>AB68/E68</f>
        <v>1</v>
      </c>
    </row>
    <row r="71" spans="1:29" s="35" customFormat="1" ht="22.9" customHeight="1">
      <c r="A71" s="122"/>
      <c r="B71" s="146"/>
      <c r="C71" s="115"/>
      <c r="D71" s="75"/>
      <c r="E71" s="26" t="s">
        <v>20</v>
      </c>
      <c r="F71" s="55" t="s">
        <v>20</v>
      </c>
      <c r="G71" s="55" t="s">
        <v>20</v>
      </c>
      <c r="H71" s="56" t="s">
        <v>20</v>
      </c>
      <c r="I71" s="55" t="s">
        <v>20</v>
      </c>
      <c r="J71" s="56" t="s">
        <v>20</v>
      </c>
      <c r="K71" s="55" t="s">
        <v>20</v>
      </c>
      <c r="L71" s="56" t="s">
        <v>20</v>
      </c>
      <c r="M71" s="55" t="s">
        <v>20</v>
      </c>
      <c r="N71" s="56" t="s">
        <v>20</v>
      </c>
      <c r="O71" s="55" t="s">
        <v>20</v>
      </c>
      <c r="P71" s="56" t="s">
        <v>20</v>
      </c>
      <c r="Q71" s="55" t="s">
        <v>20</v>
      </c>
      <c r="R71" s="56" t="s">
        <v>20</v>
      </c>
      <c r="S71" s="55" t="s">
        <v>20</v>
      </c>
      <c r="T71" s="56" t="s">
        <v>20</v>
      </c>
      <c r="U71" s="55" t="s">
        <v>20</v>
      </c>
      <c r="V71" s="56" t="s">
        <v>20</v>
      </c>
      <c r="W71" s="55" t="s">
        <v>20</v>
      </c>
      <c r="X71" s="56" t="s">
        <v>20</v>
      </c>
      <c r="Y71" s="55" t="s">
        <v>20</v>
      </c>
      <c r="Z71" s="56" t="s">
        <v>20</v>
      </c>
      <c r="AA71" s="55" t="s">
        <v>20</v>
      </c>
      <c r="AB71" s="56" t="s">
        <v>20</v>
      </c>
      <c r="AC71" s="21"/>
    </row>
    <row r="72" spans="1:29" s="35" customFormat="1" ht="22.9" customHeight="1" thickBot="1">
      <c r="A72" s="123"/>
      <c r="B72" s="147"/>
      <c r="C72" s="116"/>
      <c r="D72" s="76"/>
      <c r="E72" s="34">
        <v>3</v>
      </c>
      <c r="F72" s="57">
        <v>3</v>
      </c>
      <c r="G72" s="57">
        <v>3</v>
      </c>
      <c r="H72" s="58">
        <v>3</v>
      </c>
      <c r="I72" s="57">
        <v>3</v>
      </c>
      <c r="J72" s="58">
        <v>3</v>
      </c>
      <c r="K72" s="57">
        <v>3</v>
      </c>
      <c r="L72" s="58">
        <v>3</v>
      </c>
      <c r="M72" s="57">
        <v>3</v>
      </c>
      <c r="N72" s="58">
        <v>3</v>
      </c>
      <c r="O72" s="57">
        <v>3</v>
      </c>
      <c r="P72" s="58">
        <v>3</v>
      </c>
      <c r="Q72" s="57">
        <v>3</v>
      </c>
      <c r="R72" s="58">
        <v>3</v>
      </c>
      <c r="S72" s="57">
        <v>3</v>
      </c>
      <c r="T72" s="58">
        <v>3</v>
      </c>
      <c r="U72" s="57">
        <v>3</v>
      </c>
      <c r="V72" s="58">
        <v>3</v>
      </c>
      <c r="W72" s="57">
        <v>3</v>
      </c>
      <c r="X72" s="58">
        <v>3</v>
      </c>
      <c r="Y72" s="57">
        <v>3</v>
      </c>
      <c r="Z72" s="58">
        <v>3</v>
      </c>
      <c r="AA72" s="57">
        <v>3</v>
      </c>
      <c r="AB72" s="58">
        <v>3</v>
      </c>
      <c r="AC72" s="29"/>
    </row>
    <row r="73" spans="1:29" s="35" customFormat="1" ht="22.9" customHeight="1" thickTop="1">
      <c r="A73" s="121" t="s">
        <v>115</v>
      </c>
      <c r="B73" s="145" t="s">
        <v>116</v>
      </c>
      <c r="C73" s="114" t="s">
        <v>94</v>
      </c>
      <c r="D73" s="72" t="s">
        <v>95</v>
      </c>
      <c r="E73" s="16" t="s">
        <v>17</v>
      </c>
      <c r="F73" s="16" t="s">
        <v>17</v>
      </c>
      <c r="G73" s="16" t="s">
        <v>17</v>
      </c>
      <c r="H73" s="17" t="s">
        <v>17</v>
      </c>
      <c r="I73" s="16" t="s">
        <v>17</v>
      </c>
      <c r="J73" s="17" t="s">
        <v>17</v>
      </c>
      <c r="K73" s="16" t="s">
        <v>17</v>
      </c>
      <c r="L73" s="17" t="s">
        <v>17</v>
      </c>
      <c r="M73" s="16" t="s">
        <v>17</v>
      </c>
      <c r="N73" s="17" t="s">
        <v>17</v>
      </c>
      <c r="O73" s="16" t="s">
        <v>17</v>
      </c>
      <c r="P73" s="17" t="s">
        <v>17</v>
      </c>
      <c r="Q73" s="16" t="s">
        <v>17</v>
      </c>
      <c r="R73" s="17" t="s">
        <v>17</v>
      </c>
      <c r="S73" s="16" t="s">
        <v>17</v>
      </c>
      <c r="T73" s="17" t="s">
        <v>17</v>
      </c>
      <c r="U73" s="16" t="s">
        <v>17</v>
      </c>
      <c r="V73" s="17" t="s">
        <v>17</v>
      </c>
      <c r="W73" s="16" t="s">
        <v>17</v>
      </c>
      <c r="X73" s="17" t="s">
        <v>17</v>
      </c>
      <c r="Y73" s="16" t="s">
        <v>17</v>
      </c>
      <c r="Z73" s="17" t="s">
        <v>17</v>
      </c>
      <c r="AA73" s="16" t="s">
        <v>17</v>
      </c>
      <c r="AB73" s="17" t="s">
        <v>17</v>
      </c>
      <c r="AC73" s="18"/>
    </row>
    <row r="74" spans="1:29" s="35" customFormat="1" ht="22.9" customHeight="1">
      <c r="A74" s="122"/>
      <c r="B74" s="146"/>
      <c r="C74" s="115"/>
      <c r="D74" s="73"/>
      <c r="E74" s="32">
        <f t="shared" ref="E74:AB74" si="20">IF(E76&lt;&gt;0,+E76/E78,0%)</f>
        <v>0.66666666666666663</v>
      </c>
      <c r="F74" s="19">
        <f t="shared" si="20"/>
        <v>0</v>
      </c>
      <c r="G74" s="19">
        <f t="shared" si="20"/>
        <v>0</v>
      </c>
      <c r="H74" s="20">
        <f t="shared" si="20"/>
        <v>0</v>
      </c>
      <c r="I74" s="19">
        <f t="shared" si="20"/>
        <v>0</v>
      </c>
      <c r="J74" s="20">
        <f t="shared" si="20"/>
        <v>0</v>
      </c>
      <c r="K74" s="19">
        <f t="shared" si="20"/>
        <v>0.33333333333333331</v>
      </c>
      <c r="L74" s="20">
        <f t="shared" si="20"/>
        <v>0.33333333333333331</v>
      </c>
      <c r="M74" s="19">
        <f t="shared" si="20"/>
        <v>0</v>
      </c>
      <c r="N74" s="20">
        <f t="shared" si="20"/>
        <v>0.33333333333333331</v>
      </c>
      <c r="O74" s="19">
        <f t="shared" si="20"/>
        <v>0.33333333333333331</v>
      </c>
      <c r="P74" s="20">
        <f t="shared" si="20"/>
        <v>0.66666666666666663</v>
      </c>
      <c r="Q74" s="19">
        <f t="shared" si="20"/>
        <v>0</v>
      </c>
      <c r="R74" s="20">
        <f t="shared" si="20"/>
        <v>0.66666666666666663</v>
      </c>
      <c r="S74" s="19">
        <f t="shared" si="20"/>
        <v>0</v>
      </c>
      <c r="T74" s="20">
        <f t="shared" si="20"/>
        <v>0.66666666666666663</v>
      </c>
      <c r="U74" s="19">
        <f t="shared" si="20"/>
        <v>0</v>
      </c>
      <c r="V74" s="20">
        <f t="shared" si="20"/>
        <v>0.66666666666666663</v>
      </c>
      <c r="W74" s="19">
        <f t="shared" si="20"/>
        <v>0</v>
      </c>
      <c r="X74" s="20">
        <f t="shared" si="20"/>
        <v>0.66666666666666663</v>
      </c>
      <c r="Y74" s="19">
        <f t="shared" si="20"/>
        <v>0</v>
      </c>
      <c r="Z74" s="20">
        <f t="shared" si="20"/>
        <v>0.66666666666666663</v>
      </c>
      <c r="AA74" s="19">
        <f t="shared" si="20"/>
        <v>0</v>
      </c>
      <c r="AB74" s="20">
        <f t="shared" si="20"/>
        <v>0.66666666666666663</v>
      </c>
      <c r="AC74" s="21"/>
    </row>
    <row r="75" spans="1:29" s="35" customFormat="1" ht="22.9" customHeight="1" thickBot="1">
      <c r="A75" s="122"/>
      <c r="B75" s="146"/>
      <c r="C75" s="115"/>
      <c r="D75" s="74"/>
      <c r="E75" s="22" t="s">
        <v>18</v>
      </c>
      <c r="F75" s="22" t="s">
        <v>18</v>
      </c>
      <c r="G75" s="22" t="s">
        <v>18</v>
      </c>
      <c r="H75" s="23" t="s">
        <v>18</v>
      </c>
      <c r="I75" s="22" t="s">
        <v>18</v>
      </c>
      <c r="J75" s="23" t="s">
        <v>18</v>
      </c>
      <c r="K75" s="22" t="s">
        <v>18</v>
      </c>
      <c r="L75" s="23" t="s">
        <v>18</v>
      </c>
      <c r="M75" s="22" t="s">
        <v>18</v>
      </c>
      <c r="N75" s="23" t="s">
        <v>18</v>
      </c>
      <c r="O75" s="22" t="s">
        <v>18</v>
      </c>
      <c r="P75" s="23" t="s">
        <v>18</v>
      </c>
      <c r="Q75" s="22" t="s">
        <v>18</v>
      </c>
      <c r="R75" s="23" t="s">
        <v>18</v>
      </c>
      <c r="S75" s="22" t="s">
        <v>18</v>
      </c>
      <c r="T75" s="23" t="s">
        <v>18</v>
      </c>
      <c r="U75" s="22" t="s">
        <v>18</v>
      </c>
      <c r="V75" s="23" t="s">
        <v>18</v>
      </c>
      <c r="W75" s="22" t="s">
        <v>18</v>
      </c>
      <c r="X75" s="23" t="s">
        <v>18</v>
      </c>
      <c r="Y75" s="22" t="s">
        <v>18</v>
      </c>
      <c r="Z75" s="23" t="s">
        <v>18</v>
      </c>
      <c r="AA75" s="22" t="s">
        <v>18</v>
      </c>
      <c r="AB75" s="23" t="s">
        <v>18</v>
      </c>
      <c r="AC75" s="21"/>
    </row>
    <row r="76" spans="1:29" s="35" customFormat="1" ht="22.9" customHeight="1" thickTop="1">
      <c r="A76" s="122"/>
      <c r="B76" s="146"/>
      <c r="C76" s="115"/>
      <c r="D76" s="72" t="s">
        <v>96</v>
      </c>
      <c r="E76" s="33">
        <v>2</v>
      </c>
      <c r="F76" s="52"/>
      <c r="G76" s="52"/>
      <c r="H76" s="53">
        <f>+F76+G76</f>
        <v>0</v>
      </c>
      <c r="I76" s="52"/>
      <c r="J76" s="53">
        <f t="shared" ref="J76:AB76" si="21">+H76+I76</f>
        <v>0</v>
      </c>
      <c r="K76" s="52">
        <v>1</v>
      </c>
      <c r="L76" s="53">
        <f t="shared" si="21"/>
        <v>1</v>
      </c>
      <c r="M76" s="52"/>
      <c r="N76" s="53">
        <f t="shared" si="21"/>
        <v>1</v>
      </c>
      <c r="O76" s="52">
        <v>1</v>
      </c>
      <c r="P76" s="53">
        <f t="shared" si="21"/>
        <v>2</v>
      </c>
      <c r="Q76" s="52"/>
      <c r="R76" s="53">
        <f t="shared" si="21"/>
        <v>2</v>
      </c>
      <c r="S76" s="52"/>
      <c r="T76" s="53">
        <f t="shared" si="21"/>
        <v>2</v>
      </c>
      <c r="U76" s="52">
        <v>0</v>
      </c>
      <c r="V76" s="53">
        <f t="shared" si="21"/>
        <v>2</v>
      </c>
      <c r="W76" s="52"/>
      <c r="X76" s="53">
        <f t="shared" si="21"/>
        <v>2</v>
      </c>
      <c r="Y76" s="52"/>
      <c r="Z76" s="53">
        <f t="shared" si="21"/>
        <v>2</v>
      </c>
      <c r="AA76" s="52"/>
      <c r="AB76" s="53">
        <f t="shared" si="21"/>
        <v>2</v>
      </c>
      <c r="AC76" s="25">
        <f>AB74/E74</f>
        <v>1</v>
      </c>
    </row>
    <row r="77" spans="1:29" s="35" customFormat="1" ht="22.9" customHeight="1">
      <c r="A77" s="122"/>
      <c r="B77" s="146"/>
      <c r="C77" s="115"/>
      <c r="D77" s="75"/>
      <c r="E77" s="26" t="s">
        <v>20</v>
      </c>
      <c r="F77" s="55" t="s">
        <v>20</v>
      </c>
      <c r="G77" s="55" t="s">
        <v>20</v>
      </c>
      <c r="H77" s="56" t="s">
        <v>20</v>
      </c>
      <c r="I77" s="55" t="s">
        <v>20</v>
      </c>
      <c r="J77" s="56" t="s">
        <v>20</v>
      </c>
      <c r="K77" s="55" t="s">
        <v>20</v>
      </c>
      <c r="L77" s="56" t="s">
        <v>20</v>
      </c>
      <c r="M77" s="55" t="s">
        <v>20</v>
      </c>
      <c r="N77" s="56" t="s">
        <v>20</v>
      </c>
      <c r="O77" s="55" t="s">
        <v>20</v>
      </c>
      <c r="P77" s="56" t="s">
        <v>20</v>
      </c>
      <c r="Q77" s="55" t="s">
        <v>20</v>
      </c>
      <c r="R77" s="56" t="s">
        <v>20</v>
      </c>
      <c r="S77" s="55" t="s">
        <v>20</v>
      </c>
      <c r="T77" s="56" t="s">
        <v>20</v>
      </c>
      <c r="U77" s="55" t="s">
        <v>20</v>
      </c>
      <c r="V77" s="56" t="s">
        <v>20</v>
      </c>
      <c r="W77" s="55" t="s">
        <v>20</v>
      </c>
      <c r="X77" s="56" t="s">
        <v>20</v>
      </c>
      <c r="Y77" s="55" t="s">
        <v>20</v>
      </c>
      <c r="Z77" s="56" t="s">
        <v>20</v>
      </c>
      <c r="AA77" s="55" t="s">
        <v>20</v>
      </c>
      <c r="AB77" s="56" t="s">
        <v>20</v>
      </c>
      <c r="AC77" s="21"/>
    </row>
    <row r="78" spans="1:29" s="35" customFormat="1" ht="22.9" customHeight="1" thickBot="1">
      <c r="A78" s="123"/>
      <c r="B78" s="147"/>
      <c r="C78" s="116"/>
      <c r="D78" s="76"/>
      <c r="E78" s="34">
        <v>3</v>
      </c>
      <c r="F78" s="57">
        <v>3</v>
      </c>
      <c r="G78" s="57">
        <v>3</v>
      </c>
      <c r="H78" s="58">
        <v>3</v>
      </c>
      <c r="I78" s="57">
        <v>3</v>
      </c>
      <c r="J78" s="58">
        <v>3</v>
      </c>
      <c r="K78" s="57">
        <v>3</v>
      </c>
      <c r="L78" s="58">
        <v>3</v>
      </c>
      <c r="M78" s="57">
        <v>3</v>
      </c>
      <c r="N78" s="58">
        <v>3</v>
      </c>
      <c r="O78" s="57">
        <v>3</v>
      </c>
      <c r="P78" s="58">
        <v>3</v>
      </c>
      <c r="Q78" s="57">
        <v>3</v>
      </c>
      <c r="R78" s="58">
        <v>3</v>
      </c>
      <c r="S78" s="57">
        <v>3</v>
      </c>
      <c r="T78" s="58">
        <v>3</v>
      </c>
      <c r="U78" s="57">
        <v>3</v>
      </c>
      <c r="V78" s="58">
        <v>3</v>
      </c>
      <c r="W78" s="57">
        <v>3</v>
      </c>
      <c r="X78" s="58">
        <v>3</v>
      </c>
      <c r="Y78" s="57">
        <v>3</v>
      </c>
      <c r="Z78" s="58">
        <v>3</v>
      </c>
      <c r="AA78" s="57">
        <v>3</v>
      </c>
      <c r="AB78" s="58">
        <v>3</v>
      </c>
      <c r="AC78" s="29"/>
    </row>
    <row r="79" spans="1:29" s="35" customFormat="1" ht="22.9" customHeight="1" thickTop="1">
      <c r="A79" s="121" t="s">
        <v>117</v>
      </c>
      <c r="B79" s="145" t="s">
        <v>118</v>
      </c>
      <c r="C79" s="114" t="s">
        <v>94</v>
      </c>
      <c r="D79" s="72" t="s">
        <v>95</v>
      </c>
      <c r="E79" s="16" t="s">
        <v>17</v>
      </c>
      <c r="F79" s="16" t="s">
        <v>17</v>
      </c>
      <c r="G79" s="16" t="s">
        <v>17</v>
      </c>
      <c r="H79" s="17" t="s">
        <v>17</v>
      </c>
      <c r="I79" s="16" t="s">
        <v>17</v>
      </c>
      <c r="J79" s="17" t="s">
        <v>17</v>
      </c>
      <c r="K79" s="16" t="s">
        <v>17</v>
      </c>
      <c r="L79" s="17" t="s">
        <v>17</v>
      </c>
      <c r="M79" s="16" t="s">
        <v>17</v>
      </c>
      <c r="N79" s="17" t="s">
        <v>17</v>
      </c>
      <c r="O79" s="16" t="s">
        <v>17</v>
      </c>
      <c r="P79" s="17" t="s">
        <v>17</v>
      </c>
      <c r="Q79" s="16" t="s">
        <v>17</v>
      </c>
      <c r="R79" s="17" t="s">
        <v>17</v>
      </c>
      <c r="S79" s="16" t="s">
        <v>17</v>
      </c>
      <c r="T79" s="17" t="s">
        <v>17</v>
      </c>
      <c r="U79" s="16" t="s">
        <v>17</v>
      </c>
      <c r="V79" s="17" t="s">
        <v>17</v>
      </c>
      <c r="W79" s="16" t="s">
        <v>17</v>
      </c>
      <c r="X79" s="17" t="s">
        <v>17</v>
      </c>
      <c r="Y79" s="16" t="s">
        <v>17</v>
      </c>
      <c r="Z79" s="17" t="s">
        <v>17</v>
      </c>
      <c r="AA79" s="16" t="s">
        <v>17</v>
      </c>
      <c r="AB79" s="17" t="s">
        <v>17</v>
      </c>
      <c r="AC79" s="18"/>
    </row>
    <row r="80" spans="1:29" s="35" customFormat="1" ht="22.9" customHeight="1">
      <c r="A80" s="122"/>
      <c r="B80" s="146"/>
      <c r="C80" s="115"/>
      <c r="D80" s="73"/>
      <c r="E80" s="32">
        <f t="shared" ref="E80:AB80" si="22">IF(E82&lt;&gt;0,+E82/E84,0%)</f>
        <v>0.66666666666666663</v>
      </c>
      <c r="F80" s="19">
        <f t="shared" si="22"/>
        <v>0</v>
      </c>
      <c r="G80" s="19">
        <f t="shared" si="22"/>
        <v>0</v>
      </c>
      <c r="H80" s="20">
        <f t="shared" si="22"/>
        <v>0</v>
      </c>
      <c r="I80" s="19">
        <f t="shared" si="22"/>
        <v>0</v>
      </c>
      <c r="J80" s="20">
        <f t="shared" si="22"/>
        <v>0</v>
      </c>
      <c r="K80" s="19">
        <f t="shared" si="22"/>
        <v>0.33333333333333331</v>
      </c>
      <c r="L80" s="20">
        <f t="shared" si="22"/>
        <v>0.33333333333333331</v>
      </c>
      <c r="M80" s="19">
        <f t="shared" si="22"/>
        <v>0</v>
      </c>
      <c r="N80" s="20">
        <f t="shared" si="22"/>
        <v>0.33333333333333331</v>
      </c>
      <c r="O80" s="19">
        <f t="shared" si="22"/>
        <v>0.33333333333333331</v>
      </c>
      <c r="P80" s="20">
        <f t="shared" si="22"/>
        <v>0.66666666666666663</v>
      </c>
      <c r="Q80" s="19">
        <f t="shared" si="22"/>
        <v>0</v>
      </c>
      <c r="R80" s="20">
        <f t="shared" si="22"/>
        <v>0.66666666666666663</v>
      </c>
      <c r="S80" s="19">
        <f t="shared" si="22"/>
        <v>0</v>
      </c>
      <c r="T80" s="20">
        <f t="shared" si="22"/>
        <v>0.66666666666666663</v>
      </c>
      <c r="U80" s="19">
        <f t="shared" si="22"/>
        <v>0</v>
      </c>
      <c r="V80" s="20">
        <f t="shared" si="22"/>
        <v>0.66666666666666663</v>
      </c>
      <c r="W80" s="19">
        <f t="shared" si="22"/>
        <v>0</v>
      </c>
      <c r="X80" s="20">
        <f t="shared" si="22"/>
        <v>0.66666666666666663</v>
      </c>
      <c r="Y80" s="19">
        <f t="shared" si="22"/>
        <v>0</v>
      </c>
      <c r="Z80" s="20">
        <f t="shared" si="22"/>
        <v>0.66666666666666663</v>
      </c>
      <c r="AA80" s="19">
        <f t="shared" si="22"/>
        <v>0</v>
      </c>
      <c r="AB80" s="20">
        <f t="shared" si="22"/>
        <v>0.66666666666666663</v>
      </c>
      <c r="AC80" s="21"/>
    </row>
    <row r="81" spans="1:29" s="35" customFormat="1" ht="22.9" customHeight="1" thickBot="1">
      <c r="A81" s="122"/>
      <c r="B81" s="146"/>
      <c r="C81" s="115"/>
      <c r="D81" s="74"/>
      <c r="E81" s="22" t="s">
        <v>18</v>
      </c>
      <c r="F81" s="22" t="s">
        <v>18</v>
      </c>
      <c r="G81" s="22" t="s">
        <v>18</v>
      </c>
      <c r="H81" s="23" t="s">
        <v>18</v>
      </c>
      <c r="I81" s="22" t="s">
        <v>18</v>
      </c>
      <c r="J81" s="23" t="s">
        <v>18</v>
      </c>
      <c r="K81" s="22" t="s">
        <v>18</v>
      </c>
      <c r="L81" s="23" t="s">
        <v>18</v>
      </c>
      <c r="M81" s="22" t="s">
        <v>18</v>
      </c>
      <c r="N81" s="23" t="s">
        <v>18</v>
      </c>
      <c r="O81" s="22" t="s">
        <v>18</v>
      </c>
      <c r="P81" s="23" t="s">
        <v>18</v>
      </c>
      <c r="Q81" s="22" t="s">
        <v>18</v>
      </c>
      <c r="R81" s="23" t="s">
        <v>18</v>
      </c>
      <c r="S81" s="22" t="s">
        <v>18</v>
      </c>
      <c r="T81" s="23" t="s">
        <v>18</v>
      </c>
      <c r="U81" s="22" t="s">
        <v>18</v>
      </c>
      <c r="V81" s="23" t="s">
        <v>18</v>
      </c>
      <c r="W81" s="22" t="s">
        <v>18</v>
      </c>
      <c r="X81" s="23" t="s">
        <v>18</v>
      </c>
      <c r="Y81" s="22" t="s">
        <v>18</v>
      </c>
      <c r="Z81" s="23" t="s">
        <v>18</v>
      </c>
      <c r="AA81" s="22" t="s">
        <v>18</v>
      </c>
      <c r="AB81" s="23" t="s">
        <v>18</v>
      </c>
      <c r="AC81" s="21"/>
    </row>
    <row r="82" spans="1:29" s="35" customFormat="1" ht="22.9" customHeight="1" thickTop="1">
      <c r="A82" s="122"/>
      <c r="B82" s="146"/>
      <c r="C82" s="115"/>
      <c r="D82" s="72" t="s">
        <v>96</v>
      </c>
      <c r="E82" s="33">
        <v>2</v>
      </c>
      <c r="F82" s="52"/>
      <c r="G82" s="52"/>
      <c r="H82" s="53">
        <f>+F82+G82</f>
        <v>0</v>
      </c>
      <c r="I82" s="52"/>
      <c r="J82" s="53">
        <f t="shared" ref="J82:AB82" si="23">+H82+I82</f>
        <v>0</v>
      </c>
      <c r="K82" s="52">
        <v>1</v>
      </c>
      <c r="L82" s="53">
        <f t="shared" si="23"/>
        <v>1</v>
      </c>
      <c r="M82" s="52"/>
      <c r="N82" s="53">
        <f t="shared" si="23"/>
        <v>1</v>
      </c>
      <c r="O82" s="52">
        <v>1</v>
      </c>
      <c r="P82" s="53">
        <f t="shared" si="23"/>
        <v>2</v>
      </c>
      <c r="Q82" s="52"/>
      <c r="R82" s="53">
        <f t="shared" si="23"/>
        <v>2</v>
      </c>
      <c r="S82" s="52"/>
      <c r="T82" s="53">
        <f t="shared" si="23"/>
        <v>2</v>
      </c>
      <c r="U82" s="52">
        <v>0</v>
      </c>
      <c r="V82" s="53">
        <f t="shared" si="23"/>
        <v>2</v>
      </c>
      <c r="W82" s="52"/>
      <c r="X82" s="53">
        <f t="shared" si="23"/>
        <v>2</v>
      </c>
      <c r="Y82" s="52"/>
      <c r="Z82" s="53">
        <f t="shared" si="23"/>
        <v>2</v>
      </c>
      <c r="AA82" s="52"/>
      <c r="AB82" s="53">
        <f t="shared" si="23"/>
        <v>2</v>
      </c>
      <c r="AC82" s="25">
        <f>AB80/E80</f>
        <v>1</v>
      </c>
    </row>
    <row r="83" spans="1:29" s="35" customFormat="1" ht="22.9" customHeight="1">
      <c r="A83" s="122"/>
      <c r="B83" s="146"/>
      <c r="C83" s="115"/>
      <c r="D83" s="75"/>
      <c r="E83" s="26" t="s">
        <v>20</v>
      </c>
      <c r="F83" s="55" t="s">
        <v>20</v>
      </c>
      <c r="G83" s="55" t="s">
        <v>20</v>
      </c>
      <c r="H83" s="56" t="s">
        <v>20</v>
      </c>
      <c r="I83" s="55" t="s">
        <v>20</v>
      </c>
      <c r="J83" s="56" t="s">
        <v>20</v>
      </c>
      <c r="K83" s="55" t="s">
        <v>20</v>
      </c>
      <c r="L83" s="56" t="s">
        <v>20</v>
      </c>
      <c r="M83" s="55" t="s">
        <v>20</v>
      </c>
      <c r="N83" s="56" t="s">
        <v>20</v>
      </c>
      <c r="O83" s="55" t="s">
        <v>20</v>
      </c>
      <c r="P83" s="56" t="s">
        <v>20</v>
      </c>
      <c r="Q83" s="55" t="s">
        <v>20</v>
      </c>
      <c r="R83" s="56" t="s">
        <v>20</v>
      </c>
      <c r="S83" s="55" t="s">
        <v>20</v>
      </c>
      <c r="T83" s="56" t="s">
        <v>20</v>
      </c>
      <c r="U83" s="55" t="s">
        <v>20</v>
      </c>
      <c r="V83" s="56" t="s">
        <v>20</v>
      </c>
      <c r="W83" s="55" t="s">
        <v>20</v>
      </c>
      <c r="X83" s="56" t="s">
        <v>20</v>
      </c>
      <c r="Y83" s="55" t="s">
        <v>20</v>
      </c>
      <c r="Z83" s="56" t="s">
        <v>20</v>
      </c>
      <c r="AA83" s="55" t="s">
        <v>20</v>
      </c>
      <c r="AB83" s="56" t="s">
        <v>20</v>
      </c>
      <c r="AC83" s="21"/>
    </row>
    <row r="84" spans="1:29" s="35" customFormat="1" ht="22.9" customHeight="1" thickBot="1">
      <c r="A84" s="123"/>
      <c r="B84" s="147"/>
      <c r="C84" s="116"/>
      <c r="D84" s="76"/>
      <c r="E84" s="34">
        <v>3</v>
      </c>
      <c r="F84" s="57">
        <v>3</v>
      </c>
      <c r="G84" s="57">
        <v>3</v>
      </c>
      <c r="H84" s="58">
        <v>3</v>
      </c>
      <c r="I84" s="57">
        <v>3</v>
      </c>
      <c r="J84" s="58">
        <v>3</v>
      </c>
      <c r="K84" s="57">
        <v>3</v>
      </c>
      <c r="L84" s="58">
        <v>3</v>
      </c>
      <c r="M84" s="57">
        <v>3</v>
      </c>
      <c r="N84" s="58">
        <v>3</v>
      </c>
      <c r="O84" s="57">
        <v>3</v>
      </c>
      <c r="P84" s="58">
        <v>3</v>
      </c>
      <c r="Q84" s="57">
        <v>3</v>
      </c>
      <c r="R84" s="58">
        <v>3</v>
      </c>
      <c r="S84" s="57">
        <v>3</v>
      </c>
      <c r="T84" s="58">
        <v>3</v>
      </c>
      <c r="U84" s="57">
        <v>3</v>
      </c>
      <c r="V84" s="58">
        <v>3</v>
      </c>
      <c r="W84" s="57">
        <v>3</v>
      </c>
      <c r="X84" s="58">
        <v>3</v>
      </c>
      <c r="Y84" s="57">
        <v>3</v>
      </c>
      <c r="Z84" s="58">
        <v>3</v>
      </c>
      <c r="AA84" s="57">
        <v>3</v>
      </c>
      <c r="AB84" s="58">
        <v>3</v>
      </c>
      <c r="AC84" s="29"/>
    </row>
    <row r="85" spans="1:29" s="35" customFormat="1" ht="22.9" customHeight="1" thickTop="1">
      <c r="A85" s="121" t="s">
        <v>119</v>
      </c>
      <c r="B85" s="145" t="s">
        <v>120</v>
      </c>
      <c r="C85" s="114" t="s">
        <v>94</v>
      </c>
      <c r="D85" s="72" t="s">
        <v>95</v>
      </c>
      <c r="E85" s="16" t="s">
        <v>17</v>
      </c>
      <c r="F85" s="16" t="s">
        <v>17</v>
      </c>
      <c r="G85" s="16" t="s">
        <v>17</v>
      </c>
      <c r="H85" s="17" t="s">
        <v>17</v>
      </c>
      <c r="I85" s="16" t="s">
        <v>17</v>
      </c>
      <c r="J85" s="17" t="s">
        <v>17</v>
      </c>
      <c r="K85" s="16" t="s">
        <v>17</v>
      </c>
      <c r="L85" s="17" t="s">
        <v>17</v>
      </c>
      <c r="M85" s="16" t="s">
        <v>17</v>
      </c>
      <c r="N85" s="17" t="s">
        <v>17</v>
      </c>
      <c r="O85" s="16" t="s">
        <v>17</v>
      </c>
      <c r="P85" s="17" t="s">
        <v>17</v>
      </c>
      <c r="Q85" s="16" t="s">
        <v>17</v>
      </c>
      <c r="R85" s="17" t="s">
        <v>17</v>
      </c>
      <c r="S85" s="16" t="s">
        <v>17</v>
      </c>
      <c r="T85" s="17" t="s">
        <v>17</v>
      </c>
      <c r="U85" s="16" t="s">
        <v>17</v>
      </c>
      <c r="V85" s="17" t="s">
        <v>17</v>
      </c>
      <c r="W85" s="16" t="s">
        <v>17</v>
      </c>
      <c r="X85" s="17" t="s">
        <v>17</v>
      </c>
      <c r="Y85" s="16" t="s">
        <v>17</v>
      </c>
      <c r="Z85" s="17" t="s">
        <v>17</v>
      </c>
      <c r="AA85" s="16" t="s">
        <v>17</v>
      </c>
      <c r="AB85" s="17" t="s">
        <v>17</v>
      </c>
      <c r="AC85" s="18"/>
    </row>
    <row r="86" spans="1:29" s="35" customFormat="1" ht="22.9" customHeight="1">
      <c r="A86" s="122"/>
      <c r="B86" s="146"/>
      <c r="C86" s="115"/>
      <c r="D86" s="73"/>
      <c r="E86" s="32">
        <f t="shared" ref="E86:AB86" si="24">IF(E88&lt;&gt;0,+E88/E90,0%)</f>
        <v>0.66666666666666663</v>
      </c>
      <c r="F86" s="19">
        <f t="shared" si="24"/>
        <v>0</v>
      </c>
      <c r="G86" s="19">
        <f t="shared" si="24"/>
        <v>0</v>
      </c>
      <c r="H86" s="20">
        <f t="shared" si="24"/>
        <v>0</v>
      </c>
      <c r="I86" s="19">
        <f t="shared" si="24"/>
        <v>0</v>
      </c>
      <c r="J86" s="20">
        <f t="shared" si="24"/>
        <v>0</v>
      </c>
      <c r="K86" s="19">
        <f t="shared" si="24"/>
        <v>0.33333333333333331</v>
      </c>
      <c r="L86" s="20">
        <f t="shared" si="24"/>
        <v>0.33333333333333331</v>
      </c>
      <c r="M86" s="19">
        <f t="shared" si="24"/>
        <v>0</v>
      </c>
      <c r="N86" s="20">
        <f t="shared" si="24"/>
        <v>0.33333333333333331</v>
      </c>
      <c r="O86" s="19">
        <f t="shared" si="24"/>
        <v>0.33333333333333331</v>
      </c>
      <c r="P86" s="20">
        <f t="shared" si="24"/>
        <v>0.66666666666666663</v>
      </c>
      <c r="Q86" s="19">
        <f t="shared" si="24"/>
        <v>0</v>
      </c>
      <c r="R86" s="20">
        <f t="shared" si="24"/>
        <v>0.66666666666666663</v>
      </c>
      <c r="S86" s="19">
        <f t="shared" si="24"/>
        <v>0</v>
      </c>
      <c r="T86" s="20">
        <f t="shared" si="24"/>
        <v>0.66666666666666663</v>
      </c>
      <c r="U86" s="19">
        <f t="shared" si="24"/>
        <v>0</v>
      </c>
      <c r="V86" s="20">
        <f t="shared" si="24"/>
        <v>0.66666666666666663</v>
      </c>
      <c r="W86" s="19">
        <f t="shared" si="24"/>
        <v>0</v>
      </c>
      <c r="X86" s="20">
        <f t="shared" si="24"/>
        <v>0.66666666666666663</v>
      </c>
      <c r="Y86" s="19">
        <f t="shared" si="24"/>
        <v>0</v>
      </c>
      <c r="Z86" s="20">
        <f t="shared" si="24"/>
        <v>0.66666666666666663</v>
      </c>
      <c r="AA86" s="19">
        <f t="shared" si="24"/>
        <v>0</v>
      </c>
      <c r="AB86" s="20">
        <f t="shared" si="24"/>
        <v>0.66666666666666663</v>
      </c>
      <c r="AC86" s="21"/>
    </row>
    <row r="87" spans="1:29" s="35" customFormat="1" ht="22.9" customHeight="1" thickBot="1">
      <c r="A87" s="122"/>
      <c r="B87" s="146"/>
      <c r="C87" s="115"/>
      <c r="D87" s="74"/>
      <c r="E87" s="22" t="s">
        <v>18</v>
      </c>
      <c r="F87" s="22" t="s">
        <v>18</v>
      </c>
      <c r="G87" s="22" t="s">
        <v>18</v>
      </c>
      <c r="H87" s="23" t="s">
        <v>18</v>
      </c>
      <c r="I87" s="22" t="s">
        <v>18</v>
      </c>
      <c r="J87" s="23" t="s">
        <v>18</v>
      </c>
      <c r="K87" s="22" t="s">
        <v>18</v>
      </c>
      <c r="L87" s="23" t="s">
        <v>18</v>
      </c>
      <c r="M87" s="22" t="s">
        <v>18</v>
      </c>
      <c r="N87" s="23" t="s">
        <v>18</v>
      </c>
      <c r="O87" s="22" t="s">
        <v>18</v>
      </c>
      <c r="P87" s="23" t="s">
        <v>18</v>
      </c>
      <c r="Q87" s="22" t="s">
        <v>18</v>
      </c>
      <c r="R87" s="23" t="s">
        <v>18</v>
      </c>
      <c r="S87" s="22" t="s">
        <v>18</v>
      </c>
      <c r="T87" s="23" t="s">
        <v>18</v>
      </c>
      <c r="U87" s="22" t="s">
        <v>18</v>
      </c>
      <c r="V87" s="23" t="s">
        <v>18</v>
      </c>
      <c r="W87" s="22" t="s">
        <v>18</v>
      </c>
      <c r="X87" s="23" t="s">
        <v>18</v>
      </c>
      <c r="Y87" s="22" t="s">
        <v>18</v>
      </c>
      <c r="Z87" s="23" t="s">
        <v>18</v>
      </c>
      <c r="AA87" s="22" t="s">
        <v>18</v>
      </c>
      <c r="AB87" s="23" t="s">
        <v>18</v>
      </c>
      <c r="AC87" s="21"/>
    </row>
    <row r="88" spans="1:29" s="35" customFormat="1" ht="22.9" customHeight="1" thickTop="1">
      <c r="A88" s="122"/>
      <c r="B88" s="146"/>
      <c r="C88" s="115"/>
      <c r="D88" s="72" t="s">
        <v>96</v>
      </c>
      <c r="E88" s="33">
        <v>2</v>
      </c>
      <c r="F88" s="52"/>
      <c r="G88" s="52"/>
      <c r="H88" s="53">
        <f>+F88+G88</f>
        <v>0</v>
      </c>
      <c r="I88" s="52"/>
      <c r="J88" s="53">
        <f t="shared" ref="J88:AB88" si="25">+H88+I88</f>
        <v>0</v>
      </c>
      <c r="K88" s="52">
        <v>1</v>
      </c>
      <c r="L88" s="53">
        <f t="shared" si="25"/>
        <v>1</v>
      </c>
      <c r="M88" s="52"/>
      <c r="N88" s="53">
        <f t="shared" si="25"/>
        <v>1</v>
      </c>
      <c r="O88" s="52">
        <v>1</v>
      </c>
      <c r="P88" s="53">
        <f t="shared" si="25"/>
        <v>2</v>
      </c>
      <c r="Q88" s="52"/>
      <c r="R88" s="53">
        <f t="shared" si="25"/>
        <v>2</v>
      </c>
      <c r="S88" s="52"/>
      <c r="T88" s="53">
        <f t="shared" si="25"/>
        <v>2</v>
      </c>
      <c r="U88" s="52">
        <v>0</v>
      </c>
      <c r="V88" s="53">
        <f t="shared" si="25"/>
        <v>2</v>
      </c>
      <c r="W88" s="52"/>
      <c r="X88" s="53">
        <f t="shared" si="25"/>
        <v>2</v>
      </c>
      <c r="Y88" s="52"/>
      <c r="Z88" s="53">
        <f t="shared" si="25"/>
        <v>2</v>
      </c>
      <c r="AA88" s="52"/>
      <c r="AB88" s="53">
        <f t="shared" si="25"/>
        <v>2</v>
      </c>
      <c r="AC88" s="25">
        <f>AB86/E86</f>
        <v>1</v>
      </c>
    </row>
    <row r="89" spans="1:29" s="35" customFormat="1" ht="22.9" customHeight="1">
      <c r="A89" s="122"/>
      <c r="B89" s="146"/>
      <c r="C89" s="115"/>
      <c r="D89" s="75"/>
      <c r="E89" s="26" t="s">
        <v>20</v>
      </c>
      <c r="F89" s="55" t="s">
        <v>20</v>
      </c>
      <c r="G89" s="55" t="s">
        <v>20</v>
      </c>
      <c r="H89" s="56" t="s">
        <v>20</v>
      </c>
      <c r="I89" s="55" t="s">
        <v>20</v>
      </c>
      <c r="J89" s="56" t="s">
        <v>20</v>
      </c>
      <c r="K89" s="55" t="s">
        <v>20</v>
      </c>
      <c r="L89" s="56" t="s">
        <v>20</v>
      </c>
      <c r="M89" s="55" t="s">
        <v>20</v>
      </c>
      <c r="N89" s="56" t="s">
        <v>20</v>
      </c>
      <c r="O89" s="55" t="s">
        <v>20</v>
      </c>
      <c r="P89" s="56" t="s">
        <v>20</v>
      </c>
      <c r="Q89" s="55" t="s">
        <v>20</v>
      </c>
      <c r="R89" s="56" t="s">
        <v>20</v>
      </c>
      <c r="S89" s="55" t="s">
        <v>20</v>
      </c>
      <c r="T89" s="56" t="s">
        <v>20</v>
      </c>
      <c r="U89" s="55" t="s">
        <v>20</v>
      </c>
      <c r="V89" s="56" t="s">
        <v>20</v>
      </c>
      <c r="W89" s="55" t="s">
        <v>20</v>
      </c>
      <c r="X89" s="56" t="s">
        <v>20</v>
      </c>
      <c r="Y89" s="55" t="s">
        <v>20</v>
      </c>
      <c r="Z89" s="56" t="s">
        <v>20</v>
      </c>
      <c r="AA89" s="55" t="s">
        <v>20</v>
      </c>
      <c r="AB89" s="56" t="s">
        <v>20</v>
      </c>
      <c r="AC89" s="21"/>
    </row>
    <row r="90" spans="1:29" s="35" customFormat="1" ht="22.9" customHeight="1" thickBot="1">
      <c r="A90" s="123"/>
      <c r="B90" s="147"/>
      <c r="C90" s="116"/>
      <c r="D90" s="76"/>
      <c r="E90" s="34">
        <v>3</v>
      </c>
      <c r="F90" s="57">
        <v>3</v>
      </c>
      <c r="G90" s="57">
        <v>3</v>
      </c>
      <c r="H90" s="58">
        <v>3</v>
      </c>
      <c r="I90" s="57">
        <v>3</v>
      </c>
      <c r="J90" s="58">
        <v>3</v>
      </c>
      <c r="K90" s="57">
        <v>3</v>
      </c>
      <c r="L90" s="58">
        <v>3</v>
      </c>
      <c r="M90" s="57">
        <v>3</v>
      </c>
      <c r="N90" s="58">
        <v>3</v>
      </c>
      <c r="O90" s="57">
        <v>3</v>
      </c>
      <c r="P90" s="58">
        <v>3</v>
      </c>
      <c r="Q90" s="57">
        <v>3</v>
      </c>
      <c r="R90" s="58">
        <v>3</v>
      </c>
      <c r="S90" s="57">
        <v>3</v>
      </c>
      <c r="T90" s="58">
        <v>3</v>
      </c>
      <c r="U90" s="57">
        <v>3</v>
      </c>
      <c r="V90" s="58">
        <v>3</v>
      </c>
      <c r="W90" s="57">
        <v>3</v>
      </c>
      <c r="X90" s="58">
        <v>3</v>
      </c>
      <c r="Y90" s="57">
        <v>3</v>
      </c>
      <c r="Z90" s="58">
        <v>3</v>
      </c>
      <c r="AA90" s="57">
        <v>3</v>
      </c>
      <c r="AB90" s="58">
        <v>3</v>
      </c>
      <c r="AC90" s="29"/>
    </row>
    <row r="91" spans="1:29" s="35" customFormat="1" ht="22.9" customHeight="1" thickTop="1">
      <c r="A91" s="121" t="s">
        <v>121</v>
      </c>
      <c r="B91" s="145" t="s">
        <v>122</v>
      </c>
      <c r="C91" s="114" t="s">
        <v>94</v>
      </c>
      <c r="D91" s="72" t="s">
        <v>95</v>
      </c>
      <c r="E91" s="16" t="s">
        <v>17</v>
      </c>
      <c r="F91" s="16" t="s">
        <v>17</v>
      </c>
      <c r="G91" s="16" t="s">
        <v>17</v>
      </c>
      <c r="H91" s="17" t="s">
        <v>17</v>
      </c>
      <c r="I91" s="16" t="s">
        <v>17</v>
      </c>
      <c r="J91" s="17" t="s">
        <v>17</v>
      </c>
      <c r="K91" s="16" t="s">
        <v>17</v>
      </c>
      <c r="L91" s="17" t="s">
        <v>17</v>
      </c>
      <c r="M91" s="16" t="s">
        <v>17</v>
      </c>
      <c r="N91" s="17" t="s">
        <v>17</v>
      </c>
      <c r="O91" s="16" t="s">
        <v>17</v>
      </c>
      <c r="P91" s="17" t="s">
        <v>17</v>
      </c>
      <c r="Q91" s="16" t="s">
        <v>17</v>
      </c>
      <c r="R91" s="17" t="s">
        <v>17</v>
      </c>
      <c r="S91" s="16" t="s">
        <v>17</v>
      </c>
      <c r="T91" s="17" t="s">
        <v>17</v>
      </c>
      <c r="U91" s="16" t="s">
        <v>17</v>
      </c>
      <c r="V91" s="17" t="s">
        <v>17</v>
      </c>
      <c r="W91" s="16" t="s">
        <v>17</v>
      </c>
      <c r="X91" s="17" t="s">
        <v>17</v>
      </c>
      <c r="Y91" s="16" t="s">
        <v>17</v>
      </c>
      <c r="Z91" s="17" t="s">
        <v>17</v>
      </c>
      <c r="AA91" s="16" t="s">
        <v>17</v>
      </c>
      <c r="AB91" s="17" t="s">
        <v>17</v>
      </c>
      <c r="AC91" s="18"/>
    </row>
    <row r="92" spans="1:29" s="35" customFormat="1" ht="22.9" customHeight="1">
      <c r="A92" s="122"/>
      <c r="B92" s="146"/>
      <c r="C92" s="115"/>
      <c r="D92" s="73"/>
      <c r="E92" s="32">
        <f t="shared" ref="E92:AB92" si="26">IF(E94&lt;&gt;0,+E94/E96,0%)</f>
        <v>0.66666666666666663</v>
      </c>
      <c r="F92" s="19">
        <f t="shared" si="26"/>
        <v>0</v>
      </c>
      <c r="G92" s="19">
        <f t="shared" si="26"/>
        <v>0</v>
      </c>
      <c r="H92" s="20">
        <f t="shared" si="26"/>
        <v>0</v>
      </c>
      <c r="I92" s="19">
        <f t="shared" si="26"/>
        <v>0</v>
      </c>
      <c r="J92" s="20">
        <f t="shared" si="26"/>
        <v>0</v>
      </c>
      <c r="K92" s="19">
        <f t="shared" si="26"/>
        <v>0.33333333333333331</v>
      </c>
      <c r="L92" s="20">
        <f t="shared" si="26"/>
        <v>0.33333333333333331</v>
      </c>
      <c r="M92" s="19">
        <f t="shared" si="26"/>
        <v>0</v>
      </c>
      <c r="N92" s="20">
        <f t="shared" si="26"/>
        <v>0.33333333333333331</v>
      </c>
      <c r="O92" s="19">
        <f t="shared" si="26"/>
        <v>0.33333333333333331</v>
      </c>
      <c r="P92" s="20">
        <f t="shared" si="26"/>
        <v>0.66666666666666663</v>
      </c>
      <c r="Q92" s="19">
        <f t="shared" si="26"/>
        <v>0</v>
      </c>
      <c r="R92" s="20">
        <f t="shared" si="26"/>
        <v>0.66666666666666663</v>
      </c>
      <c r="S92" s="19">
        <f t="shared" si="26"/>
        <v>0</v>
      </c>
      <c r="T92" s="20">
        <f t="shared" si="26"/>
        <v>0.66666666666666663</v>
      </c>
      <c r="U92" s="19">
        <f t="shared" si="26"/>
        <v>0</v>
      </c>
      <c r="V92" s="20">
        <f t="shared" si="26"/>
        <v>0.66666666666666663</v>
      </c>
      <c r="W92" s="19">
        <f t="shared" si="26"/>
        <v>0</v>
      </c>
      <c r="X92" s="20">
        <f t="shared" si="26"/>
        <v>0.66666666666666663</v>
      </c>
      <c r="Y92" s="19">
        <f t="shared" si="26"/>
        <v>0</v>
      </c>
      <c r="Z92" s="20">
        <f t="shared" si="26"/>
        <v>0.66666666666666663</v>
      </c>
      <c r="AA92" s="19">
        <f t="shared" si="26"/>
        <v>0</v>
      </c>
      <c r="AB92" s="20">
        <f t="shared" si="26"/>
        <v>0.66666666666666663</v>
      </c>
      <c r="AC92" s="21"/>
    </row>
    <row r="93" spans="1:29" s="35" customFormat="1" ht="22.9" customHeight="1" thickBot="1">
      <c r="A93" s="122"/>
      <c r="B93" s="146"/>
      <c r="C93" s="115"/>
      <c r="D93" s="74"/>
      <c r="E93" s="22" t="s">
        <v>18</v>
      </c>
      <c r="F93" s="22" t="s">
        <v>18</v>
      </c>
      <c r="G93" s="22" t="s">
        <v>18</v>
      </c>
      <c r="H93" s="23" t="s">
        <v>18</v>
      </c>
      <c r="I93" s="22" t="s">
        <v>18</v>
      </c>
      <c r="J93" s="23" t="s">
        <v>18</v>
      </c>
      <c r="K93" s="22" t="s">
        <v>18</v>
      </c>
      <c r="L93" s="23" t="s">
        <v>18</v>
      </c>
      <c r="M93" s="22" t="s">
        <v>18</v>
      </c>
      <c r="N93" s="23" t="s">
        <v>18</v>
      </c>
      <c r="O93" s="22" t="s">
        <v>18</v>
      </c>
      <c r="P93" s="23" t="s">
        <v>18</v>
      </c>
      <c r="Q93" s="22" t="s">
        <v>18</v>
      </c>
      <c r="R93" s="23" t="s">
        <v>18</v>
      </c>
      <c r="S93" s="22" t="s">
        <v>18</v>
      </c>
      <c r="T93" s="23" t="s">
        <v>18</v>
      </c>
      <c r="U93" s="22" t="s">
        <v>18</v>
      </c>
      <c r="V93" s="23" t="s">
        <v>18</v>
      </c>
      <c r="W93" s="22" t="s">
        <v>18</v>
      </c>
      <c r="X93" s="23" t="s">
        <v>18</v>
      </c>
      <c r="Y93" s="22" t="s">
        <v>18</v>
      </c>
      <c r="Z93" s="23" t="s">
        <v>18</v>
      </c>
      <c r="AA93" s="22" t="s">
        <v>18</v>
      </c>
      <c r="AB93" s="23" t="s">
        <v>18</v>
      </c>
      <c r="AC93" s="21"/>
    </row>
    <row r="94" spans="1:29" s="35" customFormat="1" ht="22.9" customHeight="1" thickTop="1">
      <c r="A94" s="122"/>
      <c r="B94" s="146"/>
      <c r="C94" s="115"/>
      <c r="D94" s="72" t="s">
        <v>96</v>
      </c>
      <c r="E94" s="33">
        <v>2</v>
      </c>
      <c r="F94" s="52"/>
      <c r="G94" s="52"/>
      <c r="H94" s="53">
        <f>+F94+G94</f>
        <v>0</v>
      </c>
      <c r="I94" s="52"/>
      <c r="J94" s="53">
        <f t="shared" ref="J94:AB94" si="27">+H94+I94</f>
        <v>0</v>
      </c>
      <c r="K94" s="52">
        <v>1</v>
      </c>
      <c r="L94" s="53">
        <f t="shared" si="27"/>
        <v>1</v>
      </c>
      <c r="M94" s="52"/>
      <c r="N94" s="53">
        <f t="shared" si="27"/>
        <v>1</v>
      </c>
      <c r="O94" s="52">
        <v>1</v>
      </c>
      <c r="P94" s="53">
        <f t="shared" si="27"/>
        <v>2</v>
      </c>
      <c r="Q94" s="52"/>
      <c r="R94" s="53">
        <f t="shared" si="27"/>
        <v>2</v>
      </c>
      <c r="S94" s="52"/>
      <c r="T94" s="53">
        <f t="shared" si="27"/>
        <v>2</v>
      </c>
      <c r="U94" s="52">
        <v>0</v>
      </c>
      <c r="V94" s="53">
        <f t="shared" si="27"/>
        <v>2</v>
      </c>
      <c r="W94" s="52"/>
      <c r="X94" s="53">
        <f t="shared" si="27"/>
        <v>2</v>
      </c>
      <c r="Y94" s="52"/>
      <c r="Z94" s="53">
        <f t="shared" si="27"/>
        <v>2</v>
      </c>
      <c r="AA94" s="52"/>
      <c r="AB94" s="53">
        <f t="shared" si="27"/>
        <v>2</v>
      </c>
      <c r="AC94" s="25">
        <f>AB92/E92</f>
        <v>1</v>
      </c>
    </row>
    <row r="95" spans="1:29" s="35" customFormat="1" ht="22.9" customHeight="1">
      <c r="A95" s="122"/>
      <c r="B95" s="146"/>
      <c r="C95" s="115"/>
      <c r="D95" s="75"/>
      <c r="E95" s="26" t="s">
        <v>20</v>
      </c>
      <c r="F95" s="55" t="s">
        <v>20</v>
      </c>
      <c r="G95" s="55" t="s">
        <v>20</v>
      </c>
      <c r="H95" s="56" t="s">
        <v>20</v>
      </c>
      <c r="I95" s="55" t="s">
        <v>20</v>
      </c>
      <c r="J95" s="56" t="s">
        <v>20</v>
      </c>
      <c r="K95" s="55" t="s">
        <v>20</v>
      </c>
      <c r="L95" s="56" t="s">
        <v>20</v>
      </c>
      <c r="M95" s="55" t="s">
        <v>20</v>
      </c>
      <c r="N95" s="56" t="s">
        <v>20</v>
      </c>
      <c r="O95" s="55" t="s">
        <v>20</v>
      </c>
      <c r="P95" s="56" t="s">
        <v>20</v>
      </c>
      <c r="Q95" s="55" t="s">
        <v>20</v>
      </c>
      <c r="R95" s="56" t="s">
        <v>20</v>
      </c>
      <c r="S95" s="55" t="s">
        <v>20</v>
      </c>
      <c r="T95" s="56" t="s">
        <v>20</v>
      </c>
      <c r="U95" s="55" t="s">
        <v>20</v>
      </c>
      <c r="V95" s="56" t="s">
        <v>20</v>
      </c>
      <c r="W95" s="55" t="s">
        <v>20</v>
      </c>
      <c r="X95" s="56" t="s">
        <v>20</v>
      </c>
      <c r="Y95" s="55" t="s">
        <v>20</v>
      </c>
      <c r="Z95" s="56" t="s">
        <v>20</v>
      </c>
      <c r="AA95" s="55" t="s">
        <v>20</v>
      </c>
      <c r="AB95" s="56" t="s">
        <v>20</v>
      </c>
      <c r="AC95" s="21"/>
    </row>
    <row r="96" spans="1:29" s="35" customFormat="1" ht="22.9" customHeight="1" thickBot="1">
      <c r="A96" s="123"/>
      <c r="B96" s="147"/>
      <c r="C96" s="116"/>
      <c r="D96" s="76"/>
      <c r="E96" s="34">
        <v>3</v>
      </c>
      <c r="F96" s="57">
        <v>3</v>
      </c>
      <c r="G96" s="57">
        <v>3</v>
      </c>
      <c r="H96" s="58">
        <v>3</v>
      </c>
      <c r="I96" s="57">
        <v>3</v>
      </c>
      <c r="J96" s="58">
        <v>3</v>
      </c>
      <c r="K96" s="57">
        <v>3</v>
      </c>
      <c r="L96" s="58">
        <v>3</v>
      </c>
      <c r="M96" s="57">
        <v>3</v>
      </c>
      <c r="N96" s="58">
        <v>3</v>
      </c>
      <c r="O96" s="57">
        <v>3</v>
      </c>
      <c r="P96" s="58">
        <v>3</v>
      </c>
      <c r="Q96" s="57">
        <v>3</v>
      </c>
      <c r="R96" s="58">
        <v>3</v>
      </c>
      <c r="S96" s="57">
        <v>3</v>
      </c>
      <c r="T96" s="58">
        <v>3</v>
      </c>
      <c r="U96" s="57">
        <v>3</v>
      </c>
      <c r="V96" s="58">
        <v>3</v>
      </c>
      <c r="W96" s="57">
        <v>3</v>
      </c>
      <c r="X96" s="58">
        <v>3</v>
      </c>
      <c r="Y96" s="57">
        <v>3</v>
      </c>
      <c r="Z96" s="58">
        <v>3</v>
      </c>
      <c r="AA96" s="57">
        <v>3</v>
      </c>
      <c r="AB96" s="58">
        <v>3</v>
      </c>
      <c r="AC96" s="29"/>
    </row>
    <row r="97" spans="1:29" s="35" customFormat="1" ht="22.9" customHeight="1" thickTop="1">
      <c r="A97" s="121" t="s">
        <v>123</v>
      </c>
      <c r="B97" s="145" t="s">
        <v>124</v>
      </c>
      <c r="C97" s="114" t="s">
        <v>94</v>
      </c>
      <c r="D97" s="72" t="s">
        <v>95</v>
      </c>
      <c r="E97" s="16" t="s">
        <v>17</v>
      </c>
      <c r="F97" s="16" t="s">
        <v>17</v>
      </c>
      <c r="G97" s="16" t="s">
        <v>17</v>
      </c>
      <c r="H97" s="17" t="s">
        <v>17</v>
      </c>
      <c r="I97" s="16" t="s">
        <v>17</v>
      </c>
      <c r="J97" s="17" t="s">
        <v>17</v>
      </c>
      <c r="K97" s="16" t="s">
        <v>17</v>
      </c>
      <c r="L97" s="17" t="s">
        <v>17</v>
      </c>
      <c r="M97" s="16" t="s">
        <v>17</v>
      </c>
      <c r="N97" s="17" t="s">
        <v>17</v>
      </c>
      <c r="O97" s="16" t="s">
        <v>17</v>
      </c>
      <c r="P97" s="17" t="s">
        <v>17</v>
      </c>
      <c r="Q97" s="16" t="s">
        <v>17</v>
      </c>
      <c r="R97" s="17" t="s">
        <v>17</v>
      </c>
      <c r="S97" s="16" t="s">
        <v>17</v>
      </c>
      <c r="T97" s="17" t="s">
        <v>17</v>
      </c>
      <c r="U97" s="16" t="s">
        <v>17</v>
      </c>
      <c r="V97" s="17" t="s">
        <v>17</v>
      </c>
      <c r="W97" s="16" t="s">
        <v>17</v>
      </c>
      <c r="X97" s="17" t="s">
        <v>17</v>
      </c>
      <c r="Y97" s="16" t="s">
        <v>17</v>
      </c>
      <c r="Z97" s="17" t="s">
        <v>17</v>
      </c>
      <c r="AA97" s="16" t="s">
        <v>17</v>
      </c>
      <c r="AB97" s="17" t="s">
        <v>17</v>
      </c>
      <c r="AC97" s="18"/>
    </row>
    <row r="98" spans="1:29" s="35" customFormat="1" ht="22.9" customHeight="1">
      <c r="A98" s="122"/>
      <c r="B98" s="146"/>
      <c r="C98" s="115"/>
      <c r="D98" s="73"/>
      <c r="E98" s="32">
        <f t="shared" ref="E98:AB98" si="28">IF(E100&lt;&gt;0,+E100/E102,0%)</f>
        <v>0.66666666666666663</v>
      </c>
      <c r="F98" s="19">
        <f t="shared" si="28"/>
        <v>0</v>
      </c>
      <c r="G98" s="19">
        <f t="shared" si="28"/>
        <v>0</v>
      </c>
      <c r="H98" s="20">
        <f t="shared" si="28"/>
        <v>0</v>
      </c>
      <c r="I98" s="19">
        <f t="shared" si="28"/>
        <v>0</v>
      </c>
      <c r="J98" s="20">
        <f t="shared" si="28"/>
        <v>0</v>
      </c>
      <c r="K98" s="19">
        <f t="shared" si="28"/>
        <v>0.33333333333333331</v>
      </c>
      <c r="L98" s="20">
        <f t="shared" si="28"/>
        <v>0.33333333333333331</v>
      </c>
      <c r="M98" s="19">
        <f t="shared" si="28"/>
        <v>0</v>
      </c>
      <c r="N98" s="20">
        <f t="shared" si="28"/>
        <v>0.33333333333333331</v>
      </c>
      <c r="O98" s="19">
        <f t="shared" si="28"/>
        <v>0.33333333333333331</v>
      </c>
      <c r="P98" s="20">
        <f t="shared" si="28"/>
        <v>0.66666666666666663</v>
      </c>
      <c r="Q98" s="19">
        <f t="shared" si="28"/>
        <v>0</v>
      </c>
      <c r="R98" s="20">
        <f t="shared" si="28"/>
        <v>0.66666666666666663</v>
      </c>
      <c r="S98" s="19">
        <f t="shared" si="28"/>
        <v>0</v>
      </c>
      <c r="T98" s="20">
        <f t="shared" si="28"/>
        <v>0.66666666666666663</v>
      </c>
      <c r="U98" s="19">
        <f t="shared" si="28"/>
        <v>0</v>
      </c>
      <c r="V98" s="20">
        <f t="shared" si="28"/>
        <v>0.66666666666666663</v>
      </c>
      <c r="W98" s="19">
        <f t="shared" si="28"/>
        <v>0</v>
      </c>
      <c r="X98" s="20">
        <f t="shared" si="28"/>
        <v>0.66666666666666663</v>
      </c>
      <c r="Y98" s="19">
        <f t="shared" si="28"/>
        <v>0</v>
      </c>
      <c r="Z98" s="20">
        <f t="shared" si="28"/>
        <v>0.66666666666666663</v>
      </c>
      <c r="AA98" s="19">
        <f t="shared" si="28"/>
        <v>0</v>
      </c>
      <c r="AB98" s="20">
        <f t="shared" si="28"/>
        <v>0.66666666666666663</v>
      </c>
      <c r="AC98" s="21"/>
    </row>
    <row r="99" spans="1:29" s="35" customFormat="1" ht="22.9" customHeight="1" thickBot="1">
      <c r="A99" s="122"/>
      <c r="B99" s="146"/>
      <c r="C99" s="115"/>
      <c r="D99" s="74"/>
      <c r="E99" s="22" t="s">
        <v>18</v>
      </c>
      <c r="F99" s="22" t="s">
        <v>18</v>
      </c>
      <c r="G99" s="22" t="s">
        <v>18</v>
      </c>
      <c r="H99" s="23" t="s">
        <v>18</v>
      </c>
      <c r="I99" s="22" t="s">
        <v>18</v>
      </c>
      <c r="J99" s="23" t="s">
        <v>18</v>
      </c>
      <c r="K99" s="22" t="s">
        <v>18</v>
      </c>
      <c r="L99" s="23" t="s">
        <v>18</v>
      </c>
      <c r="M99" s="22" t="s">
        <v>18</v>
      </c>
      <c r="N99" s="23" t="s">
        <v>18</v>
      </c>
      <c r="O99" s="22" t="s">
        <v>18</v>
      </c>
      <c r="P99" s="23" t="s">
        <v>18</v>
      </c>
      <c r="Q99" s="22" t="s">
        <v>18</v>
      </c>
      <c r="R99" s="23" t="s">
        <v>18</v>
      </c>
      <c r="S99" s="22" t="s">
        <v>18</v>
      </c>
      <c r="T99" s="23" t="s">
        <v>18</v>
      </c>
      <c r="U99" s="22" t="s">
        <v>18</v>
      </c>
      <c r="V99" s="23" t="s">
        <v>18</v>
      </c>
      <c r="W99" s="22" t="s">
        <v>18</v>
      </c>
      <c r="X99" s="23" t="s">
        <v>18</v>
      </c>
      <c r="Y99" s="22" t="s">
        <v>18</v>
      </c>
      <c r="Z99" s="23" t="s">
        <v>18</v>
      </c>
      <c r="AA99" s="22" t="s">
        <v>18</v>
      </c>
      <c r="AB99" s="23" t="s">
        <v>18</v>
      </c>
      <c r="AC99" s="21"/>
    </row>
    <row r="100" spans="1:29" s="35" customFormat="1" ht="22.9" customHeight="1" thickTop="1">
      <c r="A100" s="122"/>
      <c r="B100" s="146"/>
      <c r="C100" s="115"/>
      <c r="D100" s="72" t="s">
        <v>96</v>
      </c>
      <c r="E100" s="33">
        <v>2</v>
      </c>
      <c r="F100" s="52"/>
      <c r="G100" s="52"/>
      <c r="H100" s="53">
        <f>+F100+G100</f>
        <v>0</v>
      </c>
      <c r="I100" s="52"/>
      <c r="J100" s="53">
        <f t="shared" ref="J100:AB100" si="29">+H100+I100</f>
        <v>0</v>
      </c>
      <c r="K100" s="52">
        <v>1</v>
      </c>
      <c r="L100" s="53">
        <f t="shared" si="29"/>
        <v>1</v>
      </c>
      <c r="M100" s="52"/>
      <c r="N100" s="53">
        <f t="shared" si="29"/>
        <v>1</v>
      </c>
      <c r="O100" s="52">
        <v>1</v>
      </c>
      <c r="P100" s="53">
        <f t="shared" si="29"/>
        <v>2</v>
      </c>
      <c r="Q100" s="52"/>
      <c r="R100" s="53">
        <f t="shared" si="29"/>
        <v>2</v>
      </c>
      <c r="S100" s="52"/>
      <c r="T100" s="53">
        <f t="shared" si="29"/>
        <v>2</v>
      </c>
      <c r="U100" s="52">
        <v>0</v>
      </c>
      <c r="V100" s="53">
        <f t="shared" si="29"/>
        <v>2</v>
      </c>
      <c r="W100" s="52"/>
      <c r="X100" s="53">
        <f t="shared" si="29"/>
        <v>2</v>
      </c>
      <c r="Y100" s="52"/>
      <c r="Z100" s="53">
        <f t="shared" si="29"/>
        <v>2</v>
      </c>
      <c r="AA100" s="52"/>
      <c r="AB100" s="53">
        <f t="shared" si="29"/>
        <v>2</v>
      </c>
      <c r="AC100" s="25">
        <f>AB98/E98</f>
        <v>1</v>
      </c>
    </row>
    <row r="101" spans="1:29" s="35" customFormat="1" ht="22.9" customHeight="1">
      <c r="A101" s="122"/>
      <c r="B101" s="146"/>
      <c r="C101" s="115"/>
      <c r="D101" s="75"/>
      <c r="E101" s="26" t="s">
        <v>20</v>
      </c>
      <c r="F101" s="55" t="s">
        <v>20</v>
      </c>
      <c r="G101" s="55" t="s">
        <v>20</v>
      </c>
      <c r="H101" s="56" t="s">
        <v>20</v>
      </c>
      <c r="I101" s="55" t="s">
        <v>20</v>
      </c>
      <c r="J101" s="56" t="s">
        <v>20</v>
      </c>
      <c r="K101" s="55" t="s">
        <v>20</v>
      </c>
      <c r="L101" s="56" t="s">
        <v>20</v>
      </c>
      <c r="M101" s="55" t="s">
        <v>20</v>
      </c>
      <c r="N101" s="56" t="s">
        <v>20</v>
      </c>
      <c r="O101" s="55" t="s">
        <v>20</v>
      </c>
      <c r="P101" s="56" t="s">
        <v>20</v>
      </c>
      <c r="Q101" s="55" t="s">
        <v>20</v>
      </c>
      <c r="R101" s="56" t="s">
        <v>20</v>
      </c>
      <c r="S101" s="55" t="s">
        <v>20</v>
      </c>
      <c r="T101" s="56" t="s">
        <v>20</v>
      </c>
      <c r="U101" s="55" t="s">
        <v>20</v>
      </c>
      <c r="V101" s="56" t="s">
        <v>20</v>
      </c>
      <c r="W101" s="55" t="s">
        <v>20</v>
      </c>
      <c r="X101" s="56" t="s">
        <v>20</v>
      </c>
      <c r="Y101" s="55" t="s">
        <v>20</v>
      </c>
      <c r="Z101" s="56" t="s">
        <v>20</v>
      </c>
      <c r="AA101" s="55" t="s">
        <v>20</v>
      </c>
      <c r="AB101" s="56" t="s">
        <v>20</v>
      </c>
      <c r="AC101" s="21"/>
    </row>
    <row r="102" spans="1:29" s="35" customFormat="1" ht="22.9" customHeight="1" thickBot="1">
      <c r="A102" s="123"/>
      <c r="B102" s="147"/>
      <c r="C102" s="116"/>
      <c r="D102" s="76"/>
      <c r="E102" s="34">
        <v>3</v>
      </c>
      <c r="F102" s="57">
        <v>3</v>
      </c>
      <c r="G102" s="57">
        <v>3</v>
      </c>
      <c r="H102" s="58">
        <v>3</v>
      </c>
      <c r="I102" s="57">
        <v>3</v>
      </c>
      <c r="J102" s="58">
        <v>3</v>
      </c>
      <c r="K102" s="57">
        <v>3</v>
      </c>
      <c r="L102" s="58">
        <v>3</v>
      </c>
      <c r="M102" s="57">
        <v>3</v>
      </c>
      <c r="N102" s="58">
        <v>3</v>
      </c>
      <c r="O102" s="57">
        <v>3</v>
      </c>
      <c r="P102" s="58">
        <v>3</v>
      </c>
      <c r="Q102" s="57">
        <v>3</v>
      </c>
      <c r="R102" s="58">
        <v>3</v>
      </c>
      <c r="S102" s="57">
        <v>3</v>
      </c>
      <c r="T102" s="58">
        <v>3</v>
      </c>
      <c r="U102" s="57">
        <v>3</v>
      </c>
      <c r="V102" s="58">
        <v>3</v>
      </c>
      <c r="W102" s="57">
        <v>3</v>
      </c>
      <c r="X102" s="58">
        <v>3</v>
      </c>
      <c r="Y102" s="57">
        <v>3</v>
      </c>
      <c r="Z102" s="58">
        <v>3</v>
      </c>
      <c r="AA102" s="57">
        <v>3</v>
      </c>
      <c r="AB102" s="58">
        <v>3</v>
      </c>
      <c r="AC102" s="29"/>
    </row>
    <row r="103" spans="1:29" s="35" customFormat="1" ht="22.9" customHeight="1" thickTop="1">
      <c r="A103" s="121" t="s">
        <v>125</v>
      </c>
      <c r="B103" s="145" t="s">
        <v>126</v>
      </c>
      <c r="C103" s="114" t="s">
        <v>94</v>
      </c>
      <c r="D103" s="72" t="s">
        <v>95</v>
      </c>
      <c r="E103" s="16" t="s">
        <v>17</v>
      </c>
      <c r="F103" s="16" t="s">
        <v>17</v>
      </c>
      <c r="G103" s="16" t="s">
        <v>17</v>
      </c>
      <c r="H103" s="17" t="s">
        <v>17</v>
      </c>
      <c r="I103" s="16" t="s">
        <v>17</v>
      </c>
      <c r="J103" s="17" t="s">
        <v>17</v>
      </c>
      <c r="K103" s="16" t="s">
        <v>17</v>
      </c>
      <c r="L103" s="17" t="s">
        <v>17</v>
      </c>
      <c r="M103" s="16" t="s">
        <v>17</v>
      </c>
      <c r="N103" s="17" t="s">
        <v>17</v>
      </c>
      <c r="O103" s="16" t="s">
        <v>17</v>
      </c>
      <c r="P103" s="17" t="s">
        <v>17</v>
      </c>
      <c r="Q103" s="16" t="s">
        <v>17</v>
      </c>
      <c r="R103" s="17" t="s">
        <v>17</v>
      </c>
      <c r="S103" s="16" t="s">
        <v>17</v>
      </c>
      <c r="T103" s="17" t="s">
        <v>17</v>
      </c>
      <c r="U103" s="16" t="s">
        <v>17</v>
      </c>
      <c r="V103" s="17" t="s">
        <v>17</v>
      </c>
      <c r="W103" s="16" t="s">
        <v>17</v>
      </c>
      <c r="X103" s="17" t="s">
        <v>17</v>
      </c>
      <c r="Y103" s="16" t="s">
        <v>17</v>
      </c>
      <c r="Z103" s="17" t="s">
        <v>17</v>
      </c>
      <c r="AA103" s="16" t="s">
        <v>17</v>
      </c>
      <c r="AB103" s="17" t="s">
        <v>17</v>
      </c>
      <c r="AC103" s="18"/>
    </row>
    <row r="104" spans="1:29" s="35" customFormat="1" ht="22.9" customHeight="1">
      <c r="A104" s="122"/>
      <c r="B104" s="146"/>
      <c r="C104" s="115"/>
      <c r="D104" s="73"/>
      <c r="E104" s="32">
        <f t="shared" ref="E104:AB104" si="30">IF(E106&lt;&gt;0,+E106/E108,0%)</f>
        <v>0.66666666666666663</v>
      </c>
      <c r="F104" s="19">
        <f t="shared" si="30"/>
        <v>0</v>
      </c>
      <c r="G104" s="19">
        <f t="shared" si="30"/>
        <v>0</v>
      </c>
      <c r="H104" s="20">
        <f t="shared" si="30"/>
        <v>0</v>
      </c>
      <c r="I104" s="19">
        <f t="shared" si="30"/>
        <v>0</v>
      </c>
      <c r="J104" s="20">
        <f t="shared" si="30"/>
        <v>0</v>
      </c>
      <c r="K104" s="19">
        <f t="shared" si="30"/>
        <v>0.33333333333333331</v>
      </c>
      <c r="L104" s="20">
        <f t="shared" si="30"/>
        <v>0.33333333333333331</v>
      </c>
      <c r="M104" s="19">
        <f t="shared" si="30"/>
        <v>0</v>
      </c>
      <c r="N104" s="20">
        <f t="shared" si="30"/>
        <v>0.33333333333333331</v>
      </c>
      <c r="O104" s="19">
        <f t="shared" si="30"/>
        <v>0.33333333333333331</v>
      </c>
      <c r="P104" s="20">
        <f t="shared" si="30"/>
        <v>0.66666666666666663</v>
      </c>
      <c r="Q104" s="19">
        <f t="shared" si="30"/>
        <v>0</v>
      </c>
      <c r="R104" s="20">
        <f t="shared" si="30"/>
        <v>0.66666666666666663</v>
      </c>
      <c r="S104" s="19">
        <f t="shared" si="30"/>
        <v>0</v>
      </c>
      <c r="T104" s="20">
        <f t="shared" si="30"/>
        <v>0.66666666666666663</v>
      </c>
      <c r="U104" s="19">
        <f t="shared" si="30"/>
        <v>0</v>
      </c>
      <c r="V104" s="20">
        <f t="shared" si="30"/>
        <v>0.66666666666666663</v>
      </c>
      <c r="W104" s="19">
        <f t="shared" si="30"/>
        <v>0</v>
      </c>
      <c r="X104" s="20">
        <f t="shared" si="30"/>
        <v>0.66666666666666663</v>
      </c>
      <c r="Y104" s="19">
        <f t="shared" si="30"/>
        <v>0</v>
      </c>
      <c r="Z104" s="20">
        <f t="shared" si="30"/>
        <v>0.66666666666666663</v>
      </c>
      <c r="AA104" s="19">
        <f t="shared" si="30"/>
        <v>0</v>
      </c>
      <c r="AB104" s="20">
        <f t="shared" si="30"/>
        <v>0.66666666666666663</v>
      </c>
      <c r="AC104" s="21"/>
    </row>
    <row r="105" spans="1:29" s="35" customFormat="1" ht="22.9" customHeight="1" thickBot="1">
      <c r="A105" s="122"/>
      <c r="B105" s="146"/>
      <c r="C105" s="115"/>
      <c r="D105" s="74"/>
      <c r="E105" s="22" t="s">
        <v>18</v>
      </c>
      <c r="F105" s="22" t="s">
        <v>18</v>
      </c>
      <c r="G105" s="22" t="s">
        <v>18</v>
      </c>
      <c r="H105" s="23" t="s">
        <v>18</v>
      </c>
      <c r="I105" s="22" t="s">
        <v>18</v>
      </c>
      <c r="J105" s="23" t="s">
        <v>18</v>
      </c>
      <c r="K105" s="22" t="s">
        <v>18</v>
      </c>
      <c r="L105" s="23" t="s">
        <v>18</v>
      </c>
      <c r="M105" s="22" t="s">
        <v>18</v>
      </c>
      <c r="N105" s="23" t="s">
        <v>18</v>
      </c>
      <c r="O105" s="22" t="s">
        <v>18</v>
      </c>
      <c r="P105" s="23" t="s">
        <v>18</v>
      </c>
      <c r="Q105" s="22" t="s">
        <v>18</v>
      </c>
      <c r="R105" s="23" t="s">
        <v>18</v>
      </c>
      <c r="S105" s="22" t="s">
        <v>18</v>
      </c>
      <c r="T105" s="23" t="s">
        <v>18</v>
      </c>
      <c r="U105" s="22" t="s">
        <v>18</v>
      </c>
      <c r="V105" s="23" t="s">
        <v>18</v>
      </c>
      <c r="W105" s="22" t="s">
        <v>18</v>
      </c>
      <c r="X105" s="23" t="s">
        <v>18</v>
      </c>
      <c r="Y105" s="22" t="s">
        <v>18</v>
      </c>
      <c r="Z105" s="23" t="s">
        <v>18</v>
      </c>
      <c r="AA105" s="22" t="s">
        <v>18</v>
      </c>
      <c r="AB105" s="23" t="s">
        <v>18</v>
      </c>
      <c r="AC105" s="21"/>
    </row>
    <row r="106" spans="1:29" s="35" customFormat="1" ht="22.9" customHeight="1" thickTop="1">
      <c r="A106" s="122"/>
      <c r="B106" s="146"/>
      <c r="C106" s="115"/>
      <c r="D106" s="72" t="s">
        <v>96</v>
      </c>
      <c r="E106" s="33">
        <v>2</v>
      </c>
      <c r="F106" s="52"/>
      <c r="G106" s="52"/>
      <c r="H106" s="53">
        <f>+F106+G106</f>
        <v>0</v>
      </c>
      <c r="I106" s="52"/>
      <c r="J106" s="53">
        <f t="shared" ref="J106:AB106" si="31">+H106+I106</f>
        <v>0</v>
      </c>
      <c r="K106" s="52">
        <v>1</v>
      </c>
      <c r="L106" s="53">
        <f t="shared" si="31"/>
        <v>1</v>
      </c>
      <c r="M106" s="52"/>
      <c r="N106" s="53">
        <f t="shared" si="31"/>
        <v>1</v>
      </c>
      <c r="O106" s="52">
        <v>1</v>
      </c>
      <c r="P106" s="53">
        <f t="shared" si="31"/>
        <v>2</v>
      </c>
      <c r="Q106" s="52"/>
      <c r="R106" s="53">
        <f t="shared" si="31"/>
        <v>2</v>
      </c>
      <c r="S106" s="52"/>
      <c r="T106" s="53">
        <f t="shared" si="31"/>
        <v>2</v>
      </c>
      <c r="U106" s="52">
        <v>0</v>
      </c>
      <c r="V106" s="53">
        <f t="shared" si="31"/>
        <v>2</v>
      </c>
      <c r="W106" s="52"/>
      <c r="X106" s="53">
        <f t="shared" si="31"/>
        <v>2</v>
      </c>
      <c r="Y106" s="52"/>
      <c r="Z106" s="53">
        <f t="shared" si="31"/>
        <v>2</v>
      </c>
      <c r="AA106" s="52"/>
      <c r="AB106" s="53">
        <f t="shared" si="31"/>
        <v>2</v>
      </c>
      <c r="AC106" s="25">
        <f>AB104/E104</f>
        <v>1</v>
      </c>
    </row>
    <row r="107" spans="1:29" s="35" customFormat="1" ht="22.9" customHeight="1">
      <c r="A107" s="122"/>
      <c r="B107" s="146"/>
      <c r="C107" s="115"/>
      <c r="D107" s="75"/>
      <c r="E107" s="26" t="s">
        <v>20</v>
      </c>
      <c r="F107" s="55" t="s">
        <v>20</v>
      </c>
      <c r="G107" s="55" t="s">
        <v>20</v>
      </c>
      <c r="H107" s="56" t="s">
        <v>20</v>
      </c>
      <c r="I107" s="55" t="s">
        <v>20</v>
      </c>
      <c r="J107" s="56" t="s">
        <v>20</v>
      </c>
      <c r="K107" s="55" t="s">
        <v>20</v>
      </c>
      <c r="L107" s="56" t="s">
        <v>20</v>
      </c>
      <c r="M107" s="55" t="s">
        <v>20</v>
      </c>
      <c r="N107" s="56" t="s">
        <v>20</v>
      </c>
      <c r="O107" s="55" t="s">
        <v>20</v>
      </c>
      <c r="P107" s="56" t="s">
        <v>20</v>
      </c>
      <c r="Q107" s="55" t="s">
        <v>20</v>
      </c>
      <c r="R107" s="56" t="s">
        <v>20</v>
      </c>
      <c r="S107" s="55" t="s">
        <v>20</v>
      </c>
      <c r="T107" s="56" t="s">
        <v>20</v>
      </c>
      <c r="U107" s="55" t="s">
        <v>20</v>
      </c>
      <c r="V107" s="56" t="s">
        <v>20</v>
      </c>
      <c r="W107" s="55" t="s">
        <v>20</v>
      </c>
      <c r="X107" s="56" t="s">
        <v>20</v>
      </c>
      <c r="Y107" s="55" t="s">
        <v>20</v>
      </c>
      <c r="Z107" s="56" t="s">
        <v>20</v>
      </c>
      <c r="AA107" s="55" t="s">
        <v>20</v>
      </c>
      <c r="AB107" s="56" t="s">
        <v>20</v>
      </c>
      <c r="AC107" s="21"/>
    </row>
    <row r="108" spans="1:29" s="35" customFormat="1" ht="22.9" customHeight="1" thickBot="1">
      <c r="A108" s="123"/>
      <c r="B108" s="147"/>
      <c r="C108" s="116"/>
      <c r="D108" s="76"/>
      <c r="E108" s="34">
        <v>3</v>
      </c>
      <c r="F108" s="57">
        <v>3</v>
      </c>
      <c r="G108" s="57">
        <v>3</v>
      </c>
      <c r="H108" s="58">
        <v>3</v>
      </c>
      <c r="I108" s="57">
        <v>3</v>
      </c>
      <c r="J108" s="58">
        <v>3</v>
      </c>
      <c r="K108" s="57">
        <v>3</v>
      </c>
      <c r="L108" s="58">
        <v>3</v>
      </c>
      <c r="M108" s="57">
        <v>3</v>
      </c>
      <c r="N108" s="58">
        <v>3</v>
      </c>
      <c r="O108" s="57">
        <v>3</v>
      </c>
      <c r="P108" s="58">
        <v>3</v>
      </c>
      <c r="Q108" s="57">
        <v>3</v>
      </c>
      <c r="R108" s="58">
        <v>3</v>
      </c>
      <c r="S108" s="57">
        <v>3</v>
      </c>
      <c r="T108" s="58">
        <v>3</v>
      </c>
      <c r="U108" s="57">
        <v>3</v>
      </c>
      <c r="V108" s="58">
        <v>3</v>
      </c>
      <c r="W108" s="57">
        <v>3</v>
      </c>
      <c r="X108" s="58">
        <v>3</v>
      </c>
      <c r="Y108" s="57">
        <v>3</v>
      </c>
      <c r="Z108" s="58">
        <v>3</v>
      </c>
      <c r="AA108" s="57">
        <v>3</v>
      </c>
      <c r="AB108" s="58">
        <v>3</v>
      </c>
      <c r="AC108" s="29"/>
    </row>
    <row r="109" spans="1:29" ht="13.5" thickTop="1">
      <c r="F109" s="3"/>
    </row>
    <row r="110" spans="1:29">
      <c r="F110" s="3"/>
    </row>
    <row r="111" spans="1:29">
      <c r="F111" s="3"/>
    </row>
    <row r="112" spans="1:29">
      <c r="F112" s="3"/>
    </row>
    <row r="113" spans="6:6">
      <c r="F113" s="3"/>
    </row>
    <row r="114" spans="6:6">
      <c r="F114" s="3"/>
    </row>
    <row r="115" spans="6:6">
      <c r="F115" s="3"/>
    </row>
    <row r="116" spans="6:6">
      <c r="F116" s="3"/>
    </row>
    <row r="117" spans="6:6">
      <c r="F117" s="3"/>
    </row>
    <row r="118" spans="6:6">
      <c r="F118" s="3"/>
    </row>
    <row r="119" spans="6:6">
      <c r="F119" s="3"/>
    </row>
    <row r="120" spans="6:6">
      <c r="F120" s="3"/>
    </row>
    <row r="121" spans="6:6">
      <c r="F121" s="3"/>
    </row>
    <row r="122" spans="6:6">
      <c r="F122" s="3"/>
    </row>
    <row r="123" spans="6:6">
      <c r="F123" s="3"/>
    </row>
    <row r="124" spans="6:6">
      <c r="F124" s="3"/>
    </row>
    <row r="125" spans="6:6">
      <c r="F125" s="3"/>
    </row>
    <row r="126" spans="6:6">
      <c r="F126" s="3"/>
    </row>
    <row r="127" spans="6:6">
      <c r="F127" s="3"/>
    </row>
  </sheetData>
  <mergeCells count="118">
    <mergeCell ref="A103:A108"/>
    <mergeCell ref="B103:B108"/>
    <mergeCell ref="C103:C108"/>
    <mergeCell ref="B97:B102"/>
    <mergeCell ref="C97:C102"/>
    <mergeCell ref="D106:D108"/>
    <mergeCell ref="D103:D105"/>
    <mergeCell ref="D100:D102"/>
    <mergeCell ref="D97:D99"/>
    <mergeCell ref="A11:A12"/>
    <mergeCell ref="A13:A18"/>
    <mergeCell ref="A19:A24"/>
    <mergeCell ref="A25:A30"/>
    <mergeCell ref="A31:A36"/>
    <mergeCell ref="A37:A42"/>
    <mergeCell ref="A43:A48"/>
    <mergeCell ref="A49:A54"/>
    <mergeCell ref="A55:A60"/>
    <mergeCell ref="A61:A66"/>
    <mergeCell ref="A67:A72"/>
    <mergeCell ref="A73:A78"/>
    <mergeCell ref="A79:A84"/>
    <mergeCell ref="A85:A90"/>
    <mergeCell ref="A91:A96"/>
    <mergeCell ref="A97:A102"/>
    <mergeCell ref="D82:D84"/>
    <mergeCell ref="B85:B90"/>
    <mergeCell ref="C85:C90"/>
    <mergeCell ref="D79:D81"/>
    <mergeCell ref="B79:B84"/>
    <mergeCell ref="C79:C84"/>
    <mergeCell ref="D91:D93"/>
    <mergeCell ref="D94:D96"/>
    <mergeCell ref="D88:D90"/>
    <mergeCell ref="B91:B96"/>
    <mergeCell ref="C91:C96"/>
    <mergeCell ref="D85:D87"/>
    <mergeCell ref="D64:D66"/>
    <mergeCell ref="B67:B72"/>
    <mergeCell ref="C67:C72"/>
    <mergeCell ref="D61:D63"/>
    <mergeCell ref="B61:B66"/>
    <mergeCell ref="C61:C66"/>
    <mergeCell ref="D73:D75"/>
    <mergeCell ref="D76:D78"/>
    <mergeCell ref="D70:D72"/>
    <mergeCell ref="B73:B78"/>
    <mergeCell ref="C73:C78"/>
    <mergeCell ref="D67:D69"/>
    <mergeCell ref="D55:D57"/>
    <mergeCell ref="D40:D42"/>
    <mergeCell ref="B43:B48"/>
    <mergeCell ref="C43:C48"/>
    <mergeCell ref="D46:D48"/>
    <mergeCell ref="B37:B42"/>
    <mergeCell ref="C37:C42"/>
    <mergeCell ref="D58:D60"/>
    <mergeCell ref="D52:D54"/>
    <mergeCell ref="B55:B60"/>
    <mergeCell ref="C55:C60"/>
    <mergeCell ref="D49:D51"/>
    <mergeCell ref="B49:B54"/>
    <mergeCell ref="C49:C54"/>
    <mergeCell ref="D43:D45"/>
    <mergeCell ref="D37:D39"/>
    <mergeCell ref="D19:D21"/>
    <mergeCell ref="D13:D15"/>
    <mergeCell ref="D34:D36"/>
    <mergeCell ref="D31:D33"/>
    <mergeCell ref="D22:D24"/>
    <mergeCell ref="B25:B30"/>
    <mergeCell ref="C25:C30"/>
    <mergeCell ref="B19:B24"/>
    <mergeCell ref="C19:C24"/>
    <mergeCell ref="D16:D18"/>
    <mergeCell ref="B31:B36"/>
    <mergeCell ref="C31:C36"/>
    <mergeCell ref="D25:D27"/>
    <mergeCell ref="D28:D30"/>
    <mergeCell ref="B13:B18"/>
    <mergeCell ref="C13:C18"/>
    <mergeCell ref="Z11:Z12"/>
    <mergeCell ref="AA11:AA12"/>
    <mergeCell ref="AB11:AB12"/>
    <mergeCell ref="AC11:AC12"/>
    <mergeCell ref="T11:T12"/>
    <mergeCell ref="U11:U12"/>
    <mergeCell ref="V11:V12"/>
    <mergeCell ref="W11:W12"/>
    <mergeCell ref="X11:X12"/>
    <mergeCell ref="Y11:Y12"/>
    <mergeCell ref="N11:N12"/>
    <mergeCell ref="O11:O12"/>
    <mergeCell ref="P11:P12"/>
    <mergeCell ref="Q11:Q12"/>
    <mergeCell ref="R11:R12"/>
    <mergeCell ref="S11:S12"/>
    <mergeCell ref="H11:H12"/>
    <mergeCell ref="I11:I12"/>
    <mergeCell ref="J11:J12"/>
    <mergeCell ref="K11:K12"/>
    <mergeCell ref="L11:L12"/>
    <mergeCell ref="M11:M12"/>
    <mergeCell ref="H1:K1"/>
    <mergeCell ref="H2:K2"/>
    <mergeCell ref="H3:K3"/>
    <mergeCell ref="H5:K5"/>
    <mergeCell ref="B11:B12"/>
    <mergeCell ref="C11:C12"/>
    <mergeCell ref="B1:C5"/>
    <mergeCell ref="D1:G5"/>
    <mergeCell ref="D11:D12"/>
    <mergeCell ref="E11:E12"/>
    <mergeCell ref="F11:F12"/>
    <mergeCell ref="G11:G12"/>
    <mergeCell ref="B6:C6"/>
    <mergeCell ref="D6:G6"/>
    <mergeCell ref="H6:K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187623-5b64-4d8c-b7af-18fe1fa8371c}" enabled="0" method="" siteId="{61187623-5b64-4d8c-b7af-18fe1fa837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Operaciones</dc:title>
  <dc:subject/>
  <dc:creator>Salvador Aguilera</dc:creator>
  <cp:keywords/>
  <dc:description/>
  <cp:lastModifiedBy>Carla Nicol Adasme Valdivia</cp:lastModifiedBy>
  <cp:revision/>
  <dcterms:created xsi:type="dcterms:W3CDTF">2008-08-20T14:03:15Z</dcterms:created>
  <dcterms:modified xsi:type="dcterms:W3CDTF">2026-01-15T15:42:28Z</dcterms:modified>
  <cp:category/>
  <cp:contentStatus/>
</cp:coreProperties>
</file>