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epartamento Auditoría interna/"/>
    </mc:Choice>
  </mc:AlternateContent>
  <xr:revisionPtr revIDLastSave="75" documentId="8_{7AE374D8-0505-484E-B2B7-D0B719814DB1}" xr6:coauthVersionLast="47" xr6:coauthVersionMax="47" xr10:uidLastSave="{70A697C7-55B2-4059-B937-B1F38481D49F}"/>
  <bookViews>
    <workbookView xWindow="-110" yWindow="-110" windowWidth="19420" windowHeight="11500" xr2:uid="{00000000-000D-0000-FFFF-FFFF00000000}"/>
  </bookViews>
  <sheets>
    <sheet name="CDC 2025" sheetId="1" r:id="rId1"/>
  </sheets>
  <definedNames>
    <definedName name="_xlnm.Print_Area" localSheetId="0">'CDC 2025'!$B$1:$L$30</definedName>
    <definedName name="_xlnm.Print_Titles" localSheetId="0">'CDC 2025'!$1:$12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6" i="1"/>
  <c r="I16" i="1"/>
  <c r="I14" i="1" s="1"/>
  <c r="G18" i="1"/>
  <c r="I18" i="1"/>
  <c r="F14" i="1"/>
  <c r="G42" i="1"/>
  <c r="I42" i="1" s="1"/>
  <c r="K42" i="1" s="1"/>
  <c r="G40" i="1"/>
  <c r="I40" i="1" s="1"/>
  <c r="K40" i="1" s="1"/>
  <c r="J38" i="1" l="1"/>
  <c r="H38" i="1"/>
  <c r="F38" i="1"/>
  <c r="E38" i="1"/>
  <c r="G38" i="1" l="1"/>
  <c r="I38" i="1" l="1"/>
  <c r="K38" i="1"/>
  <c r="L40" i="1" s="1"/>
  <c r="G36" i="1" l="1"/>
  <c r="I36" i="1" s="1"/>
  <c r="K36" i="1" s="1"/>
  <c r="G30" i="1"/>
  <c r="I30" i="1" s="1"/>
  <c r="K30" i="1" s="1"/>
  <c r="G24" i="1"/>
  <c r="I24" i="1" s="1"/>
  <c r="K24" i="1" s="1"/>
  <c r="K18" i="1"/>
  <c r="J32" i="1"/>
  <c r="J26" i="1"/>
  <c r="J20" i="1"/>
  <c r="J14" i="1"/>
  <c r="H32" i="1"/>
  <c r="H26" i="1"/>
  <c r="H20" i="1"/>
  <c r="H14" i="1"/>
  <c r="F32" i="1"/>
  <c r="F26" i="1"/>
  <c r="F20" i="1"/>
  <c r="E32" i="1"/>
  <c r="E26" i="1"/>
  <c r="E20" i="1"/>
  <c r="E14" i="1"/>
  <c r="G28" i="1" l="1"/>
  <c r="G34" i="1" l="1"/>
  <c r="K16" i="1"/>
  <c r="K14" i="1" s="1"/>
  <c r="I28" i="1"/>
  <c r="G26" i="1"/>
  <c r="L16" i="1" l="1"/>
  <c r="K28" i="1"/>
  <c r="K26" i="1" s="1"/>
  <c r="L28" i="1" s="1"/>
  <c r="I26" i="1"/>
  <c r="G32" i="1"/>
  <c r="I34" i="1"/>
  <c r="G22" i="1"/>
  <c r="I32" i="1" l="1"/>
  <c r="K34" i="1"/>
  <c r="K32" i="1" s="1"/>
  <c r="L34" i="1" s="1"/>
  <c r="I22" i="1"/>
  <c r="G20" i="1"/>
  <c r="K22" i="1" l="1"/>
  <c r="K20" i="1" s="1"/>
  <c r="L22" i="1" s="1"/>
  <c r="I20" i="1"/>
</calcChain>
</file>

<file path=xl/sharedStrings.xml><?xml version="1.0" encoding="utf-8"?>
<sst xmlns="http://schemas.openxmlformats.org/spreadsheetml/2006/main" count="143" uniqueCount="41">
  <si>
    <t>DEPTO AUDITORÍA INTERNA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</si>
  <si>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</si>
  <si>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</si>
  <si>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</si>
  <si>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</si>
  <si>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</si>
  <si>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</si>
  <si>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</si>
  <si>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</si>
  <si>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</si>
  <si>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</si>
  <si>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</si>
  <si>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</si>
  <si>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5.8.1.50</t>
  </si>
  <si>
    <r>
      <t>1) Eficacia/Proceso</t>
    </r>
    <r>
      <rPr>
        <sz val="8"/>
        <rFont val="Arial Narrow"/>
        <family val="2"/>
      </rPr>
      <t xml:space="preserve">
Emisión de informe con el resultado de la implementación de los proyectos de madurez del proceso de auditoria interna  </t>
    </r>
  </si>
  <si>
    <t>(informe anual emitido / 1 )* 100</t>
  </si>
  <si>
    <t>Informe anual emitido</t>
  </si>
  <si>
    <t xml:space="preserve">Valor indicador=   </t>
  </si>
  <si>
    <t xml:space="preserve">Operando 1=   </t>
  </si>
  <si>
    <t>1)*100</t>
  </si>
  <si>
    <t xml:space="preserve">Operando 2=    </t>
  </si>
  <si>
    <t>5.8.1.51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</si>
  <si>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 xml:space="preserve">Porcentaje de Informes de auditoría (código ASEG) con encuesta de satisfacción enviadas a clientes internos en el año t. </t>
    </r>
    <r>
      <rPr>
        <b/>
        <sz val="8"/>
        <rFont val="Arial Narrow"/>
        <family val="2"/>
      </rPr>
      <t xml:space="preserve">
</t>
    </r>
  </si>
  <si>
    <t>(Número de informes de auditoría (código ASEG) con encuesta de satisfacción enviadas a clientes internos en el año t. / Número total de informes de auditoría (código ASEG) establecidos en el Plan anual de Auditoría 2025) *100</t>
  </si>
  <si>
    <t>(Número de informes de auditoría (código ASEG) con encuesta de satisfacción enviadas a clientes internos en el año t.</t>
  </si>
  <si>
    <t>Número total de informes de auditoría (código ASEG) establecidos en el Plan anual de Auditoría 2025) *100</t>
  </si>
  <si>
    <t>5.8.1.15</t>
  </si>
  <si>
    <r>
      <rPr>
        <b/>
        <sz val="8"/>
        <rFont val="Arial Narrow"/>
        <family val="2"/>
      </rPr>
      <t xml:space="preserve">3) </t>
    </r>
    <r>
      <rPr>
        <b/>
        <u/>
        <sz val="8"/>
        <rFont val="Arial Narrow"/>
        <family val="2"/>
      </rPr>
      <t>Eficacia/Proceso</t>
    </r>
    <r>
      <rPr>
        <sz val="8"/>
        <rFont val="Arial Narrow"/>
        <family val="2"/>
      </rPr>
      <t xml:space="preserve">
Porcentaje de capacitaciones realizadas a los Auditores Internos en el año t.
</t>
    </r>
  </si>
  <si>
    <t>(Sumatoria de capacitaciones realizadas a los Auditores Internos en el año t / N° total de capacitaciones programadas para los Auditores Internos en el año t)*100</t>
  </si>
  <si>
    <t xml:space="preserve">(Sumatoria de capacitaciones realizadas a los Auditores Internos en el año t </t>
  </si>
  <si>
    <t>N° total de capacitaciones programadas para los Auditores Internos en el año t)*100</t>
  </si>
  <si>
    <t>5.8.1.52</t>
  </si>
  <si>
    <r>
      <rPr>
        <b/>
        <sz val="8"/>
        <rFont val="Arial Narrow"/>
        <family val="2"/>
      </rPr>
      <t>4)</t>
    </r>
    <r>
      <rPr>
        <b/>
        <u/>
        <sz val="8"/>
        <rFont val="Arial Narrow"/>
        <family val="2"/>
      </rPr>
      <t xml:space="preserve"> Eficacia/Proceso</t>
    </r>
    <r>
      <rPr>
        <sz val="8"/>
        <rFont val="Arial Narrow"/>
        <family val="2"/>
      </rPr>
      <t xml:space="preserve">
Porcentaje actividades implementadas del Plan de difusión de la marca de Auditoría Interna en el año t.</t>
    </r>
  </si>
  <si>
    <t>(N° de actividades implementadas del Plan de difusión de la marca de Auditoría Interna en el año t / Total de actividades definidas en el Plan de difusión de la marca de Auditoría Interna en el año t)*100</t>
  </si>
  <si>
    <t>N° de actividades implementadas del Plan de difusión de la marca de Auditoría Interna en el año t</t>
  </si>
  <si>
    <t>Total de actividades definidas en el Plan de difusión de la marca de Auditoría Interna en el año t)*100</t>
  </si>
  <si>
    <t>5.8.1.53</t>
  </si>
  <si>
    <r>
      <rPr>
        <b/>
        <sz val="8"/>
        <color theme="1"/>
        <rFont val="Arial Narrow"/>
        <family val="2"/>
      </rPr>
      <t xml:space="preserve">5) </t>
    </r>
    <r>
      <rPr>
        <b/>
        <u/>
        <sz val="8"/>
        <color theme="1"/>
        <rFont val="Arial Narrow"/>
        <family val="2"/>
      </rPr>
      <t xml:space="preserve">Eficacia/Proceso
</t>
    </r>
    <r>
      <rPr>
        <sz val="8"/>
        <color theme="1"/>
        <rFont val="Arial Narrow"/>
        <family val="2"/>
      </rPr>
      <t>Porcentaje de actividades de Sensibilización en aspectos de la NCh3262 realizadas en el Departamento.</t>
    </r>
  </si>
  <si>
    <t>(N° de actividades de Sensibilización implementadas en el año t / N° de actividades de Sensibilización planificadas para el año t) *100</t>
  </si>
  <si>
    <t>N° de actividades de Sensibilización implementadas en el año t</t>
  </si>
  <si>
    <t>N° de actividades de Sensibilización planificadas para el año t)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</si>
</sst>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0"/>
      <name val="Arial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u/>
      <sz val="8"/>
      <name val="Arial Narrow"/>
      <family val="2"/>
    </font>
    <font>
      <b/>
      <sz val="12"/>
      <color indexed="12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u/>
      <sz val="8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5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10" fontId="3" fillId="5" borderId="3" xfId="4" applyNumberFormat="1" applyFont="1" applyFill="1" applyBorder="1" applyAlignment="1" applyProtection="1">
      <alignment vertical="center"/>
    </xf>
    <xf numFmtId="10" fontId="3" fillId="4" borderId="4" xfId="4" applyNumberFormat="1" applyFont="1" applyFill="1" applyBorder="1" applyAlignment="1" applyProtection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3" fontId="3" fillId="5" borderId="3" xfId="0" applyNumberFormat="1" applyFont="1" applyFill="1" applyBorder="1" applyAlignment="1" applyProtection="1">
      <alignment horizontal="right" vertical="center" wrapText="1"/>
      <protection locked="0"/>
    </xf>
    <xf numFmtId="3" fontId="3" fillId="4" borderId="4" xfId="0" applyNumberFormat="1" applyFont="1" applyFill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left" vertical="center" wrapText="1"/>
    </xf>
    <xf numFmtId="3" fontId="3" fillId="4" borderId="4" xfId="0" applyNumberFormat="1" applyFont="1" applyFill="1" applyBorder="1" applyAlignment="1">
      <alignment horizontal="left" vertical="center" wrapText="1"/>
    </xf>
    <xf numFmtId="3" fontId="3" fillId="5" borderId="5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3" fontId="6" fillId="0" borderId="0" xfId="0" applyNumberFormat="1" applyFont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0" xfId="0" applyFont="1"/>
    <xf numFmtId="9" fontId="3" fillId="0" borderId="1" xfId="4" applyFont="1" applyBorder="1" applyAlignment="1">
      <alignment vertical="center"/>
    </xf>
    <xf numFmtId="0" fontId="3" fillId="0" borderId="0" xfId="0" applyFont="1"/>
    <xf numFmtId="10" fontId="3" fillId="5" borderId="3" xfId="4" applyNumberFormat="1" applyFont="1" applyFill="1" applyBorder="1" applyAlignment="1" applyProtection="1">
      <alignment horizontal="right" vertical="center"/>
    </xf>
    <xf numFmtId="9" fontId="3" fillId="0" borderId="3" xfId="4" applyFont="1" applyBorder="1" applyAlignment="1">
      <alignment vertical="center"/>
    </xf>
    <xf numFmtId="3" fontId="3" fillId="6" borderId="3" xfId="0" applyNumberFormat="1" applyFont="1" applyFill="1" applyBorder="1" applyAlignment="1">
      <alignment horizontal="right"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10" fontId="3" fillId="0" borderId="3" xfId="4" applyNumberFormat="1" applyFont="1" applyBorder="1" applyAlignment="1">
      <alignment horizontal="center" vertical="center"/>
    </xf>
    <xf numFmtId="9" fontId="3" fillId="0" borderId="5" xfId="4" applyFont="1" applyBorder="1" applyAlignment="1">
      <alignment vertical="center"/>
    </xf>
    <xf numFmtId="9" fontId="3" fillId="0" borderId="1" xfId="4" applyFont="1" applyFill="1" applyBorder="1" applyAlignment="1">
      <alignment vertical="center"/>
    </xf>
    <xf numFmtId="0" fontId="3" fillId="0" borderId="9" xfId="0" applyFont="1" applyBorder="1"/>
    <xf numFmtId="10" fontId="2" fillId="0" borderId="3" xfId="4" applyNumberFormat="1" applyFont="1" applyFill="1" applyBorder="1" applyAlignment="1" applyProtection="1">
      <alignment horizontal="right" vertical="center"/>
    </xf>
    <xf numFmtId="9" fontId="3" fillId="0" borderId="3" xfId="4" applyFont="1" applyFill="1" applyBorder="1" applyAlignment="1">
      <alignment vertical="center"/>
    </xf>
    <xf numFmtId="10" fontId="3" fillId="0" borderId="3" xfId="4" applyNumberFormat="1" applyFont="1" applyFill="1" applyBorder="1" applyAlignment="1">
      <alignment horizontal="center" vertical="center"/>
    </xf>
    <xf numFmtId="9" fontId="3" fillId="0" borderId="5" xfId="4" applyFont="1" applyFill="1" applyBorder="1" applyAlignment="1">
      <alignment vertical="center"/>
    </xf>
    <xf numFmtId="3" fontId="3" fillId="5" borderId="3" xfId="0" applyNumberFormat="1" applyFont="1" applyFill="1" applyBorder="1" applyAlignment="1">
      <alignment horizontal="right" vertical="center" wrapText="1"/>
    </xf>
    <xf numFmtId="3" fontId="3" fillId="6" borderId="5" xfId="0" applyNumberFormat="1" applyFont="1" applyFill="1" applyBorder="1" applyAlignment="1">
      <alignment horizontal="right" vertical="center" wrapText="1"/>
    </xf>
    <xf numFmtId="3" fontId="3" fillId="4" borderId="5" xfId="0" applyNumberFormat="1" applyFont="1" applyFill="1" applyBorder="1" applyAlignment="1">
      <alignment horizontal="right" vertical="center" wrapText="1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9" fontId="11" fillId="0" borderId="1" xfId="4" applyFont="1" applyBorder="1" applyAlignment="1">
      <alignment vertical="center"/>
    </xf>
    <xf numFmtId="10" fontId="10" fillId="8" borderId="3" xfId="4" applyNumberFormat="1" applyFont="1" applyFill="1" applyBorder="1" applyAlignment="1" applyProtection="1">
      <alignment horizontal="right" vertical="center"/>
    </xf>
    <xf numFmtId="10" fontId="11" fillId="2" borderId="3" xfId="4" applyNumberFormat="1" applyFont="1" applyFill="1" applyBorder="1" applyAlignment="1" applyProtection="1">
      <alignment horizontal="right" vertical="center"/>
    </xf>
    <xf numFmtId="10" fontId="11" fillId="3" borderId="4" xfId="4" applyNumberFormat="1" applyFont="1" applyFill="1" applyBorder="1" applyAlignment="1" applyProtection="1">
      <alignment vertical="center"/>
    </xf>
    <xf numFmtId="9" fontId="11" fillId="0" borderId="3" xfId="4" applyFont="1" applyBorder="1" applyAlignment="1">
      <alignment vertical="center"/>
    </xf>
    <xf numFmtId="0" fontId="11" fillId="0" borderId="3" xfId="0" applyFont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3" fontId="11" fillId="6" borderId="3" xfId="0" applyNumberFormat="1" applyFont="1" applyFill="1" applyBorder="1" applyAlignment="1">
      <alignment horizontal="right" vertical="center" wrapText="1"/>
    </xf>
    <xf numFmtId="10" fontId="11" fillId="0" borderId="3" xfId="4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left" vertical="center" wrapText="1"/>
    </xf>
    <xf numFmtId="9" fontId="11" fillId="0" borderId="5" xfId="4" applyFont="1" applyBorder="1" applyAlignment="1">
      <alignment vertical="center"/>
    </xf>
    <xf numFmtId="3" fontId="11" fillId="6" borderId="5" xfId="0" applyNumberFormat="1" applyFont="1" applyFill="1" applyBorder="1" applyAlignment="1">
      <alignment horizontal="right" vertical="center" wrapText="1"/>
    </xf>
    <xf numFmtId="0" fontId="13" fillId="0" borderId="0" xfId="0" applyFont="1"/>
    <xf numFmtId="0" fontId="2" fillId="10" borderId="1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9" fontId="11" fillId="7" borderId="3" xfId="0" applyNumberFormat="1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wrapText="1"/>
    </xf>
    <xf numFmtId="0" fontId="11" fillId="7" borderId="5" xfId="0" applyFont="1" applyFill="1" applyBorder="1" applyAlignment="1">
      <alignment horizontal="left" wrapText="1"/>
    </xf>
    <xf numFmtId="9" fontId="11" fillId="7" borderId="1" xfId="0" applyNumberFormat="1" applyFont="1" applyFill="1" applyBorder="1" applyAlignment="1">
      <alignment horizontal="left" vertical="center" wrapText="1"/>
    </xf>
    <xf numFmtId="0" fontId="12" fillId="7" borderId="1" xfId="3" applyFont="1" applyFill="1" applyBorder="1" applyAlignment="1">
      <alignment horizontal="left" vertical="center" wrapText="1"/>
    </xf>
    <xf numFmtId="0" fontId="11" fillId="7" borderId="3" xfId="3" applyFont="1" applyFill="1" applyBorder="1" applyAlignment="1">
      <alignment horizontal="left" vertical="center"/>
    </xf>
    <xf numFmtId="0" fontId="11" fillId="7" borderId="5" xfId="3" applyFont="1" applyFill="1" applyBorder="1" applyAlignment="1">
      <alignment horizontal="left" vertical="center"/>
    </xf>
    <xf numFmtId="0" fontId="11" fillId="7" borderId="1" xfId="3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5" xfId="2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left" vertical="center" wrapText="1"/>
    </xf>
    <xf numFmtId="1" fontId="3" fillId="7" borderId="3" xfId="0" applyNumberFormat="1" applyFont="1" applyFill="1" applyBorder="1" applyAlignment="1">
      <alignment horizontal="left" vertical="center" wrapText="1"/>
    </xf>
    <xf numFmtId="1" fontId="3" fillId="7" borderId="5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9" fontId="3" fillId="7" borderId="1" xfId="0" applyNumberFormat="1" applyFont="1" applyFill="1" applyBorder="1" applyAlignment="1">
      <alignment horizontal="left" vertical="center" wrapText="1"/>
    </xf>
    <xf numFmtId="9" fontId="3" fillId="7" borderId="3" xfId="0" applyNumberFormat="1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wrapText="1"/>
    </xf>
    <xf numFmtId="0" fontId="3" fillId="7" borderId="3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3" borderId="10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11" fillId="7" borderId="3" xfId="3" applyFont="1" applyFill="1" applyBorder="1" applyAlignment="1"/>
    <xf numFmtId="0" fontId="11" fillId="7" borderId="5" xfId="3" applyFont="1" applyFill="1" applyBorder="1" applyAlignment="1"/>
  </cellXfs>
  <cellStyles count="6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  <cellStyle name="Porcentaje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43"/>
  <sheetViews>
    <sheetView showGridLines="0" tabSelected="1" topLeftCell="A8" zoomScale="110" zoomScaleNormal="110" workbookViewId="0">
      <pane xSplit="1" ySplit="5" topLeftCell="C29" activePane="bottomRight" state="frozen"/>
      <selection pane="bottomRight" activeCell="L35" sqref="L35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1"/>
    <col min="2" max="2" width="20.28515625" style="1" customWidth="1"/>
    <col min="3" max="3" width="26.7109375" style="1" customWidth="1"/>
    <col min="4" max="4" width="28.5703125" style="1" customWidth="1"/>
    <col min="5" max="5" width="17" style="1" customWidth="1"/>
    <col min="6" max="11" width="10.7109375" style="15" customWidth="1"/>
    <col min="12" max="12" width="16" style="15" customWidth="1"/>
    <col min="13" max="13" width="21.28515625" style="1" customWidth="1"/>
    <col min="14" max="14" width="2.28515625" style="1" customWidth="1"/>
    <col min="15" max="16384" width="11.42578125" style="1"/>
  </cols>
  <sheetData>
    <row r="1" spans="1:13" s="13" customFormat="1" ht="12.75" customHeight="1">
      <c r="B1" s="97"/>
      <c r="C1" s="98"/>
      <c r="D1" s="92"/>
      <c r="E1" s="92"/>
      <c r="F1" s="14"/>
      <c r="G1" s="14"/>
      <c r="H1" s="14"/>
      <c r="I1" s="14"/>
      <c r="J1" s="14"/>
      <c r="K1" s="14"/>
      <c r="L1" s="14"/>
    </row>
    <row r="2" spans="1:13" s="13" customFormat="1" ht="12.75" customHeight="1">
      <c r="B2" s="99"/>
      <c r="C2" s="100"/>
      <c r="D2" s="93"/>
      <c r="E2" s="93"/>
      <c r="F2" s="14"/>
      <c r="G2" s="14"/>
      <c r="H2" s="14"/>
      <c r="I2" s="14"/>
      <c r="J2" s="14"/>
      <c r="K2" s="14"/>
      <c r="L2" s="14"/>
    </row>
    <row r="3" spans="1:13" s="13" customFormat="1" ht="15.75" customHeight="1">
      <c r="B3" s="99"/>
      <c r="C3" s="100"/>
      <c r="D3" s="93"/>
      <c r="E3" s="93"/>
      <c r="F3" s="14"/>
      <c r="G3" s="14"/>
      <c r="H3" s="14"/>
      <c r="I3" s="14"/>
      <c r="J3" s="14"/>
      <c r="K3" s="14"/>
      <c r="L3" s="14"/>
    </row>
    <row r="4" spans="1:13" s="13" customFormat="1" ht="12.75" customHeight="1">
      <c r="B4" s="99"/>
      <c r="C4" s="100"/>
      <c r="D4" s="93"/>
      <c r="E4" s="93"/>
      <c r="F4" s="14"/>
      <c r="G4" s="14"/>
      <c r="H4" s="14"/>
      <c r="I4" s="14"/>
      <c r="J4" s="14"/>
      <c r="K4" s="14"/>
      <c r="L4" s="14"/>
    </row>
    <row r="5" spans="1:13" s="13" customFormat="1" ht="20.25" customHeight="1">
      <c r="B5" s="101"/>
      <c r="C5" s="102"/>
      <c r="D5" s="94"/>
      <c r="E5" s="94"/>
      <c r="F5" s="14"/>
      <c r="G5" s="14"/>
      <c r="H5" s="14"/>
      <c r="I5" s="14"/>
      <c r="J5" s="14"/>
      <c r="K5" s="14"/>
      <c r="L5" s="14"/>
    </row>
    <row r="6" spans="1:13" ht="15.75" customHeight="1">
      <c r="B6" s="104"/>
      <c r="C6" s="105"/>
      <c r="D6" s="96"/>
      <c r="E6" s="96"/>
    </row>
    <row r="7" spans="1:13" s="13" customFormat="1" ht="16.5" customHeight="1">
      <c r="F7" s="14"/>
      <c r="G7" s="14"/>
      <c r="H7" s="14"/>
      <c r="I7" s="14"/>
      <c r="J7" s="14"/>
      <c r="K7" s="14"/>
      <c r="L7" s="14"/>
    </row>
    <row r="8" spans="1:13" s="13" customFormat="1" ht="15.6">
      <c r="B8" s="16"/>
      <c r="C8" s="38"/>
      <c r="F8" s="14"/>
      <c r="G8" s="14"/>
      <c r="H8" s="18"/>
      <c r="I8" s="14"/>
      <c r="J8" s="14"/>
      <c r="K8" s="14"/>
      <c r="L8" s="14"/>
    </row>
    <row r="9" spans="1:13" s="13" customFormat="1" ht="16.5" customHeight="1">
      <c r="B9" s="16" t="s">
        <v>0</v>
      </c>
      <c r="C9" s="16"/>
      <c r="F9" s="14"/>
      <c r="G9" s="14"/>
      <c r="H9" s="14"/>
      <c r="I9" s="14"/>
      <c r="J9" s="14"/>
      <c r="K9" s="14"/>
      <c r="L9" s="14"/>
    </row>
    <row r="10" spans="1:13" s="13" customFormat="1" ht="15.95" thickBot="1">
      <c r="B10" s="17"/>
      <c r="C10" s="17"/>
      <c r="F10" s="14"/>
      <c r="G10" s="14"/>
      <c r="H10" s="14"/>
      <c r="I10" s="14"/>
      <c r="J10" s="14"/>
      <c r="K10" s="19"/>
      <c r="L10" s="19"/>
    </row>
    <row r="11" spans="1:13" s="20" customFormat="1" ht="22.9" customHeight="1" thickTop="1">
      <c r="A11" s="57" t="s">
        <v>1</v>
      </c>
      <c r="B11" s="70" t="s">
        <v>2</v>
      </c>
      <c r="C11" s="67" t="s">
        <v>3</v>
      </c>
      <c r="D11" s="67" t="s">
        <v>4</v>
      </c>
      <c r="E11" s="67" t="s">
        <v>5</v>
      </c>
      <c r="F11" s="67" t="s">
        <v>6</v>
      </c>
      <c r="G11" s="67" t="s">
        <v>7</v>
      </c>
      <c r="H11" s="70" t="s">
        <v>8</v>
      </c>
      <c r="I11" s="67" t="s">
        <v>9</v>
      </c>
      <c r="J11" s="67" t="s">
        <v>10</v>
      </c>
      <c r="K11" s="72" t="s">
        <v>11</v>
      </c>
      <c r="L11" s="67" t="s">
        <v>12</v>
      </c>
    </row>
    <row r="12" spans="1:13" s="20" customFormat="1" ht="22.9" customHeight="1" thickBot="1">
      <c r="A12" s="58"/>
      <c r="B12" s="103"/>
      <c r="C12" s="68"/>
      <c r="D12" s="68"/>
      <c r="E12" s="95"/>
      <c r="F12" s="69"/>
      <c r="G12" s="69"/>
      <c r="H12" s="71"/>
      <c r="I12" s="69"/>
      <c r="J12" s="68"/>
      <c r="K12" s="73"/>
      <c r="L12" s="68"/>
    </row>
    <row r="13" spans="1:13" s="22" customFormat="1" ht="22.9" customHeight="1" thickTop="1">
      <c r="A13" s="54" t="s">
        <v>13</v>
      </c>
      <c r="B13" s="89" t="s">
        <v>14</v>
      </c>
      <c r="C13" s="80" t="s">
        <v>15</v>
      </c>
      <c r="D13" s="74" t="s">
        <v>16</v>
      </c>
      <c r="E13" s="2" t="s">
        <v>17</v>
      </c>
      <c r="F13" s="2" t="s">
        <v>17</v>
      </c>
      <c r="G13" s="3" t="s">
        <v>17</v>
      </c>
      <c r="H13" s="2" t="s">
        <v>17</v>
      </c>
      <c r="I13" s="3" t="s">
        <v>17</v>
      </c>
      <c r="J13" s="2" t="s">
        <v>17</v>
      </c>
      <c r="K13" s="3" t="s">
        <v>17</v>
      </c>
      <c r="L13" s="29"/>
      <c r="M13" s="30"/>
    </row>
    <row r="14" spans="1:13" s="22" customFormat="1" ht="22.9" customHeight="1">
      <c r="A14" s="55"/>
      <c r="B14" s="90"/>
      <c r="C14" s="83"/>
      <c r="D14" s="75"/>
      <c r="E14" s="31">
        <f>IF(E16&lt;&gt;0,+E16/E18,0%)</f>
        <v>1</v>
      </c>
      <c r="F14" s="4">
        <f t="shared" ref="F14:K14" si="0">IF(F16&lt;&gt;0,+F16/F18,0%)</f>
        <v>0</v>
      </c>
      <c r="G14" s="5" t="e">
        <f>IF(G16&lt;&gt;0,+G16/G18,0%)</f>
        <v>#REF!</v>
      </c>
      <c r="H14" s="4">
        <f t="shared" si="0"/>
        <v>0</v>
      </c>
      <c r="I14" s="5" t="e">
        <f t="shared" si="0"/>
        <v>#REF!</v>
      </c>
      <c r="J14" s="4">
        <f t="shared" si="0"/>
        <v>0</v>
      </c>
      <c r="K14" s="5" t="e">
        <f t="shared" si="0"/>
        <v>#REF!</v>
      </c>
      <c r="L14" s="32"/>
    </row>
    <row r="15" spans="1:13" s="22" customFormat="1" ht="22.9" customHeight="1" thickBot="1">
      <c r="A15" s="55"/>
      <c r="B15" s="90"/>
      <c r="C15" s="83"/>
      <c r="D15" s="76"/>
      <c r="E15" s="6" t="s">
        <v>18</v>
      </c>
      <c r="F15" s="6" t="s">
        <v>18</v>
      </c>
      <c r="G15" s="7" t="s">
        <v>18</v>
      </c>
      <c r="H15" s="6" t="s">
        <v>18</v>
      </c>
      <c r="I15" s="7" t="s">
        <v>18</v>
      </c>
      <c r="J15" s="6" t="s">
        <v>18</v>
      </c>
      <c r="K15" s="7" t="s">
        <v>18</v>
      </c>
      <c r="L15" s="32"/>
    </row>
    <row r="16" spans="1:13" s="22" customFormat="1" ht="22.9" customHeight="1" thickTop="1">
      <c r="A16" s="55"/>
      <c r="B16" s="90"/>
      <c r="C16" s="83"/>
      <c r="D16" s="75" t="s">
        <v>19</v>
      </c>
      <c r="E16" s="25">
        <v>1</v>
      </c>
      <c r="F16" s="8">
        <v>0</v>
      </c>
      <c r="G16" s="9" t="e">
        <f>+#REF!+F16</f>
        <v>#REF!</v>
      </c>
      <c r="H16" s="8">
        <v>0</v>
      </c>
      <c r="I16" s="9" t="e">
        <f>+G16+H16</f>
        <v>#REF!</v>
      </c>
      <c r="J16" s="8">
        <v>0</v>
      </c>
      <c r="K16" s="9" t="e">
        <f>+I16+J16</f>
        <v>#REF!</v>
      </c>
      <c r="L16" s="33" t="e">
        <f>+K14/E14</f>
        <v>#REF!</v>
      </c>
    </row>
    <row r="17" spans="1:13" s="22" customFormat="1" ht="22.9" customHeight="1">
      <c r="A17" s="55"/>
      <c r="B17" s="90"/>
      <c r="C17" s="83"/>
      <c r="D17" s="75"/>
      <c r="E17" s="10" t="s">
        <v>20</v>
      </c>
      <c r="F17" s="10" t="s">
        <v>20</v>
      </c>
      <c r="G17" s="11" t="s">
        <v>20</v>
      </c>
      <c r="H17" s="10" t="s">
        <v>20</v>
      </c>
      <c r="I17" s="11" t="s">
        <v>20</v>
      </c>
      <c r="J17" s="10" t="s">
        <v>20</v>
      </c>
      <c r="K17" s="11" t="s">
        <v>20</v>
      </c>
      <c r="L17" s="32"/>
    </row>
    <row r="18" spans="1:13" s="22" customFormat="1" ht="22.9" customHeight="1" thickBot="1">
      <c r="A18" s="56"/>
      <c r="B18" s="91"/>
      <c r="C18" s="84"/>
      <c r="D18" s="76"/>
      <c r="E18" s="25">
        <v>1</v>
      </c>
      <c r="F18" s="12">
        <v>1</v>
      </c>
      <c r="G18" s="9" t="e">
        <f>+#REF!+F18</f>
        <v>#REF!</v>
      </c>
      <c r="H18" s="12">
        <v>1</v>
      </c>
      <c r="I18" s="9" t="e">
        <f>+G18+H18</f>
        <v>#REF!</v>
      </c>
      <c r="J18" s="12">
        <v>1</v>
      </c>
      <c r="K18" s="9" t="e">
        <f>+I18+J18</f>
        <v>#REF!</v>
      </c>
      <c r="L18" s="34"/>
    </row>
    <row r="19" spans="1:13" s="22" customFormat="1" ht="32.25" customHeight="1" thickTop="1">
      <c r="A19" s="54" t="s">
        <v>21</v>
      </c>
      <c r="B19" s="89" t="s">
        <v>22</v>
      </c>
      <c r="C19" s="80" t="s">
        <v>23</v>
      </c>
      <c r="D19" s="74" t="s">
        <v>24</v>
      </c>
      <c r="E19" s="2" t="s">
        <v>17</v>
      </c>
      <c r="F19" s="2" t="s">
        <v>17</v>
      </c>
      <c r="G19" s="3" t="s">
        <v>17</v>
      </c>
      <c r="H19" s="2" t="s">
        <v>17</v>
      </c>
      <c r="I19" s="3" t="s">
        <v>17</v>
      </c>
      <c r="J19" s="2" t="s">
        <v>17</v>
      </c>
      <c r="K19" s="3" t="s">
        <v>17</v>
      </c>
      <c r="L19" s="29"/>
      <c r="M19" s="30"/>
    </row>
    <row r="20" spans="1:13" s="22" customFormat="1" ht="22.9" customHeight="1">
      <c r="A20" s="55"/>
      <c r="B20" s="90"/>
      <c r="C20" s="83"/>
      <c r="D20" s="75"/>
      <c r="E20" s="31">
        <f t="shared" ref="E20:K20" si="1">IF(E22&lt;&gt;0,+E22/E24,0%)</f>
        <v>0.84210526315789469</v>
      </c>
      <c r="F20" s="23">
        <f t="shared" si="1"/>
        <v>0.26666666666666666</v>
      </c>
      <c r="G20" s="5" t="e">
        <f t="shared" si="1"/>
        <v>#REF!</v>
      </c>
      <c r="H20" s="23">
        <f t="shared" si="1"/>
        <v>0.2</v>
      </c>
      <c r="I20" s="5" t="e">
        <f t="shared" si="1"/>
        <v>#REF!</v>
      </c>
      <c r="J20" s="23">
        <f t="shared" si="1"/>
        <v>6.6666666666666666E-2</v>
      </c>
      <c r="K20" s="5" t="e">
        <f t="shared" si="1"/>
        <v>#REF!</v>
      </c>
      <c r="L20" s="32"/>
    </row>
    <row r="21" spans="1:13" s="22" customFormat="1" ht="22.9" customHeight="1" thickBot="1">
      <c r="A21" s="55"/>
      <c r="B21" s="90"/>
      <c r="C21" s="83"/>
      <c r="D21" s="76"/>
      <c r="E21" s="6" t="s">
        <v>18</v>
      </c>
      <c r="F21" s="6" t="s">
        <v>18</v>
      </c>
      <c r="G21" s="7" t="s">
        <v>18</v>
      </c>
      <c r="H21" s="6" t="s">
        <v>18</v>
      </c>
      <c r="I21" s="7" t="s">
        <v>18</v>
      </c>
      <c r="J21" s="6" t="s">
        <v>18</v>
      </c>
      <c r="K21" s="7" t="s">
        <v>18</v>
      </c>
      <c r="L21" s="32"/>
    </row>
    <row r="22" spans="1:13" s="22" customFormat="1" ht="22.9" customHeight="1" thickTop="1">
      <c r="A22" s="55"/>
      <c r="B22" s="90"/>
      <c r="C22" s="83"/>
      <c r="D22" s="74" t="s">
        <v>25</v>
      </c>
      <c r="E22" s="25">
        <v>16</v>
      </c>
      <c r="F22" s="35">
        <v>4</v>
      </c>
      <c r="G22" s="9" t="e">
        <f>+#REF!+F22</f>
        <v>#REF!</v>
      </c>
      <c r="H22" s="35">
        <v>3</v>
      </c>
      <c r="I22" s="9" t="e">
        <f t="shared" ref="I22:K22" si="2">+G22+H22</f>
        <v>#REF!</v>
      </c>
      <c r="J22" s="35">
        <v>1</v>
      </c>
      <c r="K22" s="9" t="e">
        <f t="shared" si="2"/>
        <v>#REF!</v>
      </c>
      <c r="L22" s="33" t="e">
        <f>+K20/E20</f>
        <v>#REF!</v>
      </c>
    </row>
    <row r="23" spans="1:13" s="22" customFormat="1" ht="22.9" customHeight="1">
      <c r="A23" s="55"/>
      <c r="B23" s="90"/>
      <c r="C23" s="83"/>
      <c r="D23" s="75"/>
      <c r="E23" s="10" t="s">
        <v>20</v>
      </c>
      <c r="F23" s="10" t="s">
        <v>20</v>
      </c>
      <c r="G23" s="11" t="s">
        <v>20</v>
      </c>
      <c r="H23" s="10" t="s">
        <v>20</v>
      </c>
      <c r="I23" s="11" t="s">
        <v>20</v>
      </c>
      <c r="J23" s="10" t="s">
        <v>20</v>
      </c>
      <c r="K23" s="11" t="s">
        <v>20</v>
      </c>
      <c r="L23" s="32"/>
    </row>
    <row r="24" spans="1:13" s="22" customFormat="1" ht="22.9" customHeight="1" thickBot="1">
      <c r="A24" s="56"/>
      <c r="B24" s="91"/>
      <c r="C24" s="84"/>
      <c r="D24" s="76"/>
      <c r="E24" s="25">
        <v>19</v>
      </c>
      <c r="F24" s="12">
        <v>15</v>
      </c>
      <c r="G24" s="9" t="e">
        <f>+#REF!+F24</f>
        <v>#REF!</v>
      </c>
      <c r="H24" s="12">
        <v>15</v>
      </c>
      <c r="I24" s="9" t="e">
        <f t="shared" ref="I24:K24" si="3">+G24+H24</f>
        <v>#REF!</v>
      </c>
      <c r="J24" s="12">
        <v>15</v>
      </c>
      <c r="K24" s="9" t="e">
        <f t="shared" si="3"/>
        <v>#REF!</v>
      </c>
      <c r="L24" s="34"/>
    </row>
    <row r="25" spans="1:13" s="22" customFormat="1" ht="22.9" customHeight="1" thickTop="1">
      <c r="A25" s="54" t="s">
        <v>26</v>
      </c>
      <c r="B25" s="77" t="s">
        <v>27</v>
      </c>
      <c r="C25" s="80" t="s">
        <v>28</v>
      </c>
      <c r="D25" s="85" t="s">
        <v>29</v>
      </c>
      <c r="E25" s="2" t="s">
        <v>17</v>
      </c>
      <c r="F25" s="2" t="s">
        <v>17</v>
      </c>
      <c r="G25" s="3" t="s">
        <v>17</v>
      </c>
      <c r="H25" s="2" t="s">
        <v>17</v>
      </c>
      <c r="I25" s="3" t="s">
        <v>17</v>
      </c>
      <c r="J25" s="2" t="s">
        <v>17</v>
      </c>
      <c r="K25" s="3" t="s">
        <v>17</v>
      </c>
      <c r="L25" s="21"/>
      <c r="M25" s="30"/>
    </row>
    <row r="26" spans="1:13" s="22" customFormat="1" ht="22.9" customHeight="1">
      <c r="A26" s="55"/>
      <c r="B26" s="78"/>
      <c r="C26" s="81"/>
      <c r="D26" s="86"/>
      <c r="E26" s="31">
        <f t="shared" ref="E26:K26" si="4">IF(E28&lt;&gt;0,+E28/E30,0%)</f>
        <v>1</v>
      </c>
      <c r="F26" s="23">
        <f t="shared" si="4"/>
        <v>0.25</v>
      </c>
      <c r="G26" s="5" t="e">
        <f t="shared" si="4"/>
        <v>#REF!</v>
      </c>
      <c r="H26" s="23">
        <f t="shared" si="4"/>
        <v>0</v>
      </c>
      <c r="I26" s="5" t="e">
        <f t="shared" si="4"/>
        <v>#REF!</v>
      </c>
      <c r="J26" s="23">
        <f t="shared" si="4"/>
        <v>0</v>
      </c>
      <c r="K26" s="5" t="e">
        <f t="shared" si="4"/>
        <v>#REF!</v>
      </c>
      <c r="L26" s="24"/>
    </row>
    <row r="27" spans="1:13" s="22" customFormat="1" ht="22.9" customHeight="1" thickBot="1">
      <c r="A27" s="55"/>
      <c r="B27" s="78"/>
      <c r="C27" s="81"/>
      <c r="D27" s="87"/>
      <c r="E27" s="6" t="s">
        <v>18</v>
      </c>
      <c r="F27" s="6" t="s">
        <v>18</v>
      </c>
      <c r="G27" s="7" t="s">
        <v>18</v>
      </c>
      <c r="H27" s="6" t="s">
        <v>18</v>
      </c>
      <c r="I27" s="7" t="s">
        <v>18</v>
      </c>
      <c r="J27" s="6" t="s">
        <v>18</v>
      </c>
      <c r="K27" s="7" t="s">
        <v>18</v>
      </c>
      <c r="L27" s="24"/>
    </row>
    <row r="28" spans="1:13" s="22" customFormat="1" ht="22.9" customHeight="1" thickTop="1">
      <c r="A28" s="55"/>
      <c r="B28" s="78"/>
      <c r="C28" s="81"/>
      <c r="D28" s="86" t="s">
        <v>30</v>
      </c>
      <c r="E28" s="25">
        <v>4</v>
      </c>
      <c r="F28" s="26">
        <v>1</v>
      </c>
      <c r="G28" s="9" t="e">
        <f>+#REF!+F28</f>
        <v>#REF!</v>
      </c>
      <c r="H28" s="26">
        <v>0</v>
      </c>
      <c r="I28" s="9" t="e">
        <f t="shared" ref="I28" si="5">+G28+H28</f>
        <v>#REF!</v>
      </c>
      <c r="J28" s="26">
        <v>0</v>
      </c>
      <c r="K28" s="9" t="e">
        <f>+I28+J28</f>
        <v>#REF!</v>
      </c>
      <c r="L28" s="27" t="e">
        <f>+K26/E26</f>
        <v>#REF!</v>
      </c>
    </row>
    <row r="29" spans="1:13" s="22" customFormat="1" ht="22.9" customHeight="1">
      <c r="A29" s="55"/>
      <c r="B29" s="78"/>
      <c r="C29" s="81"/>
      <c r="D29" s="88"/>
      <c r="E29" s="10" t="s">
        <v>20</v>
      </c>
      <c r="F29" s="10" t="s">
        <v>20</v>
      </c>
      <c r="G29" s="11" t="s">
        <v>20</v>
      </c>
      <c r="H29" s="10" t="s">
        <v>20</v>
      </c>
      <c r="I29" s="11" t="s">
        <v>20</v>
      </c>
      <c r="J29" s="10" t="s">
        <v>20</v>
      </c>
      <c r="K29" s="11" t="s">
        <v>20</v>
      </c>
      <c r="L29" s="24"/>
    </row>
    <row r="30" spans="1:13" s="22" customFormat="1" ht="22.9" customHeight="1" thickBot="1">
      <c r="A30" s="56"/>
      <c r="B30" s="79"/>
      <c r="C30" s="82"/>
      <c r="D30" s="87"/>
      <c r="E30" s="25">
        <v>4</v>
      </c>
      <c r="F30" s="12">
        <v>4</v>
      </c>
      <c r="G30" s="9" t="e">
        <f>+#REF!+F30</f>
        <v>#REF!</v>
      </c>
      <c r="H30" s="12">
        <v>4</v>
      </c>
      <c r="I30" s="9" t="e">
        <f>+G30+H30</f>
        <v>#REF!</v>
      </c>
      <c r="J30" s="12">
        <v>4</v>
      </c>
      <c r="K30" s="9" t="e">
        <f>+I30+J30</f>
        <v>#REF!</v>
      </c>
      <c r="L30" s="28"/>
    </row>
    <row r="31" spans="1:13" s="22" customFormat="1" ht="22.9" customHeight="1" thickTop="1">
      <c r="A31" s="54" t="s">
        <v>31</v>
      </c>
      <c r="B31" s="77" t="s">
        <v>32</v>
      </c>
      <c r="C31" s="80" t="s">
        <v>33</v>
      </c>
      <c r="D31" s="74" t="s">
        <v>34</v>
      </c>
      <c r="E31" s="2" t="s">
        <v>17</v>
      </c>
      <c r="F31" s="2" t="s">
        <v>17</v>
      </c>
      <c r="G31" s="3" t="s">
        <v>17</v>
      </c>
      <c r="H31" s="2" t="s">
        <v>17</v>
      </c>
      <c r="I31" s="3" t="s">
        <v>17</v>
      </c>
      <c r="J31" s="2" t="s">
        <v>17</v>
      </c>
      <c r="K31" s="3" t="s">
        <v>17</v>
      </c>
      <c r="L31" s="21"/>
    </row>
    <row r="32" spans="1:13" s="22" customFormat="1" ht="22.9" customHeight="1">
      <c r="A32" s="55"/>
      <c r="B32" s="78"/>
      <c r="C32" s="81"/>
      <c r="D32" s="75"/>
      <c r="E32" s="31">
        <f t="shared" ref="E32:K32" si="6">IF(E34&lt;&gt;0,+E34/E36,0%)</f>
        <v>1</v>
      </c>
      <c r="F32" s="23">
        <f t="shared" si="6"/>
        <v>0</v>
      </c>
      <c r="G32" s="5" t="e">
        <f t="shared" si="6"/>
        <v>#REF!</v>
      </c>
      <c r="H32" s="23">
        <f t="shared" si="6"/>
        <v>0</v>
      </c>
      <c r="I32" s="5" t="e">
        <f t="shared" si="6"/>
        <v>#REF!</v>
      </c>
      <c r="J32" s="23">
        <f t="shared" si="6"/>
        <v>0.25</v>
      </c>
      <c r="K32" s="5" t="e">
        <f t="shared" si="6"/>
        <v>#REF!</v>
      </c>
      <c r="L32" s="24"/>
    </row>
    <row r="33" spans="1:18" s="22" customFormat="1" ht="22.9" customHeight="1" thickBot="1">
      <c r="A33" s="55"/>
      <c r="B33" s="78"/>
      <c r="C33" s="81"/>
      <c r="D33" s="76"/>
      <c r="E33" s="6" t="s">
        <v>18</v>
      </c>
      <c r="F33" s="6" t="s">
        <v>18</v>
      </c>
      <c r="G33" s="7" t="s">
        <v>18</v>
      </c>
      <c r="H33" s="6" t="s">
        <v>18</v>
      </c>
      <c r="I33" s="7" t="s">
        <v>18</v>
      </c>
      <c r="J33" s="6" t="s">
        <v>18</v>
      </c>
      <c r="K33" s="7" t="s">
        <v>18</v>
      </c>
      <c r="L33" s="24"/>
    </row>
    <row r="34" spans="1:18" s="22" customFormat="1" ht="22.9" customHeight="1" thickTop="1">
      <c r="A34" s="55"/>
      <c r="B34" s="78"/>
      <c r="C34" s="81"/>
      <c r="D34" s="74" t="s">
        <v>35</v>
      </c>
      <c r="E34" s="25">
        <v>4</v>
      </c>
      <c r="F34" s="26">
        <v>0</v>
      </c>
      <c r="G34" s="9" t="e">
        <f>+#REF!+F34</f>
        <v>#REF!</v>
      </c>
      <c r="H34" s="26">
        <v>0</v>
      </c>
      <c r="I34" s="9" t="e">
        <f>+G34+H34</f>
        <v>#REF!</v>
      </c>
      <c r="J34" s="26">
        <v>1</v>
      </c>
      <c r="K34" s="9" t="e">
        <f>+I34+J34</f>
        <v>#REF!</v>
      </c>
      <c r="L34" s="27" t="e">
        <f>+K32/E32</f>
        <v>#REF!</v>
      </c>
    </row>
    <row r="35" spans="1:18" s="22" customFormat="1" ht="22.9" customHeight="1">
      <c r="A35" s="55"/>
      <c r="B35" s="78"/>
      <c r="C35" s="81"/>
      <c r="D35" s="75"/>
      <c r="E35" s="10" t="s">
        <v>20</v>
      </c>
      <c r="F35" s="10" t="s">
        <v>20</v>
      </c>
      <c r="G35" s="11" t="s">
        <v>20</v>
      </c>
      <c r="H35" s="10" t="s">
        <v>20</v>
      </c>
      <c r="I35" s="11" t="s">
        <v>20</v>
      </c>
      <c r="J35" s="10" t="s">
        <v>20</v>
      </c>
      <c r="K35" s="11" t="s">
        <v>20</v>
      </c>
      <c r="L35" s="24"/>
    </row>
    <row r="36" spans="1:18" s="22" customFormat="1" ht="22.9" customHeight="1" thickBot="1">
      <c r="A36" s="56"/>
      <c r="B36" s="79"/>
      <c r="C36" s="82"/>
      <c r="D36" s="76"/>
      <c r="E36" s="36">
        <v>4</v>
      </c>
      <c r="F36" s="12">
        <v>4</v>
      </c>
      <c r="G36" s="37" t="e">
        <f>+#REF!+F36</f>
        <v>#REF!</v>
      </c>
      <c r="H36" s="12">
        <v>4</v>
      </c>
      <c r="I36" s="37" t="e">
        <f>+G36+H36</f>
        <v>#REF!</v>
      </c>
      <c r="J36" s="12">
        <v>4</v>
      </c>
      <c r="K36" s="37" t="e">
        <f>+I36+J36</f>
        <v>#REF!</v>
      </c>
      <c r="L36" s="28"/>
    </row>
    <row r="37" spans="1:18" s="22" customFormat="1" ht="22.9" customHeight="1" thickTop="1">
      <c r="A37" s="54" t="s">
        <v>36</v>
      </c>
      <c r="B37" s="63" t="s">
        <v>37</v>
      </c>
      <c r="C37" s="66" t="s">
        <v>38</v>
      </c>
      <c r="D37" s="59" t="s">
        <v>39</v>
      </c>
      <c r="E37" s="39" t="s">
        <v>17</v>
      </c>
      <c r="F37" s="39" t="s">
        <v>17</v>
      </c>
      <c r="G37" s="40" t="s">
        <v>17</v>
      </c>
      <c r="H37" s="39" t="s">
        <v>17</v>
      </c>
      <c r="I37" s="40" t="s">
        <v>17</v>
      </c>
      <c r="J37" s="39" t="s">
        <v>17</v>
      </c>
      <c r="K37" s="40" t="s">
        <v>17</v>
      </c>
      <c r="L37" s="41"/>
    </row>
    <row r="38" spans="1:18" s="22" customFormat="1" ht="22.9" customHeight="1">
      <c r="A38" s="55"/>
      <c r="B38" s="64"/>
      <c r="C38" s="106"/>
      <c r="D38" s="60"/>
      <c r="E38" s="42">
        <f>IF(E40&lt;&gt;0,+E40/E42,0%)</f>
        <v>1</v>
      </c>
      <c r="F38" s="43">
        <f>IF(F40&lt;&gt;0,+F40/F42,0%)</f>
        <v>0</v>
      </c>
      <c r="G38" s="44" t="e">
        <f t="shared" ref="G38" si="7">IF(G40&lt;&gt;0,+G40/G42,0%)</f>
        <v>#REF!</v>
      </c>
      <c r="H38" s="43">
        <f>IF(H40&lt;&gt;0,+H40/H42,0%)</f>
        <v>0</v>
      </c>
      <c r="I38" s="44" t="e">
        <f t="shared" ref="I38" si="8">IF(I40&lt;&gt;0,+I40/I42,0%)</f>
        <v>#REF!</v>
      </c>
      <c r="J38" s="43">
        <f>IF(J40&lt;&gt;0,+J40/J42,0%)</f>
        <v>0</v>
      </c>
      <c r="K38" s="44" t="e">
        <f t="shared" ref="K38" si="9">IF(K40&lt;&gt;0,+K40/K42,0%)</f>
        <v>#REF!</v>
      </c>
      <c r="L38" s="45"/>
    </row>
    <row r="39" spans="1:18" s="22" customFormat="1" ht="22.9" customHeight="1" thickBot="1">
      <c r="A39" s="55"/>
      <c r="B39" s="64"/>
      <c r="C39" s="106"/>
      <c r="D39" s="61"/>
      <c r="E39" s="46" t="s">
        <v>18</v>
      </c>
      <c r="F39" s="46" t="s">
        <v>18</v>
      </c>
      <c r="G39" s="47" t="s">
        <v>18</v>
      </c>
      <c r="H39" s="46" t="s">
        <v>18</v>
      </c>
      <c r="I39" s="47" t="s">
        <v>18</v>
      </c>
      <c r="J39" s="46" t="s">
        <v>18</v>
      </c>
      <c r="K39" s="47" t="s">
        <v>18</v>
      </c>
      <c r="L39" s="45"/>
    </row>
    <row r="40" spans="1:18" s="22" customFormat="1" ht="22.9" customHeight="1" thickTop="1">
      <c r="A40" s="55"/>
      <c r="B40" s="64"/>
      <c r="C40" s="106"/>
      <c r="D40" s="62" t="s">
        <v>40</v>
      </c>
      <c r="E40" s="48">
        <v>2</v>
      </c>
      <c r="F40" s="26">
        <v>0</v>
      </c>
      <c r="G40" s="9" t="e">
        <f>+#REF!+F40</f>
        <v>#REF!</v>
      </c>
      <c r="H40" s="26">
        <v>0</v>
      </c>
      <c r="I40" s="9" t="e">
        <f>+G40+H40</f>
        <v>#REF!</v>
      </c>
      <c r="J40" s="26">
        <v>0</v>
      </c>
      <c r="K40" s="9" t="e">
        <f>+I40+J40</f>
        <v>#REF!</v>
      </c>
      <c r="L40" s="49" t="e">
        <f>+K38/E38</f>
        <v>#REF!</v>
      </c>
      <c r="R40" s="53"/>
    </row>
    <row r="41" spans="1:18" s="22" customFormat="1" ht="22.9" customHeight="1">
      <c r="A41" s="55"/>
      <c r="B41" s="64"/>
      <c r="C41" s="106"/>
      <c r="D41" s="59"/>
      <c r="E41" s="50" t="s">
        <v>20</v>
      </c>
      <c r="F41" s="10" t="s">
        <v>20</v>
      </c>
      <c r="G41" s="11" t="s">
        <v>20</v>
      </c>
      <c r="H41" s="10" t="s">
        <v>20</v>
      </c>
      <c r="I41" s="11" t="s">
        <v>20</v>
      </c>
      <c r="J41" s="10" t="s">
        <v>20</v>
      </c>
      <c r="K41" s="11" t="s">
        <v>20</v>
      </c>
      <c r="L41" s="45"/>
    </row>
    <row r="42" spans="1:18" s="22" customFormat="1" ht="22.9" customHeight="1" thickBot="1">
      <c r="A42" s="56"/>
      <c r="B42" s="65"/>
      <c r="C42" s="107"/>
      <c r="D42" s="61"/>
      <c r="E42" s="52">
        <v>2</v>
      </c>
      <c r="F42" s="12">
        <v>2</v>
      </c>
      <c r="G42" s="37" t="e">
        <f>+#REF!+F42</f>
        <v>#REF!</v>
      </c>
      <c r="H42" s="12">
        <v>2</v>
      </c>
      <c r="I42" s="37" t="e">
        <f>+G42+H42</f>
        <v>#REF!</v>
      </c>
      <c r="J42" s="12">
        <v>2</v>
      </c>
      <c r="K42" s="37" t="e">
        <f>+I42+J42</f>
        <v>#REF!</v>
      </c>
      <c r="L42" s="51"/>
    </row>
    <row r="43" spans="1:18" ht="13.5" thickTop="1"/>
  </sheetData>
  <mergeCells count="41">
    <mergeCell ref="B1:C5"/>
    <mergeCell ref="B11:B12"/>
    <mergeCell ref="C11:C12"/>
    <mergeCell ref="B13:B18"/>
    <mergeCell ref="B6:C6"/>
    <mergeCell ref="C13:C18"/>
    <mergeCell ref="D1:E5"/>
    <mergeCell ref="E11:E12"/>
    <mergeCell ref="D6:E6"/>
    <mergeCell ref="D11:D12"/>
    <mergeCell ref="D13:D15"/>
    <mergeCell ref="K11:K12"/>
    <mergeCell ref="L11:L12"/>
    <mergeCell ref="D31:D33"/>
    <mergeCell ref="B31:B36"/>
    <mergeCell ref="C31:C36"/>
    <mergeCell ref="D19:D21"/>
    <mergeCell ref="D22:D24"/>
    <mergeCell ref="C25:C30"/>
    <mergeCell ref="C19:C24"/>
    <mergeCell ref="D16:D18"/>
    <mergeCell ref="D25:D27"/>
    <mergeCell ref="D28:D30"/>
    <mergeCell ref="D34:D36"/>
    <mergeCell ref="B25:B30"/>
    <mergeCell ref="B19:B24"/>
    <mergeCell ref="D37:D39"/>
    <mergeCell ref="D40:D42"/>
    <mergeCell ref="B37:B42"/>
    <mergeCell ref="C37:C42"/>
    <mergeCell ref="J11:J12"/>
    <mergeCell ref="F11:F12"/>
    <mergeCell ref="G11:G12"/>
    <mergeCell ref="H11:H12"/>
    <mergeCell ref="I11:I12"/>
    <mergeCell ref="A37:A42"/>
    <mergeCell ref="A11:A12"/>
    <mergeCell ref="A13:A18"/>
    <mergeCell ref="A19:A24"/>
    <mergeCell ref="A25:A30"/>
    <mergeCell ref="A31:A36"/>
  </mergeCells>
  <phoneticPr fontId="4" type="noConversion"/>
  <pageMargins left="0.56999999999999995" right="0.37" top="0.41" bottom="0.47" header="0" footer="0"/>
  <pageSetup scale="5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2026-02-12T12:07:49Z</dcterms:modified>
  <cp:category/>
  <cp:contentStatus/>
</cp:coreProperties>
</file>