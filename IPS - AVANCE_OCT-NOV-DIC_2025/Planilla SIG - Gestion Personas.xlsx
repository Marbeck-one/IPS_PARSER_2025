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de Gestión y Desarrollo de Personas/"/>
    </mc:Choice>
  </mc:AlternateContent>
  <xr:revisionPtr revIDLastSave="51" documentId="14_{317FC7D3-6613-48A9-9F65-9467C12F1C7D}" xr6:coauthVersionLast="47" xr6:coauthVersionMax="47" xr10:uidLastSave="{A66570AA-CB19-4C0A-8591-1AC6E7CDDEDE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_FilterDatabase" localSheetId="0" hidden="1">'CDC 2025'!$B$11:$L$36</definedName>
    <definedName name="_xlnm.Print_Area" localSheetId="0">'CDC 2025'!$B$1:$L$12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H32" i="1"/>
  <c r="F32" i="1"/>
  <c r="E32" i="1"/>
  <c r="G28" i="1" l="1"/>
  <c r="I28" i="1" s="1"/>
  <c r="K28" i="1" s="1"/>
  <c r="K26" i="1" s="1"/>
  <c r="J26" i="1"/>
  <c r="H26" i="1"/>
  <c r="F26" i="1"/>
  <c r="E26" i="1"/>
  <c r="G36" i="1"/>
  <c r="I36" i="1" s="1"/>
  <c r="K36" i="1" s="1"/>
  <c r="L28" i="1" l="1"/>
  <c r="G34" i="1" l="1"/>
  <c r="G32" i="1" l="1"/>
  <c r="I34" i="1"/>
  <c r="K34" i="1" l="1"/>
  <c r="K32" i="1" s="1"/>
  <c r="L34" i="1" s="1"/>
  <c r="I32" i="1"/>
  <c r="J20" i="1" l="1"/>
  <c r="F20" i="1"/>
  <c r="J14" i="1"/>
  <c r="H14" i="1"/>
  <c r="F14" i="1"/>
  <c r="H20" i="1" l="1"/>
  <c r="G18" i="1"/>
  <c r="I18" i="1" s="1"/>
  <c r="G22" i="1" l="1"/>
  <c r="G16" i="1"/>
  <c r="I22" i="1" l="1"/>
  <c r="I16" i="1"/>
  <c r="K22" i="1" l="1"/>
  <c r="K20" i="1" s="1"/>
  <c r="K18" i="1" l="1"/>
  <c r="E20" i="1" l="1"/>
  <c r="E14" i="1"/>
  <c r="K16" i="1" l="1"/>
  <c r="L22" i="1"/>
  <c r="K14" i="1" l="1"/>
  <c r="L16" i="1" s="1"/>
</calcChain>
</file>

<file path=xl/sharedStrings.xml><?xml version="1.0" encoding="utf-8"?>
<sst xmlns="http://schemas.openxmlformats.org/spreadsheetml/2006/main" count="117" uniqueCount="36">
  <si>
    <t>DEPTO GESTIÓN Y DESARROLLO DE PERSONAS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</si>
  <si>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</si>
  <si>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</si>
  <si>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</si>
  <si>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</si>
  <si>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</si>
  <si>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</si>
  <si>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</si>
  <si>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</si>
  <si>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</si>
  <si>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</si>
  <si>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</si>
  <si>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</si>
  <si>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5.3.1.59</t>
  </si>
  <si>
    <r>
      <rPr>
        <b/>
        <u/>
        <sz val="8"/>
        <rFont val="Arial Narrow"/>
        <family val="2"/>
      </rPr>
      <t>1) Eficacia /Proceso</t>
    </r>
    <r>
      <rPr>
        <sz val="8"/>
        <rFont val="Arial Narrow"/>
        <family val="2"/>
      </rPr>
      <t xml:space="preserve">
Porcentaje de compromisos derivados de las Auditorías Internas que son de responsabilidad del Departamento Gestión y Desarrollo de Personas implementados en el año t.</t>
    </r>
  </si>
  <si>
    <t>(Número de compromisos derivados de Auditoria Internas implementados en el año t / Número total de compromisos adquiridos por el Departamento Gestión y Desarrollo de Personas derivados de las Auditorías Internas en el año t)*100</t>
  </si>
  <si>
    <t>(Número de compromisos derivados de Auditoria Internas implementados en el año t</t>
  </si>
  <si>
    <t xml:space="preserve">Valor indicador=   </t>
  </si>
  <si>
    <t xml:space="preserve">Operando 1=   </t>
  </si>
  <si>
    <t>Número total de compromisos adquiridos por el Departamento Gestión y Desarrollo de Personas derivados de las Auditorías Internas en el año t)*100</t>
  </si>
  <si>
    <t xml:space="preserve">Operando 2=    </t>
  </si>
  <si>
    <t>5.3.1.60</t>
  </si>
  <si>
    <r>
      <rPr>
        <b/>
        <u/>
        <sz val="8"/>
        <rFont val="Arial Narrow"/>
        <family val="2"/>
      </rPr>
      <t>2) Calidad/Producto</t>
    </r>
    <r>
      <rPr>
        <sz val="8"/>
        <rFont val="Arial Narrow"/>
        <family val="2"/>
      </rPr>
      <t xml:space="preserve">
Porcentaje de funcionarios/as ingresados a la institución con programa de inducción finalizado en el año t</t>
    </r>
  </si>
  <si>
    <t>(N° de funcionarios/as ingresados a la institución que finalizaron el programa de inducción año t / Total de funcionarios/as que ingresaron al Instituto año t)* 100</t>
  </si>
  <si>
    <t>(N° de funcionarios/as ingresados a la institución que finalizaron el programa de inducción año t</t>
  </si>
  <si>
    <t>Total de funcionarios/as que ingresaron al Instituto año t)* 100</t>
  </si>
  <si>
    <t>5.1.3.46</t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</si>
  <si>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</si>
  <si>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</si>
  <si>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</si>
  <si>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</si>
  <si>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t>5.3.1.61</t>
  </si>
  <si>
    <r>
      <rPr>
        <b/>
        <u/>
        <sz val="8"/>
        <rFont val="Arial Narrow"/>
        <family val="2"/>
      </rPr>
      <t>4) Eficacia /Proceso</t>
    </r>
    <r>
      <rPr>
        <sz val="8"/>
        <rFont val="Arial Narrow"/>
        <family val="2"/>
      </rPr>
      <t xml:space="preserve">
Porcentaje de hitos cumplidos en el plan de trabajo para abordar las brechas identificadas y priorizadas en relación a la Norma Chilena 3262 de las dimensiones que son ejecutadas por el Departamento Gestión y Desarrollo de Personas, en el año t.</t>
    </r>
  </si>
  <si>
    <t>(Sumatoria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</si>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</sst>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rgb="FF000000"/>
      <name val="Arial Narrow"/>
      <family val="2"/>
    </font>
    <font>
      <u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3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9" fontId="5" fillId="0" borderId="4" xfId="4" applyFont="1" applyBorder="1" applyAlignment="1">
      <alignment vertical="center"/>
    </xf>
    <xf numFmtId="10" fontId="5" fillId="5" borderId="7" xfId="4" applyNumberFormat="1" applyFont="1" applyFill="1" applyBorder="1" applyAlignment="1" applyProtection="1">
      <alignment horizontal="right" vertical="center"/>
    </xf>
    <xf numFmtId="10" fontId="5" fillId="2" borderId="6" xfId="4" applyNumberFormat="1" applyFont="1" applyFill="1" applyBorder="1" applyAlignment="1" applyProtection="1">
      <alignment vertical="center"/>
    </xf>
    <xf numFmtId="9" fontId="5" fillId="0" borderId="7" xfId="4" applyFont="1" applyBorder="1" applyAlignment="1">
      <alignment vertical="center"/>
    </xf>
    <xf numFmtId="0" fontId="5" fillId="0" borderId="7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3" fontId="5" fillId="3" borderId="7" xfId="0" applyNumberFormat="1" applyFont="1" applyFill="1" applyBorder="1" applyAlignment="1">
      <alignment horizontal="right" vertical="center" wrapText="1"/>
    </xf>
    <xf numFmtId="3" fontId="5" fillId="2" borderId="7" xfId="0" applyNumberFormat="1" applyFont="1" applyFill="1" applyBorder="1" applyAlignment="1">
      <alignment horizontal="right" vertical="center" wrapText="1"/>
    </xf>
    <xf numFmtId="10" fontId="5" fillId="0" borderId="7" xfId="4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left" vertical="center" wrapText="1"/>
    </xf>
    <xf numFmtId="3" fontId="5" fillId="2" borderId="6" xfId="0" applyNumberFormat="1" applyFont="1" applyFill="1" applyBorder="1" applyAlignment="1">
      <alignment horizontal="left" vertical="center" wrapText="1"/>
    </xf>
    <xf numFmtId="3" fontId="5" fillId="3" borderId="9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9" fontId="5" fillId="0" borderId="9" xfId="4" applyFont="1" applyBorder="1" applyAlignment="1">
      <alignment vertical="center"/>
    </xf>
    <xf numFmtId="10" fontId="4" fillId="7" borderId="7" xfId="4" applyNumberFormat="1" applyFont="1" applyFill="1" applyBorder="1" applyAlignment="1" applyProtection="1">
      <alignment horizontal="right" vertical="center"/>
    </xf>
    <xf numFmtId="3" fontId="5" fillId="6" borderId="7" xfId="0" applyNumberFormat="1" applyFont="1" applyFill="1" applyBorder="1" applyAlignment="1">
      <alignment horizontal="right" vertical="center" wrapText="1"/>
    </xf>
    <xf numFmtId="3" fontId="5" fillId="6" borderId="9" xfId="0" applyNumberFormat="1" applyFont="1" applyFill="1" applyBorder="1" applyAlignment="1">
      <alignment horizontal="right" vertical="center" wrapText="1"/>
    </xf>
    <xf numFmtId="0" fontId="12" fillId="0" borderId="0" xfId="0" applyFont="1"/>
    <xf numFmtId="3" fontId="5" fillId="5" borderId="7" xfId="0" applyNumberFormat="1" applyFont="1" applyFill="1" applyBorder="1" applyAlignment="1">
      <alignment horizontal="right" vertical="center" wrapText="1"/>
    </xf>
    <xf numFmtId="3" fontId="5" fillId="5" borderId="9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left"/>
    </xf>
    <xf numFmtId="10" fontId="5" fillId="2" borderId="7" xfId="7" applyNumberFormat="1" applyFont="1" applyFill="1" applyBorder="1" applyAlignment="1">
      <alignment vertical="center"/>
    </xf>
    <xf numFmtId="0" fontId="14" fillId="0" borderId="4" xfId="0" applyFont="1" applyBorder="1" applyAlignment="1">
      <alignment horizontal="left" vertical="center" wrapText="1"/>
    </xf>
    <xf numFmtId="9" fontId="14" fillId="0" borderId="4" xfId="4" applyFont="1" applyBorder="1" applyAlignment="1">
      <alignment vertical="center"/>
    </xf>
    <xf numFmtId="9" fontId="14" fillId="0" borderId="7" xfId="4" applyFont="1" applyBorder="1" applyAlignment="1">
      <alignment vertical="center"/>
    </xf>
    <xf numFmtId="0" fontId="14" fillId="0" borderId="7" xfId="0" applyFont="1" applyBorder="1" applyAlignment="1">
      <alignment horizontal="left" vertical="center" wrapText="1"/>
    </xf>
    <xf numFmtId="3" fontId="14" fillId="3" borderId="7" xfId="0" applyNumberFormat="1" applyFont="1" applyFill="1" applyBorder="1" applyAlignment="1">
      <alignment horizontal="right" vertical="center" wrapText="1"/>
    </xf>
    <xf numFmtId="3" fontId="14" fillId="2" borderId="7" xfId="0" applyNumberFormat="1" applyFont="1" applyFill="1" applyBorder="1" applyAlignment="1">
      <alignment horizontal="right" vertical="center" wrapText="1"/>
    </xf>
    <xf numFmtId="10" fontId="14" fillId="0" borderId="7" xfId="4" applyNumberFormat="1" applyFont="1" applyBorder="1" applyAlignment="1">
      <alignment horizontal="center" vertical="center"/>
    </xf>
    <xf numFmtId="3" fontId="14" fillId="0" borderId="7" xfId="0" applyNumberFormat="1" applyFont="1" applyBorder="1" applyAlignment="1">
      <alignment horizontal="left" vertical="center" wrapText="1"/>
    </xf>
    <xf numFmtId="3" fontId="14" fillId="2" borderId="6" xfId="0" applyNumberFormat="1" applyFont="1" applyFill="1" applyBorder="1" applyAlignment="1">
      <alignment horizontal="left" vertical="center" wrapText="1"/>
    </xf>
    <xf numFmtId="3" fontId="14" fillId="3" borderId="9" xfId="0" applyNumberFormat="1" applyFont="1" applyFill="1" applyBorder="1" applyAlignment="1">
      <alignment horizontal="right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9" fontId="14" fillId="0" borderId="9" xfId="4" applyFont="1" applyBorder="1" applyAlignment="1">
      <alignment vertical="center"/>
    </xf>
    <xf numFmtId="0" fontId="5" fillId="2" borderId="4" xfId="0" applyFont="1" applyFill="1" applyBorder="1" applyAlignment="1">
      <alignment horizontal="left" vertical="center" wrapText="1"/>
    </xf>
    <xf numFmtId="2" fontId="5" fillId="2" borderId="7" xfId="4" applyNumberFormat="1" applyFont="1" applyFill="1" applyBorder="1" applyAlignment="1">
      <alignment vertical="center"/>
    </xf>
    <xf numFmtId="2" fontId="5" fillId="3" borderId="7" xfId="4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 wrapText="1"/>
    </xf>
    <xf numFmtId="3" fontId="14" fillId="6" borderId="7" xfId="0" applyNumberFormat="1" applyFont="1" applyFill="1" applyBorder="1" applyAlignment="1">
      <alignment horizontal="righ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14" fillId="6" borderId="9" xfId="0" applyNumberFormat="1" applyFont="1" applyFill="1" applyBorder="1" applyAlignment="1">
      <alignment horizontal="right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top" wrapText="1"/>
    </xf>
    <xf numFmtId="0" fontId="5" fillId="8" borderId="7" xfId="0" applyFont="1" applyFill="1" applyBorder="1" applyAlignment="1">
      <alignment vertical="top" wrapText="1"/>
    </xf>
    <xf numFmtId="0" fontId="5" fillId="8" borderId="9" xfId="0" applyFont="1" applyFill="1" applyBorder="1" applyAlignment="1">
      <alignment vertical="top" wrapText="1"/>
    </xf>
    <xf numFmtId="0" fontId="14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9" fontId="14" fillId="8" borderId="4" xfId="0" applyNumberFormat="1" applyFont="1" applyFill="1" applyBorder="1" applyAlignment="1">
      <alignment horizontal="left" vertical="center" wrapText="1"/>
    </xf>
    <xf numFmtId="9" fontId="14" fillId="8" borderId="7" xfId="0" applyNumberFormat="1" applyFont="1" applyFill="1" applyBorder="1" applyAlignment="1">
      <alignment horizontal="left" vertical="center" wrapText="1"/>
    </xf>
    <xf numFmtId="0" fontId="14" fillId="8" borderId="9" xfId="0" applyFont="1" applyFill="1" applyBorder="1" applyAlignment="1">
      <alignment wrapText="1"/>
    </xf>
    <xf numFmtId="0" fontId="5" fillId="0" borderId="10" xfId="0" applyFont="1" applyBorder="1" applyAlignment="1">
      <alignment wrapText="1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1" fontId="5" fillId="8" borderId="4" xfId="0" applyNumberFormat="1" applyFont="1" applyFill="1" applyBorder="1" applyAlignment="1">
      <alignment horizontal="left" vertical="center" wrapText="1"/>
    </xf>
    <xf numFmtId="1" fontId="5" fillId="8" borderId="7" xfId="0" applyNumberFormat="1" applyFont="1" applyFill="1" applyBorder="1" applyAlignment="1">
      <alignment horizontal="left" vertical="center" wrapText="1"/>
    </xf>
    <xf numFmtId="1" fontId="5" fillId="8" borderId="9" xfId="0" applyNumberFormat="1" applyFont="1" applyFill="1" applyBorder="1" applyAlignment="1">
      <alignment horizontal="left" vertical="center" wrapText="1"/>
    </xf>
    <xf numFmtId="1" fontId="5" fillId="4" borderId="4" xfId="0" applyNumberFormat="1" applyFont="1" applyFill="1" applyBorder="1" applyAlignment="1">
      <alignment horizontal="left" vertical="center" wrapText="1"/>
    </xf>
    <xf numFmtId="1" fontId="12" fillId="4" borderId="7" xfId="0" applyNumberFormat="1" applyFont="1" applyFill="1" applyBorder="1" applyAlignment="1">
      <alignment horizontal="left" vertical="center" wrapText="1"/>
    </xf>
    <xf numFmtId="1" fontId="12" fillId="4" borderId="9" xfId="0" applyNumberFormat="1" applyFont="1" applyFill="1" applyBorder="1" applyAlignment="1">
      <alignment horizontal="left" vertical="center" wrapText="1"/>
    </xf>
    <xf numFmtId="1" fontId="5" fillId="4" borderId="7" xfId="0" applyNumberFormat="1" applyFont="1" applyFill="1" applyBorder="1" applyAlignment="1">
      <alignment horizontal="left" vertical="center" wrapText="1"/>
    </xf>
    <xf numFmtId="1" fontId="5" fillId="4" borderId="9" xfId="0" applyNumberFormat="1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/>
    </xf>
    <xf numFmtId="0" fontId="16" fillId="0" borderId="0" xfId="0" applyFont="1"/>
    <xf numFmtId="0" fontId="14" fillId="8" borderId="7" xfId="0" applyFont="1" applyFill="1" applyBorder="1" applyAlignment="1"/>
    <xf numFmtId="0" fontId="14" fillId="8" borderId="9" xfId="0" applyFont="1" applyFill="1" applyBorder="1" applyAlignment="1"/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203"/>
  <sheetViews>
    <sheetView showGridLines="0" tabSelected="1" topLeftCell="A8" zoomScaleNormal="100" workbookViewId="0">
      <pane xSplit="2" ySplit="5" topLeftCell="C13" activePane="bottomRight" state="frozen"/>
      <selection pane="bottomRight" activeCell="O31" sqref="O31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4"/>
    <col min="2" max="3" width="26.7109375" style="4" customWidth="1"/>
    <col min="4" max="4" width="28.5703125" style="4" customWidth="1"/>
    <col min="5" max="5" width="17" style="4" customWidth="1"/>
    <col min="6" max="11" width="10.7109375" style="3" customWidth="1"/>
    <col min="12" max="12" width="16" style="3" customWidth="1"/>
    <col min="13" max="13" width="21.28515625" style="4" customWidth="1"/>
    <col min="14" max="14" width="2.28515625" style="4" customWidth="1"/>
    <col min="15" max="16384" width="11.42578125" style="4"/>
  </cols>
  <sheetData>
    <row r="1" spans="1:13" s="12" customFormat="1" ht="12.75" customHeight="1">
      <c r="B1" s="83"/>
      <c r="C1" s="84"/>
      <c r="D1" s="89"/>
      <c r="E1" s="89"/>
      <c r="F1" s="13"/>
      <c r="G1" s="13"/>
      <c r="H1" s="13"/>
      <c r="I1" s="13"/>
      <c r="J1" s="13"/>
      <c r="K1" s="13"/>
      <c r="L1" s="13"/>
    </row>
    <row r="2" spans="1:13" s="12" customFormat="1" ht="12.75" customHeight="1">
      <c r="B2" s="85"/>
      <c r="C2" s="86"/>
      <c r="D2" s="90"/>
      <c r="E2" s="90"/>
      <c r="F2" s="13"/>
      <c r="G2" s="13"/>
      <c r="H2" s="13"/>
      <c r="I2" s="13"/>
      <c r="J2" s="13"/>
      <c r="K2" s="13"/>
      <c r="L2" s="13"/>
    </row>
    <row r="3" spans="1:13" s="12" customFormat="1" ht="15.75" customHeight="1">
      <c r="B3" s="85"/>
      <c r="C3" s="86"/>
      <c r="D3" s="90"/>
      <c r="E3" s="90"/>
      <c r="F3" s="13"/>
      <c r="G3" s="13"/>
      <c r="H3" s="13"/>
      <c r="I3" s="13"/>
      <c r="J3" s="13"/>
      <c r="K3" s="13"/>
      <c r="L3" s="13"/>
    </row>
    <row r="4" spans="1:13" s="12" customFormat="1" ht="12.75" customHeight="1">
      <c r="B4" s="85"/>
      <c r="C4" s="86"/>
      <c r="D4" s="90"/>
      <c r="E4" s="90"/>
      <c r="F4" s="13"/>
      <c r="G4" s="13"/>
      <c r="H4" s="13"/>
      <c r="I4" s="13"/>
      <c r="J4" s="13"/>
      <c r="K4" s="13"/>
      <c r="L4" s="13"/>
    </row>
    <row r="5" spans="1:13" s="12" customFormat="1" ht="20.25" customHeight="1">
      <c r="B5" s="87"/>
      <c r="C5" s="88"/>
      <c r="D5" s="91"/>
      <c r="E5" s="91"/>
      <c r="F5" s="13"/>
      <c r="G5" s="13"/>
      <c r="H5" s="13"/>
      <c r="I5" s="13"/>
      <c r="J5" s="13"/>
      <c r="K5" s="13"/>
      <c r="L5" s="13"/>
    </row>
    <row r="6" spans="1:13" ht="15" customHeight="1">
      <c r="B6" s="79"/>
      <c r="C6" s="80"/>
      <c r="D6" s="78"/>
      <c r="E6" s="78"/>
    </row>
    <row r="7" spans="1:13" ht="15" customHeight="1"/>
    <row r="8" spans="1:13" ht="15" customHeight="1">
      <c r="B8" s="10"/>
      <c r="C8" s="11"/>
      <c r="D8" s="8"/>
      <c r="E8" s="8"/>
      <c r="H8" s="9"/>
    </row>
    <row r="9" spans="1:13" ht="15" customHeight="1">
      <c r="B9" s="10" t="s">
        <v>0</v>
      </c>
      <c r="C9" s="10"/>
      <c r="D9" s="8"/>
      <c r="E9" s="8"/>
    </row>
    <row r="10" spans="1:13" ht="12" customHeight="1" thickBot="1">
      <c r="B10" s="5"/>
      <c r="C10" s="5"/>
      <c r="K10" s="6"/>
      <c r="L10" s="6"/>
      <c r="M10" s="1"/>
    </row>
    <row r="11" spans="1:13" s="2" customFormat="1" ht="22.9" customHeight="1" thickTop="1">
      <c r="A11" s="57" t="s">
        <v>1</v>
      </c>
      <c r="B11" s="93" t="s">
        <v>2</v>
      </c>
      <c r="C11" s="81" t="s">
        <v>3</v>
      </c>
      <c r="D11" s="81" t="s">
        <v>4</v>
      </c>
      <c r="E11" s="81" t="s">
        <v>5</v>
      </c>
      <c r="F11" s="81" t="s">
        <v>6</v>
      </c>
      <c r="G11" s="81" t="s">
        <v>7</v>
      </c>
      <c r="H11" s="93" t="s">
        <v>8</v>
      </c>
      <c r="I11" s="81" t="s">
        <v>9</v>
      </c>
      <c r="J11" s="81" t="s">
        <v>10</v>
      </c>
      <c r="K11" s="96" t="s">
        <v>11</v>
      </c>
      <c r="L11" s="81" t="s">
        <v>12</v>
      </c>
    </row>
    <row r="12" spans="1:13" s="2" customFormat="1" ht="22.9" customHeight="1" thickBot="1">
      <c r="A12" s="58"/>
      <c r="B12" s="94"/>
      <c r="C12" s="82"/>
      <c r="D12" s="82"/>
      <c r="E12" s="92"/>
      <c r="F12" s="98"/>
      <c r="G12" s="98"/>
      <c r="H12" s="113"/>
      <c r="I12" s="98"/>
      <c r="J12" s="82"/>
      <c r="K12" s="97"/>
      <c r="L12" s="82"/>
    </row>
    <row r="13" spans="1:13" s="7" customFormat="1" ht="22.9" customHeight="1" thickTop="1">
      <c r="A13" s="59" t="s">
        <v>13</v>
      </c>
      <c r="B13" s="68" t="s">
        <v>14</v>
      </c>
      <c r="C13" s="72" t="s">
        <v>15</v>
      </c>
      <c r="D13" s="105" t="s">
        <v>16</v>
      </c>
      <c r="E13" s="14" t="s">
        <v>17</v>
      </c>
      <c r="F13" s="14" t="s">
        <v>17</v>
      </c>
      <c r="G13" s="15" t="s">
        <v>17</v>
      </c>
      <c r="H13" s="14" t="s">
        <v>17</v>
      </c>
      <c r="I13" s="15" t="s">
        <v>17</v>
      </c>
      <c r="J13" s="14" t="s">
        <v>17</v>
      </c>
      <c r="K13" s="15" t="s">
        <v>17</v>
      </c>
      <c r="L13" s="16"/>
    </row>
    <row r="14" spans="1:13" s="7" customFormat="1" ht="22.9" customHeight="1">
      <c r="A14" s="60"/>
      <c r="B14" s="69"/>
      <c r="C14" s="73"/>
      <c r="D14" s="106"/>
      <c r="E14" s="30">
        <f>IF(E16&lt;&gt;0,+E16/E18,0%)</f>
        <v>0.89473684210526316</v>
      </c>
      <c r="F14" s="17">
        <f>IF(F16&lt;&gt;0,+F16/F18,0%)</f>
        <v>0</v>
      </c>
      <c r="G14" s="37">
        <v>0</v>
      </c>
      <c r="H14" s="17">
        <f>IF(H16&lt;&gt;0,+H16/H18,0%)</f>
        <v>0</v>
      </c>
      <c r="I14" s="37">
        <v>0</v>
      </c>
      <c r="J14" s="17">
        <f>IF(J16&lt;&gt;0,+J16/J18,0%)</f>
        <v>0</v>
      </c>
      <c r="K14" s="18" t="e">
        <f t="shared" ref="K14" si="0">IF(K16&lt;&gt;0,+K16/K18,0%)</f>
        <v>#REF!</v>
      </c>
      <c r="L14" s="19"/>
    </row>
    <row r="15" spans="1:13" s="7" customFormat="1" ht="22.9" customHeight="1" thickBot="1">
      <c r="A15" s="60"/>
      <c r="B15" s="69"/>
      <c r="C15" s="73"/>
      <c r="D15" s="107"/>
      <c r="E15" s="20" t="s">
        <v>18</v>
      </c>
      <c r="F15" s="20" t="s">
        <v>18</v>
      </c>
      <c r="G15" s="21" t="s">
        <v>18</v>
      </c>
      <c r="H15" s="20" t="s">
        <v>18</v>
      </c>
      <c r="I15" s="21" t="s">
        <v>18</v>
      </c>
      <c r="J15" s="20" t="s">
        <v>18</v>
      </c>
      <c r="K15" s="21" t="s">
        <v>18</v>
      </c>
      <c r="L15" s="19"/>
    </row>
    <row r="16" spans="1:13" s="7" customFormat="1" ht="22.9" customHeight="1" thickTop="1">
      <c r="A16" s="60"/>
      <c r="B16" s="69"/>
      <c r="C16" s="73"/>
      <c r="D16" s="106" t="s">
        <v>19</v>
      </c>
      <c r="E16" s="31">
        <v>17</v>
      </c>
      <c r="F16" s="22">
        <v>0</v>
      </c>
      <c r="G16" s="23" t="e">
        <f>+#REF!+F16</f>
        <v>#REF!</v>
      </c>
      <c r="H16" s="22">
        <v>0</v>
      </c>
      <c r="I16" s="23" t="e">
        <f t="shared" ref="I16" si="1">+G16+H16</f>
        <v>#REF!</v>
      </c>
      <c r="J16" s="22">
        <v>0</v>
      </c>
      <c r="K16" s="23" t="e">
        <f t="shared" ref="K16" si="2">+I16+J16</f>
        <v>#REF!</v>
      </c>
      <c r="L16" s="24" t="e">
        <f>+K14/E14</f>
        <v>#REF!</v>
      </c>
    </row>
    <row r="17" spans="1:15" s="7" customFormat="1" ht="22.9" customHeight="1">
      <c r="A17" s="60"/>
      <c r="B17" s="69"/>
      <c r="C17" s="73"/>
      <c r="D17" s="106"/>
      <c r="E17" s="25" t="s">
        <v>20</v>
      </c>
      <c r="F17" s="25" t="s">
        <v>20</v>
      </c>
      <c r="G17" s="26" t="s">
        <v>20</v>
      </c>
      <c r="H17" s="25" t="s">
        <v>20</v>
      </c>
      <c r="I17" s="26" t="s">
        <v>20</v>
      </c>
      <c r="J17" s="25" t="s">
        <v>20</v>
      </c>
      <c r="K17" s="26" t="s">
        <v>20</v>
      </c>
      <c r="L17" s="19"/>
    </row>
    <row r="18" spans="1:15" s="7" customFormat="1" ht="22.9" customHeight="1">
      <c r="A18" s="61"/>
      <c r="B18" s="70"/>
      <c r="C18" s="74"/>
      <c r="D18" s="107"/>
      <c r="E18" s="32">
        <v>19</v>
      </c>
      <c r="F18" s="27">
        <v>19</v>
      </c>
      <c r="G18" s="28" t="e">
        <f>+#REF!+F18</f>
        <v>#REF!</v>
      </c>
      <c r="H18" s="27">
        <v>19</v>
      </c>
      <c r="I18" s="28" t="e">
        <f t="shared" ref="I18" si="3">+G18+H18</f>
        <v>#REF!</v>
      </c>
      <c r="J18" s="27">
        <v>19</v>
      </c>
      <c r="K18" s="28" t="e">
        <f t="shared" ref="K18" si="4">+I18+J18</f>
        <v>#REF!</v>
      </c>
      <c r="L18" s="29"/>
    </row>
    <row r="19" spans="1:15" s="7" customFormat="1" ht="22.9" customHeight="1" thickTop="1">
      <c r="A19" s="59" t="s">
        <v>21</v>
      </c>
      <c r="B19" s="68" t="s">
        <v>22</v>
      </c>
      <c r="C19" s="72" t="s">
        <v>23</v>
      </c>
      <c r="D19" s="105" t="s">
        <v>24</v>
      </c>
      <c r="E19" s="14" t="s">
        <v>17</v>
      </c>
      <c r="F19" s="14" t="s">
        <v>17</v>
      </c>
      <c r="G19" s="15" t="s">
        <v>17</v>
      </c>
      <c r="H19" s="14" t="s">
        <v>17</v>
      </c>
      <c r="I19" s="15" t="s">
        <v>17</v>
      </c>
      <c r="J19" s="14" t="s">
        <v>17</v>
      </c>
      <c r="K19" s="15" t="s">
        <v>17</v>
      </c>
      <c r="L19" s="16"/>
    </row>
    <row r="20" spans="1:15" s="7" customFormat="1" ht="22.9" customHeight="1">
      <c r="A20" s="60"/>
      <c r="B20" s="69"/>
      <c r="C20" s="73"/>
      <c r="D20" s="106"/>
      <c r="E20" s="30">
        <f>IF(E22&lt;&gt;0,+E22/E24,0%)</f>
        <v>0.9</v>
      </c>
      <c r="F20" s="17">
        <f>IF(F22&lt;&gt;0,+F22/F24,0%)</f>
        <v>0.94736842105263153</v>
      </c>
      <c r="G20" s="37">
        <v>0</v>
      </c>
      <c r="H20" s="17">
        <f>IF(H22&lt;&gt;0,+H22/H24,0%)</f>
        <v>0.96</v>
      </c>
      <c r="I20" s="37">
        <v>0</v>
      </c>
      <c r="J20" s="17">
        <f>IF(J22&lt;&gt;0,+J22/J24,0%)</f>
        <v>0</v>
      </c>
      <c r="K20" s="18" t="e">
        <f t="shared" ref="K20" si="5">IF(K22&lt;&gt;0,+K22/K24,0%)</f>
        <v>#REF!</v>
      </c>
      <c r="L20" s="19"/>
    </row>
    <row r="21" spans="1:15" s="7" customFormat="1" ht="22.9" customHeight="1" thickBot="1">
      <c r="A21" s="60"/>
      <c r="B21" s="69"/>
      <c r="C21" s="73"/>
      <c r="D21" s="107"/>
      <c r="E21" s="20" t="s">
        <v>18</v>
      </c>
      <c r="F21" s="20" t="s">
        <v>18</v>
      </c>
      <c r="G21" s="21" t="s">
        <v>18</v>
      </c>
      <c r="H21" s="20" t="s">
        <v>18</v>
      </c>
      <c r="I21" s="21" t="s">
        <v>18</v>
      </c>
      <c r="J21" s="20" t="s">
        <v>18</v>
      </c>
      <c r="K21" s="21" t="s">
        <v>18</v>
      </c>
      <c r="L21" s="19"/>
    </row>
    <row r="22" spans="1:15" s="7" customFormat="1" ht="22.9" customHeight="1" thickTop="1">
      <c r="A22" s="60"/>
      <c r="B22" s="69"/>
      <c r="C22" s="73"/>
      <c r="D22" s="105" t="s">
        <v>25</v>
      </c>
      <c r="E22" s="31">
        <v>135</v>
      </c>
      <c r="F22" s="22">
        <v>18</v>
      </c>
      <c r="G22" s="23" t="e">
        <f>+#REF!+F22</f>
        <v>#REF!</v>
      </c>
      <c r="H22" s="22">
        <v>24</v>
      </c>
      <c r="I22" s="23" t="e">
        <f t="shared" ref="I22:K22" si="6">+G22+H22</f>
        <v>#REF!</v>
      </c>
      <c r="J22" s="22"/>
      <c r="K22" s="23" t="e">
        <f t="shared" si="6"/>
        <v>#REF!</v>
      </c>
      <c r="L22" s="24" t="e">
        <f>K20/E20</f>
        <v>#REF!</v>
      </c>
    </row>
    <row r="23" spans="1:15" s="7" customFormat="1" ht="22.9" customHeight="1">
      <c r="A23" s="60"/>
      <c r="B23" s="69"/>
      <c r="C23" s="73"/>
      <c r="D23" s="106"/>
      <c r="E23" s="25" t="s">
        <v>20</v>
      </c>
      <c r="F23" s="25" t="s">
        <v>20</v>
      </c>
      <c r="G23" s="26" t="s">
        <v>20</v>
      </c>
      <c r="H23" s="25" t="s">
        <v>20</v>
      </c>
      <c r="I23" s="26" t="s">
        <v>20</v>
      </c>
      <c r="J23" s="25" t="s">
        <v>20</v>
      </c>
      <c r="K23" s="26" t="s">
        <v>20</v>
      </c>
      <c r="L23" s="19"/>
    </row>
    <row r="24" spans="1:15" s="7" customFormat="1" ht="22.9" customHeight="1">
      <c r="A24" s="61"/>
      <c r="B24" s="70"/>
      <c r="C24" s="74"/>
      <c r="D24" s="107"/>
      <c r="E24" s="32">
        <v>150</v>
      </c>
      <c r="F24" s="27">
        <v>19</v>
      </c>
      <c r="G24" s="28">
        <v>4</v>
      </c>
      <c r="H24" s="27">
        <v>25</v>
      </c>
      <c r="I24" s="28">
        <v>4</v>
      </c>
      <c r="J24" s="27"/>
      <c r="K24" s="28">
        <v>4</v>
      </c>
      <c r="L24" s="29"/>
    </row>
    <row r="25" spans="1:15" s="33" customFormat="1" ht="22.9" customHeight="1" thickTop="1">
      <c r="A25" s="62" t="s">
        <v>26</v>
      </c>
      <c r="B25" s="99" t="s">
        <v>27</v>
      </c>
      <c r="C25" s="102" t="s">
        <v>28</v>
      </c>
      <c r="D25" s="108" t="s">
        <v>29</v>
      </c>
      <c r="E25" s="14" t="s">
        <v>17</v>
      </c>
      <c r="F25" s="14" t="s">
        <v>17</v>
      </c>
      <c r="G25" s="15" t="s">
        <v>17</v>
      </c>
      <c r="H25" s="14" t="s">
        <v>17</v>
      </c>
      <c r="I25" s="15" t="s">
        <v>17</v>
      </c>
      <c r="J25" s="14" t="s">
        <v>17</v>
      </c>
      <c r="K25" s="15" t="s">
        <v>17</v>
      </c>
      <c r="L25" s="16"/>
    </row>
    <row r="26" spans="1:15" s="33" customFormat="1" ht="22.9" customHeight="1">
      <c r="A26" s="63"/>
      <c r="B26" s="100"/>
      <c r="C26" s="103"/>
      <c r="D26" s="109"/>
      <c r="E26" s="30">
        <f t="shared" ref="E26" si="7">IF(E28&lt;&gt;0,+E28/E30,0%)</f>
        <v>0.66666666666666663</v>
      </c>
      <c r="F26" s="17">
        <f>IF(F28&lt;&gt;0,+F28/F30,0%)</f>
        <v>0</v>
      </c>
      <c r="G26" s="37">
        <v>0</v>
      </c>
      <c r="H26" s="17">
        <f>IF(H28&lt;&gt;0,+H28/H30,0%)</f>
        <v>0</v>
      </c>
      <c r="I26" s="37">
        <v>0</v>
      </c>
      <c r="J26" s="17">
        <f>IF(J28&lt;&gt;0,+J28/J30,0%)</f>
        <v>0</v>
      </c>
      <c r="K26" s="18" t="e">
        <f t="shared" ref="K26" si="8">IF(K28&lt;&gt;0,+K28/K30,0%)</f>
        <v>#REF!</v>
      </c>
      <c r="L26" s="19"/>
    </row>
    <row r="27" spans="1:15" s="33" customFormat="1" ht="22.9" customHeight="1" thickBot="1">
      <c r="A27" s="63"/>
      <c r="B27" s="100"/>
      <c r="C27" s="103"/>
      <c r="D27" s="110"/>
      <c r="E27" s="20" t="s">
        <v>18</v>
      </c>
      <c r="F27" s="20" t="s">
        <v>18</v>
      </c>
      <c r="G27" s="21" t="s">
        <v>18</v>
      </c>
      <c r="H27" s="20" t="s">
        <v>18</v>
      </c>
      <c r="I27" s="21" t="s">
        <v>18</v>
      </c>
      <c r="J27" s="20" t="s">
        <v>18</v>
      </c>
      <c r="K27" s="21" t="s">
        <v>18</v>
      </c>
      <c r="L27" s="19"/>
    </row>
    <row r="28" spans="1:15" s="33" customFormat="1" ht="22.9" customHeight="1" thickTop="1">
      <c r="A28" s="63"/>
      <c r="B28" s="100"/>
      <c r="C28" s="103"/>
      <c r="D28" s="108" t="s">
        <v>30</v>
      </c>
      <c r="E28" s="31">
        <v>2</v>
      </c>
      <c r="F28" s="42">
        <v>0</v>
      </c>
      <c r="G28" s="43" t="e">
        <f>+#REF!+F28</f>
        <v>#REF!</v>
      </c>
      <c r="H28" s="42">
        <v>0</v>
      </c>
      <c r="I28" s="43" t="e">
        <f t="shared" ref="I28:K28" si="9">+G28+H28</f>
        <v>#REF!</v>
      </c>
      <c r="J28" s="42">
        <v>0</v>
      </c>
      <c r="K28" s="43" t="e">
        <f t="shared" si="9"/>
        <v>#REF!</v>
      </c>
      <c r="L28" s="24" t="e">
        <f>K26/E26</f>
        <v>#REF!</v>
      </c>
    </row>
    <row r="29" spans="1:15" s="33" customFormat="1" ht="22.9" customHeight="1">
      <c r="A29" s="63"/>
      <c r="B29" s="100"/>
      <c r="C29" s="103"/>
      <c r="D29" s="111"/>
      <c r="E29" s="25" t="s">
        <v>20</v>
      </c>
      <c r="F29" s="45" t="s">
        <v>20</v>
      </c>
      <c r="G29" s="46" t="s">
        <v>20</v>
      </c>
      <c r="H29" s="45" t="s">
        <v>20</v>
      </c>
      <c r="I29" s="46" t="s">
        <v>20</v>
      </c>
      <c r="J29" s="45" t="s">
        <v>20</v>
      </c>
      <c r="K29" s="46" t="s">
        <v>20</v>
      </c>
      <c r="L29" s="19"/>
    </row>
    <row r="30" spans="1:15" s="33" customFormat="1" ht="22.9" customHeight="1" thickBot="1">
      <c r="A30" s="64"/>
      <c r="B30" s="101"/>
      <c r="C30" s="104"/>
      <c r="D30" s="112"/>
      <c r="E30" s="32">
        <v>3</v>
      </c>
      <c r="F30" s="47">
        <v>3</v>
      </c>
      <c r="G30" s="48">
        <v>3</v>
      </c>
      <c r="H30" s="47">
        <v>3</v>
      </c>
      <c r="I30" s="48">
        <v>3</v>
      </c>
      <c r="J30" s="47">
        <v>3</v>
      </c>
      <c r="K30" s="48">
        <v>3</v>
      </c>
      <c r="L30" s="29"/>
    </row>
    <row r="31" spans="1:15" s="7" customFormat="1" ht="22.9" customHeight="1" thickTop="1">
      <c r="A31" s="65" t="s">
        <v>31</v>
      </c>
      <c r="B31" s="68" t="s">
        <v>32</v>
      </c>
      <c r="C31" s="71" t="s">
        <v>33</v>
      </c>
      <c r="D31" s="75" t="s">
        <v>34</v>
      </c>
      <c r="E31" s="38" t="s">
        <v>17</v>
      </c>
      <c r="F31" s="14" t="s">
        <v>17</v>
      </c>
      <c r="G31" s="50" t="s">
        <v>17</v>
      </c>
      <c r="H31" s="14" t="s">
        <v>17</v>
      </c>
      <c r="I31" s="50" t="s">
        <v>17</v>
      </c>
      <c r="J31" s="14" t="s">
        <v>17</v>
      </c>
      <c r="K31" s="50" t="s">
        <v>17</v>
      </c>
      <c r="L31" s="39"/>
      <c r="O31" s="114"/>
    </row>
    <row r="32" spans="1:15" s="7" customFormat="1" ht="22.9" customHeight="1">
      <c r="A32" s="66"/>
      <c r="B32" s="69"/>
      <c r="C32" s="115"/>
      <c r="D32" s="76"/>
      <c r="E32" s="30">
        <f>IF(E34&lt;&gt;0,+E34/E36,0%)</f>
        <v>1</v>
      </c>
      <c r="F32" s="52">
        <f>IF(F34&lt;&gt;0,ROUND(+F34/F36,4),0%)*100</f>
        <v>13.33</v>
      </c>
      <c r="G32" s="51" t="e">
        <f t="shared" ref="G32:I32" si="10">IF(G34&lt;&gt;0,+G34/G36,0%)</f>
        <v>#REF!</v>
      </c>
      <c r="H32" s="52">
        <f>IF(H34&lt;&gt;0,ROUND(+H34/H36,4),0%)*100</f>
        <v>73.33</v>
      </c>
      <c r="I32" s="51" t="e">
        <f t="shared" si="10"/>
        <v>#REF!</v>
      </c>
      <c r="J32" s="52">
        <f>IF(J34&lt;&gt;0,ROUND(+J34/J36,4),0%)*100</f>
        <v>0</v>
      </c>
      <c r="K32" s="51" t="e">
        <f>IF(K34&lt;&gt;0,+K34/K36,0%)</f>
        <v>#REF!</v>
      </c>
      <c r="L32" s="40"/>
    </row>
    <row r="33" spans="1:12" s="7" customFormat="1" ht="22.9" customHeight="1" thickBot="1">
      <c r="A33" s="66"/>
      <c r="B33" s="69"/>
      <c r="C33" s="115"/>
      <c r="D33" s="77"/>
      <c r="E33" s="41" t="s">
        <v>18</v>
      </c>
      <c r="F33" s="20" t="s">
        <v>18</v>
      </c>
      <c r="G33" s="53" t="s">
        <v>18</v>
      </c>
      <c r="H33" s="20" t="s">
        <v>18</v>
      </c>
      <c r="I33" s="53" t="s">
        <v>18</v>
      </c>
      <c r="J33" s="20" t="s">
        <v>18</v>
      </c>
      <c r="K33" s="53" t="s">
        <v>18</v>
      </c>
      <c r="L33" s="40"/>
    </row>
    <row r="34" spans="1:12" s="7" customFormat="1" ht="22.9" customHeight="1" thickTop="1">
      <c r="A34" s="66"/>
      <c r="B34" s="69"/>
      <c r="C34" s="115"/>
      <c r="D34" s="76" t="s">
        <v>35</v>
      </c>
      <c r="E34" s="54">
        <v>21</v>
      </c>
      <c r="F34" s="34">
        <v>2</v>
      </c>
      <c r="G34" s="23" t="e">
        <f>+#REF!+F34</f>
        <v>#REF!</v>
      </c>
      <c r="H34" s="34">
        <v>11</v>
      </c>
      <c r="I34" s="23" t="e">
        <f>+G34+H34</f>
        <v>#REF!</v>
      </c>
      <c r="J34" s="34">
        <v>0</v>
      </c>
      <c r="K34" s="23" t="e">
        <f>+I34+J34</f>
        <v>#REF!</v>
      </c>
      <c r="L34" s="44" t="e">
        <f>+K32/E32</f>
        <v>#REF!</v>
      </c>
    </row>
    <row r="35" spans="1:12" s="7" customFormat="1" ht="22.9" customHeight="1">
      <c r="A35" s="66"/>
      <c r="B35" s="69"/>
      <c r="C35" s="115"/>
      <c r="D35" s="95"/>
      <c r="E35" s="45" t="s">
        <v>20</v>
      </c>
      <c r="F35" s="25" t="s">
        <v>20</v>
      </c>
      <c r="G35" s="26" t="s">
        <v>20</v>
      </c>
      <c r="H35" s="25" t="s">
        <v>20</v>
      </c>
      <c r="I35" s="26" t="s">
        <v>20</v>
      </c>
      <c r="J35" s="25" t="s">
        <v>20</v>
      </c>
      <c r="K35" s="55" t="s">
        <v>20</v>
      </c>
      <c r="L35" s="40"/>
    </row>
    <row r="36" spans="1:12" s="7" customFormat="1" ht="22.9" customHeight="1">
      <c r="A36" s="67"/>
      <c r="B36" s="70"/>
      <c r="C36" s="116"/>
      <c r="D36" s="77"/>
      <c r="E36" s="56">
        <v>21</v>
      </c>
      <c r="F36" s="35">
        <v>15</v>
      </c>
      <c r="G36" s="28" t="e">
        <f>+#REF!+F36</f>
        <v>#REF!</v>
      </c>
      <c r="H36" s="35">
        <v>15</v>
      </c>
      <c r="I36" s="28" t="e">
        <f>+G36+H36</f>
        <v>#REF!</v>
      </c>
      <c r="J36" s="35">
        <v>15</v>
      </c>
      <c r="K36" s="28" t="e">
        <f>+I36+J36</f>
        <v>#REF!</v>
      </c>
      <c r="L36" s="49"/>
    </row>
    <row r="37" spans="1:12" ht="13.5" thickTop="1">
      <c r="D37" s="36"/>
    </row>
    <row r="38" spans="1:12">
      <c r="D38" s="36"/>
    </row>
    <row r="39" spans="1:12">
      <c r="D39" s="36"/>
    </row>
    <row r="40" spans="1:12">
      <c r="D40" s="36"/>
    </row>
    <row r="41" spans="1:12">
      <c r="D41" s="36"/>
    </row>
    <row r="42" spans="1:12">
      <c r="D42" s="36"/>
    </row>
    <row r="43" spans="1:12">
      <c r="D43" s="36"/>
    </row>
    <row r="44" spans="1:12">
      <c r="D44" s="36"/>
    </row>
    <row r="45" spans="1:12">
      <c r="D45" s="36"/>
    </row>
    <row r="46" spans="1:12">
      <c r="D46" s="36"/>
    </row>
    <row r="47" spans="1:12">
      <c r="D47" s="36"/>
    </row>
    <row r="48" spans="1:12">
      <c r="D48" s="36"/>
    </row>
    <row r="49" spans="4:4">
      <c r="D49" s="36"/>
    </row>
    <row r="50" spans="4:4">
      <c r="D50" s="36"/>
    </row>
    <row r="51" spans="4:4">
      <c r="D51" s="36"/>
    </row>
    <row r="52" spans="4:4">
      <c r="D52" s="36"/>
    </row>
    <row r="53" spans="4:4">
      <c r="D53" s="36"/>
    </row>
    <row r="54" spans="4:4">
      <c r="D54" s="36"/>
    </row>
    <row r="55" spans="4:4">
      <c r="D55" s="36"/>
    </row>
    <row r="56" spans="4:4">
      <c r="D56" s="36"/>
    </row>
    <row r="57" spans="4:4">
      <c r="D57" s="36"/>
    </row>
    <row r="58" spans="4:4">
      <c r="D58" s="36"/>
    </row>
    <row r="59" spans="4:4">
      <c r="D59" s="36"/>
    </row>
    <row r="60" spans="4:4">
      <c r="D60" s="36"/>
    </row>
    <row r="61" spans="4:4">
      <c r="D61" s="36"/>
    </row>
    <row r="62" spans="4:4">
      <c r="D62" s="36"/>
    </row>
    <row r="63" spans="4:4">
      <c r="D63" s="36"/>
    </row>
    <row r="64" spans="4:4">
      <c r="D64" s="36"/>
    </row>
    <row r="65" spans="4:4">
      <c r="D65" s="36"/>
    </row>
    <row r="66" spans="4:4">
      <c r="D66" s="36"/>
    </row>
    <row r="67" spans="4:4">
      <c r="D67" s="36"/>
    </row>
    <row r="68" spans="4:4">
      <c r="D68" s="36"/>
    </row>
    <row r="69" spans="4:4">
      <c r="D69" s="36"/>
    </row>
    <row r="70" spans="4:4">
      <c r="D70" s="36"/>
    </row>
    <row r="71" spans="4:4">
      <c r="D71" s="36"/>
    </row>
    <row r="72" spans="4:4">
      <c r="D72" s="36"/>
    </row>
    <row r="73" spans="4:4">
      <c r="D73" s="36"/>
    </row>
    <row r="74" spans="4:4">
      <c r="D74" s="36"/>
    </row>
    <row r="75" spans="4:4">
      <c r="D75" s="36"/>
    </row>
    <row r="76" spans="4:4">
      <c r="D76" s="36"/>
    </row>
    <row r="77" spans="4:4">
      <c r="D77" s="36"/>
    </row>
    <row r="78" spans="4:4">
      <c r="D78" s="36"/>
    </row>
    <row r="79" spans="4:4">
      <c r="D79" s="36"/>
    </row>
    <row r="80" spans="4:4">
      <c r="D80" s="36"/>
    </row>
    <row r="81" spans="4:4">
      <c r="D81" s="36"/>
    </row>
    <row r="82" spans="4:4">
      <c r="D82" s="36"/>
    </row>
    <row r="83" spans="4:4">
      <c r="D83" s="36"/>
    </row>
    <row r="84" spans="4:4">
      <c r="D84" s="36"/>
    </row>
    <row r="85" spans="4:4">
      <c r="D85" s="36"/>
    </row>
    <row r="86" spans="4:4">
      <c r="D86" s="36"/>
    </row>
    <row r="87" spans="4:4">
      <c r="D87" s="36"/>
    </row>
    <row r="88" spans="4:4">
      <c r="D88" s="36"/>
    </row>
    <row r="89" spans="4:4">
      <c r="D89" s="36"/>
    </row>
    <row r="90" spans="4:4">
      <c r="D90" s="36"/>
    </row>
    <row r="91" spans="4:4">
      <c r="D91" s="36"/>
    </row>
    <row r="92" spans="4:4">
      <c r="D92" s="36"/>
    </row>
    <row r="93" spans="4:4">
      <c r="D93" s="36"/>
    </row>
    <row r="94" spans="4:4">
      <c r="D94" s="36"/>
    </row>
    <row r="95" spans="4:4">
      <c r="D95" s="36"/>
    </row>
    <row r="96" spans="4:4">
      <c r="D96" s="36"/>
    </row>
    <row r="97" spans="4:4">
      <c r="D97" s="36"/>
    </row>
    <row r="98" spans="4:4">
      <c r="D98" s="36"/>
    </row>
    <row r="99" spans="4:4">
      <c r="D99" s="36"/>
    </row>
    <row r="100" spans="4:4">
      <c r="D100" s="36"/>
    </row>
    <row r="101" spans="4:4">
      <c r="D101" s="36"/>
    </row>
    <row r="102" spans="4:4">
      <c r="D102" s="36"/>
    </row>
    <row r="103" spans="4:4">
      <c r="D103" s="36"/>
    </row>
    <row r="104" spans="4:4">
      <c r="D104" s="36"/>
    </row>
    <row r="105" spans="4:4">
      <c r="D105" s="36"/>
    </row>
    <row r="106" spans="4:4">
      <c r="D106" s="36"/>
    </row>
    <row r="107" spans="4:4">
      <c r="D107" s="36"/>
    </row>
    <row r="108" spans="4:4">
      <c r="D108" s="36"/>
    </row>
    <row r="109" spans="4:4">
      <c r="D109" s="36"/>
    </row>
    <row r="110" spans="4:4">
      <c r="D110" s="36"/>
    </row>
    <row r="111" spans="4:4">
      <c r="D111" s="36"/>
    </row>
    <row r="112" spans="4:4">
      <c r="D112" s="36"/>
    </row>
    <row r="113" spans="4:4">
      <c r="D113" s="36"/>
    </row>
    <row r="114" spans="4:4">
      <c r="D114" s="36"/>
    </row>
    <row r="115" spans="4:4">
      <c r="D115" s="36"/>
    </row>
    <row r="116" spans="4:4">
      <c r="D116" s="36"/>
    </row>
    <row r="117" spans="4:4">
      <c r="D117" s="36"/>
    </row>
    <row r="118" spans="4:4">
      <c r="D118" s="36"/>
    </row>
    <row r="119" spans="4:4">
      <c r="D119" s="36"/>
    </row>
    <row r="120" spans="4:4">
      <c r="D120" s="36"/>
    </row>
    <row r="121" spans="4:4">
      <c r="D121" s="36"/>
    </row>
    <row r="122" spans="4:4">
      <c r="D122" s="36"/>
    </row>
    <row r="123" spans="4:4">
      <c r="D123" s="36"/>
    </row>
    <row r="124" spans="4:4">
      <c r="D124" s="36"/>
    </row>
    <row r="125" spans="4:4">
      <c r="D125" s="36"/>
    </row>
    <row r="126" spans="4:4">
      <c r="D126" s="36"/>
    </row>
    <row r="127" spans="4:4">
      <c r="D127" s="36"/>
    </row>
    <row r="128" spans="4:4">
      <c r="D128" s="36"/>
    </row>
    <row r="129" spans="4:4">
      <c r="D129" s="36"/>
    </row>
    <row r="130" spans="4:4">
      <c r="D130" s="36"/>
    </row>
    <row r="131" spans="4:4">
      <c r="D131" s="36"/>
    </row>
    <row r="132" spans="4:4">
      <c r="D132" s="36"/>
    </row>
    <row r="133" spans="4:4">
      <c r="D133" s="36"/>
    </row>
    <row r="134" spans="4:4">
      <c r="D134" s="36"/>
    </row>
    <row r="135" spans="4:4">
      <c r="D135" s="36"/>
    </row>
    <row r="136" spans="4:4">
      <c r="D136" s="36"/>
    </row>
    <row r="137" spans="4:4">
      <c r="D137" s="36"/>
    </row>
    <row r="138" spans="4:4">
      <c r="D138" s="36"/>
    </row>
    <row r="139" spans="4:4">
      <c r="D139" s="36"/>
    </row>
    <row r="140" spans="4:4">
      <c r="D140" s="36"/>
    </row>
    <row r="141" spans="4:4">
      <c r="D141" s="36"/>
    </row>
    <row r="142" spans="4:4">
      <c r="D142" s="36"/>
    </row>
    <row r="143" spans="4:4">
      <c r="D143" s="36"/>
    </row>
    <row r="144" spans="4:4">
      <c r="D144" s="36"/>
    </row>
    <row r="145" spans="4:4">
      <c r="D145" s="36"/>
    </row>
    <row r="146" spans="4:4">
      <c r="D146" s="36"/>
    </row>
    <row r="147" spans="4:4">
      <c r="D147" s="36"/>
    </row>
    <row r="148" spans="4:4">
      <c r="D148" s="36"/>
    </row>
    <row r="149" spans="4:4">
      <c r="D149" s="36"/>
    </row>
    <row r="150" spans="4:4">
      <c r="D150" s="36"/>
    </row>
    <row r="151" spans="4:4">
      <c r="D151" s="36"/>
    </row>
    <row r="152" spans="4:4">
      <c r="D152" s="36"/>
    </row>
    <row r="153" spans="4:4">
      <c r="D153" s="36"/>
    </row>
    <row r="154" spans="4:4">
      <c r="D154" s="36"/>
    </row>
    <row r="155" spans="4:4">
      <c r="D155" s="36"/>
    </row>
    <row r="156" spans="4:4">
      <c r="D156" s="36"/>
    </row>
    <row r="157" spans="4:4">
      <c r="D157" s="36"/>
    </row>
    <row r="158" spans="4:4">
      <c r="D158" s="36"/>
    </row>
    <row r="159" spans="4:4">
      <c r="D159" s="36"/>
    </row>
    <row r="160" spans="4:4">
      <c r="D160" s="36"/>
    </row>
    <row r="161" spans="4:4">
      <c r="D161" s="36"/>
    </row>
    <row r="162" spans="4:4">
      <c r="D162" s="36"/>
    </row>
    <row r="163" spans="4:4">
      <c r="D163" s="36"/>
    </row>
    <row r="164" spans="4:4">
      <c r="D164" s="36"/>
    </row>
    <row r="165" spans="4:4">
      <c r="D165" s="36"/>
    </row>
    <row r="166" spans="4:4">
      <c r="D166" s="36"/>
    </row>
    <row r="167" spans="4:4">
      <c r="D167" s="36"/>
    </row>
    <row r="168" spans="4:4">
      <c r="D168" s="36"/>
    </row>
    <row r="169" spans="4:4">
      <c r="D169" s="36"/>
    </row>
    <row r="170" spans="4:4">
      <c r="D170" s="36"/>
    </row>
    <row r="171" spans="4:4">
      <c r="D171" s="36"/>
    </row>
    <row r="172" spans="4:4">
      <c r="D172" s="36"/>
    </row>
    <row r="173" spans="4:4">
      <c r="D173" s="36"/>
    </row>
    <row r="174" spans="4:4">
      <c r="D174" s="36"/>
    </row>
    <row r="175" spans="4:4">
      <c r="D175" s="36"/>
    </row>
    <row r="176" spans="4:4">
      <c r="D176" s="36"/>
    </row>
    <row r="177" spans="4:4">
      <c r="D177" s="36"/>
    </row>
    <row r="178" spans="4:4">
      <c r="D178" s="36"/>
    </row>
    <row r="179" spans="4:4">
      <c r="D179" s="36"/>
    </row>
    <row r="180" spans="4:4">
      <c r="D180" s="36"/>
    </row>
    <row r="181" spans="4:4">
      <c r="D181" s="36"/>
    </row>
    <row r="182" spans="4:4">
      <c r="D182" s="36"/>
    </row>
    <row r="183" spans="4:4">
      <c r="D183" s="36"/>
    </row>
    <row r="184" spans="4:4">
      <c r="D184" s="36"/>
    </row>
    <row r="185" spans="4:4">
      <c r="D185" s="36"/>
    </row>
    <row r="186" spans="4:4">
      <c r="D186" s="36"/>
    </row>
    <row r="187" spans="4:4">
      <c r="D187" s="36"/>
    </row>
    <row r="188" spans="4:4">
      <c r="D188" s="36"/>
    </row>
    <row r="189" spans="4:4">
      <c r="D189" s="36"/>
    </row>
    <row r="190" spans="4:4">
      <c r="D190" s="36"/>
    </row>
    <row r="191" spans="4:4">
      <c r="D191" s="36"/>
    </row>
    <row r="192" spans="4:4">
      <c r="D192" s="36"/>
    </row>
    <row r="193" spans="4:4">
      <c r="D193" s="36"/>
    </row>
    <row r="194" spans="4:4">
      <c r="D194" s="36"/>
    </row>
    <row r="195" spans="4:4">
      <c r="D195" s="36"/>
    </row>
    <row r="196" spans="4:4">
      <c r="D196" s="36"/>
    </row>
    <row r="197" spans="4:4">
      <c r="D197" s="36"/>
    </row>
    <row r="198" spans="4:4">
      <c r="D198" s="36"/>
    </row>
    <row r="199" spans="4:4">
      <c r="D199" s="36"/>
    </row>
    <row r="200" spans="4:4">
      <c r="D200" s="36"/>
    </row>
    <row r="201" spans="4:4">
      <c r="D201" s="36"/>
    </row>
    <row r="202" spans="4:4">
      <c r="D202" s="36"/>
    </row>
    <row r="203" spans="4:4">
      <c r="D203" s="36"/>
    </row>
  </sheetData>
  <mergeCells count="36">
    <mergeCell ref="D34:D36"/>
    <mergeCell ref="K11:K12"/>
    <mergeCell ref="L11:L12"/>
    <mergeCell ref="F11:F12"/>
    <mergeCell ref="B25:B30"/>
    <mergeCell ref="C25:C30"/>
    <mergeCell ref="D13:D15"/>
    <mergeCell ref="D16:D18"/>
    <mergeCell ref="D19:D21"/>
    <mergeCell ref="D25:D27"/>
    <mergeCell ref="D28:D30"/>
    <mergeCell ref="I11:I12"/>
    <mergeCell ref="D22:D24"/>
    <mergeCell ref="J11:J12"/>
    <mergeCell ref="G11:G12"/>
    <mergeCell ref="H11:H12"/>
    <mergeCell ref="D31:D33"/>
    <mergeCell ref="D6:E6"/>
    <mergeCell ref="B6:C6"/>
    <mergeCell ref="D11:D12"/>
    <mergeCell ref="B1:C5"/>
    <mergeCell ref="C11:C12"/>
    <mergeCell ref="D1:E5"/>
    <mergeCell ref="E11:E12"/>
    <mergeCell ref="B11:B12"/>
    <mergeCell ref="B31:B36"/>
    <mergeCell ref="C31:C36"/>
    <mergeCell ref="B13:B18"/>
    <mergeCell ref="C13:C18"/>
    <mergeCell ref="B19:B24"/>
    <mergeCell ref="C19:C24"/>
    <mergeCell ref="A11:A12"/>
    <mergeCell ref="A13:A18"/>
    <mergeCell ref="A19:A24"/>
    <mergeCell ref="A25:A30"/>
    <mergeCell ref="A31:A36"/>
  </mergeCells>
  <phoneticPr fontId="6" type="noConversion"/>
  <pageMargins left="0.56999999999999995" right="0.37" top="0.41" bottom="0.47" header="0" footer="0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2026-01-15T16:07:48Z</dcterms:modified>
  <cp:category/>
  <cp:contentStatus/>
</cp:coreProperties>
</file>