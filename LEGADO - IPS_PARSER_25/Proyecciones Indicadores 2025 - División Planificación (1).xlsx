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5/CDC (Proyecciones)/Inicial/"/>
    </mc:Choice>
  </mc:AlternateContent>
  <xr:revisionPtr revIDLastSave="248" documentId="13_ncr:1_{773368EF-B21B-4F3B-9D78-F1B68C2A4042}" xr6:coauthVersionLast="47" xr6:coauthVersionMax="47" xr10:uidLastSave="{1E99856A-509C-491B-BAB6-31DBD9B5AB05}"/>
  <bookViews>
    <workbookView xWindow="-120" yWindow="-120" windowWidth="20730" windowHeight="11160" activeTab="1" xr2:uid="{00000000-000D-0000-FFFF-FFFF00000000}"/>
  </bookViews>
  <sheets>
    <sheet name="CDC 2025" sheetId="1" r:id="rId1"/>
    <sheet name="PMG 2025" sheetId="4" r:id="rId2"/>
    <sheet name="Riesgos 2025" sheetId="2" r:id="rId3"/>
  </sheets>
  <definedNames>
    <definedName name="_xlnm.Print_Area" localSheetId="0">'CDC 2025'!$B$1:$AL$24</definedName>
    <definedName name="_xlnm.Print_Area" localSheetId="1">'PMG 2025'!$B$1:$AK$18</definedName>
    <definedName name="_xlnm.Print_Area" localSheetId="2">'Riesgos 2025'!$B$1:$AK$11</definedName>
    <definedName name="_xlnm.Print_Titles" localSheetId="0">'CDC 2025'!$1:$12</definedName>
    <definedName name="_xlnm.Print_Titles" localSheetId="1">'PMG 2025'!$1:$12</definedName>
    <definedName name="_xlnm.Print_Titles" localSheetId="2">'Riesgos 2025'!$1:$11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3" i="2" l="1"/>
  <c r="P33" i="2" s="1"/>
  <c r="R33" i="2" s="1"/>
  <c r="T33" i="2" s="1"/>
  <c r="V33" i="2" s="1"/>
  <c r="X33" i="2" s="1"/>
  <c r="Z33" i="2" s="1"/>
  <c r="AB33" i="2" s="1"/>
  <c r="AD33" i="2" s="1"/>
  <c r="AF33" i="2" s="1"/>
  <c r="AH33" i="2" s="1"/>
  <c r="P27" i="2"/>
  <c r="R27" i="2" s="1"/>
  <c r="T27" i="2" s="1"/>
  <c r="V27" i="2" s="1"/>
  <c r="X27" i="2" s="1"/>
  <c r="Z27" i="2" s="1"/>
  <c r="AB27" i="2" s="1"/>
  <c r="AD27" i="2" s="1"/>
  <c r="AF27" i="2" s="1"/>
  <c r="AH27" i="2" s="1"/>
  <c r="N27" i="2"/>
  <c r="N21" i="2"/>
  <c r="P21" i="2" s="1"/>
  <c r="R21" i="2" s="1"/>
  <c r="T21" i="2" s="1"/>
  <c r="V21" i="2" s="1"/>
  <c r="X21" i="2" s="1"/>
  <c r="Z21" i="2" s="1"/>
  <c r="AB21" i="2" s="1"/>
  <c r="AD21" i="2" s="1"/>
  <c r="AF21" i="2" s="1"/>
  <c r="AH21" i="2" s="1"/>
  <c r="AJ52" i="1" l="1"/>
  <c r="AJ46" i="1"/>
  <c r="AJ40" i="1"/>
  <c r="AJ34" i="1"/>
  <c r="AJ28" i="1"/>
  <c r="AJ22" i="1"/>
  <c r="O54" i="1"/>
  <c r="Q54" i="1" s="1"/>
  <c r="S54" i="1" s="1"/>
  <c r="U54" i="1" s="1"/>
  <c r="W54" i="1" s="1"/>
  <c r="Y54" i="1" s="1"/>
  <c r="AA54" i="1" s="1"/>
  <c r="AC54" i="1" s="1"/>
  <c r="AE54" i="1" s="1"/>
  <c r="AG54" i="1" s="1"/>
  <c r="AI54" i="1" s="1"/>
  <c r="O52" i="1"/>
  <c r="Q52" i="1" s="1"/>
  <c r="AH50" i="1"/>
  <c r="AF50" i="1"/>
  <c r="AD50" i="1"/>
  <c r="AB50" i="1"/>
  <c r="Z50" i="1"/>
  <c r="X50" i="1"/>
  <c r="V50" i="1"/>
  <c r="T50" i="1"/>
  <c r="R50" i="1"/>
  <c r="P50" i="1"/>
  <c r="O50" i="1"/>
  <c r="N50" i="1"/>
  <c r="M50" i="1"/>
  <c r="L50" i="1"/>
  <c r="I49" i="1"/>
  <c r="O48" i="1"/>
  <c r="Q48" i="1" s="1"/>
  <c r="S48" i="1" s="1"/>
  <c r="U48" i="1" s="1"/>
  <c r="W48" i="1" s="1"/>
  <c r="Y48" i="1" s="1"/>
  <c r="AA48" i="1" s="1"/>
  <c r="AC48" i="1" s="1"/>
  <c r="AE48" i="1" s="1"/>
  <c r="AG48" i="1" s="1"/>
  <c r="AI48" i="1" s="1"/>
  <c r="O46" i="1"/>
  <c r="O44" i="1" s="1"/>
  <c r="AH44" i="1"/>
  <c r="AF44" i="1"/>
  <c r="AD44" i="1"/>
  <c r="AB44" i="1"/>
  <c r="Z44" i="1"/>
  <c r="X44" i="1"/>
  <c r="V44" i="1"/>
  <c r="T44" i="1"/>
  <c r="R44" i="1"/>
  <c r="P44" i="1"/>
  <c r="N44" i="1"/>
  <c r="M44" i="1"/>
  <c r="L44" i="1"/>
  <c r="I43" i="1" s="1"/>
  <c r="AG31" i="2"/>
  <c r="AE31" i="2"/>
  <c r="AC31" i="2"/>
  <c r="AA31" i="2"/>
  <c r="Y31" i="2"/>
  <c r="W31" i="2"/>
  <c r="U31" i="2"/>
  <c r="S31" i="2"/>
  <c r="Q31" i="2"/>
  <c r="O31" i="2"/>
  <c r="M31" i="2"/>
  <c r="L31" i="2"/>
  <c r="K31" i="2"/>
  <c r="N25" i="2"/>
  <c r="AG25" i="2"/>
  <c r="AE25" i="2"/>
  <c r="AC25" i="2"/>
  <c r="AA25" i="2"/>
  <c r="Y25" i="2"/>
  <c r="W25" i="2"/>
  <c r="U25" i="2"/>
  <c r="S25" i="2"/>
  <c r="Q25" i="2"/>
  <c r="O25" i="2"/>
  <c r="M25" i="2"/>
  <c r="L25" i="2"/>
  <c r="K25" i="2"/>
  <c r="AG19" i="2"/>
  <c r="AE19" i="2"/>
  <c r="AC19" i="2"/>
  <c r="AA19" i="2"/>
  <c r="Y19" i="2"/>
  <c r="W19" i="2"/>
  <c r="U19" i="2"/>
  <c r="S19" i="2"/>
  <c r="Q19" i="2"/>
  <c r="O19" i="2"/>
  <c r="M19" i="2"/>
  <c r="L19" i="2"/>
  <c r="K19" i="2"/>
  <c r="I18" i="2" s="1"/>
  <c r="N15" i="2"/>
  <c r="P15" i="2" s="1"/>
  <c r="AG13" i="2"/>
  <c r="AE13" i="2"/>
  <c r="AC13" i="2"/>
  <c r="AA13" i="2"/>
  <c r="Y13" i="2"/>
  <c r="W13" i="2"/>
  <c r="U13" i="2"/>
  <c r="S13" i="2"/>
  <c r="Q13" i="2"/>
  <c r="O13" i="2"/>
  <c r="M13" i="2"/>
  <c r="L13" i="2"/>
  <c r="K13" i="2"/>
  <c r="Q50" i="1" l="1"/>
  <c r="S52" i="1"/>
  <c r="Q46" i="1"/>
  <c r="N19" i="2"/>
  <c r="N13" i="2"/>
  <c r="N31" i="2"/>
  <c r="P31" i="2"/>
  <c r="P19" i="2"/>
  <c r="R15" i="2"/>
  <c r="P13" i="2"/>
  <c r="R25" i="2" l="1"/>
  <c r="P25" i="2"/>
  <c r="U52" i="1"/>
  <c r="S50" i="1"/>
  <c r="Q44" i="1"/>
  <c r="S46" i="1"/>
  <c r="R31" i="2"/>
  <c r="T25" i="2"/>
  <c r="R19" i="2"/>
  <c r="T15" i="2"/>
  <c r="R13" i="2"/>
  <c r="W52" i="1" l="1"/>
  <c r="U50" i="1"/>
  <c r="S44" i="1"/>
  <c r="U46" i="1"/>
  <c r="T31" i="2"/>
  <c r="V25" i="2"/>
  <c r="T19" i="2"/>
  <c r="T13" i="2"/>
  <c r="V15" i="2"/>
  <c r="Y52" i="1" l="1"/>
  <c r="W50" i="1"/>
  <c r="W46" i="1"/>
  <c r="U44" i="1"/>
  <c r="V31" i="2"/>
  <c r="X25" i="2"/>
  <c r="V19" i="2"/>
  <c r="X15" i="2"/>
  <c r="V13" i="2"/>
  <c r="Y50" i="1" l="1"/>
  <c r="AA52" i="1"/>
  <c r="Y46" i="1"/>
  <c r="W44" i="1"/>
  <c r="X31" i="2"/>
  <c r="Z25" i="2"/>
  <c r="X19" i="2"/>
  <c r="Z15" i="2"/>
  <c r="X13" i="2"/>
  <c r="AC52" i="1" l="1"/>
  <c r="AA50" i="1"/>
  <c r="AA46" i="1"/>
  <c r="Y44" i="1"/>
  <c r="Z31" i="2"/>
  <c r="AB25" i="2"/>
  <c r="Z19" i="2"/>
  <c r="Z13" i="2"/>
  <c r="AB15" i="2"/>
  <c r="AE52" i="1" l="1"/>
  <c r="AC50" i="1"/>
  <c r="AC46" i="1"/>
  <c r="AA44" i="1"/>
  <c r="AB31" i="2"/>
  <c r="AD25" i="2"/>
  <c r="AB19" i="2"/>
  <c r="AD15" i="2"/>
  <c r="AB13" i="2"/>
  <c r="AE50" i="1" l="1"/>
  <c r="AG52" i="1"/>
  <c r="AC44" i="1"/>
  <c r="AE46" i="1"/>
  <c r="AD31" i="2"/>
  <c r="AH25" i="2"/>
  <c r="AI27" i="2" s="1"/>
  <c r="AF25" i="2"/>
  <c r="AD19" i="2"/>
  <c r="AF15" i="2"/>
  <c r="AD13" i="2"/>
  <c r="AG50" i="1" l="1"/>
  <c r="AI52" i="1"/>
  <c r="AI50" i="1" s="1"/>
  <c r="AE44" i="1"/>
  <c r="AG46" i="1"/>
  <c r="AH31" i="2"/>
  <c r="AI33" i="2" s="1"/>
  <c r="AF31" i="2"/>
  <c r="AH19" i="2"/>
  <c r="AI21" i="2" s="1"/>
  <c r="AF19" i="2"/>
  <c r="AH15" i="2"/>
  <c r="AH13" i="2" s="1"/>
  <c r="AI15" i="2" s="1"/>
  <c r="AF13" i="2"/>
  <c r="AG44" i="1" l="1"/>
  <c r="AI46" i="1"/>
  <c r="AI44" i="1" s="1"/>
  <c r="N18" i="4" l="1"/>
  <c r="P18" i="4" s="1"/>
  <c r="R18" i="4" s="1"/>
  <c r="T18" i="4" s="1"/>
  <c r="V18" i="4" s="1"/>
  <c r="X18" i="4" s="1"/>
  <c r="Z18" i="4" s="1"/>
  <c r="AB18" i="4" s="1"/>
  <c r="AD18" i="4" s="1"/>
  <c r="AF18" i="4" s="1"/>
  <c r="AH18" i="4" s="1"/>
  <c r="N16" i="4"/>
  <c r="AG14" i="4"/>
  <c r="AE14" i="4"/>
  <c r="AC14" i="4"/>
  <c r="AA14" i="4"/>
  <c r="Y14" i="4"/>
  <c r="W14" i="4"/>
  <c r="U14" i="4"/>
  <c r="S14" i="4"/>
  <c r="Q14" i="4"/>
  <c r="O14" i="4"/>
  <c r="M14" i="4"/>
  <c r="L14" i="4"/>
  <c r="K14" i="4"/>
  <c r="I13" i="4"/>
  <c r="N14" i="4" l="1"/>
  <c r="P16" i="4"/>
  <c r="I30" i="2"/>
  <c r="I24" i="2"/>
  <c r="I12" i="2"/>
  <c r="P14" i="4" l="1"/>
  <c r="R16" i="4"/>
  <c r="T16" i="4" l="1"/>
  <c r="R14" i="4"/>
  <c r="T14" i="4" l="1"/>
  <c r="V16" i="4"/>
  <c r="X16" i="4" l="1"/>
  <c r="V14" i="4"/>
  <c r="X14" i="4" l="1"/>
  <c r="Z16" i="4"/>
  <c r="AB16" i="4" l="1"/>
  <c r="Z14" i="4"/>
  <c r="AB14" i="4" l="1"/>
  <c r="AD16" i="4"/>
  <c r="AD14" i="4" l="1"/>
  <c r="AF16" i="4"/>
  <c r="AF14" i="4" l="1"/>
  <c r="AH16" i="4"/>
  <c r="AH14" i="4" s="1"/>
  <c r="AI16" i="4" s="1"/>
  <c r="O40" i="1" l="1"/>
  <c r="Q40" i="1" s="1"/>
  <c r="S40" i="1" s="1"/>
  <c r="U40" i="1" s="1"/>
  <c r="W40" i="1" s="1"/>
  <c r="Y40" i="1" s="1"/>
  <c r="AA40" i="1" s="1"/>
  <c r="AC40" i="1" s="1"/>
  <c r="AE40" i="1" s="1"/>
  <c r="AG40" i="1" s="1"/>
  <c r="AI40" i="1" s="1"/>
  <c r="O36" i="1"/>
  <c r="Q36" i="1" s="1"/>
  <c r="S36" i="1" s="1"/>
  <c r="U36" i="1" s="1"/>
  <c r="W36" i="1" s="1"/>
  <c r="Y36" i="1" s="1"/>
  <c r="AA36" i="1" s="1"/>
  <c r="AC36" i="1" s="1"/>
  <c r="AE36" i="1" s="1"/>
  <c r="AG36" i="1" s="1"/>
  <c r="AI36" i="1" s="1"/>
  <c r="O34" i="1"/>
  <c r="Q34" i="1" s="1"/>
  <c r="S34" i="1" s="1"/>
  <c r="U34" i="1" s="1"/>
  <c r="W34" i="1" s="1"/>
  <c r="Y34" i="1" s="1"/>
  <c r="AA34" i="1" s="1"/>
  <c r="AC34" i="1" s="1"/>
  <c r="AE34" i="1" s="1"/>
  <c r="AG34" i="1" s="1"/>
  <c r="AI34" i="1" s="1"/>
  <c r="O30" i="1"/>
  <c r="Q30" i="1" s="1"/>
  <c r="S30" i="1" s="1"/>
  <c r="U30" i="1" s="1"/>
  <c r="W30" i="1" s="1"/>
  <c r="Y30" i="1" s="1"/>
  <c r="AA30" i="1" s="1"/>
  <c r="AC30" i="1" s="1"/>
  <c r="AE30" i="1" s="1"/>
  <c r="AG30" i="1" s="1"/>
  <c r="AI30" i="1" s="1"/>
  <c r="O28" i="1"/>
  <c r="Q28" i="1" s="1"/>
  <c r="S28" i="1" s="1"/>
  <c r="U28" i="1" s="1"/>
  <c r="W28" i="1" s="1"/>
  <c r="Y28" i="1" s="1"/>
  <c r="AA28" i="1" s="1"/>
  <c r="AC28" i="1" s="1"/>
  <c r="AE28" i="1" s="1"/>
  <c r="AG28" i="1" s="1"/>
  <c r="AI28" i="1" s="1"/>
  <c r="O24" i="1"/>
  <c r="Q24" i="1" s="1"/>
  <c r="S24" i="1" s="1"/>
  <c r="U24" i="1" s="1"/>
  <c r="W24" i="1" s="1"/>
  <c r="Y24" i="1" s="1"/>
  <c r="AA24" i="1" s="1"/>
  <c r="AC24" i="1" s="1"/>
  <c r="AE24" i="1" s="1"/>
  <c r="AG24" i="1" s="1"/>
  <c r="AI24" i="1" s="1"/>
  <c r="O22" i="1"/>
  <c r="Q22" i="1" s="1"/>
  <c r="S22" i="1" s="1"/>
  <c r="U22" i="1" s="1"/>
  <c r="W22" i="1" s="1"/>
  <c r="Y22" i="1" s="1"/>
  <c r="AA22" i="1" s="1"/>
  <c r="AC22" i="1" s="1"/>
  <c r="AE22" i="1" s="1"/>
  <c r="AG22" i="1" s="1"/>
  <c r="AI22" i="1" s="1"/>
  <c r="O18" i="1"/>
  <c r="Q18" i="1" s="1"/>
  <c r="S18" i="1" s="1"/>
  <c r="U18" i="1" s="1"/>
  <c r="W18" i="1" s="1"/>
  <c r="Y18" i="1" s="1"/>
  <c r="AA18" i="1" s="1"/>
  <c r="AC18" i="1" s="1"/>
  <c r="AE18" i="1" s="1"/>
  <c r="AG18" i="1" s="1"/>
  <c r="AI18" i="1" s="1"/>
  <c r="O16" i="1"/>
  <c r="Q16" i="1" s="1"/>
  <c r="S16" i="1" s="1"/>
  <c r="U16" i="1" s="1"/>
  <c r="W16" i="1" s="1"/>
  <c r="Y16" i="1" s="1"/>
  <c r="AA16" i="1" s="1"/>
  <c r="AC16" i="1" s="1"/>
  <c r="AE16" i="1" s="1"/>
  <c r="AG16" i="1" s="1"/>
  <c r="AI16" i="1" s="1"/>
  <c r="P38" i="1" l="1"/>
  <c r="AH38" i="1"/>
  <c r="L38" i="1"/>
  <c r="I37" i="1" s="1"/>
  <c r="M32" i="1"/>
  <c r="AH32" i="1"/>
  <c r="L32" i="1"/>
  <c r="I31" i="1" s="1"/>
  <c r="AF26" i="1"/>
  <c r="Z26" i="1"/>
  <c r="X26" i="1"/>
  <c r="T26" i="1"/>
  <c r="R26" i="1"/>
  <c r="P26" i="1"/>
  <c r="N26" i="1"/>
  <c r="AH26" i="1"/>
  <c r="V26" i="1"/>
  <c r="L26" i="1"/>
  <c r="I25" i="1" s="1"/>
  <c r="V20" i="1"/>
  <c r="T20" i="1"/>
  <c r="R20" i="1"/>
  <c r="P20" i="1"/>
  <c r="N20" i="1"/>
  <c r="M20" i="1"/>
  <c r="AH20" i="1"/>
  <c r="AD20" i="1"/>
  <c r="AB20" i="1"/>
  <c r="Z20" i="1"/>
  <c r="X20" i="1"/>
  <c r="L20" i="1"/>
  <c r="I19" i="1" s="1"/>
  <c r="AD14" i="1"/>
  <c r="AB14" i="1"/>
  <c r="X14" i="1"/>
  <c r="V14" i="1"/>
  <c r="T14" i="1"/>
  <c r="P14" i="1"/>
  <c r="M14" i="1"/>
  <c r="AH14" i="1"/>
  <c r="L14" i="1"/>
  <c r="I13" i="1" s="1"/>
  <c r="N38" i="1" l="1"/>
  <c r="AF20" i="1"/>
  <c r="N14" i="1"/>
  <c r="AB26" i="1"/>
  <c r="P32" i="1"/>
  <c r="O38" i="1"/>
  <c r="AF14" i="1"/>
  <c r="O20" i="1"/>
  <c r="R14" i="1"/>
  <c r="R38" i="1"/>
  <c r="Z14" i="1"/>
  <c r="O26" i="1"/>
  <c r="O32" i="1"/>
  <c r="M38" i="1"/>
  <c r="M26" i="1"/>
  <c r="N32" i="1"/>
  <c r="T38" i="1" l="1"/>
  <c r="R32" i="1"/>
  <c r="Q26" i="1"/>
  <c r="Q38" i="1"/>
  <c r="Q32" i="1"/>
  <c r="Q20" i="1"/>
  <c r="AD26" i="1"/>
  <c r="O14" i="1"/>
  <c r="S20" i="1" l="1"/>
  <c r="S38" i="1"/>
  <c r="T32" i="1"/>
  <c r="V38" i="1"/>
  <c r="S26" i="1"/>
  <c r="Q14" i="1"/>
  <c r="S32" i="1"/>
  <c r="S14" i="1" l="1"/>
  <c r="U38" i="1"/>
  <c r="U20" i="1"/>
  <c r="V32" i="1"/>
  <c r="U26" i="1"/>
  <c r="U32" i="1"/>
  <c r="X38" i="1"/>
  <c r="W26" i="1" l="1"/>
  <c r="X32" i="1"/>
  <c r="U14" i="1"/>
  <c r="W38" i="1"/>
  <c r="Z38" i="1"/>
  <c r="W20" i="1"/>
  <c r="W32" i="1"/>
  <c r="W14" i="1" l="1"/>
  <c r="AB38" i="1"/>
  <c r="Z32" i="1"/>
  <c r="Y20" i="1"/>
  <c r="Y38" i="1"/>
  <c r="Y32" i="1"/>
  <c r="Y26" i="1"/>
  <c r="AD38" i="1" l="1"/>
  <c r="AA38" i="1"/>
  <c r="AA20" i="1"/>
  <c r="AA32" i="1"/>
  <c r="Y14" i="1"/>
  <c r="AA26" i="1"/>
  <c r="AB32" i="1"/>
  <c r="AC20" i="1" l="1"/>
  <c r="AF38" i="1"/>
  <c r="AD32" i="1"/>
  <c r="AC26" i="1"/>
  <c r="AA14" i="1"/>
  <c r="AC32" i="1"/>
  <c r="AC38" i="1"/>
  <c r="AE26" i="1" l="1"/>
  <c r="AE38" i="1"/>
  <c r="AE32" i="1"/>
  <c r="AC14" i="1"/>
  <c r="AE20" i="1"/>
  <c r="AF32" i="1"/>
  <c r="AI26" i="1" l="1"/>
  <c r="AG26" i="1"/>
  <c r="AI20" i="1"/>
  <c r="AG20" i="1"/>
  <c r="AE14" i="1"/>
  <c r="AI38" i="1"/>
  <c r="AG38" i="1"/>
  <c r="AI32" i="1"/>
  <c r="AG32" i="1"/>
  <c r="AG14" i="1" l="1"/>
  <c r="AI14" i="1"/>
  <c r="AJ16" i="1" s="1"/>
</calcChain>
</file>

<file path=xl/sharedStrings.xml><?xml version="1.0" encoding="utf-8"?>
<sst xmlns="http://schemas.openxmlformats.org/spreadsheetml/2006/main" count="1163" uniqueCount="144">
  <si>
    <t>Plantilla del SIG Compromisos Institucionales</t>
  </si>
  <si>
    <t xml:space="preserve">INDICADOR </t>
  </si>
  <si>
    <t>FORMULA</t>
  </si>
  <si>
    <t>Operandos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</si>
  <si>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</si>
  <si>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</si>
  <si>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</si>
  <si>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</si>
  <si>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</si>
  <si>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</si>
  <si>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</si>
  <si>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</si>
  <si>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</si>
  <si>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</si>
  <si>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</si>
  <si>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</si>
  <si>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</si>
  <si>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</si>
  <si>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</si>
  <si>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</si>
  <si>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</si>
  <si>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</si>
  <si>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</si>
  <si>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</si>
  <si>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</si>
  <si>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</si>
  <si>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</si>
  <si>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</si>
  <si>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>Operandos  Estimados Meta</t>
  </si>
  <si>
    <t>Elaborado por: Analista de Gestión</t>
  </si>
  <si>
    <t xml:space="preserve"> </t>
  </si>
  <si>
    <t xml:space="preserve">  </t>
  </si>
  <si>
    <t>UNIDAD</t>
  </si>
  <si>
    <t>GESTOR</t>
  </si>
  <si>
    <t xml:space="preserve">Fecha: </t>
  </si>
  <si>
    <t xml:space="preserve">Aprobado por: </t>
  </si>
  <si>
    <t>Revisado por:</t>
  </si>
  <si>
    <t>PRODUCTO O PROCESO ESPECÍFICO</t>
  </si>
  <si>
    <t>DIVISIÓN PLANIFICACIÓN</t>
  </si>
  <si>
    <t>Y DESARROLLO</t>
  </si>
  <si>
    <t>RESPONSABLE CENTRO DE RESPONSABILIDAD</t>
  </si>
  <si>
    <t>SUPERVISORES</t>
  </si>
  <si>
    <t xml:space="preserve">Valor indicador=   </t>
  </si>
  <si>
    <t xml:space="preserve">Operando 1=   </t>
  </si>
  <si>
    <t xml:space="preserve">Operando 2=    </t>
  </si>
  <si>
    <t>NÚMERO</t>
  </si>
  <si>
    <t>Instrumentos de Gestión Asociados</t>
  </si>
  <si>
    <t>Control de Cambios</t>
  </si>
  <si>
    <t>Ponderador</t>
  </si>
  <si>
    <t>5.4.1.61</t>
  </si>
  <si>
    <t xml:space="preserve">5.- Proceso de Apoyo                                                
5.4.- Planificación y Control de Gestión                         
5.4.1.- Control de Gestión Institucional                                   </t>
  </si>
  <si>
    <r>
      <t xml:space="preserve">1) Eficacia/Proceso
</t>
    </r>
    <r>
      <rPr>
        <sz val="8"/>
        <rFont val="Arial Narrow"/>
        <family val="2"/>
      </rPr>
      <t xml:space="preserve">Porcentaje de hitos cumplidos del Plan Anual de Acción para el mejoramiento del Sistema de Informacón de Gestión Institucional en el año t 
</t>
    </r>
  </si>
  <si>
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</si>
  <si>
    <t>División Planificación y Desarrollo</t>
  </si>
  <si>
    <t>Patricia Schubert Urzua</t>
  </si>
  <si>
    <t>Monica Smith Guerrero</t>
  </si>
  <si>
    <t xml:space="preserve">(Sumatoria de hitos cumplidos del Plan Anual de acción para el mejoramiento del Sistema de Información de Gestión Institucional </t>
  </si>
  <si>
    <t>CDC. Div. Planificación y Desarrollo</t>
  </si>
  <si>
    <t>N° total de hitos cumplidos del Plan de acción para el mejoramiento del Sistema de Información de Gestión Institucional en el año t)*100</t>
  </si>
  <si>
    <t>5.4.1.46</t>
  </si>
  <si>
    <t xml:space="preserve">5.- Proceso de Apoyo                                                5.4.- Planificación y Control de Gestión                  
5.4.1.- Control de Gestión Institucional                                   </t>
  </si>
  <si>
    <t xml:space="preserve">(Número  de medidas  para  la igualdad de género del Programa de Trabajo implementadas en  el año t / N° de medidas  para la igualdad de género comprometidas para el año t en el Programa de Trabajo)* 100
</t>
  </si>
  <si>
    <t>Hugo Rojas Dominguez</t>
  </si>
  <si>
    <t xml:space="preserve">(Número  de medidas  para  la igualdad de género del Programa de Trabajo implementadas en  el año t  </t>
  </si>
  <si>
    <t xml:space="preserve">N° de medidas  para la igualdad de género comprometidas para el año t en el Programa de Trabajo)* 100
</t>
  </si>
  <si>
    <t>Armando Calfin Trango</t>
  </si>
  <si>
    <t>CDC: Div. Planificación y Desarrollo</t>
  </si>
  <si>
    <t>5.4.2.21</t>
  </si>
  <si>
    <t xml:space="preserve">5.- Proceso de Apoyo                                                5.4.- Planificación y Control de Gestión                   
5.4.1.- Control de Gestión Institucional         </t>
  </si>
  <si>
    <t>(Nº de hitos cumplidos del plan anual de instalación de una cultura y prácticas de innovación en el año t / Nº de hitos del plan anual de instalación de una cultura y prácticas de innovación planificados en el año t)*100</t>
  </si>
  <si>
    <t>Marcela Castillo Darvich</t>
  </si>
  <si>
    <t>(Nº de hitos cumplidos del plan anual de instalación de una cultura y prácticas de innovación en el año t</t>
  </si>
  <si>
    <t>Nº de hitos del plan anual de instalación de una cultura y prácticas de innovación planificados en el año t)*100</t>
  </si>
  <si>
    <t xml:space="preserve">Subdirección Sistemas de Información y Administración
Departamento Secretaria General y Transparencia </t>
  </si>
  <si>
    <t>Julio Santistevan Jimenez</t>
  </si>
  <si>
    <t>CENTRO DE RESPONSABILIDAD: DIVISIÓN PLANIFICACIÓN Y DESARROLLO</t>
  </si>
  <si>
    <t xml:space="preserve">5.-Proceso de Apoyo
5.4.-Planificación y Control de Gestión 
5.4.1.-Control de Gestión Institucional
</t>
  </si>
  <si>
    <t>CDC: Div. Beneficio</t>
  </si>
  <si>
    <t>5.4.-Planificación y Control de Gestión</t>
  </si>
  <si>
    <t>5.4.1.-Control de Gestión Institucional</t>
  </si>
  <si>
    <t>CDC: Div Informática.</t>
  </si>
  <si>
    <t>CDC: Subdir Sistema de Información y Administración</t>
  </si>
  <si>
    <t>CDC: Subdirección Clientes</t>
  </si>
  <si>
    <t xml:space="preserve">CDC: Div. Beneficio,Subdirección Clientes, División Informática, Subdirección Sistema de información y Administración, División Planificación y Desarrollo, Departamento Comunicaciones, </t>
  </si>
  <si>
    <t>PMG 2022 obj 1
CDC: Div. Planificación y Desarrollo</t>
  </si>
  <si>
    <t>Lorena Espinoza Duran</t>
  </si>
  <si>
    <t>Pamela Carrasco Geve</t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</si>
  <si>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</si>
  <si>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>N° total de hitos de control definidos de ejecución presupuestaria a nivel de los Subtítulos 22 y 29</t>
  </si>
  <si>
    <t>Sumatoria de hitos de control cumplidos de ejecución presupuestaria a nivel de los Subtítulos 22 y 29, dentro de los plazos establecidos</t>
  </si>
  <si>
    <t>Reportes/Informes 
-	Programa de Trabajo Año t aprobado por el jefe Superior del Servicio a más tardar el diciembre del año t-1.
-	Informe de Cumplimiento del Plan de Trabajo año t aprobado por el jefe Superior del Servicio.</t>
  </si>
  <si>
    <t>Reportes/Informes 
-	Informe de ejecución presupuestaria emitido por el Subdepartamento de Presupuesto del Departamento de Finanzas.</t>
  </si>
  <si>
    <t>Yuri Alberto Grlica Fernandez</t>
  </si>
  <si>
    <t>Margarita Luna Ibarra</t>
  </si>
  <si>
    <t>Paulo Rodríguez Pino</t>
  </si>
  <si>
    <r>
      <t xml:space="preserve">2) Eficacia/Proceso
</t>
    </r>
    <r>
      <rPr>
        <sz val="8"/>
        <rFont val="Arial Narrow"/>
        <family val="2"/>
      </rPr>
      <t>Porcentaje de medidas para la igualdad de género del Programa de Trabajo implementadas en el año (CDC)</t>
    </r>
    <r>
      <rPr>
        <b/>
        <u/>
        <sz val="8"/>
        <rFont val="Arial Narrow"/>
        <family val="2"/>
      </rPr>
      <t xml:space="preserve">
</t>
    </r>
  </si>
  <si>
    <t>5.4.1.73</t>
  </si>
  <si>
    <r>
      <t xml:space="preserve">2) Eficacia/Proceso
</t>
    </r>
    <r>
      <rPr>
        <sz val="8"/>
        <rFont val="Arial Narrow"/>
        <family val="2"/>
      </rPr>
      <t>Medidas de equidad de Género (PMG)</t>
    </r>
  </si>
  <si>
    <t>(Número de medidas para la igualdad de género implementadas en el año t / Número total de medidas para la igualdad de género establecidas en el programa de marco del año t)*100</t>
  </si>
  <si>
    <t>Número de medidas para la igualdad de género implementadas en el año t</t>
  </si>
  <si>
    <t>Número total de medidas para la igualdad de género establecidas en el programa de marco del año t)*100</t>
  </si>
  <si>
    <t>5.1.3.45</t>
  </si>
  <si>
    <t>INDICADOR NUEVO</t>
  </si>
  <si>
    <t>(Número de Reportes Trimestrales de riesgos enviados oportunamente al Depto. Gestión Integral de Riesgos en el año t / Número de Reportes Trimestrales de riesgos planificados enviados al Depto. Gestión Integral de Riesgos en el año t) *100</t>
  </si>
  <si>
    <t>(Número de Reportes Trimestrales de riesgos enviados oportunamente al Depto. Gestión Integral de Riesgos en el año t</t>
  </si>
  <si>
    <t>Número de Reportes Trimestrales de riesgos planificados enviados al Depto. Gestión Integral de Riesgos en el año t) *100</t>
  </si>
  <si>
    <r>
      <t xml:space="preserve">5) Eficacia/Proceso
</t>
    </r>
    <r>
      <rPr>
        <sz val="8"/>
        <rFont val="Arial Narrow"/>
        <family val="2"/>
      </rPr>
      <t>Porcentaje de hitos cumplidos del plan anual de instalación de una cultura y prácticas de innovación realizadas en el año t.</t>
    </r>
  </si>
  <si>
    <r>
      <rPr>
        <b/>
        <sz val="8"/>
        <rFont val="Arial Narrow"/>
        <family val="2"/>
      </rPr>
      <t>7)</t>
    </r>
    <r>
      <rPr>
        <b/>
        <u/>
        <sz val="8"/>
        <rFont val="Arial Narrow"/>
        <family val="2"/>
      </rPr>
      <t xml:space="preserve"> 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
(División Planificación y Desarrollo)</t>
    </r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</si>
  <si>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Reportes Trimestrales de riesgos enviados oportunamente al Depto. Gestión Integral de Riesgos en el año t (División Beneficios)</t>
    </r>
  </si>
  <si>
    <r>
      <rPr>
        <b/>
        <u/>
        <sz val="8"/>
        <rFont val="Arial Narrow"/>
        <family val="2"/>
      </rPr>
      <t>Eficacia/Proceso</t>
    </r>
    <r>
      <rPr>
        <sz val="8"/>
        <rFont val="Arial Narrow"/>
        <family val="2"/>
      </rPr>
      <t xml:space="preserve">
Porcentaje de Reportes Trimestrales de riesgos enviados oportunamente al Depto. Gestión Integral de Riesgos en el año t (División Informática)</t>
    </r>
  </si>
  <si>
    <t>Eficacia/Proceso
Porcentaje de Reportes Trimestrales de riesgos enviados oportunamente al Depto. Gestión Integral de Riesgos en el año t (Subdirección de Sistemas de Información y de Administración)</t>
  </si>
  <si>
    <r>
      <t xml:space="preserve">Eficacia/Proceso
</t>
    </r>
    <r>
      <rPr>
        <sz val="8"/>
        <color theme="1"/>
        <rFont val="Arial Narrow"/>
        <family val="2"/>
      </rPr>
      <t>Porcentaje de Reportes Trimestrales de riesgos enviados oportunamente al Depto. Gestión Integral de Riesgos en el año t (Subdirección de Servicios al Cliente)</t>
    </r>
  </si>
  <si>
    <r>
      <t xml:space="preserve">6) Eficacia/Proceso
</t>
    </r>
    <r>
      <rPr>
        <sz val="8"/>
        <rFont val="Arial Narrow"/>
        <family val="2"/>
      </rPr>
      <t xml:space="preserve">Porcentaje de documentos revisados en un plazo máximo de 10 días hábiles en el año t </t>
    </r>
  </si>
  <si>
    <t>(Sumatoria de documentos revisados en un plazo máximo de 10 días hábiles en el año t   / Número total de documentos revisados en el año t) * 100</t>
  </si>
  <si>
    <t>Número total de documentos revisados en el año t) * 100</t>
  </si>
  <si>
    <t>(Sumatoria de documentos revisados en un plazo máximo de 10 días hábiles en el año t</t>
  </si>
  <si>
    <t xml:space="preserve"> 5.- Proceso de Apoyo
5.1.- Administración y Finanzas
5.1.3.- Programación y Control Presupuestario</t>
  </si>
  <si>
    <r>
      <t xml:space="preserve">6) Eficacia/Proceso
</t>
    </r>
    <r>
      <rPr>
        <sz val="8"/>
        <rFont val="Arial Narrow"/>
        <family val="2"/>
      </rPr>
      <t>Porcentaje de actividades cumplidos del Plan de Monitoreo y Control de Riesgos (PMCR) nuevos, emergentes y materializados en macroprocesos priorizados en año t.</t>
    </r>
  </si>
  <si>
    <t>(Nº de actividades cumplidos del PMCR nuevos, emergentes y materializados en macroprocesos priorizados en el año t / N° total de actividades programados en el PMCR nuevos, emergentes y materializados en macroprocesos priorizados en el año t) *100</t>
  </si>
  <si>
    <t>N° total de actividades programados en el PMCR nuevos, emergentes y materializados en macroprocesos priorizados en el año t) *100</t>
  </si>
  <si>
    <t>(Nº de actividades cumplidos del PMCR nuevos, emergentes y materializados en macroprocesos priorizados en el año t</t>
  </si>
  <si>
    <r>
      <t xml:space="preserve">6) Eficacia/Proceso
</t>
    </r>
    <r>
      <rPr>
        <sz val="8"/>
        <rFont val="Arial Narrow"/>
        <family val="2"/>
      </rPr>
      <t xml:space="preserve">Porcentaje de hitos cumplidos del plan anual de acción para el fortalecimiento de la oficina de gestión de proyectos en el año t </t>
    </r>
  </si>
  <si>
    <t>(Sumatoria de hitos cumplidos del plan anual de acción para el fortalecimiento de la oficina de gestión de proyectos en el año t / N° total de hitos del plan de acción para el fortalecimiento de la oficina de gestión de proyectos en el año t) *100</t>
  </si>
  <si>
    <t>N° total de hitos del plan de acción para el fortalecimiento de la oficina de gestión de proyectos en el año t) *100</t>
  </si>
  <si>
    <t>(Sumatoria de hitos cumplidos del plan anual de acción para el fortalecimiento de la oficina de gestión de proyectos en el año t</t>
  </si>
  <si>
    <t xml:space="preserve">Reportes/Informes 
-	Plan anual de acción para el mejoramiento del sistema de información de Gestión Institucional.
-	Medios de verificación de los hitos comprometidos en el plan.  </t>
  </si>
  <si>
    <t>Reportes/Informes 
-	Programa de Trabajo año t.
-	Medios de verificación definidos para cada medida comprometida</t>
  </si>
  <si>
    <t>Reportes/Informes
-	Plan anual de instalación de una cultura y prácticas de innovación.
-	Medios de verificación de las actividades definidas en el plan.</t>
  </si>
  <si>
    <t>Reportes/Informes 
-	Reporte de documentos revisados.</t>
  </si>
  <si>
    <t>Reportes/Informes 
-	Plan para el fortalecimiento de la oficina de gestión de proyectos 
-	Medios de verificación de las actividades definidas en el plan</t>
  </si>
  <si>
    <t>Reportes/Informes
- Plan de Monitoreo y Control de Riesgos (PMCR) nuevos, emergentes y materializados.
- Medios de verificación de las actividades definidas en el plan.</t>
  </si>
  <si>
    <t>Maria Pilar Farias Maldonado</t>
  </si>
  <si>
    <t>CONVENIO DE DESEMPEÑO COLECTIVO 2025</t>
  </si>
  <si>
    <t>Meta 2025</t>
  </si>
  <si>
    <t>Cumplimiento
Proyectado
2025</t>
  </si>
  <si>
    <t>5.4.1.83</t>
  </si>
  <si>
    <t>5.4.1.76</t>
  </si>
  <si>
    <t>Olga Veronica Quiroz Miranda</t>
  </si>
  <si>
    <t>5.4.1.78</t>
  </si>
  <si>
    <t>5.4.1.77</t>
  </si>
  <si>
    <t>Reportes/Informes
-	Correo electrónico dirigido al Depto. de Gestión Integral de Riesgos en que envía el reporte trimestral comprometido.
-	Reporte trimestral de riesgos.</t>
  </si>
  <si>
    <t>INDICADORES DE RIESGOS - 2025</t>
  </si>
  <si>
    <t>Juan Daza Lizana (S)</t>
  </si>
  <si>
    <t>Manuel Aguila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</si>
</sst>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#,##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name val="Arial"/>
      <family val="2"/>
    </font>
    <font>
      <b/>
      <u/>
      <sz val="8"/>
      <name val="Arial Narrow"/>
      <family val="2"/>
    </font>
    <font>
      <b/>
      <sz val="12"/>
      <color indexed="12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sz val="8"/>
      <color rgb="FFFF0000"/>
      <name val="Arial Narrow"/>
      <family val="2"/>
    </font>
    <font>
      <b/>
      <u/>
      <sz val="8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6">
    <xf numFmtId="0" fontId="0" fillId="0" borderId="0" xfId="0"/>
    <xf numFmtId="0" fontId="6" fillId="0" borderId="0" xfId="0" applyFont="1"/>
    <xf numFmtId="10" fontId="4" fillId="4" borderId="3" xfId="4" applyNumberFormat="1" applyFont="1" applyFill="1" applyBorder="1" applyAlignment="1" applyProtection="1">
      <alignment vertical="center"/>
    </xf>
    <xf numFmtId="10" fontId="4" fillId="3" borderId="4" xfId="4" applyNumberFormat="1" applyFont="1" applyFill="1" applyBorder="1" applyAlignment="1" applyProtection="1">
      <alignment vertical="center"/>
    </xf>
    <xf numFmtId="3" fontId="4" fillId="4" borderId="3" xfId="0" applyNumberFormat="1" applyFont="1" applyFill="1" applyBorder="1" applyAlignment="1" applyProtection="1">
      <alignment horizontal="right" vertical="center" wrapText="1"/>
      <protection locked="0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3" fontId="7" fillId="0" borderId="0" xfId="0" applyNumberFormat="1" applyFont="1" applyAlignment="1">
      <alignment horizontal="center"/>
    </xf>
    <xf numFmtId="0" fontId="7" fillId="0" borderId="9" xfId="0" applyFont="1" applyBorder="1" applyAlignment="1">
      <alignment horizontal="center"/>
    </xf>
    <xf numFmtId="3" fontId="7" fillId="0" borderId="9" xfId="0" applyNumberFormat="1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10" fontId="4" fillId="4" borderId="3" xfId="4" applyNumberFormat="1" applyFont="1" applyFill="1" applyBorder="1" applyAlignment="1" applyProtection="1">
      <alignment horizontal="right" vertical="center"/>
    </xf>
    <xf numFmtId="0" fontId="4" fillId="0" borderId="10" xfId="0" applyFont="1" applyBorder="1"/>
    <xf numFmtId="10" fontId="3" fillId="0" borderId="3" xfId="4" applyNumberFormat="1" applyFont="1" applyFill="1" applyBorder="1" applyAlignment="1" applyProtection="1">
      <alignment horizontal="right" vertical="center"/>
    </xf>
    <xf numFmtId="10" fontId="4" fillId="0" borderId="3" xfId="4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9" fontId="4" fillId="0" borderId="1" xfId="4" applyFont="1" applyFill="1" applyBorder="1" applyAlignment="1">
      <alignment vertical="center"/>
    </xf>
    <xf numFmtId="9" fontId="3" fillId="0" borderId="3" xfId="4" applyFont="1" applyFill="1" applyBorder="1" applyAlignment="1" applyProtection="1">
      <alignment horizontal="right" vertical="center"/>
    </xf>
    <xf numFmtId="9" fontId="4" fillId="0" borderId="3" xfId="4" applyFont="1" applyFill="1" applyBorder="1" applyAlignment="1">
      <alignment vertical="center"/>
    </xf>
    <xf numFmtId="0" fontId="4" fillId="0" borderId="3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3" fontId="4" fillId="5" borderId="3" xfId="0" applyNumberFormat="1" applyFont="1" applyFill="1" applyBorder="1" applyAlignment="1">
      <alignment horizontal="right" vertical="center" wrapText="1"/>
    </xf>
    <xf numFmtId="3" fontId="4" fillId="3" borderId="4" xfId="0" applyNumberFormat="1" applyFont="1" applyFill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left" vertical="center" wrapText="1"/>
    </xf>
    <xf numFmtId="3" fontId="4" fillId="3" borderId="4" xfId="0" applyNumberFormat="1" applyFont="1" applyFill="1" applyBorder="1" applyAlignment="1">
      <alignment horizontal="left" vertical="center" wrapText="1"/>
    </xf>
    <xf numFmtId="9" fontId="4" fillId="0" borderId="5" xfId="4" applyFont="1" applyFill="1" applyBorder="1" applyAlignment="1">
      <alignment vertical="center"/>
    </xf>
    <xf numFmtId="9" fontId="4" fillId="0" borderId="2" xfId="4" applyFont="1" applyFill="1" applyBorder="1" applyAlignment="1">
      <alignment vertical="center"/>
    </xf>
    <xf numFmtId="9" fontId="4" fillId="0" borderId="4" xfId="4" applyFont="1" applyFill="1" applyBorder="1" applyAlignment="1">
      <alignment vertical="center"/>
    </xf>
    <xf numFmtId="10" fontId="4" fillId="0" borderId="4" xfId="4" applyNumberFormat="1" applyFont="1" applyFill="1" applyBorder="1" applyAlignment="1">
      <alignment horizontal="center" vertical="center"/>
    </xf>
    <xf numFmtId="9" fontId="4" fillId="0" borderId="11" xfId="4" applyFont="1" applyFill="1" applyBorder="1" applyAlignment="1">
      <alignment vertical="center"/>
    </xf>
    <xf numFmtId="3" fontId="4" fillId="5" borderId="5" xfId="0" applyNumberFormat="1" applyFont="1" applyFill="1" applyBorder="1" applyAlignment="1">
      <alignment horizontal="right" vertical="center" wrapText="1"/>
    </xf>
    <xf numFmtId="0" fontId="14" fillId="0" borderId="0" xfId="0" applyFont="1"/>
    <xf numFmtId="10" fontId="3" fillId="6" borderId="3" xfId="4" applyNumberFormat="1" applyFont="1" applyFill="1" applyBorder="1" applyAlignment="1" applyProtection="1">
      <alignment horizontal="right" vertical="center"/>
    </xf>
    <xf numFmtId="3" fontId="4" fillId="4" borderId="5" xfId="0" applyNumberFormat="1" applyFont="1" applyFill="1" applyBorder="1" applyAlignment="1">
      <alignment horizontal="right" vertical="center" wrapText="1"/>
    </xf>
    <xf numFmtId="3" fontId="4" fillId="2" borderId="11" xfId="0" applyNumberFormat="1" applyFont="1" applyFill="1" applyBorder="1" applyAlignment="1">
      <alignment horizontal="righ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10" fontId="12" fillId="6" borderId="3" xfId="4" applyNumberFormat="1" applyFont="1" applyFill="1" applyBorder="1" applyAlignment="1" applyProtection="1">
      <alignment horizontal="right" vertical="center"/>
    </xf>
    <xf numFmtId="10" fontId="13" fillId="2" borderId="4" xfId="4" applyNumberFormat="1" applyFont="1" applyFill="1" applyBorder="1" applyAlignment="1" applyProtection="1">
      <alignment vertical="center"/>
    </xf>
    <xf numFmtId="0" fontId="13" fillId="0" borderId="3" xfId="0" applyFont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3" fontId="13" fillId="2" borderId="3" xfId="0" applyNumberFormat="1" applyFont="1" applyFill="1" applyBorder="1" applyAlignment="1">
      <alignment horizontal="right" vertical="center" wrapText="1"/>
    </xf>
    <xf numFmtId="3" fontId="13" fillId="0" borderId="3" xfId="0" applyNumberFormat="1" applyFont="1" applyBorder="1" applyAlignment="1">
      <alignment horizontal="left" vertical="center" wrapText="1"/>
    </xf>
    <xf numFmtId="3" fontId="13" fillId="2" borderId="4" xfId="0" applyNumberFormat="1" applyFont="1" applyFill="1" applyBorder="1" applyAlignment="1">
      <alignment horizontal="left" vertical="center" wrapText="1"/>
    </xf>
    <xf numFmtId="3" fontId="13" fillId="5" borderId="3" xfId="0" applyNumberFormat="1" applyFont="1" applyFill="1" applyBorder="1" applyAlignment="1">
      <alignment horizontal="right" vertical="center" wrapText="1"/>
    </xf>
    <xf numFmtId="9" fontId="13" fillId="0" borderId="1" xfId="4" applyFont="1" applyBorder="1" applyAlignment="1">
      <alignment vertical="center"/>
    </xf>
    <xf numFmtId="10" fontId="13" fillId="7" borderId="3" xfId="4" applyNumberFormat="1" applyFont="1" applyFill="1" applyBorder="1" applyAlignment="1" applyProtection="1">
      <alignment horizontal="right" vertical="center"/>
    </xf>
    <xf numFmtId="9" fontId="13" fillId="0" borderId="3" xfId="4" applyFont="1" applyBorder="1" applyAlignment="1">
      <alignment vertical="center"/>
    </xf>
    <xf numFmtId="3" fontId="13" fillId="7" borderId="3" xfId="0" applyNumberFormat="1" applyFont="1" applyFill="1" applyBorder="1" applyAlignment="1">
      <alignment horizontal="right" vertical="center" wrapText="1"/>
    </xf>
    <xf numFmtId="166" fontId="13" fillId="7" borderId="3" xfId="0" applyNumberFormat="1" applyFont="1" applyFill="1" applyBorder="1" applyAlignment="1">
      <alignment horizontal="right" vertical="center" wrapText="1"/>
    </xf>
    <xf numFmtId="166" fontId="13" fillId="2" borderId="3" xfId="0" applyNumberFormat="1" applyFont="1" applyFill="1" applyBorder="1" applyAlignment="1">
      <alignment horizontal="right" vertical="center" wrapText="1"/>
    </xf>
    <xf numFmtId="10" fontId="13" fillId="0" borderId="3" xfId="4" applyNumberFormat="1" applyFont="1" applyBorder="1" applyAlignment="1">
      <alignment horizontal="center" vertical="center"/>
    </xf>
    <xf numFmtId="3" fontId="13" fillId="7" borderId="5" xfId="0" applyNumberFormat="1" applyFont="1" applyFill="1" applyBorder="1" applyAlignment="1">
      <alignment horizontal="right" vertical="center" wrapText="1"/>
    </xf>
    <xf numFmtId="9" fontId="13" fillId="0" borderId="5" xfId="4" applyFont="1" applyBorder="1" applyAlignment="1">
      <alignment vertical="center"/>
    </xf>
    <xf numFmtId="0" fontId="4" fillId="8" borderId="1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8" borderId="3" xfId="0" applyFont="1" applyFill="1" applyBorder="1"/>
    <xf numFmtId="0" fontId="4" fillId="8" borderId="5" xfId="0" applyFont="1" applyFill="1" applyBorder="1"/>
    <xf numFmtId="0" fontId="4" fillId="8" borderId="3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0" fillId="8" borderId="3" xfId="0" applyFont="1" applyFill="1" applyBorder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165" fontId="4" fillId="0" borderId="1" xfId="4" applyNumberFormat="1" applyFont="1" applyFill="1" applyBorder="1" applyAlignment="1">
      <alignment horizontal="left" vertical="center" wrapText="1"/>
    </xf>
    <xf numFmtId="165" fontId="4" fillId="0" borderId="3" xfId="4" applyNumberFormat="1" applyFont="1" applyFill="1" applyBorder="1" applyAlignment="1">
      <alignment horizontal="left" vertical="center" wrapText="1"/>
    </xf>
    <xf numFmtId="165" fontId="4" fillId="0" borderId="5" xfId="4" applyNumberFormat="1" applyFont="1" applyFill="1" applyBorder="1" applyAlignment="1">
      <alignment horizontal="left" vertical="center" wrapText="1"/>
    </xf>
    <xf numFmtId="9" fontId="4" fillId="8" borderId="1" xfId="4" applyFont="1" applyFill="1" applyBorder="1" applyAlignment="1">
      <alignment horizontal="center" vertical="center" wrapText="1"/>
    </xf>
    <xf numFmtId="9" fontId="4" fillId="8" borderId="3" xfId="4" applyFont="1" applyFill="1" applyBorder="1" applyAlignment="1">
      <alignment horizontal="center" vertical="center" wrapText="1"/>
    </xf>
    <xf numFmtId="9" fontId="4" fillId="8" borderId="5" xfId="4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2" fillId="2" borderId="1" xfId="2" applyFont="1" applyFill="1" applyBorder="1" applyAlignment="1">
      <alignment horizontal="center" vertical="center" wrapText="1"/>
    </xf>
    <xf numFmtId="0" fontId="12" fillId="2" borderId="5" xfId="2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left" vertical="center"/>
    </xf>
    <xf numFmtId="9" fontId="4" fillId="8" borderId="1" xfId="0" applyNumberFormat="1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12" fillId="2" borderId="5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7" fillId="0" borderId="19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6" fillId="0" borderId="19" xfId="0" applyFont="1" applyBorder="1" applyAlignment="1">
      <alignment wrapText="1"/>
    </xf>
    <xf numFmtId="1" fontId="4" fillId="8" borderId="1" xfId="0" applyNumberFormat="1" applyFont="1" applyFill="1" applyBorder="1" applyAlignment="1">
      <alignment horizontal="left" vertical="center" wrapText="1"/>
    </xf>
    <xf numFmtId="1" fontId="4" fillId="8" borderId="3" xfId="0" applyNumberFormat="1" applyFont="1" applyFill="1" applyBorder="1" applyAlignment="1">
      <alignment horizontal="left" vertical="center" wrapText="1"/>
    </xf>
    <xf numFmtId="1" fontId="4" fillId="8" borderId="5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8" borderId="1" xfId="2" applyFont="1" applyFill="1" applyBorder="1" applyAlignment="1">
      <alignment horizontal="center" vertical="center" wrapText="1"/>
    </xf>
    <xf numFmtId="0" fontId="4" fillId="8" borderId="3" xfId="2" applyFont="1" applyFill="1" applyBorder="1" applyAlignment="1">
      <alignment horizontal="center" vertical="center"/>
    </xf>
    <xf numFmtId="0" fontId="4" fillId="8" borderId="5" xfId="2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9" fontId="4" fillId="8" borderId="3" xfId="0" applyNumberFormat="1" applyFont="1" applyFill="1" applyBorder="1" applyAlignment="1">
      <alignment horizontal="center" vertical="center" wrapText="1"/>
    </xf>
    <xf numFmtId="9" fontId="4" fillId="8" borderId="5" xfId="0" applyNumberFormat="1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165" fontId="4" fillId="0" borderId="1" xfId="4" applyNumberFormat="1" applyFont="1" applyBorder="1" applyAlignment="1">
      <alignment horizontal="left" vertical="center" wrapText="1"/>
    </xf>
    <xf numFmtId="165" fontId="4" fillId="0" borderId="3" xfId="4" applyNumberFormat="1" applyFont="1" applyBorder="1" applyAlignment="1">
      <alignment horizontal="left" vertical="center" wrapText="1"/>
    </xf>
    <xf numFmtId="165" fontId="4" fillId="0" borderId="5" xfId="4" applyNumberFormat="1" applyFont="1" applyBorder="1" applyAlignment="1">
      <alignment horizontal="left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5" xfId="2" applyFont="1" applyFill="1" applyBorder="1" applyAlignment="1">
      <alignment horizontal="center" vertical="center" wrapText="1"/>
    </xf>
    <xf numFmtId="165" fontId="13" fillId="0" borderId="1" xfId="4" applyNumberFormat="1" applyFont="1" applyFill="1" applyBorder="1" applyAlignment="1">
      <alignment horizontal="left" vertical="center" wrapText="1"/>
    </xf>
    <xf numFmtId="165" fontId="13" fillId="0" borderId="3" xfId="4" applyNumberFormat="1" applyFont="1" applyFill="1" applyBorder="1" applyAlignment="1">
      <alignment horizontal="left" vertical="center" wrapText="1"/>
    </xf>
    <xf numFmtId="165" fontId="13" fillId="0" borderId="5" xfId="4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/>
    </xf>
    <xf numFmtId="165" fontId="14" fillId="0" borderId="1" xfId="4" applyNumberFormat="1" applyFont="1" applyBorder="1" applyAlignment="1">
      <alignment horizontal="left" vertical="center" wrapText="1"/>
    </xf>
    <xf numFmtId="165" fontId="14" fillId="0" borderId="3" xfId="4" applyNumberFormat="1" applyFont="1" applyBorder="1" applyAlignment="1">
      <alignment horizontal="left" vertical="center" wrapText="1"/>
    </xf>
    <xf numFmtId="165" fontId="14" fillId="0" borderId="5" xfId="4" applyNumberFormat="1" applyFont="1" applyBorder="1" applyAlignment="1">
      <alignment horizontal="left" vertical="center" wrapText="1"/>
    </xf>
    <xf numFmtId="0" fontId="3" fillId="8" borderId="3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4" fillId="8" borderId="1" xfId="2" applyFont="1" applyFill="1" applyBorder="1" applyAlignment="1">
      <alignment horizontal="left" vertical="center" wrapText="1"/>
    </xf>
    <xf numFmtId="0" fontId="4" fillId="8" borderId="3" xfId="2" applyFont="1" applyFill="1" applyBorder="1" applyAlignment="1">
      <alignment horizontal="left" vertical="center" wrapText="1"/>
    </xf>
    <xf numFmtId="0" fontId="4" fillId="8" borderId="5" xfId="2" applyFont="1" applyFill="1" applyBorder="1" applyAlignment="1">
      <alignment horizontal="left" vertical="center" wrapText="1"/>
    </xf>
    <xf numFmtId="0" fontId="4" fillId="8" borderId="1" xfId="2" applyFont="1" applyFill="1" applyBorder="1" applyAlignment="1">
      <alignment horizontal="center" vertical="center" wrapText="1"/>
    </xf>
    <xf numFmtId="0" fontId="4" fillId="8" borderId="3" xfId="2" applyFont="1" applyFill="1" applyBorder="1" applyAlignment="1">
      <alignment horizontal="center" vertical="center" wrapText="1"/>
    </xf>
    <xf numFmtId="0" fontId="4" fillId="8" borderId="5" xfId="2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left" vertical="center" wrapText="1"/>
    </xf>
    <xf numFmtId="0" fontId="4" fillId="3" borderId="3" xfId="2" applyFont="1" applyFill="1" applyBorder="1" applyAlignment="1">
      <alignment horizontal="left" vertical="center" wrapText="1"/>
    </xf>
    <xf numFmtId="0" fontId="4" fillId="3" borderId="5" xfId="2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left" vertical="center" wrapText="1"/>
    </xf>
    <xf numFmtId="1" fontId="4" fillId="3" borderId="3" xfId="0" applyNumberFormat="1" applyFont="1" applyFill="1" applyBorder="1" applyAlignment="1">
      <alignment horizontal="left" vertical="center" wrapText="1"/>
    </xf>
    <xf numFmtId="1" fontId="4" fillId="3" borderId="5" xfId="0" applyNumberFormat="1" applyFont="1" applyFill="1" applyBorder="1" applyAlignment="1">
      <alignment horizontal="left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10" fontId="4" fillId="3" borderId="3" xfId="0" applyNumberFormat="1" applyFont="1" applyFill="1" applyBorder="1" applyAlignment="1">
      <alignment horizontal="center" vertical="center" wrapText="1"/>
    </xf>
    <xf numFmtId="10" fontId="4" fillId="3" borderId="5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9" fontId="4" fillId="3" borderId="3" xfId="0" applyNumberFormat="1" applyFont="1" applyFill="1" applyBorder="1" applyAlignment="1">
      <alignment horizontal="center" vertical="center" wrapText="1"/>
    </xf>
    <xf numFmtId="9" fontId="4" fillId="3" borderId="5" xfId="0" applyNumberFormat="1" applyFont="1" applyFill="1" applyBorder="1" applyAlignment="1">
      <alignment horizontal="center" vertical="center" wrapText="1"/>
    </xf>
    <xf numFmtId="1" fontId="14" fillId="3" borderId="3" xfId="0" applyNumberFormat="1" applyFont="1" applyFill="1" applyBorder="1" applyAlignment="1">
      <alignment horizontal="left" vertical="center" wrapText="1"/>
    </xf>
    <xf numFmtId="1" fontId="14" fillId="3" borderId="5" xfId="0" applyNumberFormat="1" applyFont="1" applyFill="1" applyBorder="1" applyAlignment="1">
      <alignment horizontal="left" vertical="center" wrapText="1"/>
    </xf>
    <xf numFmtId="9" fontId="13" fillId="8" borderId="3" xfId="0" applyNumberFormat="1" applyFont="1" applyFill="1" applyBorder="1" applyAlignment="1">
      <alignment horizontal="left" vertical="center" wrapText="1"/>
    </xf>
    <xf numFmtId="0" fontId="13" fillId="8" borderId="3" xfId="0" applyFont="1" applyFill="1" applyBorder="1" applyAlignment="1">
      <alignment horizontal="left" wrapText="1"/>
    </xf>
    <xf numFmtId="0" fontId="13" fillId="8" borderId="5" xfId="0" applyFont="1" applyFill="1" applyBorder="1" applyAlignment="1">
      <alignment horizontal="left" wrapText="1"/>
    </xf>
    <xf numFmtId="9" fontId="13" fillId="8" borderId="1" xfId="0" applyNumberFormat="1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5" fillId="8" borderId="1" xfId="3" applyFont="1" applyFill="1" applyBorder="1" applyAlignment="1">
      <alignment horizontal="left" vertical="top" wrapText="1"/>
    </xf>
    <xf numFmtId="0" fontId="13" fillId="8" borderId="3" xfId="3" applyFont="1" applyFill="1" applyBorder="1" applyAlignment="1">
      <alignment horizontal="left" vertical="top"/>
    </xf>
    <xf numFmtId="0" fontId="13" fillId="8" borderId="5" xfId="3" applyFont="1" applyFill="1" applyBorder="1" applyAlignment="1">
      <alignment horizontal="left" vertical="top"/>
    </xf>
    <xf numFmtId="0" fontId="13" fillId="8" borderId="1" xfId="3" applyFont="1" applyFill="1" applyBorder="1" applyAlignment="1">
      <alignment horizontal="center" vertical="center" wrapText="1"/>
    </xf>
    <xf numFmtId="0" fontId="13" fillId="8" borderId="3" xfId="3" applyFont="1" applyFill="1" applyBorder="1"/>
    <xf numFmtId="0" fontId="13" fillId="8" borderId="5" xfId="3" applyFont="1" applyFill="1" applyBorder="1"/>
    <xf numFmtId="10" fontId="13" fillId="8" borderId="1" xfId="4" applyNumberFormat="1" applyFont="1" applyFill="1" applyBorder="1" applyAlignment="1">
      <alignment horizontal="center" vertical="center" wrapText="1"/>
    </xf>
    <xf numFmtId="10" fontId="13" fillId="8" borderId="3" xfId="4" applyNumberFormat="1" applyFont="1" applyFill="1" applyBorder="1" applyAlignment="1">
      <alignment horizontal="center" vertical="center" wrapText="1"/>
    </xf>
    <xf numFmtId="10" fontId="13" fillId="8" borderId="5" xfId="4" applyNumberFormat="1" applyFont="1" applyFill="1" applyBorder="1" applyAlignment="1">
      <alignment horizontal="center" vertical="center" wrapText="1"/>
    </xf>
    <xf numFmtId="10" fontId="4" fillId="8" borderId="1" xfId="4" applyNumberFormat="1" applyFont="1" applyFill="1" applyBorder="1" applyAlignment="1">
      <alignment horizontal="center" vertical="center" wrapText="1"/>
    </xf>
    <xf numFmtId="10" fontId="4" fillId="8" borderId="3" xfId="4" applyNumberFormat="1" applyFont="1" applyFill="1" applyBorder="1" applyAlignment="1">
      <alignment horizontal="center" vertical="center" wrapText="1"/>
    </xf>
    <xf numFmtId="10" fontId="4" fillId="8" borderId="5" xfId="4" applyNumberFormat="1" applyFont="1" applyFill="1" applyBorder="1" applyAlignment="1">
      <alignment horizontal="center" vertical="center" wrapText="1"/>
    </xf>
    <xf numFmtId="10" fontId="4" fillId="8" borderId="1" xfId="0" applyNumberFormat="1" applyFont="1" applyFill="1" applyBorder="1" applyAlignment="1">
      <alignment horizontal="center" vertical="center" wrapText="1"/>
    </xf>
    <xf numFmtId="10" fontId="4" fillId="8" borderId="3" xfId="0" applyNumberFormat="1" applyFont="1" applyFill="1" applyBorder="1" applyAlignment="1">
      <alignment horizontal="center" vertical="center" wrapText="1"/>
    </xf>
    <xf numFmtId="10" fontId="4" fillId="8" borderId="5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top" wrapText="1"/>
    </xf>
    <xf numFmtId="0" fontId="4" fillId="8" borderId="3" xfId="0" applyFont="1" applyFill="1" applyBorder="1" applyAlignment="1">
      <alignment vertical="top" wrapText="1"/>
    </xf>
    <xf numFmtId="0" fontId="4" fillId="8" borderId="5" xfId="0" applyFont="1" applyFill="1" applyBorder="1" applyAlignment="1">
      <alignment vertical="top" wrapText="1"/>
    </xf>
    <xf numFmtId="0" fontId="13" fillId="8" borderId="3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/>
    </xf>
    <xf numFmtId="0" fontId="4" fillId="8" borderId="5" xfId="0" applyFont="1" applyFill="1" applyBorder="1" applyAlignment="1">
      <alignment horizontal="left" vertical="top"/>
    </xf>
    <xf numFmtId="165" fontId="13" fillId="0" borderId="1" xfId="4" applyNumberFormat="1" applyFont="1" applyBorder="1" applyAlignment="1">
      <alignment horizontal="left" vertical="center" wrapText="1"/>
    </xf>
    <xf numFmtId="165" fontId="13" fillId="0" borderId="3" xfId="4" applyNumberFormat="1" applyFont="1" applyBorder="1" applyAlignment="1">
      <alignment horizontal="left" vertical="center" wrapText="1"/>
    </xf>
    <xf numFmtId="165" fontId="13" fillId="0" borderId="5" xfId="4" applyNumberFormat="1" applyFont="1" applyBorder="1" applyAlignment="1">
      <alignment horizontal="left" vertical="center" wrapText="1"/>
    </xf>
    <xf numFmtId="0" fontId="13" fillId="3" borderId="1" xfId="2" applyFont="1" applyFill="1" applyBorder="1" applyAlignment="1">
      <alignment horizontal="center" vertical="center" wrapText="1"/>
    </xf>
    <xf numFmtId="0" fontId="13" fillId="3" borderId="3" xfId="2" applyFont="1" applyFill="1" applyBorder="1" applyAlignment="1">
      <alignment horizontal="center" vertical="center" wrapText="1"/>
    </xf>
    <xf numFmtId="0" fontId="13" fillId="3" borderId="5" xfId="2" applyFont="1" applyFill="1" applyBorder="1" applyAlignment="1">
      <alignment horizontal="center" vertical="center" wrapText="1"/>
    </xf>
  </cellXfs>
  <cellStyles count="7">
    <cellStyle name="Millares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Porcentaje" xfId="4" builtinId="5"/>
    <cellStyle name="Porcentaje 2" xfId="5" xr:uid="{00000000-0005-0000-0000-000005000000}"/>
    <cellStyle name="Porcentaje 4" xfId="6" xr:uid="{35E863F0-7A7D-4F37-9A7C-8C058E2933E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1</xdr:col>
      <xdr:colOff>922020</xdr:colOff>
      <xdr:row>4</xdr:row>
      <xdr:rowOff>160020</xdr:rowOff>
    </xdr:to>
    <xdr:pic>
      <xdr:nvPicPr>
        <xdr:cNvPr id="1583" name="Picture 67" descr="image002">
          <a:extLst>
            <a:ext uri="{FF2B5EF4-FFF2-40B4-BE49-F238E27FC236}">
              <a16:creationId xmlns:a16="http://schemas.microsoft.com/office/drawing/2014/main" id="{4A40088E-EFCB-446E-9C32-56244A0A2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0"/>
          <a:ext cx="79248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1</xdr:col>
      <xdr:colOff>922020</xdr:colOff>
      <xdr:row>4</xdr:row>
      <xdr:rowOff>160020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EF161806-60CC-4966-8B93-76C7F6D9E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" y="0"/>
          <a:ext cx="792480" cy="845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1</xdr:col>
      <xdr:colOff>922020</xdr:colOff>
      <xdr:row>4</xdr:row>
      <xdr:rowOff>160020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174341AC-F38F-4B13-9FA3-525892196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0"/>
          <a:ext cx="79248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N328"/>
  <sheetViews>
    <sheetView showGridLines="0" topLeftCell="A7" zoomScale="80" zoomScaleNormal="80" workbookViewId="0">
      <pane xSplit="1" ySplit="6" topLeftCell="B13" activePane="bottomRight" state="frozen"/>
      <selection activeCell="A7" sqref="A7"/>
      <selection pane="topRight" activeCell="B7" sqref="B7"/>
      <selection pane="bottomLeft" activeCell="A13" sqref="A13"/>
      <selection pane="bottomRight" activeCell="F37" sqref="F37:H42"/>
    </sheetView>
  </sheetViews>
  <sheetFormatPr baseColWidth="10" defaultColWidth="11.42578125" defaultRowHeight="12.75" x14ac:dyDescent="0.2"/>
  <cols>
    <col min="1" max="1" width="11.42578125" style="1"/>
    <col min="2" max="2" width="26.7109375" style="1" customWidth="1"/>
    <col min="3" max="3" width="20.28515625" style="1" customWidth="1"/>
    <col min="4" max="4" width="26.7109375" style="1" customWidth="1"/>
    <col min="5" max="5" width="14.7109375" style="1" customWidth="1"/>
    <col min="6" max="6" width="14.5703125" style="1" customWidth="1"/>
    <col min="7" max="7" width="14.7109375" style="1" customWidth="1"/>
    <col min="8" max="8" width="12.42578125" style="1" customWidth="1"/>
    <col min="9" max="9" width="6.5703125" style="1" customWidth="1"/>
    <col min="10" max="10" width="8.28515625" style="1" customWidth="1"/>
    <col min="11" max="11" width="28.5703125" style="1" customWidth="1"/>
    <col min="12" max="12" width="17" style="1" customWidth="1"/>
    <col min="13" max="13" width="11.140625" style="1" customWidth="1"/>
    <col min="14" max="14" width="11.7109375" style="10" customWidth="1"/>
    <col min="15" max="35" width="10.7109375" style="10" customWidth="1"/>
    <col min="36" max="36" width="16" style="10" customWidth="1"/>
    <col min="37" max="37" width="27.85546875" style="10" customWidth="1"/>
    <col min="38" max="38" width="26.42578125" style="1" customWidth="1"/>
    <col min="39" max="39" width="21.5703125" style="1" customWidth="1"/>
    <col min="40" max="40" width="21.28515625" style="1" customWidth="1"/>
    <col min="41" max="41" width="2.28515625" style="1" customWidth="1"/>
    <col min="42" max="16384" width="11.42578125" style="1"/>
  </cols>
  <sheetData>
    <row r="1" spans="1:39" s="5" customFormat="1" ht="12.75" customHeight="1" x14ac:dyDescent="0.25">
      <c r="B1" s="82"/>
      <c r="C1" s="82"/>
      <c r="D1" s="83"/>
      <c r="E1" s="101" t="s">
        <v>0</v>
      </c>
      <c r="F1" s="107"/>
      <c r="G1" s="107"/>
      <c r="H1" s="107"/>
      <c r="I1" s="107"/>
      <c r="J1" s="107"/>
      <c r="K1" s="107"/>
      <c r="L1" s="107"/>
      <c r="M1" s="107"/>
      <c r="N1" s="108"/>
      <c r="O1" s="101" t="s">
        <v>38</v>
      </c>
      <c r="P1" s="102"/>
      <c r="Q1" s="102"/>
      <c r="R1" s="103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pans="1:39" s="5" customFormat="1" ht="12.75" customHeight="1" x14ac:dyDescent="0.25">
      <c r="B2" s="84"/>
      <c r="C2" s="84"/>
      <c r="D2" s="85"/>
      <c r="E2" s="104"/>
      <c r="F2" s="109"/>
      <c r="G2" s="109"/>
      <c r="H2" s="109"/>
      <c r="I2" s="109"/>
      <c r="J2" s="109"/>
      <c r="K2" s="109"/>
      <c r="L2" s="109"/>
      <c r="M2" s="109"/>
      <c r="N2" s="110"/>
      <c r="O2" s="114" t="s">
        <v>39</v>
      </c>
      <c r="P2" s="115"/>
      <c r="Q2" s="115"/>
      <c r="R2" s="11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9" s="5" customFormat="1" ht="15.75" customHeight="1" x14ac:dyDescent="0.25">
      <c r="B3" s="84"/>
      <c r="C3" s="84"/>
      <c r="D3" s="85"/>
      <c r="E3" s="104"/>
      <c r="F3" s="109"/>
      <c r="G3" s="109"/>
      <c r="H3" s="109"/>
      <c r="I3" s="109"/>
      <c r="J3" s="109"/>
      <c r="K3" s="109"/>
      <c r="L3" s="109"/>
      <c r="M3" s="109"/>
      <c r="N3" s="110"/>
      <c r="O3" s="104"/>
      <c r="P3" s="105"/>
      <c r="Q3" s="105"/>
      <c r="R3" s="10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9" s="5" customFormat="1" ht="12.75" customHeight="1" x14ac:dyDescent="0.25">
      <c r="B4" s="84"/>
      <c r="C4" s="84"/>
      <c r="D4" s="85"/>
      <c r="E4" s="104"/>
      <c r="F4" s="109"/>
      <c r="G4" s="109"/>
      <c r="H4" s="109"/>
      <c r="I4" s="109"/>
      <c r="J4" s="109"/>
      <c r="K4" s="109"/>
      <c r="L4" s="109"/>
      <c r="M4" s="109"/>
      <c r="N4" s="110"/>
      <c r="O4" s="7"/>
      <c r="P4" s="8"/>
      <c r="Q4" s="8"/>
      <c r="R4" s="9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spans="1:39" s="5" customFormat="1" ht="20.25" customHeight="1" x14ac:dyDescent="0.25">
      <c r="B5" s="86"/>
      <c r="C5" s="86"/>
      <c r="D5" s="87"/>
      <c r="E5" s="111"/>
      <c r="F5" s="112"/>
      <c r="G5" s="112"/>
      <c r="H5" s="112"/>
      <c r="I5" s="112"/>
      <c r="J5" s="112"/>
      <c r="K5" s="112"/>
      <c r="L5" s="112"/>
      <c r="M5" s="112"/>
      <c r="N5" s="113"/>
      <c r="O5" s="118" t="s">
        <v>34</v>
      </c>
      <c r="P5" s="119"/>
      <c r="Q5" s="119"/>
      <c r="R5" s="120"/>
      <c r="S5" s="6"/>
      <c r="T5" s="6"/>
      <c r="U5" s="6"/>
      <c r="V5" s="6" t="s">
        <v>31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39" ht="15.75" customHeight="1" x14ac:dyDescent="0.2">
      <c r="B6" s="97" t="s">
        <v>29</v>
      </c>
      <c r="C6" s="98"/>
      <c r="D6" s="99"/>
      <c r="E6" s="121" t="s">
        <v>36</v>
      </c>
      <c r="F6" s="122"/>
      <c r="G6" s="122"/>
      <c r="H6" s="122"/>
      <c r="I6" s="122"/>
      <c r="J6" s="122"/>
      <c r="K6" s="122"/>
      <c r="L6" s="122"/>
      <c r="M6" s="122"/>
      <c r="N6" s="123"/>
      <c r="O6" s="121" t="s">
        <v>35</v>
      </c>
      <c r="P6" s="122"/>
      <c r="Q6" s="122"/>
      <c r="R6" s="123"/>
    </row>
    <row r="7" spans="1:39" s="5" customFormat="1" ht="16.5" customHeight="1" x14ac:dyDescent="0.25">
      <c r="E7" s="11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1:39" s="5" customFormat="1" ht="15.75" x14ac:dyDescent="0.25">
      <c r="B8" s="12" t="s">
        <v>132</v>
      </c>
      <c r="C8" s="11"/>
      <c r="D8" s="23"/>
      <c r="E8" s="13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14"/>
      <c r="AB8" s="6"/>
      <c r="AC8" s="6"/>
      <c r="AD8" s="6"/>
      <c r="AE8" s="6"/>
      <c r="AF8" s="14"/>
      <c r="AG8" s="6"/>
      <c r="AH8" s="6"/>
      <c r="AI8" s="6"/>
      <c r="AJ8" s="6"/>
      <c r="AK8" s="14"/>
    </row>
    <row r="9" spans="1:39" s="5" customFormat="1" ht="16.5" customHeight="1" x14ac:dyDescent="0.25">
      <c r="B9" s="12" t="s">
        <v>75</v>
      </c>
      <c r="C9" s="11"/>
      <c r="D9" s="11"/>
      <c r="E9" s="13"/>
      <c r="N9" s="6"/>
      <c r="O9" s="6"/>
      <c r="P9" s="6"/>
      <c r="Q9" s="6"/>
      <c r="R9" s="14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spans="1:39" s="5" customFormat="1" ht="16.5" thickBot="1" x14ac:dyDescent="0.3">
      <c r="B10" s="12"/>
      <c r="C10" s="12"/>
      <c r="D10" s="12"/>
      <c r="E10" s="11"/>
      <c r="N10" s="6"/>
      <c r="O10" s="6"/>
      <c r="P10" s="15"/>
      <c r="Q10" s="15"/>
      <c r="R10" s="16"/>
      <c r="S10" s="15"/>
      <c r="T10" s="15"/>
      <c r="U10" s="1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15"/>
      <c r="AJ10" s="15"/>
      <c r="AK10" s="15"/>
      <c r="AL10" s="24"/>
      <c r="AM10" s="24"/>
    </row>
    <row r="11" spans="1:39" s="17" customFormat="1" ht="22.9" customHeight="1" thickTop="1" x14ac:dyDescent="0.25">
      <c r="A11" s="127" t="s">
        <v>45</v>
      </c>
      <c r="B11" s="90" t="s">
        <v>37</v>
      </c>
      <c r="C11" s="90" t="s">
        <v>1</v>
      </c>
      <c r="D11" s="92" t="s">
        <v>2</v>
      </c>
      <c r="E11" s="88" t="s">
        <v>32</v>
      </c>
      <c r="F11" s="88" t="s">
        <v>40</v>
      </c>
      <c r="G11" s="88" t="s">
        <v>33</v>
      </c>
      <c r="H11" s="88" t="s">
        <v>41</v>
      </c>
      <c r="I11" s="88" t="s">
        <v>133</v>
      </c>
      <c r="J11" s="88" t="s">
        <v>48</v>
      </c>
      <c r="K11" s="92" t="s">
        <v>3</v>
      </c>
      <c r="L11" s="92" t="s">
        <v>28</v>
      </c>
      <c r="M11" s="92" t="s">
        <v>4</v>
      </c>
      <c r="N11" s="92" t="s">
        <v>5</v>
      </c>
      <c r="O11" s="90" t="s">
        <v>6</v>
      </c>
      <c r="P11" s="92" t="s">
        <v>7</v>
      </c>
      <c r="Q11" s="92" t="s">
        <v>8</v>
      </c>
      <c r="R11" s="92" t="s">
        <v>9</v>
      </c>
      <c r="S11" s="92" t="s">
        <v>10</v>
      </c>
      <c r="T11" s="92" t="s">
        <v>11</v>
      </c>
      <c r="U11" s="90" t="s">
        <v>12</v>
      </c>
      <c r="V11" s="90" t="s">
        <v>13</v>
      </c>
      <c r="W11" s="92" t="s">
        <v>14</v>
      </c>
      <c r="X11" s="154" t="s">
        <v>15</v>
      </c>
      <c r="Y11" s="92" t="s">
        <v>16</v>
      </c>
      <c r="Z11" s="92" t="s">
        <v>17</v>
      </c>
      <c r="AA11" s="92" t="s">
        <v>18</v>
      </c>
      <c r="AB11" s="92" t="s">
        <v>19</v>
      </c>
      <c r="AC11" s="92" t="s">
        <v>20</v>
      </c>
      <c r="AD11" s="92" t="s">
        <v>21</v>
      </c>
      <c r="AE11" s="92" t="s">
        <v>22</v>
      </c>
      <c r="AF11" s="90" t="s">
        <v>23</v>
      </c>
      <c r="AG11" s="92" t="s">
        <v>24</v>
      </c>
      <c r="AH11" s="92" t="s">
        <v>25</v>
      </c>
      <c r="AI11" s="88" t="s">
        <v>134</v>
      </c>
      <c r="AJ11" s="92" t="s">
        <v>26</v>
      </c>
      <c r="AK11" s="92" t="s">
        <v>27</v>
      </c>
      <c r="AL11" s="146" t="s">
        <v>47</v>
      </c>
      <c r="AM11" s="151" t="s">
        <v>46</v>
      </c>
    </row>
    <row r="12" spans="1:39" s="17" customFormat="1" ht="22.9" customHeight="1" thickBot="1" x14ac:dyDescent="0.3">
      <c r="A12" s="128"/>
      <c r="B12" s="91"/>
      <c r="C12" s="91"/>
      <c r="D12" s="93"/>
      <c r="E12" s="89"/>
      <c r="F12" s="89"/>
      <c r="G12" s="89"/>
      <c r="H12" s="89"/>
      <c r="I12" s="89"/>
      <c r="J12" s="89"/>
      <c r="K12" s="93"/>
      <c r="L12" s="117"/>
      <c r="M12" s="93"/>
      <c r="N12" s="93"/>
      <c r="O12" s="91"/>
      <c r="P12" s="93"/>
      <c r="Q12" s="93"/>
      <c r="R12" s="93"/>
      <c r="S12" s="100"/>
      <c r="T12" s="93"/>
      <c r="U12" s="153"/>
      <c r="V12" s="153"/>
      <c r="W12" s="100"/>
      <c r="X12" s="155"/>
      <c r="Y12" s="93"/>
      <c r="Z12" s="100"/>
      <c r="AA12" s="100"/>
      <c r="AB12" s="100"/>
      <c r="AC12" s="100"/>
      <c r="AD12" s="100"/>
      <c r="AE12" s="100"/>
      <c r="AF12" s="153"/>
      <c r="AG12" s="100"/>
      <c r="AH12" s="93"/>
      <c r="AI12" s="89"/>
      <c r="AJ12" s="93"/>
      <c r="AK12" s="142"/>
      <c r="AL12" s="147"/>
      <c r="AM12" s="152"/>
    </row>
    <row r="13" spans="1:39" s="18" customFormat="1" ht="22.9" customHeight="1" thickTop="1" x14ac:dyDescent="0.25">
      <c r="A13" s="129" t="s">
        <v>49</v>
      </c>
      <c r="B13" s="65" t="s">
        <v>50</v>
      </c>
      <c r="C13" s="73" t="s">
        <v>51</v>
      </c>
      <c r="D13" s="68" t="s">
        <v>52</v>
      </c>
      <c r="E13" s="96" t="s">
        <v>53</v>
      </c>
      <c r="F13" s="68" t="s">
        <v>92</v>
      </c>
      <c r="G13" s="68" t="s">
        <v>54</v>
      </c>
      <c r="H13" s="68" t="s">
        <v>55</v>
      </c>
      <c r="I13" s="79">
        <f>+L14</f>
        <v>1</v>
      </c>
      <c r="J13" s="79">
        <v>0.2</v>
      </c>
      <c r="K13" s="124" t="s">
        <v>56</v>
      </c>
      <c r="L13" s="25" t="s">
        <v>42</v>
      </c>
      <c r="M13" s="25" t="s">
        <v>42</v>
      </c>
      <c r="N13" s="25" t="s">
        <v>42</v>
      </c>
      <c r="O13" s="26" t="s">
        <v>42</v>
      </c>
      <c r="P13" s="25" t="s">
        <v>42</v>
      </c>
      <c r="Q13" s="26" t="s">
        <v>42</v>
      </c>
      <c r="R13" s="25" t="s">
        <v>42</v>
      </c>
      <c r="S13" s="26" t="s">
        <v>42</v>
      </c>
      <c r="T13" s="25" t="s">
        <v>42</v>
      </c>
      <c r="U13" s="26" t="s">
        <v>42</v>
      </c>
      <c r="V13" s="25" t="s">
        <v>42</v>
      </c>
      <c r="W13" s="26" t="s">
        <v>42</v>
      </c>
      <c r="X13" s="25" t="s">
        <v>42</v>
      </c>
      <c r="Y13" s="26" t="s">
        <v>42</v>
      </c>
      <c r="Z13" s="25" t="s">
        <v>42</v>
      </c>
      <c r="AA13" s="26" t="s">
        <v>42</v>
      </c>
      <c r="AB13" s="25" t="s">
        <v>42</v>
      </c>
      <c r="AC13" s="26" t="s">
        <v>42</v>
      </c>
      <c r="AD13" s="25" t="s">
        <v>42</v>
      </c>
      <c r="AE13" s="26" t="s">
        <v>42</v>
      </c>
      <c r="AF13" s="25" t="s">
        <v>42</v>
      </c>
      <c r="AG13" s="26" t="s">
        <v>42</v>
      </c>
      <c r="AH13" s="25" t="s">
        <v>42</v>
      </c>
      <c r="AI13" s="26" t="s">
        <v>42</v>
      </c>
      <c r="AJ13" s="27"/>
      <c r="AK13" s="143" t="s">
        <v>125</v>
      </c>
      <c r="AL13" s="143"/>
      <c r="AM13" s="137" t="s">
        <v>57</v>
      </c>
    </row>
    <row r="14" spans="1:39" s="18" customFormat="1" ht="22.9" customHeight="1" x14ac:dyDescent="0.25">
      <c r="A14" s="130"/>
      <c r="B14" s="66"/>
      <c r="C14" s="94"/>
      <c r="D14" s="69"/>
      <c r="E14" s="71"/>
      <c r="F14" s="71"/>
      <c r="G14" s="71"/>
      <c r="H14" s="71"/>
      <c r="I14" s="80"/>
      <c r="J14" s="80"/>
      <c r="K14" s="125"/>
      <c r="L14" s="28">
        <f t="shared" ref="L14:AH14" si="0">IF(L16&lt;&gt;0,+L16/L18,0%)</f>
        <v>1</v>
      </c>
      <c r="M14" s="2">
        <f t="shared" si="0"/>
        <v>0</v>
      </c>
      <c r="N14" s="2">
        <f t="shared" si="0"/>
        <v>0</v>
      </c>
      <c r="O14" s="3">
        <f t="shared" si="0"/>
        <v>0</v>
      </c>
      <c r="P14" s="2">
        <f t="shared" si="0"/>
        <v>0</v>
      </c>
      <c r="Q14" s="3">
        <f>IF(Q16&lt;&gt;0,+Q16/Q18,0%)</f>
        <v>0</v>
      </c>
      <c r="R14" s="2">
        <f t="shared" si="0"/>
        <v>0</v>
      </c>
      <c r="S14" s="3">
        <f>IF(S16&lt;&gt;0,+S16/S18,0%)</f>
        <v>0</v>
      </c>
      <c r="T14" s="2">
        <f t="shared" ref="T14" si="1">IF(T16&lt;&gt;0,+T16/T18,0%)</f>
        <v>0</v>
      </c>
      <c r="U14" s="3">
        <f>IF(U16&lt;&gt;0,+U16/U18,0%)</f>
        <v>0</v>
      </c>
      <c r="V14" s="2">
        <f t="shared" si="0"/>
        <v>0</v>
      </c>
      <c r="W14" s="3">
        <f>IF(W16&lt;&gt;0,+W16/W18,0%)</f>
        <v>0</v>
      </c>
      <c r="X14" s="2">
        <f t="shared" si="0"/>
        <v>0</v>
      </c>
      <c r="Y14" s="3">
        <f>IF(Y16&lt;&gt;0,+Y16/Y18,0%)</f>
        <v>0</v>
      </c>
      <c r="Z14" s="2">
        <f t="shared" ref="Z14" si="2">IF(Z16&lt;&gt;0,+Z16/Z18,0%)</f>
        <v>0</v>
      </c>
      <c r="AA14" s="3">
        <f>IF(AA16&lt;&gt;0,+AA16/AA18,0%)</f>
        <v>0</v>
      </c>
      <c r="AB14" s="2">
        <f t="shared" si="0"/>
        <v>0</v>
      </c>
      <c r="AC14" s="3">
        <f>IF(AC16&lt;&gt;0,+AC16/AC18,0%)</f>
        <v>0</v>
      </c>
      <c r="AD14" s="2">
        <f t="shared" ref="AD14" si="3">IF(AD16&lt;&gt;0,+AD16/AD18,0%)</f>
        <v>0</v>
      </c>
      <c r="AE14" s="3">
        <f>IF(AE16&lt;&gt;0,+AE16/AE18,0%)</f>
        <v>0</v>
      </c>
      <c r="AF14" s="2">
        <f t="shared" si="0"/>
        <v>0</v>
      </c>
      <c r="AG14" s="3">
        <f>IF(AG16&lt;&gt;0,+AG16/AG18,0%)</f>
        <v>0</v>
      </c>
      <c r="AH14" s="2">
        <f t="shared" si="0"/>
        <v>0</v>
      </c>
      <c r="AI14" s="3">
        <f>IF(AI16&lt;&gt;0,+AI16/AI18,0%)</f>
        <v>0</v>
      </c>
      <c r="AJ14" s="29"/>
      <c r="AK14" s="144"/>
      <c r="AL14" s="144"/>
      <c r="AM14" s="138"/>
    </row>
    <row r="15" spans="1:39" s="18" customFormat="1" ht="22.9" customHeight="1" thickBot="1" x14ac:dyDescent="0.3">
      <c r="A15" s="130"/>
      <c r="B15" s="66"/>
      <c r="C15" s="94"/>
      <c r="D15" s="69"/>
      <c r="E15" s="71"/>
      <c r="F15" s="71"/>
      <c r="G15" s="71"/>
      <c r="H15" s="71"/>
      <c r="I15" s="80"/>
      <c r="J15" s="80"/>
      <c r="K15" s="126"/>
      <c r="L15" s="30" t="s">
        <v>43</v>
      </c>
      <c r="M15" s="30" t="s">
        <v>43</v>
      </c>
      <c r="N15" s="30" t="s">
        <v>43</v>
      </c>
      <c r="O15" s="31" t="s">
        <v>43</v>
      </c>
      <c r="P15" s="30" t="s">
        <v>43</v>
      </c>
      <c r="Q15" s="31" t="s">
        <v>43</v>
      </c>
      <c r="R15" s="30" t="s">
        <v>43</v>
      </c>
      <c r="S15" s="31" t="s">
        <v>43</v>
      </c>
      <c r="T15" s="30" t="s">
        <v>43</v>
      </c>
      <c r="U15" s="31" t="s">
        <v>43</v>
      </c>
      <c r="V15" s="30" t="s">
        <v>43</v>
      </c>
      <c r="W15" s="31" t="s">
        <v>43</v>
      </c>
      <c r="X15" s="30" t="s">
        <v>43</v>
      </c>
      <c r="Y15" s="31" t="s">
        <v>43</v>
      </c>
      <c r="Z15" s="30" t="s">
        <v>43</v>
      </c>
      <c r="AA15" s="31" t="s">
        <v>43</v>
      </c>
      <c r="AB15" s="30" t="s">
        <v>43</v>
      </c>
      <c r="AC15" s="31" t="s">
        <v>43</v>
      </c>
      <c r="AD15" s="30" t="s">
        <v>43</v>
      </c>
      <c r="AE15" s="31" t="s">
        <v>43</v>
      </c>
      <c r="AF15" s="30" t="s">
        <v>43</v>
      </c>
      <c r="AG15" s="31" t="s">
        <v>43</v>
      </c>
      <c r="AH15" s="30" t="s">
        <v>43</v>
      </c>
      <c r="AI15" s="31" t="s">
        <v>43</v>
      </c>
      <c r="AJ15" s="29"/>
      <c r="AK15" s="144"/>
      <c r="AL15" s="144"/>
      <c r="AM15" s="138"/>
    </row>
    <row r="16" spans="1:39" s="18" customFormat="1" ht="22.9" customHeight="1" thickTop="1" x14ac:dyDescent="0.25">
      <c r="A16" s="130"/>
      <c r="B16" s="66"/>
      <c r="C16" s="94"/>
      <c r="D16" s="69"/>
      <c r="E16" s="71"/>
      <c r="F16" s="71"/>
      <c r="G16" s="71"/>
      <c r="H16" s="71"/>
      <c r="I16" s="80"/>
      <c r="J16" s="80"/>
      <c r="K16" s="125" t="s">
        <v>58</v>
      </c>
      <c r="L16" s="32">
        <v>5</v>
      </c>
      <c r="M16" s="4"/>
      <c r="N16" s="4"/>
      <c r="O16" s="33">
        <f>+M16+N16</f>
        <v>0</v>
      </c>
      <c r="P16" s="4"/>
      <c r="Q16" s="33">
        <f>+O16+P16</f>
        <v>0</v>
      </c>
      <c r="R16" s="4"/>
      <c r="S16" s="33">
        <f>+Q16+R16</f>
        <v>0</v>
      </c>
      <c r="T16" s="4"/>
      <c r="U16" s="33">
        <f>+S16+T16</f>
        <v>0</v>
      </c>
      <c r="V16" s="4"/>
      <c r="W16" s="33">
        <f>+U16+V16</f>
        <v>0</v>
      </c>
      <c r="X16" s="4"/>
      <c r="Y16" s="33">
        <f>+W16+X16</f>
        <v>0</v>
      </c>
      <c r="Z16" s="4"/>
      <c r="AA16" s="33">
        <f>+Y16+Z16</f>
        <v>0</v>
      </c>
      <c r="AB16" s="4"/>
      <c r="AC16" s="33">
        <f>+AA16+AB16</f>
        <v>0</v>
      </c>
      <c r="AD16" s="4"/>
      <c r="AE16" s="33">
        <f>+AC16+AD16</f>
        <v>0</v>
      </c>
      <c r="AF16" s="4"/>
      <c r="AG16" s="33">
        <f>+AE16+AF16</f>
        <v>0</v>
      </c>
      <c r="AH16" s="4"/>
      <c r="AI16" s="33">
        <f>+AG16+AH16</f>
        <v>0</v>
      </c>
      <c r="AJ16" s="22">
        <f>+AI14/L14</f>
        <v>0</v>
      </c>
      <c r="AK16" s="144"/>
      <c r="AL16" s="144"/>
      <c r="AM16" s="138"/>
    </row>
    <row r="17" spans="1:40" s="18" customFormat="1" ht="22.9" customHeight="1" x14ac:dyDescent="0.25">
      <c r="A17" s="130"/>
      <c r="B17" s="66"/>
      <c r="C17" s="94"/>
      <c r="D17" s="69"/>
      <c r="E17" s="71"/>
      <c r="F17" s="71"/>
      <c r="G17" s="71"/>
      <c r="H17" s="71"/>
      <c r="I17" s="80"/>
      <c r="J17" s="80"/>
      <c r="K17" s="125"/>
      <c r="L17" s="34" t="s">
        <v>44</v>
      </c>
      <c r="M17" s="34" t="s">
        <v>44</v>
      </c>
      <c r="N17" s="34" t="s">
        <v>44</v>
      </c>
      <c r="O17" s="35" t="s">
        <v>44</v>
      </c>
      <c r="P17" s="34" t="s">
        <v>44</v>
      </c>
      <c r="Q17" s="35" t="s">
        <v>44</v>
      </c>
      <c r="R17" s="34" t="s">
        <v>44</v>
      </c>
      <c r="S17" s="35" t="s">
        <v>44</v>
      </c>
      <c r="T17" s="34" t="s">
        <v>44</v>
      </c>
      <c r="U17" s="35" t="s">
        <v>44</v>
      </c>
      <c r="V17" s="34" t="s">
        <v>44</v>
      </c>
      <c r="W17" s="35" t="s">
        <v>44</v>
      </c>
      <c r="X17" s="34" t="s">
        <v>44</v>
      </c>
      <c r="Y17" s="35" t="s">
        <v>44</v>
      </c>
      <c r="Z17" s="34" t="s">
        <v>44</v>
      </c>
      <c r="AA17" s="35" t="s">
        <v>44</v>
      </c>
      <c r="AB17" s="34" t="s">
        <v>44</v>
      </c>
      <c r="AC17" s="35" t="s">
        <v>44</v>
      </c>
      <c r="AD17" s="34" t="s">
        <v>44</v>
      </c>
      <c r="AE17" s="35" t="s">
        <v>44</v>
      </c>
      <c r="AF17" s="34" t="s">
        <v>44</v>
      </c>
      <c r="AG17" s="35" t="s">
        <v>44</v>
      </c>
      <c r="AH17" s="34" t="s">
        <v>44</v>
      </c>
      <c r="AI17" s="35" t="s">
        <v>44</v>
      </c>
      <c r="AJ17" s="29"/>
      <c r="AK17" s="144"/>
      <c r="AL17" s="144"/>
      <c r="AM17" s="138"/>
    </row>
    <row r="18" spans="1:40" s="18" customFormat="1" ht="22.9" customHeight="1" thickBot="1" x14ac:dyDescent="0.3">
      <c r="A18" s="131"/>
      <c r="B18" s="67"/>
      <c r="C18" s="95"/>
      <c r="D18" s="70"/>
      <c r="E18" s="72"/>
      <c r="F18" s="72"/>
      <c r="G18" s="72"/>
      <c r="H18" s="72"/>
      <c r="I18" s="81"/>
      <c r="J18" s="81"/>
      <c r="K18" s="126"/>
      <c r="L18" s="32">
        <v>5</v>
      </c>
      <c r="M18" s="44"/>
      <c r="N18" s="44"/>
      <c r="O18" s="33">
        <f>+M18+N18</f>
        <v>0</v>
      </c>
      <c r="P18" s="44"/>
      <c r="Q18" s="33">
        <f>+O18+P18</f>
        <v>0</v>
      </c>
      <c r="R18" s="44"/>
      <c r="S18" s="33">
        <f>+Q18+R18</f>
        <v>0</v>
      </c>
      <c r="T18" s="44"/>
      <c r="U18" s="33">
        <f>+S18+T18</f>
        <v>0</v>
      </c>
      <c r="V18" s="44"/>
      <c r="W18" s="33">
        <f>+U18+V18</f>
        <v>0</v>
      </c>
      <c r="X18" s="44"/>
      <c r="Y18" s="33">
        <f>+W18+X18</f>
        <v>0</v>
      </c>
      <c r="Z18" s="44"/>
      <c r="AA18" s="33">
        <f>+Y18+Z18</f>
        <v>0</v>
      </c>
      <c r="AB18" s="44"/>
      <c r="AC18" s="33">
        <f>+AA18+AB18</f>
        <v>0</v>
      </c>
      <c r="AD18" s="44"/>
      <c r="AE18" s="33">
        <f>+AC18+AD18</f>
        <v>0</v>
      </c>
      <c r="AF18" s="44"/>
      <c r="AG18" s="33">
        <f>+AE18+AF18</f>
        <v>0</v>
      </c>
      <c r="AH18" s="44"/>
      <c r="AI18" s="33">
        <f t="shared" ref="AI18" si="4">+AG18+AH18</f>
        <v>0</v>
      </c>
      <c r="AJ18" s="36"/>
      <c r="AK18" s="145"/>
      <c r="AL18" s="145"/>
      <c r="AM18" s="139"/>
    </row>
    <row r="19" spans="1:40" s="18" customFormat="1" ht="22.9" customHeight="1" thickTop="1" x14ac:dyDescent="0.25">
      <c r="A19" s="129" t="s">
        <v>59</v>
      </c>
      <c r="B19" s="65" t="s">
        <v>60</v>
      </c>
      <c r="C19" s="73" t="s">
        <v>95</v>
      </c>
      <c r="D19" s="68" t="s">
        <v>61</v>
      </c>
      <c r="E19" s="68" t="s">
        <v>53</v>
      </c>
      <c r="F19" s="68" t="s">
        <v>92</v>
      </c>
      <c r="G19" s="68" t="s">
        <v>86</v>
      </c>
      <c r="H19" s="68" t="s">
        <v>55</v>
      </c>
      <c r="I19" s="79">
        <f>+L20</f>
        <v>0.5</v>
      </c>
      <c r="J19" s="79">
        <v>0.2</v>
      </c>
      <c r="K19" s="124" t="s">
        <v>63</v>
      </c>
      <c r="L19" s="25" t="s">
        <v>42</v>
      </c>
      <c r="M19" s="25" t="s">
        <v>42</v>
      </c>
      <c r="N19" s="25" t="s">
        <v>42</v>
      </c>
      <c r="O19" s="26" t="s">
        <v>42</v>
      </c>
      <c r="P19" s="25" t="s">
        <v>42</v>
      </c>
      <c r="Q19" s="26" t="s">
        <v>42</v>
      </c>
      <c r="R19" s="25" t="s">
        <v>42</v>
      </c>
      <c r="S19" s="26" t="s">
        <v>42</v>
      </c>
      <c r="T19" s="25" t="s">
        <v>42</v>
      </c>
      <c r="U19" s="26" t="s">
        <v>42</v>
      </c>
      <c r="V19" s="25" t="s">
        <v>42</v>
      </c>
      <c r="W19" s="26" t="s">
        <v>42</v>
      </c>
      <c r="X19" s="25" t="s">
        <v>42</v>
      </c>
      <c r="Y19" s="26" t="s">
        <v>42</v>
      </c>
      <c r="Z19" s="25" t="s">
        <v>42</v>
      </c>
      <c r="AA19" s="26" t="s">
        <v>42</v>
      </c>
      <c r="AB19" s="25" t="s">
        <v>42</v>
      </c>
      <c r="AC19" s="26" t="s">
        <v>42</v>
      </c>
      <c r="AD19" s="25" t="s">
        <v>42</v>
      </c>
      <c r="AE19" s="26" t="s">
        <v>42</v>
      </c>
      <c r="AF19" s="25" t="s">
        <v>42</v>
      </c>
      <c r="AG19" s="26" t="s">
        <v>42</v>
      </c>
      <c r="AH19" s="25" t="s">
        <v>42</v>
      </c>
      <c r="AI19" s="26" t="s">
        <v>42</v>
      </c>
      <c r="AJ19" s="27"/>
      <c r="AK19" s="143" t="s">
        <v>126</v>
      </c>
      <c r="AL19" s="143"/>
      <c r="AM19" s="137" t="s">
        <v>66</v>
      </c>
      <c r="AN19" s="20"/>
    </row>
    <row r="20" spans="1:40" s="18" customFormat="1" ht="22.9" customHeight="1" x14ac:dyDescent="0.25">
      <c r="A20" s="130"/>
      <c r="B20" s="66"/>
      <c r="C20" s="74"/>
      <c r="D20" s="71"/>
      <c r="E20" s="71"/>
      <c r="F20" s="71"/>
      <c r="G20" s="71"/>
      <c r="H20" s="71"/>
      <c r="I20" s="80"/>
      <c r="J20" s="80"/>
      <c r="K20" s="125"/>
      <c r="L20" s="21">
        <f t="shared" ref="L20:P20" si="5">IF(L22&lt;&gt;0,+L22/L24,0%)</f>
        <v>0.5</v>
      </c>
      <c r="M20" s="19">
        <f t="shared" si="5"/>
        <v>0</v>
      </c>
      <c r="N20" s="19">
        <f t="shared" si="5"/>
        <v>0</v>
      </c>
      <c r="O20" s="3">
        <f t="shared" si="5"/>
        <v>0</v>
      </c>
      <c r="P20" s="19">
        <f t="shared" si="5"/>
        <v>0</v>
      </c>
      <c r="Q20" s="3">
        <f>IF(Q22&lt;&gt;0,+Q22/Q24,0%)</f>
        <v>0</v>
      </c>
      <c r="R20" s="19">
        <f t="shared" ref="R20:T20" si="6">IF(R22&lt;&gt;0,+R22/R24,0%)</f>
        <v>0</v>
      </c>
      <c r="S20" s="3">
        <f>IF(S22&lt;&gt;0,+S22/S24,0%)</f>
        <v>0</v>
      </c>
      <c r="T20" s="19">
        <f t="shared" si="6"/>
        <v>0</v>
      </c>
      <c r="U20" s="3">
        <f>IF(U22&lt;&gt;0,+U22/U24,0%)</f>
        <v>0</v>
      </c>
      <c r="V20" s="19">
        <f t="shared" ref="V20:X20" si="7">IF(V22&lt;&gt;0,+V22/V24,0%)</f>
        <v>0</v>
      </c>
      <c r="W20" s="3">
        <f>IF(W22&lt;&gt;0,+W22/W24,0%)</f>
        <v>0</v>
      </c>
      <c r="X20" s="19">
        <f t="shared" si="7"/>
        <v>0</v>
      </c>
      <c r="Y20" s="3">
        <f>IF(Y22&lt;&gt;0,+Y22/Y24,0%)</f>
        <v>0</v>
      </c>
      <c r="Z20" s="19">
        <f t="shared" ref="Z20:AB20" si="8">IF(Z22&lt;&gt;0,+Z22/Z24,0%)</f>
        <v>0</v>
      </c>
      <c r="AA20" s="3">
        <f>IF(AA22&lt;&gt;0,+AA22/AA24,0%)</f>
        <v>0</v>
      </c>
      <c r="AB20" s="19">
        <f t="shared" si="8"/>
        <v>0</v>
      </c>
      <c r="AC20" s="3">
        <f>IF(AC22&lt;&gt;0,+AC22/AC24,0%)</f>
        <v>0</v>
      </c>
      <c r="AD20" s="19">
        <f t="shared" ref="AD20:AF20" si="9">IF(AD22&lt;&gt;0,+AD22/AD24,0%)</f>
        <v>0</v>
      </c>
      <c r="AE20" s="3">
        <f>IF(AE22&lt;&gt;0,+AE22/AE24,0%)</f>
        <v>0</v>
      </c>
      <c r="AF20" s="19">
        <f t="shared" si="9"/>
        <v>0</v>
      </c>
      <c r="AG20" s="3">
        <f>IF(AG22&lt;&gt;0,+AG22/AG24,0%)</f>
        <v>0</v>
      </c>
      <c r="AH20" s="19">
        <f t="shared" ref="AH20" si="10">IF(AH22&lt;&gt;0,+AH22/AH24,0%)</f>
        <v>0</v>
      </c>
      <c r="AI20" s="3">
        <f>IF(AI22&lt;&gt;0,+AI22/AI24,0%)</f>
        <v>0</v>
      </c>
      <c r="AJ20" s="29"/>
      <c r="AK20" s="144"/>
      <c r="AL20" s="144"/>
      <c r="AM20" s="138"/>
    </row>
    <row r="21" spans="1:40" s="18" customFormat="1" ht="22.9" customHeight="1" thickBot="1" x14ac:dyDescent="0.3">
      <c r="A21" s="130"/>
      <c r="B21" s="66"/>
      <c r="C21" s="74"/>
      <c r="D21" s="71"/>
      <c r="E21" s="71"/>
      <c r="F21" s="71"/>
      <c r="G21" s="71"/>
      <c r="H21" s="71"/>
      <c r="I21" s="80"/>
      <c r="J21" s="80"/>
      <c r="K21" s="126"/>
      <c r="L21" s="30" t="s">
        <v>43</v>
      </c>
      <c r="M21" s="30" t="s">
        <v>43</v>
      </c>
      <c r="N21" s="30" t="s">
        <v>43</v>
      </c>
      <c r="O21" s="31" t="s">
        <v>43</v>
      </c>
      <c r="P21" s="30" t="s">
        <v>43</v>
      </c>
      <c r="Q21" s="31" t="s">
        <v>43</v>
      </c>
      <c r="R21" s="30" t="s">
        <v>43</v>
      </c>
      <c r="S21" s="31" t="s">
        <v>43</v>
      </c>
      <c r="T21" s="30" t="s">
        <v>43</v>
      </c>
      <c r="U21" s="31" t="s">
        <v>43</v>
      </c>
      <c r="V21" s="30" t="s">
        <v>43</v>
      </c>
      <c r="W21" s="31" t="s">
        <v>43</v>
      </c>
      <c r="X21" s="30" t="s">
        <v>43</v>
      </c>
      <c r="Y21" s="31" t="s">
        <v>43</v>
      </c>
      <c r="Z21" s="30" t="s">
        <v>43</v>
      </c>
      <c r="AA21" s="31" t="s">
        <v>43</v>
      </c>
      <c r="AB21" s="30" t="s">
        <v>43</v>
      </c>
      <c r="AC21" s="31" t="s">
        <v>43</v>
      </c>
      <c r="AD21" s="30" t="s">
        <v>43</v>
      </c>
      <c r="AE21" s="31" t="s">
        <v>43</v>
      </c>
      <c r="AF21" s="30" t="s">
        <v>43</v>
      </c>
      <c r="AG21" s="31" t="s">
        <v>43</v>
      </c>
      <c r="AH21" s="30" t="s">
        <v>43</v>
      </c>
      <c r="AI21" s="31" t="s">
        <v>43</v>
      </c>
      <c r="AJ21" s="29"/>
      <c r="AK21" s="144"/>
      <c r="AL21" s="144"/>
      <c r="AM21" s="138"/>
    </row>
    <row r="22" spans="1:40" s="18" customFormat="1" ht="22.9" customHeight="1" thickTop="1" x14ac:dyDescent="0.25">
      <c r="A22" s="130"/>
      <c r="B22" s="66"/>
      <c r="C22" s="74"/>
      <c r="D22" s="71"/>
      <c r="E22" s="71"/>
      <c r="F22" s="71"/>
      <c r="G22" s="71"/>
      <c r="H22" s="71"/>
      <c r="I22" s="80"/>
      <c r="J22" s="80"/>
      <c r="K22" s="124" t="s">
        <v>64</v>
      </c>
      <c r="L22" s="32">
        <v>4</v>
      </c>
      <c r="M22" s="4"/>
      <c r="N22" s="4"/>
      <c r="O22" s="33">
        <f>+M22+N22</f>
        <v>0</v>
      </c>
      <c r="P22" s="4"/>
      <c r="Q22" s="33">
        <f>+O22+P22</f>
        <v>0</v>
      </c>
      <c r="R22" s="4"/>
      <c r="S22" s="33">
        <f>+Q22+R22</f>
        <v>0</v>
      </c>
      <c r="T22" s="4"/>
      <c r="U22" s="33">
        <f>+S22+T22</f>
        <v>0</v>
      </c>
      <c r="V22" s="4"/>
      <c r="W22" s="33">
        <f>+U22+V22</f>
        <v>0</v>
      </c>
      <c r="X22" s="4"/>
      <c r="Y22" s="33">
        <f>+W22+X22</f>
        <v>0</v>
      </c>
      <c r="Z22" s="4"/>
      <c r="AA22" s="33">
        <f>+Y22+Z22</f>
        <v>0</v>
      </c>
      <c r="AB22" s="4"/>
      <c r="AC22" s="33">
        <f>+AA22+AB22</f>
        <v>0</v>
      </c>
      <c r="AD22" s="4"/>
      <c r="AE22" s="33">
        <f>+AC22+AD22</f>
        <v>0</v>
      </c>
      <c r="AF22" s="4"/>
      <c r="AG22" s="33">
        <f>+AE22+AF22</f>
        <v>0</v>
      </c>
      <c r="AH22" s="4"/>
      <c r="AI22" s="33">
        <f>+AG22+AH22</f>
        <v>0</v>
      </c>
      <c r="AJ22" s="22">
        <f>+AI20/L20</f>
        <v>0</v>
      </c>
      <c r="AK22" s="144"/>
      <c r="AL22" s="144"/>
      <c r="AM22" s="138"/>
    </row>
    <row r="23" spans="1:40" s="18" customFormat="1" ht="22.9" customHeight="1" x14ac:dyDescent="0.25">
      <c r="A23" s="130"/>
      <c r="B23" s="66"/>
      <c r="C23" s="74"/>
      <c r="D23" s="71"/>
      <c r="E23" s="71"/>
      <c r="F23" s="71"/>
      <c r="G23" s="71"/>
      <c r="H23" s="71"/>
      <c r="I23" s="80"/>
      <c r="J23" s="80"/>
      <c r="K23" s="125"/>
      <c r="L23" s="34" t="s">
        <v>44</v>
      </c>
      <c r="M23" s="34" t="s">
        <v>44</v>
      </c>
      <c r="N23" s="34" t="s">
        <v>44</v>
      </c>
      <c r="O23" s="35" t="s">
        <v>44</v>
      </c>
      <c r="P23" s="34" t="s">
        <v>44</v>
      </c>
      <c r="Q23" s="35" t="s">
        <v>44</v>
      </c>
      <c r="R23" s="34" t="s">
        <v>44</v>
      </c>
      <c r="S23" s="35" t="s">
        <v>44</v>
      </c>
      <c r="T23" s="34" t="s">
        <v>44</v>
      </c>
      <c r="U23" s="35" t="s">
        <v>44</v>
      </c>
      <c r="V23" s="34" t="s">
        <v>44</v>
      </c>
      <c r="W23" s="35" t="s">
        <v>44</v>
      </c>
      <c r="X23" s="34" t="s">
        <v>44</v>
      </c>
      <c r="Y23" s="35" t="s">
        <v>44</v>
      </c>
      <c r="Z23" s="34" t="s">
        <v>44</v>
      </c>
      <c r="AA23" s="35" t="s">
        <v>44</v>
      </c>
      <c r="AB23" s="34" t="s">
        <v>44</v>
      </c>
      <c r="AC23" s="35" t="s">
        <v>44</v>
      </c>
      <c r="AD23" s="34" t="s">
        <v>44</v>
      </c>
      <c r="AE23" s="35" t="s">
        <v>44</v>
      </c>
      <c r="AF23" s="34" t="s">
        <v>44</v>
      </c>
      <c r="AG23" s="35" t="s">
        <v>44</v>
      </c>
      <c r="AH23" s="34" t="s">
        <v>44</v>
      </c>
      <c r="AI23" s="35" t="s">
        <v>44</v>
      </c>
      <c r="AJ23" s="29"/>
      <c r="AK23" s="144"/>
      <c r="AL23" s="144"/>
      <c r="AM23" s="138"/>
    </row>
    <row r="24" spans="1:40" s="18" customFormat="1" ht="22.9" customHeight="1" thickBot="1" x14ac:dyDescent="0.3">
      <c r="A24" s="131"/>
      <c r="B24" s="67"/>
      <c r="C24" s="75"/>
      <c r="D24" s="72"/>
      <c r="E24" s="72"/>
      <c r="F24" s="72"/>
      <c r="G24" s="72"/>
      <c r="H24" s="72"/>
      <c r="I24" s="81"/>
      <c r="J24" s="81"/>
      <c r="K24" s="126"/>
      <c r="L24" s="32">
        <v>8</v>
      </c>
      <c r="M24" s="44"/>
      <c r="N24" s="44"/>
      <c r="O24" s="33">
        <f>+M24+N24</f>
        <v>0</v>
      </c>
      <c r="P24" s="44"/>
      <c r="Q24" s="33">
        <f>+O24+P24</f>
        <v>0</v>
      </c>
      <c r="R24" s="44"/>
      <c r="S24" s="33">
        <f>+Q24+R24</f>
        <v>0</v>
      </c>
      <c r="T24" s="44"/>
      <c r="U24" s="33">
        <f>+S24+T24</f>
        <v>0</v>
      </c>
      <c r="V24" s="44"/>
      <c r="W24" s="33">
        <f>+U24+V24</f>
        <v>0</v>
      </c>
      <c r="X24" s="44"/>
      <c r="Y24" s="33">
        <f>+W24+X24</f>
        <v>0</v>
      </c>
      <c r="Z24" s="44"/>
      <c r="AA24" s="33">
        <f>+Y24+Z24</f>
        <v>0</v>
      </c>
      <c r="AB24" s="44"/>
      <c r="AC24" s="33">
        <f>+AA24+AB24</f>
        <v>0</v>
      </c>
      <c r="AD24" s="44"/>
      <c r="AE24" s="33">
        <f>+AC24+AD24</f>
        <v>0</v>
      </c>
      <c r="AF24" s="44"/>
      <c r="AG24" s="33">
        <f>+AE24+AF24</f>
        <v>0</v>
      </c>
      <c r="AH24" s="44"/>
      <c r="AI24" s="33">
        <f t="shared" ref="AI24" si="11">+AG24+AH24</f>
        <v>0</v>
      </c>
      <c r="AJ24" s="36"/>
      <c r="AK24" s="145"/>
      <c r="AL24" s="145"/>
      <c r="AM24" s="139"/>
    </row>
    <row r="25" spans="1:40" s="18" customFormat="1" ht="22.9" customHeight="1" thickTop="1" x14ac:dyDescent="0.25">
      <c r="A25" s="132" t="s">
        <v>67</v>
      </c>
      <c r="B25" s="161" t="s">
        <v>68</v>
      </c>
      <c r="C25" s="73" t="s">
        <v>106</v>
      </c>
      <c r="D25" s="68" t="s">
        <v>69</v>
      </c>
      <c r="E25" s="164" t="s">
        <v>53</v>
      </c>
      <c r="F25" s="68" t="s">
        <v>92</v>
      </c>
      <c r="G25" s="164" t="s">
        <v>70</v>
      </c>
      <c r="H25" s="96" t="s">
        <v>62</v>
      </c>
      <c r="I25" s="79">
        <f>+L26</f>
        <v>1</v>
      </c>
      <c r="J25" s="79">
        <v>0.1</v>
      </c>
      <c r="K25" s="124" t="s">
        <v>71</v>
      </c>
      <c r="L25" s="25" t="s">
        <v>42</v>
      </c>
      <c r="M25" s="25" t="s">
        <v>42</v>
      </c>
      <c r="N25" s="25" t="s">
        <v>42</v>
      </c>
      <c r="O25" s="26" t="s">
        <v>42</v>
      </c>
      <c r="P25" s="25" t="s">
        <v>42</v>
      </c>
      <c r="Q25" s="26" t="s">
        <v>42</v>
      </c>
      <c r="R25" s="25" t="s">
        <v>42</v>
      </c>
      <c r="S25" s="26" t="s">
        <v>42</v>
      </c>
      <c r="T25" s="25" t="s">
        <v>42</v>
      </c>
      <c r="U25" s="26" t="s">
        <v>42</v>
      </c>
      <c r="V25" s="25" t="s">
        <v>42</v>
      </c>
      <c r="W25" s="26" t="s">
        <v>42</v>
      </c>
      <c r="X25" s="25" t="s">
        <v>42</v>
      </c>
      <c r="Y25" s="26" t="s">
        <v>42</v>
      </c>
      <c r="Z25" s="25" t="s">
        <v>42</v>
      </c>
      <c r="AA25" s="26" t="s">
        <v>42</v>
      </c>
      <c r="AB25" s="25" t="s">
        <v>42</v>
      </c>
      <c r="AC25" s="26" t="s">
        <v>42</v>
      </c>
      <c r="AD25" s="25" t="s">
        <v>42</v>
      </c>
      <c r="AE25" s="26" t="s">
        <v>42</v>
      </c>
      <c r="AF25" s="25" t="s">
        <v>42</v>
      </c>
      <c r="AG25" s="26" t="s">
        <v>42</v>
      </c>
      <c r="AH25" s="25" t="s">
        <v>42</v>
      </c>
      <c r="AI25" s="26" t="s">
        <v>42</v>
      </c>
      <c r="AJ25" s="27"/>
      <c r="AK25" s="143" t="s">
        <v>127</v>
      </c>
      <c r="AL25" s="156"/>
      <c r="AM25" s="137" t="s">
        <v>66</v>
      </c>
    </row>
    <row r="26" spans="1:40" s="18" customFormat="1" ht="22.9" customHeight="1" x14ac:dyDescent="0.25">
      <c r="A26" s="159"/>
      <c r="B26" s="162"/>
      <c r="C26" s="74"/>
      <c r="D26" s="71"/>
      <c r="E26" s="165"/>
      <c r="F26" s="71"/>
      <c r="G26" s="165"/>
      <c r="H26" s="135"/>
      <c r="I26" s="80"/>
      <c r="J26" s="80"/>
      <c r="K26" s="125"/>
      <c r="L26" s="21">
        <f t="shared" ref="L26:P26" si="12">IF(L28&lt;&gt;0,+L28/L30,0%)</f>
        <v>1</v>
      </c>
      <c r="M26" s="19">
        <f t="shared" si="12"/>
        <v>0</v>
      </c>
      <c r="N26" s="19">
        <f t="shared" si="12"/>
        <v>0</v>
      </c>
      <c r="O26" s="3">
        <f t="shared" si="12"/>
        <v>0</v>
      </c>
      <c r="P26" s="19">
        <f t="shared" si="12"/>
        <v>0</v>
      </c>
      <c r="Q26" s="3">
        <f>IF(Q28&lt;&gt;0,+Q28/Q30,0%)</f>
        <v>0</v>
      </c>
      <c r="R26" s="19">
        <f t="shared" ref="R26:T26" si="13">IF(R28&lt;&gt;0,+R28/R30,0%)</f>
        <v>0</v>
      </c>
      <c r="S26" s="3">
        <f>IF(S28&lt;&gt;0,+S28/S30,0%)</f>
        <v>0</v>
      </c>
      <c r="T26" s="19">
        <f t="shared" si="13"/>
        <v>0</v>
      </c>
      <c r="U26" s="3">
        <f>IF(U28&lt;&gt;0,+U28/U30,0%)</f>
        <v>0</v>
      </c>
      <c r="V26" s="19">
        <f t="shared" ref="V26:X26" si="14">IF(V28&lt;&gt;0,+V28/V30,0%)</f>
        <v>0</v>
      </c>
      <c r="W26" s="3">
        <f>IF(W28&lt;&gt;0,+W28/W30,0%)</f>
        <v>0</v>
      </c>
      <c r="X26" s="19">
        <f t="shared" si="14"/>
        <v>0</v>
      </c>
      <c r="Y26" s="3">
        <f>IF(Y28&lt;&gt;0,+Y28/Y30,0%)</f>
        <v>0</v>
      </c>
      <c r="Z26" s="19">
        <f t="shared" ref="Z26:AB26" si="15">IF(Z28&lt;&gt;0,+Z28/Z30,0%)</f>
        <v>0</v>
      </c>
      <c r="AA26" s="3">
        <f>IF(AA28&lt;&gt;0,+AA28/AA30,0%)</f>
        <v>0</v>
      </c>
      <c r="AB26" s="19">
        <f t="shared" si="15"/>
        <v>0</v>
      </c>
      <c r="AC26" s="3">
        <f>IF(AC28&lt;&gt;0,+AC28/AC30,0%)</f>
        <v>0</v>
      </c>
      <c r="AD26" s="19">
        <f t="shared" ref="AD26:AF26" si="16">IF(AD28&lt;&gt;0,+AD28/AD30,0%)</f>
        <v>0</v>
      </c>
      <c r="AE26" s="3">
        <f>IF(AE28&lt;&gt;0,+AE28/AE30,0%)</f>
        <v>0</v>
      </c>
      <c r="AF26" s="19">
        <f t="shared" si="16"/>
        <v>0</v>
      </c>
      <c r="AG26" s="3">
        <f>IF(AG28&lt;&gt;0,+AG28/AG30,0%)</f>
        <v>0</v>
      </c>
      <c r="AH26" s="19">
        <f t="shared" ref="AH26" si="17">IF(AH28&lt;&gt;0,+AH28/AH30,0%)</f>
        <v>0</v>
      </c>
      <c r="AI26" s="3">
        <f>IF(AI28&lt;&gt;0,+AI28/AI30,0%)</f>
        <v>0</v>
      </c>
      <c r="AJ26" s="29"/>
      <c r="AK26" s="144"/>
      <c r="AL26" s="157"/>
      <c r="AM26" s="140"/>
    </row>
    <row r="27" spans="1:40" s="18" customFormat="1" ht="22.9" customHeight="1" thickBot="1" x14ac:dyDescent="0.3">
      <c r="A27" s="159"/>
      <c r="B27" s="162"/>
      <c r="C27" s="74"/>
      <c r="D27" s="71"/>
      <c r="E27" s="165"/>
      <c r="F27" s="71"/>
      <c r="G27" s="165"/>
      <c r="H27" s="135"/>
      <c r="I27" s="80"/>
      <c r="J27" s="80"/>
      <c r="K27" s="126"/>
      <c r="L27" s="30" t="s">
        <v>43</v>
      </c>
      <c r="M27" s="30" t="s">
        <v>43</v>
      </c>
      <c r="N27" s="30" t="s">
        <v>43</v>
      </c>
      <c r="O27" s="31" t="s">
        <v>43</v>
      </c>
      <c r="P27" s="30" t="s">
        <v>43</v>
      </c>
      <c r="Q27" s="31" t="s">
        <v>43</v>
      </c>
      <c r="R27" s="30" t="s">
        <v>43</v>
      </c>
      <c r="S27" s="31" t="s">
        <v>43</v>
      </c>
      <c r="T27" s="30" t="s">
        <v>43</v>
      </c>
      <c r="U27" s="31" t="s">
        <v>43</v>
      </c>
      <c r="V27" s="30" t="s">
        <v>43</v>
      </c>
      <c r="W27" s="31" t="s">
        <v>43</v>
      </c>
      <c r="X27" s="30" t="s">
        <v>43</v>
      </c>
      <c r="Y27" s="31" t="s">
        <v>43</v>
      </c>
      <c r="Z27" s="30" t="s">
        <v>43</v>
      </c>
      <c r="AA27" s="31" t="s">
        <v>43</v>
      </c>
      <c r="AB27" s="30" t="s">
        <v>43</v>
      </c>
      <c r="AC27" s="31" t="s">
        <v>43</v>
      </c>
      <c r="AD27" s="30" t="s">
        <v>43</v>
      </c>
      <c r="AE27" s="31" t="s">
        <v>43</v>
      </c>
      <c r="AF27" s="30" t="s">
        <v>43</v>
      </c>
      <c r="AG27" s="31" t="s">
        <v>43</v>
      </c>
      <c r="AH27" s="30" t="s">
        <v>43</v>
      </c>
      <c r="AI27" s="31" t="s">
        <v>43</v>
      </c>
      <c r="AJ27" s="29"/>
      <c r="AK27" s="144"/>
      <c r="AL27" s="157"/>
      <c r="AM27" s="140"/>
    </row>
    <row r="28" spans="1:40" s="18" customFormat="1" ht="22.9" customHeight="1" thickTop="1" x14ac:dyDescent="0.25">
      <c r="A28" s="159"/>
      <c r="B28" s="162"/>
      <c r="C28" s="74"/>
      <c r="D28" s="71"/>
      <c r="E28" s="165"/>
      <c r="F28" s="71"/>
      <c r="G28" s="165"/>
      <c r="H28" s="135"/>
      <c r="I28" s="80"/>
      <c r="J28" s="80"/>
      <c r="K28" s="125" t="s">
        <v>72</v>
      </c>
      <c r="L28" s="32">
        <v>3</v>
      </c>
      <c r="M28" s="4"/>
      <c r="N28" s="4"/>
      <c r="O28" s="33">
        <f>+M28+N28</f>
        <v>0</v>
      </c>
      <c r="P28" s="4"/>
      <c r="Q28" s="33">
        <f>+O28+P28</f>
        <v>0</v>
      </c>
      <c r="R28" s="4"/>
      <c r="S28" s="33">
        <f>+Q28+R28</f>
        <v>0</v>
      </c>
      <c r="T28" s="4"/>
      <c r="U28" s="33">
        <f>+S28+T28</f>
        <v>0</v>
      </c>
      <c r="V28" s="4"/>
      <c r="W28" s="33">
        <f>+U28+V28</f>
        <v>0</v>
      </c>
      <c r="X28" s="4"/>
      <c r="Y28" s="33">
        <f>+W28+X28</f>
        <v>0</v>
      </c>
      <c r="Z28" s="4"/>
      <c r="AA28" s="33">
        <f>+Y28+Z28</f>
        <v>0</v>
      </c>
      <c r="AB28" s="4"/>
      <c r="AC28" s="33">
        <f>+AA28+AB28</f>
        <v>0</v>
      </c>
      <c r="AD28" s="4"/>
      <c r="AE28" s="33">
        <f>+AC28+AD28</f>
        <v>0</v>
      </c>
      <c r="AF28" s="4"/>
      <c r="AG28" s="33">
        <f>+AE28+AF28</f>
        <v>0</v>
      </c>
      <c r="AH28" s="4"/>
      <c r="AI28" s="33">
        <f>+AG28+AH28</f>
        <v>0</v>
      </c>
      <c r="AJ28" s="22">
        <f>+AI26/L26</f>
        <v>0</v>
      </c>
      <c r="AK28" s="144"/>
      <c r="AL28" s="157"/>
      <c r="AM28" s="140"/>
    </row>
    <row r="29" spans="1:40" s="18" customFormat="1" ht="22.9" customHeight="1" x14ac:dyDescent="0.25">
      <c r="A29" s="159"/>
      <c r="B29" s="162"/>
      <c r="C29" s="74"/>
      <c r="D29" s="71"/>
      <c r="E29" s="165"/>
      <c r="F29" s="71"/>
      <c r="G29" s="165"/>
      <c r="H29" s="135"/>
      <c r="I29" s="80"/>
      <c r="J29" s="80"/>
      <c r="K29" s="125"/>
      <c r="L29" s="34" t="s">
        <v>44</v>
      </c>
      <c r="M29" s="34" t="s">
        <v>44</v>
      </c>
      <c r="N29" s="34" t="s">
        <v>44</v>
      </c>
      <c r="O29" s="35" t="s">
        <v>44</v>
      </c>
      <c r="P29" s="34" t="s">
        <v>44</v>
      </c>
      <c r="Q29" s="35" t="s">
        <v>44</v>
      </c>
      <c r="R29" s="34" t="s">
        <v>44</v>
      </c>
      <c r="S29" s="35" t="s">
        <v>44</v>
      </c>
      <c r="T29" s="34" t="s">
        <v>44</v>
      </c>
      <c r="U29" s="35" t="s">
        <v>44</v>
      </c>
      <c r="V29" s="34" t="s">
        <v>44</v>
      </c>
      <c r="W29" s="35" t="s">
        <v>44</v>
      </c>
      <c r="X29" s="34" t="s">
        <v>44</v>
      </c>
      <c r="Y29" s="35" t="s">
        <v>44</v>
      </c>
      <c r="Z29" s="34" t="s">
        <v>44</v>
      </c>
      <c r="AA29" s="35" t="s">
        <v>44</v>
      </c>
      <c r="AB29" s="34" t="s">
        <v>44</v>
      </c>
      <c r="AC29" s="35" t="s">
        <v>44</v>
      </c>
      <c r="AD29" s="34" t="s">
        <v>44</v>
      </c>
      <c r="AE29" s="35" t="s">
        <v>44</v>
      </c>
      <c r="AF29" s="34" t="s">
        <v>44</v>
      </c>
      <c r="AG29" s="35" t="s">
        <v>44</v>
      </c>
      <c r="AH29" s="34" t="s">
        <v>44</v>
      </c>
      <c r="AI29" s="35" t="s">
        <v>44</v>
      </c>
      <c r="AJ29" s="29"/>
      <c r="AK29" s="144"/>
      <c r="AL29" s="157"/>
      <c r="AM29" s="140"/>
    </row>
    <row r="30" spans="1:40" s="18" customFormat="1" ht="22.9" customHeight="1" thickBot="1" x14ac:dyDescent="0.3">
      <c r="A30" s="160"/>
      <c r="B30" s="163"/>
      <c r="C30" s="75"/>
      <c r="D30" s="72"/>
      <c r="E30" s="166"/>
      <c r="F30" s="72"/>
      <c r="G30" s="166"/>
      <c r="H30" s="136"/>
      <c r="I30" s="81"/>
      <c r="J30" s="81"/>
      <c r="K30" s="126"/>
      <c r="L30" s="41">
        <v>3</v>
      </c>
      <c r="M30" s="44"/>
      <c r="N30" s="44"/>
      <c r="O30" s="33">
        <f>+M30+N30</f>
        <v>0</v>
      </c>
      <c r="P30" s="44"/>
      <c r="Q30" s="33">
        <f>+O30+P30</f>
        <v>0</v>
      </c>
      <c r="R30" s="44"/>
      <c r="S30" s="33">
        <f>+Q30+R30</f>
        <v>0</v>
      </c>
      <c r="T30" s="44"/>
      <c r="U30" s="33">
        <f>+S30+T30</f>
        <v>0</v>
      </c>
      <c r="V30" s="44"/>
      <c r="W30" s="33">
        <f>+U30+V30</f>
        <v>0</v>
      </c>
      <c r="X30" s="44"/>
      <c r="Y30" s="33">
        <f>+W30+X30</f>
        <v>0</v>
      </c>
      <c r="Z30" s="44"/>
      <c r="AA30" s="33">
        <f>+Y30+Z30</f>
        <v>0</v>
      </c>
      <c r="AB30" s="44"/>
      <c r="AC30" s="33">
        <f>+AA30+AB30</f>
        <v>0</v>
      </c>
      <c r="AD30" s="44"/>
      <c r="AE30" s="33">
        <f>+AC30+AD30</f>
        <v>0</v>
      </c>
      <c r="AF30" s="44"/>
      <c r="AG30" s="33">
        <f>+AE30+AF30</f>
        <v>0</v>
      </c>
      <c r="AH30" s="44"/>
      <c r="AI30" s="33">
        <f t="shared" ref="AI30" si="18">+AG30+AH30</f>
        <v>0</v>
      </c>
      <c r="AJ30" s="36"/>
      <c r="AK30" s="145"/>
      <c r="AL30" s="158"/>
      <c r="AM30" s="141"/>
    </row>
    <row r="31" spans="1:40" s="18" customFormat="1" ht="22.9" customHeight="1" thickTop="1" x14ac:dyDescent="0.25">
      <c r="A31" s="132" t="s">
        <v>102</v>
      </c>
      <c r="B31" s="161" t="s">
        <v>68</v>
      </c>
      <c r="C31" s="73" t="s">
        <v>112</v>
      </c>
      <c r="D31" s="68" t="s">
        <v>113</v>
      </c>
      <c r="E31" s="164" t="s">
        <v>53</v>
      </c>
      <c r="F31" s="68" t="s">
        <v>92</v>
      </c>
      <c r="G31" s="164" t="s">
        <v>85</v>
      </c>
      <c r="H31" s="96" t="s">
        <v>55</v>
      </c>
      <c r="I31" s="79">
        <f>+L32</f>
        <v>0.59459459459459463</v>
      </c>
      <c r="J31" s="79">
        <v>0.1</v>
      </c>
      <c r="K31" s="124" t="s">
        <v>115</v>
      </c>
      <c r="L31" s="25" t="s">
        <v>42</v>
      </c>
      <c r="M31" s="25" t="s">
        <v>42</v>
      </c>
      <c r="N31" s="25" t="s">
        <v>42</v>
      </c>
      <c r="O31" s="26" t="s">
        <v>42</v>
      </c>
      <c r="P31" s="25" t="s">
        <v>42</v>
      </c>
      <c r="Q31" s="26" t="s">
        <v>42</v>
      </c>
      <c r="R31" s="25" t="s">
        <v>42</v>
      </c>
      <c r="S31" s="26" t="s">
        <v>42</v>
      </c>
      <c r="T31" s="25" t="s">
        <v>42</v>
      </c>
      <c r="U31" s="26" t="s">
        <v>42</v>
      </c>
      <c r="V31" s="25" t="s">
        <v>42</v>
      </c>
      <c r="W31" s="26" t="s">
        <v>42</v>
      </c>
      <c r="X31" s="25" t="s">
        <v>42</v>
      </c>
      <c r="Y31" s="26" t="s">
        <v>42</v>
      </c>
      <c r="Z31" s="25" t="s">
        <v>42</v>
      </c>
      <c r="AA31" s="26" t="s">
        <v>42</v>
      </c>
      <c r="AB31" s="25" t="s">
        <v>42</v>
      </c>
      <c r="AC31" s="26" t="s">
        <v>42</v>
      </c>
      <c r="AD31" s="25" t="s">
        <v>42</v>
      </c>
      <c r="AE31" s="26" t="s">
        <v>42</v>
      </c>
      <c r="AF31" s="25" t="s">
        <v>42</v>
      </c>
      <c r="AG31" s="26" t="s">
        <v>42</v>
      </c>
      <c r="AH31" s="25" t="s">
        <v>42</v>
      </c>
      <c r="AI31" s="26" t="s">
        <v>42</v>
      </c>
      <c r="AJ31" s="27"/>
      <c r="AK31" s="143" t="s">
        <v>128</v>
      </c>
      <c r="AL31" s="143"/>
      <c r="AM31" s="137" t="s">
        <v>66</v>
      </c>
    </row>
    <row r="32" spans="1:40" s="18" customFormat="1" ht="22.9" customHeight="1" x14ac:dyDescent="0.25">
      <c r="A32" s="159"/>
      <c r="B32" s="162"/>
      <c r="C32" s="74"/>
      <c r="D32" s="71"/>
      <c r="E32" s="165"/>
      <c r="F32" s="71"/>
      <c r="G32" s="165"/>
      <c r="H32" s="135"/>
      <c r="I32" s="80"/>
      <c r="J32" s="80"/>
      <c r="K32" s="125"/>
      <c r="L32" s="21">
        <f t="shared" ref="L32:P32" si="19">IF(L34&lt;&gt;0,+L34/L36,0%)</f>
        <v>0.59459459459459463</v>
      </c>
      <c r="M32" s="19">
        <f t="shared" si="19"/>
        <v>0</v>
      </c>
      <c r="N32" s="19">
        <f t="shared" si="19"/>
        <v>0</v>
      </c>
      <c r="O32" s="3">
        <f t="shared" si="19"/>
        <v>0</v>
      </c>
      <c r="P32" s="19">
        <f t="shared" si="19"/>
        <v>0</v>
      </c>
      <c r="Q32" s="3">
        <f>IF(Q34&lt;&gt;0,+Q34/Q36,0%)</f>
        <v>0</v>
      </c>
      <c r="R32" s="19">
        <f t="shared" ref="R32:T32" si="20">IF(R34&lt;&gt;0,+R34/R36,0%)</f>
        <v>0</v>
      </c>
      <c r="S32" s="3">
        <f>IF(S34&lt;&gt;0,+S34/S36,0%)</f>
        <v>0</v>
      </c>
      <c r="T32" s="19">
        <f t="shared" si="20"/>
        <v>0</v>
      </c>
      <c r="U32" s="3">
        <f>IF(U34&lt;&gt;0,+U34/U36,0%)</f>
        <v>0</v>
      </c>
      <c r="V32" s="19">
        <f t="shared" ref="V32:X32" si="21">IF(V34&lt;&gt;0,+V34/V36,0%)</f>
        <v>0</v>
      </c>
      <c r="W32" s="3">
        <f>IF(W34&lt;&gt;0,+W34/W36,0%)</f>
        <v>0</v>
      </c>
      <c r="X32" s="19">
        <f t="shared" si="21"/>
        <v>0</v>
      </c>
      <c r="Y32" s="3">
        <f>IF(Y34&lt;&gt;0,+Y34/Y36,0%)</f>
        <v>0</v>
      </c>
      <c r="Z32" s="19">
        <f t="shared" ref="Z32:AB32" si="22">IF(Z34&lt;&gt;0,+Z34/Z36,0%)</f>
        <v>0</v>
      </c>
      <c r="AA32" s="3">
        <f>IF(AA34&lt;&gt;0,+AA34/AA36,0%)</f>
        <v>0</v>
      </c>
      <c r="AB32" s="19">
        <f t="shared" si="22"/>
        <v>0</v>
      </c>
      <c r="AC32" s="3">
        <f>IF(AC34&lt;&gt;0,+AC34/AC36,0%)</f>
        <v>0</v>
      </c>
      <c r="AD32" s="19">
        <f t="shared" ref="AD32:AF32" si="23">IF(AD34&lt;&gt;0,+AD34/AD36,0%)</f>
        <v>0</v>
      </c>
      <c r="AE32" s="3">
        <f>IF(AE34&lt;&gt;0,+AE34/AE36,0%)</f>
        <v>0</v>
      </c>
      <c r="AF32" s="19">
        <f t="shared" si="23"/>
        <v>0</v>
      </c>
      <c r="AG32" s="3">
        <f>IF(AG34&lt;&gt;0,+AG34/AG36,0%)</f>
        <v>0</v>
      </c>
      <c r="AH32" s="19">
        <f t="shared" ref="AH32" si="24">IF(AH34&lt;&gt;0,+AH34/AH36,0%)</f>
        <v>0</v>
      </c>
      <c r="AI32" s="3">
        <f>IF(AI34&lt;&gt;0,+AI34/AI36,0%)</f>
        <v>0</v>
      </c>
      <c r="AJ32" s="29"/>
      <c r="AK32" s="144"/>
      <c r="AL32" s="144"/>
      <c r="AM32" s="140"/>
    </row>
    <row r="33" spans="1:39" s="18" customFormat="1" ht="22.9" customHeight="1" thickBot="1" x14ac:dyDescent="0.3">
      <c r="A33" s="159"/>
      <c r="B33" s="162"/>
      <c r="C33" s="74"/>
      <c r="D33" s="71"/>
      <c r="E33" s="165"/>
      <c r="F33" s="71"/>
      <c r="G33" s="165"/>
      <c r="H33" s="135"/>
      <c r="I33" s="80"/>
      <c r="J33" s="80"/>
      <c r="K33" s="126"/>
      <c r="L33" s="30" t="s">
        <v>43</v>
      </c>
      <c r="M33" s="30" t="s">
        <v>43</v>
      </c>
      <c r="N33" s="30" t="s">
        <v>43</v>
      </c>
      <c r="O33" s="31" t="s">
        <v>43</v>
      </c>
      <c r="P33" s="30" t="s">
        <v>43</v>
      </c>
      <c r="Q33" s="31" t="s">
        <v>43</v>
      </c>
      <c r="R33" s="30" t="s">
        <v>43</v>
      </c>
      <c r="S33" s="31" t="s">
        <v>43</v>
      </c>
      <c r="T33" s="30" t="s">
        <v>43</v>
      </c>
      <c r="U33" s="31" t="s">
        <v>43</v>
      </c>
      <c r="V33" s="30" t="s">
        <v>43</v>
      </c>
      <c r="W33" s="31" t="s">
        <v>43</v>
      </c>
      <c r="X33" s="30" t="s">
        <v>43</v>
      </c>
      <c r="Y33" s="31" t="s">
        <v>43</v>
      </c>
      <c r="Z33" s="30" t="s">
        <v>43</v>
      </c>
      <c r="AA33" s="31" t="s">
        <v>43</v>
      </c>
      <c r="AB33" s="30" t="s">
        <v>43</v>
      </c>
      <c r="AC33" s="31" t="s">
        <v>43</v>
      </c>
      <c r="AD33" s="30" t="s">
        <v>43</v>
      </c>
      <c r="AE33" s="31" t="s">
        <v>43</v>
      </c>
      <c r="AF33" s="30" t="s">
        <v>43</v>
      </c>
      <c r="AG33" s="31" t="s">
        <v>43</v>
      </c>
      <c r="AH33" s="30" t="s">
        <v>43</v>
      </c>
      <c r="AI33" s="31" t="s">
        <v>43</v>
      </c>
      <c r="AJ33" s="29"/>
      <c r="AK33" s="144"/>
      <c r="AL33" s="144"/>
      <c r="AM33" s="140"/>
    </row>
    <row r="34" spans="1:39" s="18" customFormat="1" ht="22.9" customHeight="1" thickTop="1" x14ac:dyDescent="0.25">
      <c r="A34" s="159"/>
      <c r="B34" s="162"/>
      <c r="C34" s="74"/>
      <c r="D34" s="71"/>
      <c r="E34" s="165"/>
      <c r="F34" s="71"/>
      <c r="G34" s="165"/>
      <c r="H34" s="135"/>
      <c r="I34" s="80"/>
      <c r="J34" s="80"/>
      <c r="K34" s="125" t="s">
        <v>114</v>
      </c>
      <c r="L34" s="32">
        <v>44</v>
      </c>
      <c r="M34" s="4"/>
      <c r="N34" s="4"/>
      <c r="O34" s="33">
        <f>+M34+N34</f>
        <v>0</v>
      </c>
      <c r="P34" s="4"/>
      <c r="Q34" s="33">
        <f>+O34+P34</f>
        <v>0</v>
      </c>
      <c r="R34" s="4"/>
      <c r="S34" s="33">
        <f>+Q34+R34</f>
        <v>0</v>
      </c>
      <c r="T34" s="4"/>
      <c r="U34" s="33">
        <f>+S34+T34</f>
        <v>0</v>
      </c>
      <c r="V34" s="4"/>
      <c r="W34" s="33">
        <f>+U34+V34</f>
        <v>0</v>
      </c>
      <c r="X34" s="4"/>
      <c r="Y34" s="33">
        <f>+W34+X34</f>
        <v>0</v>
      </c>
      <c r="Z34" s="4"/>
      <c r="AA34" s="33">
        <f>+Y34+Z34</f>
        <v>0</v>
      </c>
      <c r="AB34" s="4"/>
      <c r="AC34" s="33">
        <f>+AA34+AB34</f>
        <v>0</v>
      </c>
      <c r="AD34" s="4"/>
      <c r="AE34" s="33">
        <f>+AC34+AD34</f>
        <v>0</v>
      </c>
      <c r="AF34" s="4"/>
      <c r="AG34" s="33">
        <f>+AE34+AF34</f>
        <v>0</v>
      </c>
      <c r="AH34" s="4"/>
      <c r="AI34" s="33">
        <f>+AG34+AH34</f>
        <v>0</v>
      </c>
      <c r="AJ34" s="22">
        <f>+AI32/L32</f>
        <v>0</v>
      </c>
      <c r="AK34" s="144"/>
      <c r="AL34" s="144"/>
      <c r="AM34" s="140"/>
    </row>
    <row r="35" spans="1:39" s="18" customFormat="1" ht="22.9" customHeight="1" x14ac:dyDescent="0.25">
      <c r="A35" s="159"/>
      <c r="B35" s="162"/>
      <c r="C35" s="74"/>
      <c r="D35" s="71"/>
      <c r="E35" s="165"/>
      <c r="F35" s="71"/>
      <c r="G35" s="165"/>
      <c r="H35" s="135"/>
      <c r="I35" s="80"/>
      <c r="J35" s="80"/>
      <c r="K35" s="125"/>
      <c r="L35" s="34" t="s">
        <v>44</v>
      </c>
      <c r="M35" s="34" t="s">
        <v>44</v>
      </c>
      <c r="N35" s="34" t="s">
        <v>44</v>
      </c>
      <c r="O35" s="35" t="s">
        <v>44</v>
      </c>
      <c r="P35" s="34" t="s">
        <v>44</v>
      </c>
      <c r="Q35" s="35" t="s">
        <v>44</v>
      </c>
      <c r="R35" s="34" t="s">
        <v>44</v>
      </c>
      <c r="S35" s="35" t="s">
        <v>44</v>
      </c>
      <c r="T35" s="34" t="s">
        <v>44</v>
      </c>
      <c r="U35" s="35" t="s">
        <v>44</v>
      </c>
      <c r="V35" s="34" t="s">
        <v>44</v>
      </c>
      <c r="W35" s="35" t="s">
        <v>44</v>
      </c>
      <c r="X35" s="34" t="s">
        <v>44</v>
      </c>
      <c r="Y35" s="35" t="s">
        <v>44</v>
      </c>
      <c r="Z35" s="34" t="s">
        <v>44</v>
      </c>
      <c r="AA35" s="35" t="s">
        <v>44</v>
      </c>
      <c r="AB35" s="34" t="s">
        <v>44</v>
      </c>
      <c r="AC35" s="35" t="s">
        <v>44</v>
      </c>
      <c r="AD35" s="34" t="s">
        <v>44</v>
      </c>
      <c r="AE35" s="35" t="s">
        <v>44</v>
      </c>
      <c r="AF35" s="34" t="s">
        <v>44</v>
      </c>
      <c r="AG35" s="35" t="s">
        <v>44</v>
      </c>
      <c r="AH35" s="34" t="s">
        <v>44</v>
      </c>
      <c r="AI35" s="35" t="s">
        <v>44</v>
      </c>
      <c r="AJ35" s="29"/>
      <c r="AK35" s="144"/>
      <c r="AL35" s="144"/>
      <c r="AM35" s="140"/>
    </row>
    <row r="36" spans="1:39" s="18" customFormat="1" ht="22.9" customHeight="1" thickBot="1" x14ac:dyDescent="0.3">
      <c r="A36" s="160"/>
      <c r="B36" s="163"/>
      <c r="C36" s="75"/>
      <c r="D36" s="72"/>
      <c r="E36" s="166"/>
      <c r="F36" s="72"/>
      <c r="G36" s="166"/>
      <c r="H36" s="136"/>
      <c r="I36" s="81"/>
      <c r="J36" s="81"/>
      <c r="K36" s="126"/>
      <c r="L36" s="41">
        <v>74</v>
      </c>
      <c r="M36" s="44"/>
      <c r="N36" s="44"/>
      <c r="O36" s="33">
        <f>+M36+N36</f>
        <v>0</v>
      </c>
      <c r="P36" s="44"/>
      <c r="Q36" s="33">
        <f>+O36+P36</f>
        <v>0</v>
      </c>
      <c r="R36" s="44"/>
      <c r="S36" s="33">
        <f>+Q36+R36</f>
        <v>0</v>
      </c>
      <c r="T36" s="44"/>
      <c r="U36" s="33">
        <f>+S36+T36</f>
        <v>0</v>
      </c>
      <c r="V36" s="44"/>
      <c r="W36" s="33">
        <f>+U36+V36</f>
        <v>0</v>
      </c>
      <c r="X36" s="44"/>
      <c r="Y36" s="33">
        <f>+W36+X36</f>
        <v>0</v>
      </c>
      <c r="Z36" s="44"/>
      <c r="AA36" s="33">
        <f>+Y36+Z36</f>
        <v>0</v>
      </c>
      <c r="AB36" s="44"/>
      <c r="AC36" s="33">
        <f>+AA36+AB36</f>
        <v>0</v>
      </c>
      <c r="AD36" s="44"/>
      <c r="AE36" s="33">
        <f>+AC36+AD36</f>
        <v>0</v>
      </c>
      <c r="AF36" s="44"/>
      <c r="AG36" s="33">
        <f>+AE36+AF36</f>
        <v>0</v>
      </c>
      <c r="AH36" s="44"/>
      <c r="AI36" s="33">
        <f t="shared" ref="AI36" si="25">+AG36+AH36</f>
        <v>0</v>
      </c>
      <c r="AJ36" s="36"/>
      <c r="AK36" s="145"/>
      <c r="AL36" s="145"/>
      <c r="AM36" s="141"/>
    </row>
    <row r="37" spans="1:39" s="42" customFormat="1" ht="22.9" customHeight="1" thickTop="1" x14ac:dyDescent="0.25">
      <c r="A37" s="167" t="s">
        <v>101</v>
      </c>
      <c r="B37" s="170" t="s">
        <v>116</v>
      </c>
      <c r="C37" s="173" t="s">
        <v>107</v>
      </c>
      <c r="D37" s="173" t="s">
        <v>87</v>
      </c>
      <c r="E37" s="176" t="s">
        <v>73</v>
      </c>
      <c r="F37" s="176" t="s">
        <v>142</v>
      </c>
      <c r="G37" s="176" t="s">
        <v>74</v>
      </c>
      <c r="H37" s="176" t="s">
        <v>143</v>
      </c>
      <c r="I37" s="182">
        <f>L38</f>
        <v>0.66666666666666663</v>
      </c>
      <c r="J37" s="185">
        <v>0.1</v>
      </c>
      <c r="K37" s="179" t="s">
        <v>89</v>
      </c>
      <c r="L37" s="25" t="s">
        <v>42</v>
      </c>
      <c r="M37" s="25" t="s">
        <v>42</v>
      </c>
      <c r="N37" s="25" t="s">
        <v>42</v>
      </c>
      <c r="O37" s="26" t="s">
        <v>42</v>
      </c>
      <c r="P37" s="25" t="s">
        <v>42</v>
      </c>
      <c r="Q37" s="26" t="s">
        <v>42</v>
      </c>
      <c r="R37" s="25" t="s">
        <v>42</v>
      </c>
      <c r="S37" s="26" t="s">
        <v>42</v>
      </c>
      <c r="T37" s="25" t="s">
        <v>42</v>
      </c>
      <c r="U37" s="26" t="s">
        <v>42</v>
      </c>
      <c r="V37" s="25" t="s">
        <v>42</v>
      </c>
      <c r="W37" s="26" t="s">
        <v>42</v>
      </c>
      <c r="X37" s="25" t="s">
        <v>42</v>
      </c>
      <c r="Y37" s="26" t="s">
        <v>42</v>
      </c>
      <c r="Z37" s="25" t="s">
        <v>42</v>
      </c>
      <c r="AA37" s="26" t="s">
        <v>42</v>
      </c>
      <c r="AB37" s="25" t="s">
        <v>42</v>
      </c>
      <c r="AC37" s="26" t="s">
        <v>42</v>
      </c>
      <c r="AD37" s="25" t="s">
        <v>42</v>
      </c>
      <c r="AE37" s="26" t="s">
        <v>42</v>
      </c>
      <c r="AF37" s="25" t="s">
        <v>42</v>
      </c>
      <c r="AG37" s="26" t="s">
        <v>42</v>
      </c>
      <c r="AH37" s="25" t="s">
        <v>42</v>
      </c>
      <c r="AI37" s="26" t="s">
        <v>42</v>
      </c>
      <c r="AJ37" s="27"/>
      <c r="AK37" s="76" t="s">
        <v>91</v>
      </c>
      <c r="AL37" s="143"/>
      <c r="AM37" s="137" t="s">
        <v>83</v>
      </c>
    </row>
    <row r="38" spans="1:39" s="42" customFormat="1" ht="22.9" customHeight="1" x14ac:dyDescent="0.25">
      <c r="A38" s="168"/>
      <c r="B38" s="171"/>
      <c r="C38" s="174"/>
      <c r="D38" s="174"/>
      <c r="E38" s="177"/>
      <c r="F38" s="177"/>
      <c r="G38" s="177"/>
      <c r="H38" s="177"/>
      <c r="I38" s="183"/>
      <c r="J38" s="186"/>
      <c r="K38" s="188"/>
      <c r="L38" s="43">
        <f t="shared" ref="L38:P38" si="26">IF(L40&lt;&gt;0,+L40/L42,0%)</f>
        <v>0.66666666666666663</v>
      </c>
      <c r="M38" s="19">
        <f t="shared" si="26"/>
        <v>0</v>
      </c>
      <c r="N38" s="19">
        <f t="shared" si="26"/>
        <v>0</v>
      </c>
      <c r="O38" s="3">
        <f t="shared" si="26"/>
        <v>0</v>
      </c>
      <c r="P38" s="19">
        <f t="shared" si="26"/>
        <v>0</v>
      </c>
      <c r="Q38" s="3">
        <f>IF(Q40&lt;&gt;0,+Q40/Q42,0%)</f>
        <v>0</v>
      </c>
      <c r="R38" s="19">
        <f t="shared" ref="R38:T38" si="27">IF(R40&lt;&gt;0,+R40/R42,0%)</f>
        <v>0</v>
      </c>
      <c r="S38" s="3">
        <f>IF(S40&lt;&gt;0,+S40/S42,0%)</f>
        <v>0</v>
      </c>
      <c r="T38" s="19">
        <f t="shared" si="27"/>
        <v>0.33333333333333331</v>
      </c>
      <c r="U38" s="3">
        <f>IF(U40&lt;&gt;0,+U40/U42,0%)</f>
        <v>0.33333333333333331</v>
      </c>
      <c r="V38" s="19">
        <f t="shared" ref="V38:X38" si="28">IF(V40&lt;&gt;0,+V40/V42,0%)</f>
        <v>0</v>
      </c>
      <c r="W38" s="3">
        <f>IF(W40&lt;&gt;0,+W40/W42,0%)</f>
        <v>0.33333333333333331</v>
      </c>
      <c r="X38" s="19">
        <f t="shared" si="28"/>
        <v>0.33333333333333331</v>
      </c>
      <c r="Y38" s="3">
        <f>IF(Y40&lt;&gt;0,+Y40/Y42,0%)</f>
        <v>0.66666666666666663</v>
      </c>
      <c r="Z38" s="19">
        <f t="shared" ref="Z38:AB38" si="29">IF(Z40&lt;&gt;0,+Z40/Z42,0%)</f>
        <v>0</v>
      </c>
      <c r="AA38" s="3">
        <f>IF(AA40&lt;&gt;0,+AA40/AA42,0%)</f>
        <v>0.66666666666666663</v>
      </c>
      <c r="AB38" s="19">
        <f t="shared" si="29"/>
        <v>0</v>
      </c>
      <c r="AC38" s="3">
        <f>IF(AC40&lt;&gt;0,+AC40/AC42,0%)</f>
        <v>0.66666666666666663</v>
      </c>
      <c r="AD38" s="19">
        <f t="shared" ref="AD38:AF38" si="30">IF(AD40&lt;&gt;0,+AD40/AD42,0%)</f>
        <v>0</v>
      </c>
      <c r="AE38" s="3">
        <f>IF(AE40&lt;&gt;0,+AE40/AE42,0%)</f>
        <v>0.66666666666666663</v>
      </c>
      <c r="AF38" s="19">
        <f t="shared" si="30"/>
        <v>0</v>
      </c>
      <c r="AG38" s="3">
        <f>IF(AG40&lt;&gt;0,+AG40/AG42,0%)</f>
        <v>0.66666666666666663</v>
      </c>
      <c r="AH38" s="19">
        <f t="shared" ref="AH38" si="31">IF(AH40&lt;&gt;0,+AH40/AH42,0%)</f>
        <v>0</v>
      </c>
      <c r="AI38" s="3">
        <f>IF(AI40&lt;&gt;0,+AI40/AI42,0%)</f>
        <v>0.66666666666666663</v>
      </c>
      <c r="AJ38" s="29"/>
      <c r="AK38" s="77"/>
      <c r="AL38" s="144"/>
      <c r="AM38" s="140"/>
    </row>
    <row r="39" spans="1:39" s="42" customFormat="1" ht="22.9" customHeight="1" thickBot="1" x14ac:dyDescent="0.3">
      <c r="A39" s="168"/>
      <c r="B39" s="171"/>
      <c r="C39" s="174"/>
      <c r="D39" s="174"/>
      <c r="E39" s="177"/>
      <c r="F39" s="177"/>
      <c r="G39" s="177"/>
      <c r="H39" s="177"/>
      <c r="I39" s="183"/>
      <c r="J39" s="186"/>
      <c r="K39" s="189"/>
      <c r="L39" s="30" t="s">
        <v>43</v>
      </c>
      <c r="M39" s="30" t="s">
        <v>43</v>
      </c>
      <c r="N39" s="30" t="s">
        <v>43</v>
      </c>
      <c r="O39" s="31" t="s">
        <v>43</v>
      </c>
      <c r="P39" s="30" t="s">
        <v>43</v>
      </c>
      <c r="Q39" s="31" t="s">
        <v>43</v>
      </c>
      <c r="R39" s="30" t="s">
        <v>43</v>
      </c>
      <c r="S39" s="31" t="s">
        <v>43</v>
      </c>
      <c r="T39" s="30" t="s">
        <v>43</v>
      </c>
      <c r="U39" s="31" t="s">
        <v>43</v>
      </c>
      <c r="V39" s="30" t="s">
        <v>43</v>
      </c>
      <c r="W39" s="31" t="s">
        <v>43</v>
      </c>
      <c r="X39" s="30" t="s">
        <v>43</v>
      </c>
      <c r="Y39" s="31" t="s">
        <v>43</v>
      </c>
      <c r="Z39" s="30" t="s">
        <v>43</v>
      </c>
      <c r="AA39" s="31" t="s">
        <v>43</v>
      </c>
      <c r="AB39" s="30" t="s">
        <v>43</v>
      </c>
      <c r="AC39" s="31" t="s">
        <v>43</v>
      </c>
      <c r="AD39" s="30" t="s">
        <v>43</v>
      </c>
      <c r="AE39" s="31" t="s">
        <v>43</v>
      </c>
      <c r="AF39" s="30" t="s">
        <v>43</v>
      </c>
      <c r="AG39" s="31" t="s">
        <v>43</v>
      </c>
      <c r="AH39" s="30" t="s">
        <v>43</v>
      </c>
      <c r="AI39" s="31" t="s">
        <v>43</v>
      </c>
      <c r="AJ39" s="29"/>
      <c r="AK39" s="77"/>
      <c r="AL39" s="144"/>
      <c r="AM39" s="140"/>
    </row>
    <row r="40" spans="1:39" s="42" customFormat="1" ht="22.9" customHeight="1" thickTop="1" x14ac:dyDescent="0.25">
      <c r="A40" s="168"/>
      <c r="B40" s="171"/>
      <c r="C40" s="174"/>
      <c r="D40" s="174"/>
      <c r="E40" s="177"/>
      <c r="F40" s="177"/>
      <c r="G40" s="177"/>
      <c r="H40" s="177"/>
      <c r="I40" s="183"/>
      <c r="J40" s="186"/>
      <c r="K40" s="179" t="s">
        <v>88</v>
      </c>
      <c r="L40" s="32">
        <v>2</v>
      </c>
      <c r="M40" s="4"/>
      <c r="N40" s="4"/>
      <c r="O40" s="33">
        <f>+M40+N40</f>
        <v>0</v>
      </c>
      <c r="P40" s="4"/>
      <c r="Q40" s="33">
        <f>+O40+P40</f>
        <v>0</v>
      </c>
      <c r="R40" s="4"/>
      <c r="S40" s="33">
        <f>+Q40+R40</f>
        <v>0</v>
      </c>
      <c r="T40" s="4">
        <v>1</v>
      </c>
      <c r="U40" s="33">
        <f>+S40+T40</f>
        <v>1</v>
      </c>
      <c r="V40" s="4"/>
      <c r="W40" s="33">
        <f>+U40+V40</f>
        <v>1</v>
      </c>
      <c r="X40" s="4">
        <v>1</v>
      </c>
      <c r="Y40" s="33">
        <f>+W40+X40</f>
        <v>2</v>
      </c>
      <c r="Z40" s="4"/>
      <c r="AA40" s="33">
        <f>+Y40+Z40</f>
        <v>2</v>
      </c>
      <c r="AB40" s="4">
        <v>0</v>
      </c>
      <c r="AC40" s="33">
        <f>+AA40+AB40</f>
        <v>2</v>
      </c>
      <c r="AD40" s="4"/>
      <c r="AE40" s="33">
        <f>+AC40+AD40</f>
        <v>2</v>
      </c>
      <c r="AF40" s="4"/>
      <c r="AG40" s="33">
        <f>+AE40+AF40</f>
        <v>2</v>
      </c>
      <c r="AH40" s="4"/>
      <c r="AI40" s="33">
        <f>+AG40+AH40</f>
        <v>2</v>
      </c>
      <c r="AJ40" s="22">
        <f>+AI38/L38</f>
        <v>1</v>
      </c>
      <c r="AK40" s="77"/>
      <c r="AL40" s="144"/>
      <c r="AM40" s="140"/>
    </row>
    <row r="41" spans="1:39" s="42" customFormat="1" ht="22.9" customHeight="1" x14ac:dyDescent="0.25">
      <c r="A41" s="168"/>
      <c r="B41" s="171"/>
      <c r="C41" s="174"/>
      <c r="D41" s="174"/>
      <c r="E41" s="177"/>
      <c r="F41" s="177"/>
      <c r="G41" s="177"/>
      <c r="H41" s="177"/>
      <c r="I41" s="183"/>
      <c r="J41" s="186"/>
      <c r="K41" s="180"/>
      <c r="L41" s="34" t="s">
        <v>44</v>
      </c>
      <c r="M41" s="34" t="s">
        <v>44</v>
      </c>
      <c r="N41" s="34" t="s">
        <v>44</v>
      </c>
      <c r="O41" s="35" t="s">
        <v>44</v>
      </c>
      <c r="P41" s="34" t="s">
        <v>44</v>
      </c>
      <c r="Q41" s="35" t="s">
        <v>44</v>
      </c>
      <c r="R41" s="34" t="s">
        <v>44</v>
      </c>
      <c r="S41" s="35" t="s">
        <v>44</v>
      </c>
      <c r="T41" s="34" t="s">
        <v>44</v>
      </c>
      <c r="U41" s="35" t="s">
        <v>44</v>
      </c>
      <c r="V41" s="34" t="s">
        <v>44</v>
      </c>
      <c r="W41" s="35" t="s">
        <v>44</v>
      </c>
      <c r="X41" s="34" t="s">
        <v>44</v>
      </c>
      <c r="Y41" s="35" t="s">
        <v>44</v>
      </c>
      <c r="Z41" s="34" t="s">
        <v>44</v>
      </c>
      <c r="AA41" s="35" t="s">
        <v>44</v>
      </c>
      <c r="AB41" s="34" t="s">
        <v>44</v>
      </c>
      <c r="AC41" s="35" t="s">
        <v>44</v>
      </c>
      <c r="AD41" s="34" t="s">
        <v>44</v>
      </c>
      <c r="AE41" s="35" t="s">
        <v>44</v>
      </c>
      <c r="AF41" s="34" t="s">
        <v>44</v>
      </c>
      <c r="AG41" s="35" t="s">
        <v>44</v>
      </c>
      <c r="AH41" s="34" t="s">
        <v>44</v>
      </c>
      <c r="AI41" s="35" t="s">
        <v>44</v>
      </c>
      <c r="AJ41" s="29"/>
      <c r="AK41" s="77"/>
      <c r="AL41" s="144"/>
      <c r="AM41" s="140"/>
    </row>
    <row r="42" spans="1:39" s="42" customFormat="1" ht="22.9" customHeight="1" thickBot="1" x14ac:dyDescent="0.3">
      <c r="A42" s="169"/>
      <c r="B42" s="172"/>
      <c r="C42" s="175"/>
      <c r="D42" s="175"/>
      <c r="E42" s="178"/>
      <c r="F42" s="178"/>
      <c r="G42" s="178"/>
      <c r="H42" s="178"/>
      <c r="I42" s="184"/>
      <c r="J42" s="187"/>
      <c r="K42" s="181"/>
      <c r="L42" s="41">
        <v>3</v>
      </c>
      <c r="M42" s="44">
        <v>3</v>
      </c>
      <c r="N42" s="44">
        <v>3</v>
      </c>
      <c r="O42" s="33">
        <v>3</v>
      </c>
      <c r="P42" s="44">
        <v>3</v>
      </c>
      <c r="Q42" s="33">
        <v>3</v>
      </c>
      <c r="R42" s="44">
        <v>3</v>
      </c>
      <c r="S42" s="33">
        <v>3</v>
      </c>
      <c r="T42" s="44">
        <v>3</v>
      </c>
      <c r="U42" s="33">
        <v>3</v>
      </c>
      <c r="V42" s="44">
        <v>3</v>
      </c>
      <c r="W42" s="33">
        <v>3</v>
      </c>
      <c r="X42" s="44">
        <v>3</v>
      </c>
      <c r="Y42" s="33">
        <v>3</v>
      </c>
      <c r="Z42" s="44">
        <v>3</v>
      </c>
      <c r="AA42" s="33">
        <v>3</v>
      </c>
      <c r="AB42" s="44">
        <v>3</v>
      </c>
      <c r="AC42" s="33">
        <v>3</v>
      </c>
      <c r="AD42" s="44">
        <v>3</v>
      </c>
      <c r="AE42" s="33">
        <v>3</v>
      </c>
      <c r="AF42" s="44">
        <v>3</v>
      </c>
      <c r="AG42" s="33">
        <v>3</v>
      </c>
      <c r="AH42" s="44">
        <v>3</v>
      </c>
      <c r="AI42" s="33">
        <v>3</v>
      </c>
      <c r="AJ42" s="36"/>
      <c r="AK42" s="78"/>
      <c r="AL42" s="145"/>
      <c r="AM42" s="141"/>
    </row>
    <row r="43" spans="1:39" s="18" customFormat="1" ht="22.9" customHeight="1" thickTop="1" x14ac:dyDescent="0.25">
      <c r="A43" s="132" t="s">
        <v>102</v>
      </c>
      <c r="B43" s="161" t="s">
        <v>68</v>
      </c>
      <c r="C43" s="73" t="s">
        <v>121</v>
      </c>
      <c r="D43" s="68" t="s">
        <v>122</v>
      </c>
      <c r="E43" s="164" t="s">
        <v>53</v>
      </c>
      <c r="F43" s="68" t="s">
        <v>92</v>
      </c>
      <c r="G43" s="164" t="s">
        <v>131</v>
      </c>
      <c r="H43" s="96" t="s">
        <v>55</v>
      </c>
      <c r="I43" s="79">
        <f>+L44</f>
        <v>0.75</v>
      </c>
      <c r="J43" s="79">
        <v>0.2</v>
      </c>
      <c r="K43" s="124" t="s">
        <v>124</v>
      </c>
      <c r="L43" s="25" t="s">
        <v>42</v>
      </c>
      <c r="M43" s="25" t="s">
        <v>42</v>
      </c>
      <c r="N43" s="25" t="s">
        <v>42</v>
      </c>
      <c r="O43" s="26" t="s">
        <v>42</v>
      </c>
      <c r="P43" s="25" t="s">
        <v>42</v>
      </c>
      <c r="Q43" s="26" t="s">
        <v>42</v>
      </c>
      <c r="R43" s="25" t="s">
        <v>42</v>
      </c>
      <c r="S43" s="26" t="s">
        <v>42</v>
      </c>
      <c r="T43" s="25" t="s">
        <v>42</v>
      </c>
      <c r="U43" s="26" t="s">
        <v>42</v>
      </c>
      <c r="V43" s="25" t="s">
        <v>42</v>
      </c>
      <c r="W43" s="26" t="s">
        <v>42</v>
      </c>
      <c r="X43" s="25" t="s">
        <v>42</v>
      </c>
      <c r="Y43" s="26" t="s">
        <v>42</v>
      </c>
      <c r="Z43" s="25" t="s">
        <v>42</v>
      </c>
      <c r="AA43" s="26" t="s">
        <v>42</v>
      </c>
      <c r="AB43" s="25" t="s">
        <v>42</v>
      </c>
      <c r="AC43" s="26" t="s">
        <v>42</v>
      </c>
      <c r="AD43" s="25" t="s">
        <v>42</v>
      </c>
      <c r="AE43" s="26" t="s">
        <v>42</v>
      </c>
      <c r="AF43" s="25" t="s">
        <v>42</v>
      </c>
      <c r="AG43" s="26" t="s">
        <v>42</v>
      </c>
      <c r="AH43" s="25" t="s">
        <v>42</v>
      </c>
      <c r="AI43" s="26" t="s">
        <v>42</v>
      </c>
      <c r="AJ43" s="27"/>
      <c r="AK43" s="143" t="s">
        <v>129</v>
      </c>
      <c r="AL43" s="143"/>
      <c r="AM43" s="137" t="s">
        <v>66</v>
      </c>
    </row>
    <row r="44" spans="1:39" s="18" customFormat="1" ht="22.9" customHeight="1" x14ac:dyDescent="0.25">
      <c r="A44" s="159"/>
      <c r="B44" s="162"/>
      <c r="C44" s="74"/>
      <c r="D44" s="71"/>
      <c r="E44" s="165"/>
      <c r="F44" s="71"/>
      <c r="G44" s="165"/>
      <c r="H44" s="135"/>
      <c r="I44" s="80"/>
      <c r="J44" s="80"/>
      <c r="K44" s="125"/>
      <c r="L44" s="21">
        <f t="shared" ref="L44:P44" si="32">IF(L46&lt;&gt;0,+L46/L48,0%)</f>
        <v>0.75</v>
      </c>
      <c r="M44" s="19">
        <f t="shared" si="32"/>
        <v>0</v>
      </c>
      <c r="N44" s="19">
        <f t="shared" si="32"/>
        <v>0</v>
      </c>
      <c r="O44" s="3">
        <f t="shared" si="32"/>
        <v>0</v>
      </c>
      <c r="P44" s="19">
        <f t="shared" si="32"/>
        <v>0</v>
      </c>
      <c r="Q44" s="3">
        <f>IF(Q46&lt;&gt;0,+Q46/Q48,0%)</f>
        <v>0</v>
      </c>
      <c r="R44" s="19">
        <f t="shared" ref="R44:T44" si="33">IF(R46&lt;&gt;0,+R46/R48,0%)</f>
        <v>0</v>
      </c>
      <c r="S44" s="3">
        <f>IF(S46&lt;&gt;0,+S46/S48,0%)</f>
        <v>0</v>
      </c>
      <c r="T44" s="19">
        <f t="shared" ref="T44:V44" si="34">IF(T46&lt;&gt;0,+T46/T48,0%)</f>
        <v>0</v>
      </c>
      <c r="U44" s="3">
        <f>IF(U46&lt;&gt;0,+U46/U48,0%)</f>
        <v>0</v>
      </c>
      <c r="V44" s="19">
        <f t="shared" ref="V44:X44" si="35">IF(V46&lt;&gt;0,+V46/V48,0%)</f>
        <v>0</v>
      </c>
      <c r="W44" s="3">
        <f>IF(W46&lt;&gt;0,+W46/W48,0%)</f>
        <v>0</v>
      </c>
      <c r="X44" s="19">
        <f t="shared" ref="X44:Z44" si="36">IF(X46&lt;&gt;0,+X46/X48,0%)</f>
        <v>0</v>
      </c>
      <c r="Y44" s="3">
        <f>IF(Y46&lt;&gt;0,+Y46/Y48,0%)</f>
        <v>0</v>
      </c>
      <c r="Z44" s="19">
        <f t="shared" ref="Z44:AB44" si="37">IF(Z46&lt;&gt;0,+Z46/Z48,0%)</f>
        <v>0</v>
      </c>
      <c r="AA44" s="3">
        <f>IF(AA46&lt;&gt;0,+AA46/AA48,0%)</f>
        <v>0</v>
      </c>
      <c r="AB44" s="19">
        <f t="shared" ref="AB44:AD44" si="38">IF(AB46&lt;&gt;0,+AB46/AB48,0%)</f>
        <v>0</v>
      </c>
      <c r="AC44" s="3">
        <f>IF(AC46&lt;&gt;0,+AC46/AC48,0%)</f>
        <v>0</v>
      </c>
      <c r="AD44" s="19">
        <f t="shared" ref="AD44:AF44" si="39">IF(AD46&lt;&gt;0,+AD46/AD48,0%)</f>
        <v>0</v>
      </c>
      <c r="AE44" s="3">
        <f>IF(AE46&lt;&gt;0,+AE46/AE48,0%)</f>
        <v>0</v>
      </c>
      <c r="AF44" s="19">
        <f t="shared" ref="AF44:AH44" si="40">IF(AF46&lt;&gt;0,+AF46/AF48,0%)</f>
        <v>0</v>
      </c>
      <c r="AG44" s="3">
        <f>IF(AG46&lt;&gt;0,+AG46/AG48,0%)</f>
        <v>0</v>
      </c>
      <c r="AH44" s="19">
        <f t="shared" ref="AH44" si="41">IF(AH46&lt;&gt;0,+AH46/AH48,0%)</f>
        <v>0</v>
      </c>
      <c r="AI44" s="3">
        <f>IF(AI46&lt;&gt;0,+AI46/AI48,0%)</f>
        <v>0</v>
      </c>
      <c r="AJ44" s="29"/>
      <c r="AK44" s="144"/>
      <c r="AL44" s="144"/>
      <c r="AM44" s="140"/>
    </row>
    <row r="45" spans="1:39" s="18" customFormat="1" ht="22.9" customHeight="1" thickBot="1" x14ac:dyDescent="0.3">
      <c r="A45" s="159"/>
      <c r="B45" s="162"/>
      <c r="C45" s="74"/>
      <c r="D45" s="71"/>
      <c r="E45" s="165"/>
      <c r="F45" s="71"/>
      <c r="G45" s="165"/>
      <c r="H45" s="135"/>
      <c r="I45" s="80"/>
      <c r="J45" s="80"/>
      <c r="K45" s="126"/>
      <c r="L45" s="30" t="s">
        <v>43</v>
      </c>
      <c r="M45" s="30" t="s">
        <v>43</v>
      </c>
      <c r="N45" s="30" t="s">
        <v>43</v>
      </c>
      <c r="O45" s="31" t="s">
        <v>43</v>
      </c>
      <c r="P45" s="30" t="s">
        <v>43</v>
      </c>
      <c r="Q45" s="31" t="s">
        <v>43</v>
      </c>
      <c r="R45" s="30" t="s">
        <v>43</v>
      </c>
      <c r="S45" s="31" t="s">
        <v>43</v>
      </c>
      <c r="T45" s="30" t="s">
        <v>43</v>
      </c>
      <c r="U45" s="31" t="s">
        <v>43</v>
      </c>
      <c r="V45" s="30" t="s">
        <v>43</v>
      </c>
      <c r="W45" s="31" t="s">
        <v>43</v>
      </c>
      <c r="X45" s="30" t="s">
        <v>43</v>
      </c>
      <c r="Y45" s="31" t="s">
        <v>43</v>
      </c>
      <c r="Z45" s="30" t="s">
        <v>43</v>
      </c>
      <c r="AA45" s="31" t="s">
        <v>43</v>
      </c>
      <c r="AB45" s="30" t="s">
        <v>43</v>
      </c>
      <c r="AC45" s="31" t="s">
        <v>43</v>
      </c>
      <c r="AD45" s="30" t="s">
        <v>43</v>
      </c>
      <c r="AE45" s="31" t="s">
        <v>43</v>
      </c>
      <c r="AF45" s="30" t="s">
        <v>43</v>
      </c>
      <c r="AG45" s="31" t="s">
        <v>43</v>
      </c>
      <c r="AH45" s="30" t="s">
        <v>43</v>
      </c>
      <c r="AI45" s="31" t="s">
        <v>43</v>
      </c>
      <c r="AJ45" s="29"/>
      <c r="AK45" s="144"/>
      <c r="AL45" s="144"/>
      <c r="AM45" s="140"/>
    </row>
    <row r="46" spans="1:39" s="18" customFormat="1" ht="22.9" customHeight="1" thickTop="1" x14ac:dyDescent="0.25">
      <c r="A46" s="159"/>
      <c r="B46" s="162"/>
      <c r="C46" s="74"/>
      <c r="D46" s="71"/>
      <c r="E46" s="165"/>
      <c r="F46" s="71"/>
      <c r="G46" s="165"/>
      <c r="H46" s="135"/>
      <c r="I46" s="80"/>
      <c r="J46" s="80"/>
      <c r="K46" s="125" t="s">
        <v>123</v>
      </c>
      <c r="L46" s="32">
        <v>3</v>
      </c>
      <c r="M46" s="4"/>
      <c r="N46" s="4"/>
      <c r="O46" s="33">
        <f>+M46+N46</f>
        <v>0</v>
      </c>
      <c r="P46" s="4"/>
      <c r="Q46" s="33">
        <f>+O46+P46</f>
        <v>0</v>
      </c>
      <c r="R46" s="4"/>
      <c r="S46" s="33">
        <f>+Q46+R46</f>
        <v>0</v>
      </c>
      <c r="T46" s="4"/>
      <c r="U46" s="33">
        <f>+S46+T46</f>
        <v>0</v>
      </c>
      <c r="V46" s="4"/>
      <c r="W46" s="33">
        <f>+U46+V46</f>
        <v>0</v>
      </c>
      <c r="X46" s="4"/>
      <c r="Y46" s="33">
        <f>+W46+X46</f>
        <v>0</v>
      </c>
      <c r="Z46" s="4"/>
      <c r="AA46" s="33">
        <f>+Y46+Z46</f>
        <v>0</v>
      </c>
      <c r="AB46" s="4"/>
      <c r="AC46" s="33">
        <f>+AA46+AB46</f>
        <v>0</v>
      </c>
      <c r="AD46" s="4"/>
      <c r="AE46" s="33">
        <f>+AC46+AD46</f>
        <v>0</v>
      </c>
      <c r="AF46" s="4"/>
      <c r="AG46" s="33">
        <f>+AE46+AF46</f>
        <v>0</v>
      </c>
      <c r="AH46" s="4"/>
      <c r="AI46" s="33">
        <f>+AG46+AH46</f>
        <v>0</v>
      </c>
      <c r="AJ46" s="22">
        <f>+AI44/L44</f>
        <v>0</v>
      </c>
      <c r="AK46" s="144"/>
      <c r="AL46" s="144"/>
      <c r="AM46" s="140"/>
    </row>
    <row r="47" spans="1:39" s="18" customFormat="1" ht="22.9" customHeight="1" x14ac:dyDescent="0.25">
      <c r="A47" s="159"/>
      <c r="B47" s="162"/>
      <c r="C47" s="74"/>
      <c r="D47" s="71"/>
      <c r="E47" s="165"/>
      <c r="F47" s="71"/>
      <c r="G47" s="165"/>
      <c r="H47" s="135"/>
      <c r="I47" s="80"/>
      <c r="J47" s="80"/>
      <c r="K47" s="125"/>
      <c r="L47" s="34" t="s">
        <v>44</v>
      </c>
      <c r="M47" s="34" t="s">
        <v>44</v>
      </c>
      <c r="N47" s="34" t="s">
        <v>44</v>
      </c>
      <c r="O47" s="35" t="s">
        <v>44</v>
      </c>
      <c r="P47" s="34" t="s">
        <v>44</v>
      </c>
      <c r="Q47" s="35" t="s">
        <v>44</v>
      </c>
      <c r="R47" s="34" t="s">
        <v>44</v>
      </c>
      <c r="S47" s="35" t="s">
        <v>44</v>
      </c>
      <c r="T47" s="34" t="s">
        <v>44</v>
      </c>
      <c r="U47" s="35" t="s">
        <v>44</v>
      </c>
      <c r="V47" s="34" t="s">
        <v>44</v>
      </c>
      <c r="W47" s="35" t="s">
        <v>44</v>
      </c>
      <c r="X47" s="34" t="s">
        <v>44</v>
      </c>
      <c r="Y47" s="35" t="s">
        <v>44</v>
      </c>
      <c r="Z47" s="34" t="s">
        <v>44</v>
      </c>
      <c r="AA47" s="35" t="s">
        <v>44</v>
      </c>
      <c r="AB47" s="34" t="s">
        <v>44</v>
      </c>
      <c r="AC47" s="35" t="s">
        <v>44</v>
      </c>
      <c r="AD47" s="34" t="s">
        <v>44</v>
      </c>
      <c r="AE47" s="35" t="s">
        <v>44</v>
      </c>
      <c r="AF47" s="34" t="s">
        <v>44</v>
      </c>
      <c r="AG47" s="35" t="s">
        <v>44</v>
      </c>
      <c r="AH47" s="34" t="s">
        <v>44</v>
      </c>
      <c r="AI47" s="35" t="s">
        <v>44</v>
      </c>
      <c r="AJ47" s="29"/>
      <c r="AK47" s="144"/>
      <c r="AL47" s="144"/>
      <c r="AM47" s="140"/>
    </row>
    <row r="48" spans="1:39" s="18" customFormat="1" ht="22.9" customHeight="1" thickBot="1" x14ac:dyDescent="0.3">
      <c r="A48" s="160"/>
      <c r="B48" s="163"/>
      <c r="C48" s="75"/>
      <c r="D48" s="72"/>
      <c r="E48" s="166"/>
      <c r="F48" s="72"/>
      <c r="G48" s="166"/>
      <c r="H48" s="136"/>
      <c r="I48" s="81"/>
      <c r="J48" s="81"/>
      <c r="K48" s="126"/>
      <c r="L48" s="41">
        <v>4</v>
      </c>
      <c r="M48" s="44"/>
      <c r="N48" s="44"/>
      <c r="O48" s="33">
        <f>+M48+N48</f>
        <v>0</v>
      </c>
      <c r="P48" s="44"/>
      <c r="Q48" s="33">
        <f>+O48+P48</f>
        <v>0</v>
      </c>
      <c r="R48" s="44"/>
      <c r="S48" s="33">
        <f>+Q48+R48</f>
        <v>0</v>
      </c>
      <c r="T48" s="44"/>
      <c r="U48" s="33">
        <f>+S48+T48</f>
        <v>0</v>
      </c>
      <c r="V48" s="44"/>
      <c r="W48" s="33">
        <f>+U48+V48</f>
        <v>0</v>
      </c>
      <c r="X48" s="44"/>
      <c r="Y48" s="33">
        <f>+W48+X48</f>
        <v>0</v>
      </c>
      <c r="Z48" s="44"/>
      <c r="AA48" s="33">
        <f>+Y48+Z48</f>
        <v>0</v>
      </c>
      <c r="AB48" s="44"/>
      <c r="AC48" s="33">
        <f>+AA48+AB48</f>
        <v>0</v>
      </c>
      <c r="AD48" s="44"/>
      <c r="AE48" s="33">
        <f>+AC48+AD48</f>
        <v>0</v>
      </c>
      <c r="AF48" s="44"/>
      <c r="AG48" s="33">
        <f>+AE48+AF48</f>
        <v>0</v>
      </c>
      <c r="AH48" s="44"/>
      <c r="AI48" s="33">
        <f t="shared" ref="AI48" si="42">+AG48+AH48</f>
        <v>0</v>
      </c>
      <c r="AJ48" s="36"/>
      <c r="AK48" s="145"/>
      <c r="AL48" s="145"/>
      <c r="AM48" s="141"/>
    </row>
    <row r="49" spans="1:39" s="18" customFormat="1" ht="22.9" customHeight="1" thickTop="1" x14ac:dyDescent="0.25">
      <c r="A49" s="132" t="s">
        <v>102</v>
      </c>
      <c r="B49" s="161" t="s">
        <v>68</v>
      </c>
      <c r="C49" s="73" t="s">
        <v>117</v>
      </c>
      <c r="D49" s="68" t="s">
        <v>118</v>
      </c>
      <c r="E49" s="164" t="s">
        <v>53</v>
      </c>
      <c r="F49" s="68" t="s">
        <v>92</v>
      </c>
      <c r="G49" s="164" t="s">
        <v>93</v>
      </c>
      <c r="H49" s="96" t="s">
        <v>55</v>
      </c>
      <c r="I49" s="79">
        <f>+L50</f>
        <v>1</v>
      </c>
      <c r="J49" s="79">
        <v>0.1</v>
      </c>
      <c r="K49" s="124" t="s">
        <v>120</v>
      </c>
      <c r="L49" s="25" t="s">
        <v>42</v>
      </c>
      <c r="M49" s="25" t="s">
        <v>42</v>
      </c>
      <c r="N49" s="25" t="s">
        <v>42</v>
      </c>
      <c r="O49" s="26" t="s">
        <v>42</v>
      </c>
      <c r="P49" s="25" t="s">
        <v>42</v>
      </c>
      <c r="Q49" s="26" t="s">
        <v>42</v>
      </c>
      <c r="R49" s="25" t="s">
        <v>42</v>
      </c>
      <c r="S49" s="26" t="s">
        <v>42</v>
      </c>
      <c r="T49" s="25" t="s">
        <v>42</v>
      </c>
      <c r="U49" s="26" t="s">
        <v>42</v>
      </c>
      <c r="V49" s="25" t="s">
        <v>42</v>
      </c>
      <c r="W49" s="26" t="s">
        <v>42</v>
      </c>
      <c r="X49" s="25" t="s">
        <v>42</v>
      </c>
      <c r="Y49" s="26" t="s">
        <v>42</v>
      </c>
      <c r="Z49" s="25" t="s">
        <v>42</v>
      </c>
      <c r="AA49" s="26" t="s">
        <v>42</v>
      </c>
      <c r="AB49" s="25" t="s">
        <v>42</v>
      </c>
      <c r="AC49" s="26" t="s">
        <v>42</v>
      </c>
      <c r="AD49" s="25" t="s">
        <v>42</v>
      </c>
      <c r="AE49" s="26" t="s">
        <v>42</v>
      </c>
      <c r="AF49" s="25" t="s">
        <v>42</v>
      </c>
      <c r="AG49" s="26" t="s">
        <v>42</v>
      </c>
      <c r="AH49" s="25" t="s">
        <v>42</v>
      </c>
      <c r="AI49" s="26" t="s">
        <v>42</v>
      </c>
      <c r="AJ49" s="27"/>
      <c r="AK49" s="143" t="s">
        <v>130</v>
      </c>
      <c r="AL49" s="143"/>
      <c r="AM49" s="137" t="s">
        <v>66</v>
      </c>
    </row>
    <row r="50" spans="1:39" s="18" customFormat="1" ht="22.9" customHeight="1" x14ac:dyDescent="0.25">
      <c r="A50" s="159"/>
      <c r="B50" s="162"/>
      <c r="C50" s="74"/>
      <c r="D50" s="71"/>
      <c r="E50" s="165"/>
      <c r="F50" s="71"/>
      <c r="G50" s="165"/>
      <c r="H50" s="135"/>
      <c r="I50" s="80"/>
      <c r="J50" s="80"/>
      <c r="K50" s="125"/>
      <c r="L50" s="21">
        <f t="shared" ref="L50:P50" si="43">IF(L52&lt;&gt;0,+L52/L54,0%)</f>
        <v>1</v>
      </c>
      <c r="M50" s="19">
        <f t="shared" si="43"/>
        <v>0</v>
      </c>
      <c r="N50" s="19">
        <f t="shared" si="43"/>
        <v>0</v>
      </c>
      <c r="O50" s="3">
        <f t="shared" si="43"/>
        <v>0</v>
      </c>
      <c r="P50" s="19">
        <f t="shared" si="43"/>
        <v>0</v>
      </c>
      <c r="Q50" s="3">
        <f>IF(Q52&lt;&gt;0,+Q52/Q54,0%)</f>
        <v>0</v>
      </c>
      <c r="R50" s="19">
        <f t="shared" ref="R50:T50" si="44">IF(R52&lt;&gt;0,+R52/R54,0%)</f>
        <v>0</v>
      </c>
      <c r="S50" s="3">
        <f>IF(S52&lt;&gt;0,+S52/S54,0%)</f>
        <v>0</v>
      </c>
      <c r="T50" s="19">
        <f t="shared" ref="T50:V50" si="45">IF(T52&lt;&gt;0,+T52/T54,0%)</f>
        <v>0</v>
      </c>
      <c r="U50" s="3">
        <f>IF(U52&lt;&gt;0,+U52/U54,0%)</f>
        <v>0</v>
      </c>
      <c r="V50" s="19">
        <f t="shared" ref="V50:X50" si="46">IF(V52&lt;&gt;0,+V52/V54,0%)</f>
        <v>0</v>
      </c>
      <c r="W50" s="3">
        <f>IF(W52&lt;&gt;0,+W52/W54,0%)</f>
        <v>0</v>
      </c>
      <c r="X50" s="19">
        <f t="shared" ref="X50:Z50" si="47">IF(X52&lt;&gt;0,+X52/X54,0%)</f>
        <v>0</v>
      </c>
      <c r="Y50" s="3">
        <f>IF(Y52&lt;&gt;0,+Y52/Y54,0%)</f>
        <v>0</v>
      </c>
      <c r="Z50" s="19">
        <f t="shared" ref="Z50:AB50" si="48">IF(Z52&lt;&gt;0,+Z52/Z54,0%)</f>
        <v>0</v>
      </c>
      <c r="AA50" s="3">
        <f>IF(AA52&lt;&gt;0,+AA52/AA54,0%)</f>
        <v>0</v>
      </c>
      <c r="AB50" s="19">
        <f t="shared" ref="AB50:AD50" si="49">IF(AB52&lt;&gt;0,+AB52/AB54,0%)</f>
        <v>0</v>
      </c>
      <c r="AC50" s="3">
        <f>IF(AC52&lt;&gt;0,+AC52/AC54,0%)</f>
        <v>0</v>
      </c>
      <c r="AD50" s="19">
        <f t="shared" ref="AD50:AF50" si="50">IF(AD52&lt;&gt;0,+AD52/AD54,0%)</f>
        <v>0</v>
      </c>
      <c r="AE50" s="3">
        <f>IF(AE52&lt;&gt;0,+AE52/AE54,0%)</f>
        <v>0</v>
      </c>
      <c r="AF50" s="19">
        <f t="shared" ref="AF50:AH50" si="51">IF(AF52&lt;&gt;0,+AF52/AF54,0%)</f>
        <v>0</v>
      </c>
      <c r="AG50" s="3">
        <f>IF(AG52&lt;&gt;0,+AG52/AG54,0%)</f>
        <v>0</v>
      </c>
      <c r="AH50" s="19">
        <f t="shared" ref="AH50" si="52">IF(AH52&lt;&gt;0,+AH52/AH54,0%)</f>
        <v>0</v>
      </c>
      <c r="AI50" s="3">
        <f>IF(AI52&lt;&gt;0,+AI52/AI54,0%)</f>
        <v>0</v>
      </c>
      <c r="AJ50" s="29"/>
      <c r="AK50" s="144"/>
      <c r="AL50" s="144"/>
      <c r="AM50" s="140"/>
    </row>
    <row r="51" spans="1:39" s="18" customFormat="1" ht="22.9" customHeight="1" thickBot="1" x14ac:dyDescent="0.3">
      <c r="A51" s="159"/>
      <c r="B51" s="162"/>
      <c r="C51" s="74"/>
      <c r="D51" s="71"/>
      <c r="E51" s="165"/>
      <c r="F51" s="71"/>
      <c r="G51" s="165"/>
      <c r="H51" s="135"/>
      <c r="I51" s="80"/>
      <c r="J51" s="80"/>
      <c r="K51" s="126"/>
      <c r="L51" s="30" t="s">
        <v>43</v>
      </c>
      <c r="M51" s="30" t="s">
        <v>43</v>
      </c>
      <c r="N51" s="30" t="s">
        <v>43</v>
      </c>
      <c r="O51" s="31" t="s">
        <v>43</v>
      </c>
      <c r="P51" s="30" t="s">
        <v>43</v>
      </c>
      <c r="Q51" s="31" t="s">
        <v>43</v>
      </c>
      <c r="R51" s="30" t="s">
        <v>43</v>
      </c>
      <c r="S51" s="31" t="s">
        <v>43</v>
      </c>
      <c r="T51" s="30" t="s">
        <v>43</v>
      </c>
      <c r="U51" s="31" t="s">
        <v>43</v>
      </c>
      <c r="V51" s="30" t="s">
        <v>43</v>
      </c>
      <c r="W51" s="31" t="s">
        <v>43</v>
      </c>
      <c r="X51" s="30" t="s">
        <v>43</v>
      </c>
      <c r="Y51" s="31" t="s">
        <v>43</v>
      </c>
      <c r="Z51" s="30" t="s">
        <v>43</v>
      </c>
      <c r="AA51" s="31" t="s">
        <v>43</v>
      </c>
      <c r="AB51" s="30" t="s">
        <v>43</v>
      </c>
      <c r="AC51" s="31" t="s">
        <v>43</v>
      </c>
      <c r="AD51" s="30" t="s">
        <v>43</v>
      </c>
      <c r="AE51" s="31" t="s">
        <v>43</v>
      </c>
      <c r="AF51" s="30" t="s">
        <v>43</v>
      </c>
      <c r="AG51" s="31" t="s">
        <v>43</v>
      </c>
      <c r="AH51" s="30" t="s">
        <v>43</v>
      </c>
      <c r="AI51" s="31" t="s">
        <v>43</v>
      </c>
      <c r="AJ51" s="29"/>
      <c r="AK51" s="144"/>
      <c r="AL51" s="144"/>
      <c r="AM51" s="140"/>
    </row>
    <row r="52" spans="1:39" s="18" customFormat="1" ht="22.9" customHeight="1" thickTop="1" x14ac:dyDescent="0.25">
      <c r="A52" s="159"/>
      <c r="B52" s="162"/>
      <c r="C52" s="74"/>
      <c r="D52" s="71"/>
      <c r="E52" s="165"/>
      <c r="F52" s="71"/>
      <c r="G52" s="165"/>
      <c r="H52" s="135"/>
      <c r="I52" s="80"/>
      <c r="J52" s="80"/>
      <c r="K52" s="125" t="s">
        <v>119</v>
      </c>
      <c r="L52" s="32">
        <v>3</v>
      </c>
      <c r="M52" s="4"/>
      <c r="N52" s="4"/>
      <c r="O52" s="33">
        <f>+M52+N52</f>
        <v>0</v>
      </c>
      <c r="P52" s="4"/>
      <c r="Q52" s="33">
        <f>+O52+P52</f>
        <v>0</v>
      </c>
      <c r="R52" s="4"/>
      <c r="S52" s="33">
        <f>+Q52+R52</f>
        <v>0</v>
      </c>
      <c r="T52" s="4"/>
      <c r="U52" s="33">
        <f>+S52+T52</f>
        <v>0</v>
      </c>
      <c r="V52" s="4"/>
      <c r="W52" s="33">
        <f>+U52+V52</f>
        <v>0</v>
      </c>
      <c r="X52" s="4"/>
      <c r="Y52" s="33">
        <f>+W52+X52</f>
        <v>0</v>
      </c>
      <c r="Z52" s="4"/>
      <c r="AA52" s="33">
        <f>+Y52+Z52</f>
        <v>0</v>
      </c>
      <c r="AB52" s="4"/>
      <c r="AC52" s="33">
        <f>+AA52+AB52</f>
        <v>0</v>
      </c>
      <c r="AD52" s="4"/>
      <c r="AE52" s="33">
        <f>+AC52+AD52</f>
        <v>0</v>
      </c>
      <c r="AF52" s="4"/>
      <c r="AG52" s="33">
        <f>+AE52+AF52</f>
        <v>0</v>
      </c>
      <c r="AH52" s="4"/>
      <c r="AI52" s="33">
        <f>+AG52+AH52</f>
        <v>0</v>
      </c>
      <c r="AJ52" s="22">
        <f>+AI50/L50</f>
        <v>0</v>
      </c>
      <c r="AK52" s="144"/>
      <c r="AL52" s="144"/>
      <c r="AM52" s="140"/>
    </row>
    <row r="53" spans="1:39" s="18" customFormat="1" ht="22.9" customHeight="1" x14ac:dyDescent="0.25">
      <c r="A53" s="159"/>
      <c r="B53" s="162"/>
      <c r="C53" s="74"/>
      <c r="D53" s="71"/>
      <c r="E53" s="165"/>
      <c r="F53" s="71"/>
      <c r="G53" s="165"/>
      <c r="H53" s="135"/>
      <c r="I53" s="80"/>
      <c r="J53" s="80"/>
      <c r="K53" s="125"/>
      <c r="L53" s="34" t="s">
        <v>44</v>
      </c>
      <c r="M53" s="34" t="s">
        <v>44</v>
      </c>
      <c r="N53" s="34" t="s">
        <v>44</v>
      </c>
      <c r="O53" s="35" t="s">
        <v>44</v>
      </c>
      <c r="P53" s="34" t="s">
        <v>44</v>
      </c>
      <c r="Q53" s="35" t="s">
        <v>44</v>
      </c>
      <c r="R53" s="34" t="s">
        <v>44</v>
      </c>
      <c r="S53" s="35" t="s">
        <v>44</v>
      </c>
      <c r="T53" s="34" t="s">
        <v>44</v>
      </c>
      <c r="U53" s="35" t="s">
        <v>44</v>
      </c>
      <c r="V53" s="34" t="s">
        <v>44</v>
      </c>
      <c r="W53" s="35" t="s">
        <v>44</v>
      </c>
      <c r="X53" s="34" t="s">
        <v>44</v>
      </c>
      <c r="Y53" s="35" t="s">
        <v>44</v>
      </c>
      <c r="Z53" s="34" t="s">
        <v>44</v>
      </c>
      <c r="AA53" s="35" t="s">
        <v>44</v>
      </c>
      <c r="AB53" s="34" t="s">
        <v>44</v>
      </c>
      <c r="AC53" s="35" t="s">
        <v>44</v>
      </c>
      <c r="AD53" s="34" t="s">
        <v>44</v>
      </c>
      <c r="AE53" s="35" t="s">
        <v>44</v>
      </c>
      <c r="AF53" s="34" t="s">
        <v>44</v>
      </c>
      <c r="AG53" s="35" t="s">
        <v>44</v>
      </c>
      <c r="AH53" s="34" t="s">
        <v>44</v>
      </c>
      <c r="AI53" s="35" t="s">
        <v>44</v>
      </c>
      <c r="AJ53" s="29"/>
      <c r="AK53" s="144"/>
      <c r="AL53" s="144"/>
      <c r="AM53" s="140"/>
    </row>
    <row r="54" spans="1:39" s="18" customFormat="1" ht="22.9" customHeight="1" thickBot="1" x14ac:dyDescent="0.3">
      <c r="A54" s="160"/>
      <c r="B54" s="163"/>
      <c r="C54" s="75"/>
      <c r="D54" s="72"/>
      <c r="E54" s="166"/>
      <c r="F54" s="72"/>
      <c r="G54" s="166"/>
      <c r="H54" s="136"/>
      <c r="I54" s="81"/>
      <c r="J54" s="81"/>
      <c r="K54" s="126"/>
      <c r="L54" s="41">
        <v>3</v>
      </c>
      <c r="M54" s="44"/>
      <c r="N54" s="44"/>
      <c r="O54" s="33">
        <f>+M54+N54</f>
        <v>0</v>
      </c>
      <c r="P54" s="44"/>
      <c r="Q54" s="33">
        <f>+O54+P54</f>
        <v>0</v>
      </c>
      <c r="R54" s="44"/>
      <c r="S54" s="33">
        <f>+Q54+R54</f>
        <v>0</v>
      </c>
      <c r="T54" s="44"/>
      <c r="U54" s="33">
        <f>+S54+T54</f>
        <v>0</v>
      </c>
      <c r="V54" s="44"/>
      <c r="W54" s="33">
        <f>+U54+V54</f>
        <v>0</v>
      </c>
      <c r="X54" s="44"/>
      <c r="Y54" s="33">
        <f>+W54+X54</f>
        <v>0</v>
      </c>
      <c r="Z54" s="44"/>
      <c r="AA54" s="33">
        <f>+Y54+Z54</f>
        <v>0</v>
      </c>
      <c r="AB54" s="44"/>
      <c r="AC54" s="33">
        <f>+AA54+AB54</f>
        <v>0</v>
      </c>
      <c r="AD54" s="44"/>
      <c r="AE54" s="33">
        <f>+AC54+AD54</f>
        <v>0</v>
      </c>
      <c r="AF54" s="44"/>
      <c r="AG54" s="33">
        <f>+AE54+AF54</f>
        <v>0</v>
      </c>
      <c r="AH54" s="44"/>
      <c r="AI54" s="33">
        <f t="shared" ref="AI54" si="53">+AG54+AH54</f>
        <v>0</v>
      </c>
      <c r="AJ54" s="36"/>
      <c r="AK54" s="145"/>
      <c r="AL54" s="145"/>
      <c r="AM54" s="141"/>
    </row>
    <row r="55" spans="1:39" ht="13.5" thickTop="1" x14ac:dyDescent="0.2"/>
    <row r="328" spans="5:5" x14ac:dyDescent="0.2">
      <c r="E328" s="1" t="s">
        <v>30</v>
      </c>
    </row>
  </sheetData>
  <mergeCells count="153">
    <mergeCell ref="J43:J48"/>
    <mergeCell ref="K43:K45"/>
    <mergeCell ref="AK43:AK48"/>
    <mergeCell ref="AL43:AL48"/>
    <mergeCell ref="AM43:AM48"/>
    <mergeCell ref="K46:K48"/>
    <mergeCell ref="A49:A54"/>
    <mergeCell ref="B49:B54"/>
    <mergeCell ref="C49:C54"/>
    <mergeCell ref="D49:D54"/>
    <mergeCell ref="E49:E54"/>
    <mergeCell ref="F49:F54"/>
    <mergeCell ref="G49:G54"/>
    <mergeCell ref="H49:H54"/>
    <mergeCell ref="I49:I54"/>
    <mergeCell ref="J49:J54"/>
    <mergeCell ref="K49:K51"/>
    <mergeCell ref="AK49:AK54"/>
    <mergeCell ref="AL49:AL54"/>
    <mergeCell ref="AM49:AM54"/>
    <mergeCell ref="K52:K54"/>
    <mergeCell ref="A43:A48"/>
    <mergeCell ref="B43:B48"/>
    <mergeCell ref="C43:C48"/>
    <mergeCell ref="D43:D48"/>
    <mergeCell ref="E43:E48"/>
    <mergeCell ref="F43:F48"/>
    <mergeCell ref="G43:G48"/>
    <mergeCell ref="H43:H48"/>
    <mergeCell ref="I43:I48"/>
    <mergeCell ref="AM37:AM42"/>
    <mergeCell ref="K40:K42"/>
    <mergeCell ref="H37:H42"/>
    <mergeCell ref="I37:I42"/>
    <mergeCell ref="J37:J42"/>
    <mergeCell ref="K37:K39"/>
    <mergeCell ref="AK37:AK42"/>
    <mergeCell ref="AL37:AL42"/>
    <mergeCell ref="AL31:AL36"/>
    <mergeCell ref="AM31:AM36"/>
    <mergeCell ref="K34:K36"/>
    <mergeCell ref="I31:I36"/>
    <mergeCell ref="J31:J36"/>
    <mergeCell ref="K31:K33"/>
    <mergeCell ref="AK31:AK36"/>
    <mergeCell ref="A37:A42"/>
    <mergeCell ref="B37:B42"/>
    <mergeCell ref="C37:C42"/>
    <mergeCell ref="D37:D42"/>
    <mergeCell ref="E37:E42"/>
    <mergeCell ref="F37:F42"/>
    <mergeCell ref="G37:G42"/>
    <mergeCell ref="G31:G36"/>
    <mergeCell ref="H31:H36"/>
    <mergeCell ref="A31:A36"/>
    <mergeCell ref="B31:B36"/>
    <mergeCell ref="C31:C36"/>
    <mergeCell ref="D31:D36"/>
    <mergeCell ref="E31:E36"/>
    <mergeCell ref="F31:F36"/>
    <mergeCell ref="J25:J30"/>
    <mergeCell ref="K25:K27"/>
    <mergeCell ref="AK25:AK30"/>
    <mergeCell ref="AL25:AL30"/>
    <mergeCell ref="AM25:AM30"/>
    <mergeCell ref="K28:K30"/>
    <mergeCell ref="A25:A30"/>
    <mergeCell ref="B25:B30"/>
    <mergeCell ref="C25:C30"/>
    <mergeCell ref="D25:D30"/>
    <mergeCell ref="E25:E30"/>
    <mergeCell ref="F25:F30"/>
    <mergeCell ref="G25:G30"/>
    <mergeCell ref="H25:H30"/>
    <mergeCell ref="I25:I30"/>
    <mergeCell ref="AC11:AC12"/>
    <mergeCell ref="N11:N12"/>
    <mergeCell ref="AH11:AH12"/>
    <mergeCell ref="Z11:Z12"/>
    <mergeCell ref="Q11:Q12"/>
    <mergeCell ref="R11:R12"/>
    <mergeCell ref="W11:W12"/>
    <mergeCell ref="AD11:AD12"/>
    <mergeCell ref="AE11:AE12"/>
    <mergeCell ref="AF11:AF12"/>
    <mergeCell ref="X11:X12"/>
    <mergeCell ref="Y11:Y12"/>
    <mergeCell ref="AG11:AG12"/>
    <mergeCell ref="AB11:AB12"/>
    <mergeCell ref="AA11:AA12"/>
    <mergeCell ref="T11:T12"/>
    <mergeCell ref="U11:U12"/>
    <mergeCell ref="V11:V12"/>
    <mergeCell ref="AM13:AM18"/>
    <mergeCell ref="AM19:AM24"/>
    <mergeCell ref="AI11:AI12"/>
    <mergeCell ref="AJ11:AJ12"/>
    <mergeCell ref="AK11:AK12"/>
    <mergeCell ref="AL19:AL24"/>
    <mergeCell ref="AL11:AL12"/>
    <mergeCell ref="AL13:AL18"/>
    <mergeCell ref="AK19:AK24"/>
    <mergeCell ref="AM11:AM12"/>
    <mergeCell ref="AK13:AK18"/>
    <mergeCell ref="A11:A12"/>
    <mergeCell ref="A13:A18"/>
    <mergeCell ref="A19:A24"/>
    <mergeCell ref="H13:H18"/>
    <mergeCell ref="F11:F12"/>
    <mergeCell ref="K19:K21"/>
    <mergeCell ref="K22:K24"/>
    <mergeCell ref="D19:D24"/>
    <mergeCell ref="E19:E24"/>
    <mergeCell ref="J19:J24"/>
    <mergeCell ref="H19:H24"/>
    <mergeCell ref="I19:I24"/>
    <mergeCell ref="M11:M12"/>
    <mergeCell ref="S11:S12"/>
    <mergeCell ref="J13:J18"/>
    <mergeCell ref="O1:R1"/>
    <mergeCell ref="O3:R3"/>
    <mergeCell ref="E1:N5"/>
    <mergeCell ref="O2:R2"/>
    <mergeCell ref="L11:L12"/>
    <mergeCell ref="O5:R5"/>
    <mergeCell ref="I11:I12"/>
    <mergeCell ref="E11:E12"/>
    <mergeCell ref="O6:R6"/>
    <mergeCell ref="O11:O12"/>
    <mergeCell ref="P11:P12"/>
    <mergeCell ref="E6:N6"/>
    <mergeCell ref="J11:J12"/>
    <mergeCell ref="H11:H12"/>
    <mergeCell ref="K11:K12"/>
    <mergeCell ref="K13:K15"/>
    <mergeCell ref="K16:K18"/>
    <mergeCell ref="B1:D5"/>
    <mergeCell ref="G11:G12"/>
    <mergeCell ref="C11:C12"/>
    <mergeCell ref="B11:B12"/>
    <mergeCell ref="D11:D12"/>
    <mergeCell ref="C13:C18"/>
    <mergeCell ref="E13:E18"/>
    <mergeCell ref="G13:G18"/>
    <mergeCell ref="I13:I18"/>
    <mergeCell ref="B13:B18"/>
    <mergeCell ref="B6:D6"/>
    <mergeCell ref="B19:B24"/>
    <mergeCell ref="D13:D18"/>
    <mergeCell ref="G19:G24"/>
    <mergeCell ref="F13:F18"/>
    <mergeCell ref="F19:F24"/>
    <mergeCell ref="C19:C24"/>
  </mergeCells>
  <phoneticPr fontId="5" type="noConversion"/>
  <pageMargins left="0.56999999999999995" right="0.37" top="0.41" bottom="0.47" header="0" footer="0"/>
  <pageSetup scale="59" orientation="landscape" r:id="rId1"/>
  <headerFooter alignWithMargins="0"/>
  <colBreaks count="1" manualBreakCount="1">
    <brk id="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661A-3B99-464B-BD69-608818ECA79B}">
  <dimension ref="A1:AM304"/>
  <sheetViews>
    <sheetView showGridLines="0" tabSelected="1" zoomScale="80" zoomScaleNormal="80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B25" sqref="B25"/>
    </sheetView>
  </sheetViews>
  <sheetFormatPr baseColWidth="10" defaultColWidth="11.42578125" defaultRowHeight="12.75" x14ac:dyDescent="0.2"/>
  <cols>
    <col min="1" max="1" width="11.42578125" style="1"/>
    <col min="2" max="2" width="26.7109375" style="1" customWidth="1"/>
    <col min="3" max="3" width="20.28515625" style="1" customWidth="1"/>
    <col min="4" max="4" width="26.7109375" style="1" customWidth="1"/>
    <col min="5" max="5" width="14.7109375" style="1" customWidth="1"/>
    <col min="6" max="6" width="14.5703125" style="1" customWidth="1"/>
    <col min="7" max="7" width="14.7109375" style="1" customWidth="1"/>
    <col min="8" max="8" width="12.42578125" style="1" customWidth="1"/>
    <col min="9" max="9" width="6.5703125" style="1" customWidth="1"/>
    <col min="10" max="10" width="28.5703125" style="1" customWidth="1"/>
    <col min="11" max="11" width="17" style="1" customWidth="1"/>
    <col min="12" max="12" width="11.140625" style="1" customWidth="1"/>
    <col min="13" max="13" width="11.7109375" style="10" customWidth="1"/>
    <col min="14" max="34" width="10.7109375" style="10" customWidth="1"/>
    <col min="35" max="35" width="16" style="10" customWidth="1"/>
    <col min="36" max="36" width="27.85546875" style="10" customWidth="1"/>
    <col min="37" max="37" width="26.42578125" style="1" customWidth="1"/>
    <col min="38" max="38" width="21.5703125" style="1" customWidth="1"/>
    <col min="39" max="39" width="21.28515625" style="1" customWidth="1"/>
    <col min="40" max="40" width="2.28515625" style="1" customWidth="1"/>
    <col min="41" max="16384" width="11.42578125" style="1"/>
  </cols>
  <sheetData>
    <row r="1" spans="1:39" s="5" customFormat="1" ht="12.75" customHeight="1" x14ac:dyDescent="0.25">
      <c r="B1" s="82"/>
      <c r="C1" s="82"/>
      <c r="D1" s="83"/>
      <c r="E1" s="101" t="s">
        <v>0</v>
      </c>
      <c r="F1" s="107"/>
      <c r="G1" s="107"/>
      <c r="H1" s="107"/>
      <c r="I1" s="107"/>
      <c r="J1" s="107"/>
      <c r="K1" s="107"/>
      <c r="L1" s="107"/>
      <c r="M1" s="108"/>
      <c r="N1" s="101" t="s">
        <v>38</v>
      </c>
      <c r="O1" s="102"/>
      <c r="P1" s="102"/>
      <c r="Q1" s="103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9" s="5" customFormat="1" ht="12.75" customHeight="1" x14ac:dyDescent="0.25">
      <c r="B2" s="84"/>
      <c r="C2" s="84"/>
      <c r="D2" s="85"/>
      <c r="E2" s="104"/>
      <c r="F2" s="109"/>
      <c r="G2" s="109"/>
      <c r="H2" s="109"/>
      <c r="I2" s="109"/>
      <c r="J2" s="109"/>
      <c r="K2" s="109"/>
      <c r="L2" s="109"/>
      <c r="M2" s="110"/>
      <c r="N2" s="114" t="s">
        <v>39</v>
      </c>
      <c r="O2" s="115"/>
      <c r="P2" s="115"/>
      <c r="Q2" s="11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9" s="5" customFormat="1" ht="15.75" customHeight="1" x14ac:dyDescent="0.25">
      <c r="B3" s="84"/>
      <c r="C3" s="84"/>
      <c r="D3" s="85"/>
      <c r="E3" s="104"/>
      <c r="F3" s="109"/>
      <c r="G3" s="109"/>
      <c r="H3" s="109"/>
      <c r="I3" s="109"/>
      <c r="J3" s="109"/>
      <c r="K3" s="109"/>
      <c r="L3" s="109"/>
      <c r="M3" s="110"/>
      <c r="N3" s="104"/>
      <c r="O3" s="105"/>
      <c r="P3" s="105"/>
      <c r="Q3" s="10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9" s="5" customFormat="1" ht="12.75" customHeight="1" x14ac:dyDescent="0.25">
      <c r="B4" s="84"/>
      <c r="C4" s="84"/>
      <c r="D4" s="85"/>
      <c r="E4" s="104"/>
      <c r="F4" s="109"/>
      <c r="G4" s="109"/>
      <c r="H4" s="109"/>
      <c r="I4" s="109"/>
      <c r="J4" s="109"/>
      <c r="K4" s="109"/>
      <c r="L4" s="109"/>
      <c r="M4" s="110"/>
      <c r="N4" s="7"/>
      <c r="O4" s="8"/>
      <c r="P4" s="8"/>
      <c r="Q4" s="9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9" s="5" customFormat="1" ht="20.25" customHeight="1" x14ac:dyDescent="0.25">
      <c r="B5" s="86"/>
      <c r="C5" s="86"/>
      <c r="D5" s="87"/>
      <c r="E5" s="111"/>
      <c r="F5" s="112"/>
      <c r="G5" s="112"/>
      <c r="H5" s="112"/>
      <c r="I5" s="112"/>
      <c r="J5" s="112"/>
      <c r="K5" s="112"/>
      <c r="L5" s="112"/>
      <c r="M5" s="113"/>
      <c r="N5" s="118" t="s">
        <v>34</v>
      </c>
      <c r="O5" s="119"/>
      <c r="P5" s="119"/>
      <c r="Q5" s="120"/>
      <c r="R5" s="6"/>
      <c r="S5" s="6"/>
      <c r="T5" s="6"/>
      <c r="U5" s="6" t="s">
        <v>31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39" ht="15.75" customHeight="1" x14ac:dyDescent="0.2">
      <c r="B6" s="97" t="s">
        <v>29</v>
      </c>
      <c r="C6" s="98"/>
      <c r="D6" s="99"/>
      <c r="E6" s="121" t="s">
        <v>36</v>
      </c>
      <c r="F6" s="122"/>
      <c r="G6" s="122"/>
      <c r="H6" s="122"/>
      <c r="I6" s="122"/>
      <c r="J6" s="122"/>
      <c r="K6" s="122"/>
      <c r="L6" s="122"/>
      <c r="M6" s="123"/>
      <c r="N6" s="121" t="s">
        <v>35</v>
      </c>
      <c r="O6" s="122"/>
      <c r="P6" s="122"/>
      <c r="Q6" s="123"/>
    </row>
    <row r="7" spans="1:39" s="5" customFormat="1" ht="16.5" customHeight="1" x14ac:dyDescent="0.25">
      <c r="E7" s="11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9" s="5" customFormat="1" ht="15.75" x14ac:dyDescent="0.25">
      <c r="B8" s="12" t="s">
        <v>132</v>
      </c>
      <c r="C8" s="11"/>
      <c r="D8" s="23"/>
      <c r="E8" s="13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14"/>
      <c r="AA8" s="6"/>
      <c r="AB8" s="6"/>
      <c r="AC8" s="6"/>
      <c r="AD8" s="6"/>
      <c r="AE8" s="14"/>
      <c r="AF8" s="6"/>
      <c r="AG8" s="6"/>
      <c r="AH8" s="6"/>
      <c r="AI8" s="6"/>
      <c r="AJ8" s="14"/>
    </row>
    <row r="9" spans="1:39" s="5" customFormat="1" ht="16.5" customHeight="1" x14ac:dyDescent="0.25">
      <c r="B9" s="12" t="s">
        <v>75</v>
      </c>
      <c r="C9" s="11"/>
      <c r="D9" s="11"/>
      <c r="E9" s="13"/>
      <c r="M9" s="6"/>
      <c r="N9" s="6"/>
      <c r="O9" s="6"/>
      <c r="P9" s="6"/>
      <c r="Q9" s="14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9" s="5" customFormat="1" ht="16.5" thickBot="1" x14ac:dyDescent="0.3">
      <c r="B10" s="12"/>
      <c r="C10" s="12"/>
      <c r="D10" s="12"/>
      <c r="E10" s="11"/>
      <c r="M10" s="6"/>
      <c r="N10" s="6"/>
      <c r="O10" s="15"/>
      <c r="P10" s="15"/>
      <c r="Q10" s="16"/>
      <c r="R10" s="15"/>
      <c r="S10" s="15"/>
      <c r="T10" s="15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15"/>
      <c r="AI10" s="15"/>
      <c r="AJ10" s="15"/>
      <c r="AK10" s="24"/>
      <c r="AL10" s="24"/>
    </row>
    <row r="11" spans="1:39" s="17" customFormat="1" ht="22.9" customHeight="1" thickTop="1" x14ac:dyDescent="0.25">
      <c r="A11" s="127" t="s">
        <v>45</v>
      </c>
      <c r="B11" s="90" t="s">
        <v>37</v>
      </c>
      <c r="C11" s="90" t="s">
        <v>1</v>
      </c>
      <c r="D11" s="92" t="s">
        <v>2</v>
      </c>
      <c r="E11" s="88" t="s">
        <v>32</v>
      </c>
      <c r="F11" s="88" t="s">
        <v>40</v>
      </c>
      <c r="G11" s="88" t="s">
        <v>33</v>
      </c>
      <c r="H11" s="88" t="s">
        <v>41</v>
      </c>
      <c r="I11" s="88" t="s">
        <v>133</v>
      </c>
      <c r="J11" s="92" t="s">
        <v>3</v>
      </c>
      <c r="K11" s="92" t="s">
        <v>28</v>
      </c>
      <c r="L11" s="92" t="s">
        <v>4</v>
      </c>
      <c r="M11" s="92" t="s">
        <v>5</v>
      </c>
      <c r="N11" s="90" t="s">
        <v>6</v>
      </c>
      <c r="O11" s="92" t="s">
        <v>7</v>
      </c>
      <c r="P11" s="92" t="s">
        <v>8</v>
      </c>
      <c r="Q11" s="92" t="s">
        <v>9</v>
      </c>
      <c r="R11" s="92" t="s">
        <v>10</v>
      </c>
      <c r="S11" s="92" t="s">
        <v>11</v>
      </c>
      <c r="T11" s="90" t="s">
        <v>12</v>
      </c>
      <c r="U11" s="90" t="s">
        <v>13</v>
      </c>
      <c r="V11" s="92" t="s">
        <v>14</v>
      </c>
      <c r="W11" s="154" t="s">
        <v>15</v>
      </c>
      <c r="X11" s="92" t="s">
        <v>16</v>
      </c>
      <c r="Y11" s="92" t="s">
        <v>17</v>
      </c>
      <c r="Z11" s="92" t="s">
        <v>18</v>
      </c>
      <c r="AA11" s="92" t="s">
        <v>19</v>
      </c>
      <c r="AB11" s="92" t="s">
        <v>20</v>
      </c>
      <c r="AC11" s="92" t="s">
        <v>21</v>
      </c>
      <c r="AD11" s="92" t="s">
        <v>22</v>
      </c>
      <c r="AE11" s="90" t="s">
        <v>23</v>
      </c>
      <c r="AF11" s="92" t="s">
        <v>24</v>
      </c>
      <c r="AG11" s="92" t="s">
        <v>25</v>
      </c>
      <c r="AH11" s="88" t="s">
        <v>134</v>
      </c>
      <c r="AI11" s="92" t="s">
        <v>26</v>
      </c>
      <c r="AJ11" s="92" t="s">
        <v>27</v>
      </c>
      <c r="AK11" s="146" t="s">
        <v>47</v>
      </c>
      <c r="AL11" s="151" t="s">
        <v>46</v>
      </c>
    </row>
    <row r="12" spans="1:39" s="17" customFormat="1" ht="22.9" customHeight="1" thickBot="1" x14ac:dyDescent="0.3">
      <c r="A12" s="128"/>
      <c r="B12" s="91"/>
      <c r="C12" s="91"/>
      <c r="D12" s="93"/>
      <c r="E12" s="89"/>
      <c r="F12" s="89"/>
      <c r="G12" s="89"/>
      <c r="H12" s="89"/>
      <c r="I12" s="89"/>
      <c r="J12" s="93"/>
      <c r="K12" s="117"/>
      <c r="L12" s="93"/>
      <c r="M12" s="93"/>
      <c r="N12" s="91"/>
      <c r="O12" s="93"/>
      <c r="P12" s="93"/>
      <c r="Q12" s="93"/>
      <c r="R12" s="100"/>
      <c r="S12" s="93"/>
      <c r="T12" s="153"/>
      <c r="U12" s="153"/>
      <c r="V12" s="100"/>
      <c r="W12" s="155"/>
      <c r="X12" s="93"/>
      <c r="Y12" s="100"/>
      <c r="Z12" s="100"/>
      <c r="AA12" s="100"/>
      <c r="AB12" s="100"/>
      <c r="AC12" s="100"/>
      <c r="AD12" s="100"/>
      <c r="AE12" s="153"/>
      <c r="AF12" s="100"/>
      <c r="AG12" s="93"/>
      <c r="AH12" s="89"/>
      <c r="AI12" s="93"/>
      <c r="AJ12" s="142"/>
      <c r="AK12" s="147"/>
      <c r="AL12" s="152"/>
    </row>
    <row r="13" spans="1:39" s="18" customFormat="1" ht="22.9" customHeight="1" thickTop="1" x14ac:dyDescent="0.25">
      <c r="A13" s="129" t="s">
        <v>96</v>
      </c>
      <c r="B13" s="65" t="s">
        <v>60</v>
      </c>
      <c r="C13" s="73" t="s">
        <v>97</v>
      </c>
      <c r="D13" s="68" t="s">
        <v>98</v>
      </c>
      <c r="E13" s="68" t="s">
        <v>53</v>
      </c>
      <c r="F13" s="68" t="s">
        <v>92</v>
      </c>
      <c r="G13" s="68" t="s">
        <v>86</v>
      </c>
      <c r="H13" s="68" t="s">
        <v>55</v>
      </c>
      <c r="I13" s="79">
        <f>+K14</f>
        <v>0.5</v>
      </c>
      <c r="J13" s="124" t="s">
        <v>99</v>
      </c>
      <c r="K13" s="25" t="s">
        <v>42</v>
      </c>
      <c r="L13" s="25" t="s">
        <v>42</v>
      </c>
      <c r="M13" s="25" t="s">
        <v>42</v>
      </c>
      <c r="N13" s="26" t="s">
        <v>42</v>
      </c>
      <c r="O13" s="25" t="s">
        <v>42</v>
      </c>
      <c r="P13" s="26" t="s">
        <v>42</v>
      </c>
      <c r="Q13" s="25" t="s">
        <v>42</v>
      </c>
      <c r="R13" s="26" t="s">
        <v>42</v>
      </c>
      <c r="S13" s="25" t="s">
        <v>42</v>
      </c>
      <c r="T13" s="26" t="s">
        <v>42</v>
      </c>
      <c r="U13" s="25" t="s">
        <v>42</v>
      </c>
      <c r="V13" s="26" t="s">
        <v>42</v>
      </c>
      <c r="W13" s="25" t="s">
        <v>42</v>
      </c>
      <c r="X13" s="26" t="s">
        <v>42</v>
      </c>
      <c r="Y13" s="25" t="s">
        <v>42</v>
      </c>
      <c r="Z13" s="26" t="s">
        <v>42</v>
      </c>
      <c r="AA13" s="25" t="s">
        <v>42</v>
      </c>
      <c r="AB13" s="26" t="s">
        <v>42</v>
      </c>
      <c r="AC13" s="25" t="s">
        <v>42</v>
      </c>
      <c r="AD13" s="26" t="s">
        <v>42</v>
      </c>
      <c r="AE13" s="25" t="s">
        <v>42</v>
      </c>
      <c r="AF13" s="26" t="s">
        <v>42</v>
      </c>
      <c r="AG13" s="25" t="s">
        <v>42</v>
      </c>
      <c r="AH13" s="26" t="s">
        <v>42</v>
      </c>
      <c r="AI13" s="37"/>
      <c r="AJ13" s="143" t="s">
        <v>90</v>
      </c>
      <c r="AK13" s="143"/>
      <c r="AL13" s="137" t="s">
        <v>84</v>
      </c>
      <c r="AM13" s="20"/>
    </row>
    <row r="14" spans="1:39" s="18" customFormat="1" ht="22.9" customHeight="1" x14ac:dyDescent="0.25">
      <c r="A14" s="130"/>
      <c r="B14" s="66"/>
      <c r="C14" s="74"/>
      <c r="D14" s="71"/>
      <c r="E14" s="71"/>
      <c r="F14" s="71"/>
      <c r="G14" s="71"/>
      <c r="H14" s="71"/>
      <c r="I14" s="80"/>
      <c r="J14" s="125"/>
      <c r="K14" s="21">
        <f t="shared" ref="K14:O14" si="0">IF(K16&lt;&gt;0,+K16/K18,0%)</f>
        <v>0.5</v>
      </c>
      <c r="L14" s="19">
        <f t="shared" si="0"/>
        <v>0</v>
      </c>
      <c r="M14" s="19">
        <f t="shared" si="0"/>
        <v>0</v>
      </c>
      <c r="N14" s="3">
        <f t="shared" si="0"/>
        <v>0</v>
      </c>
      <c r="O14" s="19">
        <f t="shared" si="0"/>
        <v>0</v>
      </c>
      <c r="P14" s="3">
        <f>IF(P16&lt;&gt;0,+P16/P18,0%)</f>
        <v>0</v>
      </c>
      <c r="Q14" s="19">
        <f t="shared" ref="Q14:S14" si="1">IF(Q16&lt;&gt;0,+Q16/Q18,0%)</f>
        <v>0</v>
      </c>
      <c r="R14" s="3">
        <f>IF(R16&lt;&gt;0,+R16/R18,0%)</f>
        <v>0</v>
      </c>
      <c r="S14" s="19">
        <f t="shared" si="1"/>
        <v>0</v>
      </c>
      <c r="T14" s="3">
        <f>IF(T16&lt;&gt;0,+T16/T18,0%)</f>
        <v>0</v>
      </c>
      <c r="U14" s="19">
        <f t="shared" ref="U14:W14" si="2">IF(U16&lt;&gt;0,+U16/U18,0%)</f>
        <v>0</v>
      </c>
      <c r="V14" s="3">
        <f>IF(V16&lt;&gt;0,+V16/V18,0%)</f>
        <v>0</v>
      </c>
      <c r="W14" s="19">
        <f t="shared" si="2"/>
        <v>0</v>
      </c>
      <c r="X14" s="3">
        <f>IF(X16&lt;&gt;0,+X16/X18,0%)</f>
        <v>0</v>
      </c>
      <c r="Y14" s="19">
        <f t="shared" ref="Y14:AA14" si="3">IF(Y16&lt;&gt;0,+Y16/Y18,0%)</f>
        <v>0</v>
      </c>
      <c r="Z14" s="3">
        <f>IF(Z16&lt;&gt;0,+Z16/Z18,0%)</f>
        <v>0</v>
      </c>
      <c r="AA14" s="19">
        <f t="shared" si="3"/>
        <v>0</v>
      </c>
      <c r="AB14" s="3">
        <f>IF(AB16&lt;&gt;0,+AB16/AB18,0%)</f>
        <v>0</v>
      </c>
      <c r="AC14" s="19">
        <f t="shared" ref="AC14:AE14" si="4">IF(AC16&lt;&gt;0,+AC16/AC18,0%)</f>
        <v>0</v>
      </c>
      <c r="AD14" s="3">
        <f>IF(AD16&lt;&gt;0,+AD16/AD18,0%)</f>
        <v>0</v>
      </c>
      <c r="AE14" s="19">
        <f t="shared" si="4"/>
        <v>0</v>
      </c>
      <c r="AF14" s="3">
        <f>IF(AF16&lt;&gt;0,+AF16/AF18,0%)</f>
        <v>0</v>
      </c>
      <c r="AG14" s="19">
        <f t="shared" ref="AG14" si="5">IF(AG16&lt;&gt;0,+AG16/AG18,0%)</f>
        <v>0</v>
      </c>
      <c r="AH14" s="3">
        <f>IF(AH16&lt;&gt;0,+AH16/AH18,0%)</f>
        <v>0</v>
      </c>
      <c r="AI14" s="38"/>
      <c r="AJ14" s="144"/>
      <c r="AK14" s="144"/>
      <c r="AL14" s="138"/>
    </row>
    <row r="15" spans="1:39" s="18" customFormat="1" ht="22.9" customHeight="1" thickBot="1" x14ac:dyDescent="0.3">
      <c r="A15" s="130"/>
      <c r="B15" s="66"/>
      <c r="C15" s="74"/>
      <c r="D15" s="71"/>
      <c r="E15" s="71"/>
      <c r="F15" s="71"/>
      <c r="G15" s="71"/>
      <c r="H15" s="71"/>
      <c r="I15" s="80"/>
      <c r="J15" s="126"/>
      <c r="K15" s="30" t="s">
        <v>43</v>
      </c>
      <c r="L15" s="30" t="s">
        <v>43</v>
      </c>
      <c r="M15" s="30" t="s">
        <v>43</v>
      </c>
      <c r="N15" s="31" t="s">
        <v>43</v>
      </c>
      <c r="O15" s="30" t="s">
        <v>43</v>
      </c>
      <c r="P15" s="31" t="s">
        <v>43</v>
      </c>
      <c r="Q15" s="30" t="s">
        <v>43</v>
      </c>
      <c r="R15" s="31" t="s">
        <v>43</v>
      </c>
      <c r="S15" s="30" t="s">
        <v>43</v>
      </c>
      <c r="T15" s="31" t="s">
        <v>43</v>
      </c>
      <c r="U15" s="30" t="s">
        <v>43</v>
      </c>
      <c r="V15" s="31" t="s">
        <v>43</v>
      </c>
      <c r="W15" s="30" t="s">
        <v>43</v>
      </c>
      <c r="X15" s="31" t="s">
        <v>43</v>
      </c>
      <c r="Y15" s="30" t="s">
        <v>43</v>
      </c>
      <c r="Z15" s="31" t="s">
        <v>43</v>
      </c>
      <c r="AA15" s="30" t="s">
        <v>43</v>
      </c>
      <c r="AB15" s="31" t="s">
        <v>43</v>
      </c>
      <c r="AC15" s="30" t="s">
        <v>43</v>
      </c>
      <c r="AD15" s="31" t="s">
        <v>43</v>
      </c>
      <c r="AE15" s="30" t="s">
        <v>43</v>
      </c>
      <c r="AF15" s="31" t="s">
        <v>43</v>
      </c>
      <c r="AG15" s="30" t="s">
        <v>43</v>
      </c>
      <c r="AH15" s="31" t="s">
        <v>43</v>
      </c>
      <c r="AI15" s="38"/>
      <c r="AJ15" s="144"/>
      <c r="AK15" s="144"/>
      <c r="AL15" s="138"/>
    </row>
    <row r="16" spans="1:39" s="18" customFormat="1" ht="22.9" customHeight="1" thickTop="1" x14ac:dyDescent="0.25">
      <c r="A16" s="130"/>
      <c r="B16" s="66"/>
      <c r="C16" s="74"/>
      <c r="D16" s="71"/>
      <c r="E16" s="71"/>
      <c r="F16" s="71"/>
      <c r="G16" s="71"/>
      <c r="H16" s="71"/>
      <c r="I16" s="80"/>
      <c r="J16" s="124" t="s">
        <v>100</v>
      </c>
      <c r="K16" s="32">
        <v>4</v>
      </c>
      <c r="L16" s="4"/>
      <c r="M16" s="4"/>
      <c r="N16" s="33">
        <f>+L16+M16</f>
        <v>0</v>
      </c>
      <c r="O16" s="4"/>
      <c r="P16" s="33">
        <f>+N16+O16</f>
        <v>0</v>
      </c>
      <c r="Q16" s="4"/>
      <c r="R16" s="33">
        <f>+P16+Q16</f>
        <v>0</v>
      </c>
      <c r="S16" s="4"/>
      <c r="T16" s="33">
        <f>+R16+S16</f>
        <v>0</v>
      </c>
      <c r="U16" s="4"/>
      <c r="V16" s="33">
        <f>+T16+U16</f>
        <v>0</v>
      </c>
      <c r="W16" s="4"/>
      <c r="X16" s="33">
        <f>+V16+W16</f>
        <v>0</v>
      </c>
      <c r="Y16" s="4"/>
      <c r="Z16" s="33">
        <f>+X16+Y16</f>
        <v>0</v>
      </c>
      <c r="AA16" s="4"/>
      <c r="AB16" s="33">
        <f>+Z16+AA16</f>
        <v>0</v>
      </c>
      <c r="AC16" s="4"/>
      <c r="AD16" s="33">
        <f>+AB16+AC16</f>
        <v>0</v>
      </c>
      <c r="AE16" s="4"/>
      <c r="AF16" s="33">
        <f>+AD16+AE16</f>
        <v>0</v>
      </c>
      <c r="AG16" s="4"/>
      <c r="AH16" s="33">
        <f>+AF16+AG16</f>
        <v>0</v>
      </c>
      <c r="AI16" s="39">
        <f>+AH14/K14</f>
        <v>0</v>
      </c>
      <c r="AJ16" s="144"/>
      <c r="AK16" s="144"/>
      <c r="AL16" s="138"/>
    </row>
    <row r="17" spans="1:38" s="18" customFormat="1" ht="22.9" customHeight="1" x14ac:dyDescent="0.25">
      <c r="A17" s="130"/>
      <c r="B17" s="66"/>
      <c r="C17" s="74"/>
      <c r="D17" s="71"/>
      <c r="E17" s="71"/>
      <c r="F17" s="71"/>
      <c r="G17" s="71"/>
      <c r="H17" s="71"/>
      <c r="I17" s="80"/>
      <c r="J17" s="125"/>
      <c r="K17" s="34" t="s">
        <v>44</v>
      </c>
      <c r="L17" s="34" t="s">
        <v>44</v>
      </c>
      <c r="M17" s="34" t="s">
        <v>44</v>
      </c>
      <c r="N17" s="35" t="s">
        <v>44</v>
      </c>
      <c r="O17" s="34" t="s">
        <v>44</v>
      </c>
      <c r="P17" s="35" t="s">
        <v>44</v>
      </c>
      <c r="Q17" s="34" t="s">
        <v>44</v>
      </c>
      <c r="R17" s="35" t="s">
        <v>44</v>
      </c>
      <c r="S17" s="34" t="s">
        <v>44</v>
      </c>
      <c r="T17" s="35" t="s">
        <v>44</v>
      </c>
      <c r="U17" s="34" t="s">
        <v>44</v>
      </c>
      <c r="V17" s="35" t="s">
        <v>44</v>
      </c>
      <c r="W17" s="34" t="s">
        <v>44</v>
      </c>
      <c r="X17" s="35" t="s">
        <v>44</v>
      </c>
      <c r="Y17" s="34" t="s">
        <v>44</v>
      </c>
      <c r="Z17" s="35" t="s">
        <v>44</v>
      </c>
      <c r="AA17" s="34" t="s">
        <v>44</v>
      </c>
      <c r="AB17" s="35" t="s">
        <v>44</v>
      </c>
      <c r="AC17" s="34" t="s">
        <v>44</v>
      </c>
      <c r="AD17" s="35" t="s">
        <v>44</v>
      </c>
      <c r="AE17" s="34" t="s">
        <v>44</v>
      </c>
      <c r="AF17" s="35" t="s">
        <v>44</v>
      </c>
      <c r="AG17" s="34" t="s">
        <v>44</v>
      </c>
      <c r="AH17" s="35" t="s">
        <v>44</v>
      </c>
      <c r="AI17" s="38"/>
      <c r="AJ17" s="144"/>
      <c r="AK17" s="144"/>
      <c r="AL17" s="138"/>
    </row>
    <row r="18" spans="1:38" s="18" customFormat="1" ht="22.9" customHeight="1" thickBot="1" x14ac:dyDescent="0.3">
      <c r="A18" s="131"/>
      <c r="B18" s="67"/>
      <c r="C18" s="75"/>
      <c r="D18" s="72"/>
      <c r="E18" s="72"/>
      <c r="F18" s="72"/>
      <c r="G18" s="72"/>
      <c r="H18" s="72"/>
      <c r="I18" s="81"/>
      <c r="J18" s="126"/>
      <c r="K18" s="32">
        <v>8</v>
      </c>
      <c r="L18" s="44"/>
      <c r="M18" s="44"/>
      <c r="N18" s="33">
        <f>+L18+M18</f>
        <v>0</v>
      </c>
      <c r="O18" s="44"/>
      <c r="P18" s="33">
        <f>+N18+O18</f>
        <v>0</v>
      </c>
      <c r="Q18" s="44"/>
      <c r="R18" s="33">
        <f>+P18+Q18</f>
        <v>0</v>
      </c>
      <c r="S18" s="44"/>
      <c r="T18" s="33">
        <f>+R18+S18</f>
        <v>0</v>
      </c>
      <c r="U18" s="44"/>
      <c r="V18" s="33">
        <f>+T18+U18</f>
        <v>0</v>
      </c>
      <c r="W18" s="44"/>
      <c r="X18" s="33">
        <f>+V18+W18</f>
        <v>0</v>
      </c>
      <c r="Y18" s="44"/>
      <c r="Z18" s="33">
        <f>+X18+Y18</f>
        <v>0</v>
      </c>
      <c r="AA18" s="44"/>
      <c r="AB18" s="33">
        <f>+Z18+AA18</f>
        <v>0</v>
      </c>
      <c r="AC18" s="44"/>
      <c r="AD18" s="33">
        <f>+AB18+AC18</f>
        <v>0</v>
      </c>
      <c r="AE18" s="44"/>
      <c r="AF18" s="33">
        <f>+AD18+AE18</f>
        <v>0</v>
      </c>
      <c r="AG18" s="44"/>
      <c r="AH18" s="33">
        <f t="shared" ref="AH18" si="6">+AF18+AG18</f>
        <v>0</v>
      </c>
      <c r="AI18" s="40"/>
      <c r="AJ18" s="145"/>
      <c r="AK18" s="145"/>
      <c r="AL18" s="139"/>
    </row>
    <row r="19" spans="1:38" ht="13.5" thickTop="1" x14ac:dyDescent="0.2"/>
    <row r="304" spans="5:5" x14ac:dyDescent="0.2">
      <c r="E304" s="1" t="s">
        <v>30</v>
      </c>
    </row>
  </sheetData>
  <mergeCells count="61">
    <mergeCell ref="B1:D5"/>
    <mergeCell ref="E1:M5"/>
    <mergeCell ref="N1:Q1"/>
    <mergeCell ref="N2:Q2"/>
    <mergeCell ref="N3:Q3"/>
    <mergeCell ref="N5:Q5"/>
    <mergeCell ref="B6:D6"/>
    <mergeCell ref="E6:M6"/>
    <mergeCell ref="N6:Q6"/>
    <mergeCell ref="A11:A12"/>
    <mergeCell ref="B11:B12"/>
    <mergeCell ref="C11:C12"/>
    <mergeCell ref="D11:D12"/>
    <mergeCell ref="E11:E12"/>
    <mergeCell ref="F11:F12"/>
    <mergeCell ref="G11:G12"/>
    <mergeCell ref="R11:R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T11:T12"/>
    <mergeCell ref="U11:U12"/>
    <mergeCell ref="V11:V12"/>
    <mergeCell ref="W11:W12"/>
    <mergeCell ref="X11:X12"/>
    <mergeCell ref="F13:F18"/>
    <mergeCell ref="AK11:AK12"/>
    <mergeCell ref="AL11:AL12"/>
    <mergeCell ref="AE11:AE12"/>
    <mergeCell ref="AF11:AF12"/>
    <mergeCell ref="AG11:AG12"/>
    <mergeCell ref="AH11:AH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S11:S12"/>
    <mergeCell ref="A13:A18"/>
    <mergeCell ref="B13:B18"/>
    <mergeCell ref="C13:C18"/>
    <mergeCell ref="D13:D18"/>
    <mergeCell ref="E13:E18"/>
    <mergeCell ref="AK13:AK18"/>
    <mergeCell ref="AL13:AL18"/>
    <mergeCell ref="J16:J18"/>
    <mergeCell ref="G13:G18"/>
    <mergeCell ref="H13:H18"/>
    <mergeCell ref="I13:I18"/>
    <mergeCell ref="J13:J15"/>
    <mergeCell ref="AJ13:AJ18"/>
  </mergeCells>
  <pageMargins left="0.56999999999999995" right="0.37" top="0.41" bottom="0.47" header="0" footer="0"/>
  <pageSetup scale="59" orientation="landscape" r:id="rId1"/>
  <headerFooter alignWithMargins="0"/>
  <colBreaks count="1" manualBreakCount="1">
    <brk id="3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03A3-B28E-4B55-AF04-233600222DF3}">
  <dimension ref="A1:AL266"/>
  <sheetViews>
    <sheetView showGridLines="0" zoomScale="80" zoomScaleNormal="80" workbookViewId="0">
      <pane xSplit="3" ySplit="11" topLeftCell="D12" activePane="bottomRight" state="frozen"/>
      <selection pane="topRight" activeCell="D1" sqref="D1"/>
      <selection pane="bottomLeft" activeCell="A13" sqref="A13"/>
      <selection pane="bottomRight" activeCell="A8" sqref="A8:XFD11"/>
    </sheetView>
  </sheetViews>
  <sheetFormatPr baseColWidth="10" defaultColWidth="11.42578125" defaultRowHeight="12.75" x14ac:dyDescent="0.2"/>
  <cols>
    <col min="1" max="1" width="11.42578125" style="1"/>
    <col min="2" max="2" width="26.7109375" style="1" customWidth="1"/>
    <col min="3" max="3" width="20.28515625" style="1" customWidth="1"/>
    <col min="4" max="4" width="26.7109375" style="1" customWidth="1"/>
    <col min="5" max="5" width="14.7109375" style="1" customWidth="1"/>
    <col min="6" max="6" width="14.5703125" style="1" customWidth="1"/>
    <col min="7" max="7" width="14.7109375" style="1" customWidth="1"/>
    <col min="8" max="8" width="12.42578125" style="1" customWidth="1"/>
    <col min="9" max="9" width="6.5703125" style="1" customWidth="1"/>
    <col min="10" max="10" width="28.5703125" style="1" customWidth="1"/>
    <col min="11" max="11" width="17" style="1" customWidth="1"/>
    <col min="12" max="12" width="11.140625" style="1" customWidth="1"/>
    <col min="13" max="13" width="11.7109375" style="10" customWidth="1"/>
    <col min="14" max="34" width="10.7109375" style="10" customWidth="1"/>
    <col min="35" max="35" width="16" style="10" customWidth="1"/>
    <col min="36" max="36" width="27.85546875" style="10" customWidth="1"/>
    <col min="37" max="37" width="26.42578125" style="1" customWidth="1"/>
    <col min="38" max="38" width="21.5703125" style="1" customWidth="1"/>
    <col min="39" max="39" width="21.28515625" style="1" customWidth="1"/>
    <col min="40" max="40" width="2.28515625" style="1" customWidth="1"/>
    <col min="41" max="16384" width="11.42578125" style="1"/>
  </cols>
  <sheetData>
    <row r="1" spans="1:38" s="5" customFormat="1" ht="12.75" customHeight="1" x14ac:dyDescent="0.25">
      <c r="B1" s="82"/>
      <c r="C1" s="82"/>
      <c r="D1" s="83"/>
      <c r="E1" s="101" t="s">
        <v>0</v>
      </c>
      <c r="F1" s="107"/>
      <c r="G1" s="107"/>
      <c r="H1" s="107"/>
      <c r="I1" s="107"/>
      <c r="J1" s="107"/>
      <c r="K1" s="107"/>
      <c r="L1" s="107"/>
      <c r="M1" s="108"/>
      <c r="N1" s="101" t="s">
        <v>38</v>
      </c>
      <c r="O1" s="102"/>
      <c r="P1" s="102"/>
      <c r="Q1" s="103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8" s="5" customFormat="1" ht="12.75" customHeight="1" x14ac:dyDescent="0.25">
      <c r="B2" s="84"/>
      <c r="C2" s="84"/>
      <c r="D2" s="85"/>
      <c r="E2" s="104"/>
      <c r="F2" s="109"/>
      <c r="G2" s="109"/>
      <c r="H2" s="109"/>
      <c r="I2" s="109"/>
      <c r="J2" s="109"/>
      <c r="K2" s="109"/>
      <c r="L2" s="109"/>
      <c r="M2" s="110"/>
      <c r="N2" s="114" t="s">
        <v>39</v>
      </c>
      <c r="O2" s="115"/>
      <c r="P2" s="115"/>
      <c r="Q2" s="11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8" s="5" customFormat="1" ht="15.75" customHeight="1" x14ac:dyDescent="0.25">
      <c r="B3" s="84"/>
      <c r="C3" s="84"/>
      <c r="D3" s="85"/>
      <c r="E3" s="104"/>
      <c r="F3" s="109"/>
      <c r="G3" s="109"/>
      <c r="H3" s="109"/>
      <c r="I3" s="109"/>
      <c r="J3" s="109"/>
      <c r="K3" s="109"/>
      <c r="L3" s="109"/>
      <c r="M3" s="110"/>
      <c r="N3" s="104"/>
      <c r="O3" s="105"/>
      <c r="P3" s="105"/>
      <c r="Q3" s="10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8" s="5" customFormat="1" ht="12.75" customHeight="1" x14ac:dyDescent="0.25">
      <c r="B4" s="84"/>
      <c r="C4" s="84"/>
      <c r="D4" s="85"/>
      <c r="E4" s="104"/>
      <c r="F4" s="109"/>
      <c r="G4" s="109"/>
      <c r="H4" s="109"/>
      <c r="I4" s="109"/>
      <c r="J4" s="109"/>
      <c r="K4" s="109"/>
      <c r="L4" s="109"/>
      <c r="M4" s="110"/>
      <c r="N4" s="7"/>
      <c r="O4" s="8"/>
      <c r="P4" s="8"/>
      <c r="Q4" s="9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8" s="5" customFormat="1" ht="20.25" customHeight="1" x14ac:dyDescent="0.25">
      <c r="B5" s="86"/>
      <c r="C5" s="86"/>
      <c r="D5" s="87"/>
      <c r="E5" s="111"/>
      <c r="F5" s="112"/>
      <c r="G5" s="112"/>
      <c r="H5" s="112"/>
      <c r="I5" s="112"/>
      <c r="J5" s="112"/>
      <c r="K5" s="112"/>
      <c r="L5" s="112"/>
      <c r="M5" s="113"/>
      <c r="N5" s="118" t="s">
        <v>34</v>
      </c>
      <c r="O5" s="119"/>
      <c r="P5" s="119"/>
      <c r="Q5" s="120"/>
      <c r="R5" s="6"/>
      <c r="S5" s="6"/>
      <c r="T5" s="6"/>
      <c r="U5" s="6" t="s">
        <v>31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38" ht="15.75" customHeight="1" x14ac:dyDescent="0.2">
      <c r="B6" s="97" t="s">
        <v>29</v>
      </c>
      <c r="C6" s="98"/>
      <c r="D6" s="99"/>
      <c r="E6" s="121" t="s">
        <v>36</v>
      </c>
      <c r="F6" s="122"/>
      <c r="G6" s="122"/>
      <c r="H6" s="122"/>
      <c r="I6" s="122"/>
      <c r="J6" s="122"/>
      <c r="K6" s="122"/>
      <c r="L6" s="122"/>
      <c r="M6" s="123"/>
      <c r="N6" s="121" t="s">
        <v>35</v>
      </c>
      <c r="O6" s="122"/>
      <c r="P6" s="122"/>
      <c r="Q6" s="123"/>
    </row>
    <row r="7" spans="1:38" s="5" customFormat="1" ht="16.5" customHeight="1" x14ac:dyDescent="0.25">
      <c r="E7" s="11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8" s="5" customFormat="1" ht="15.75" x14ac:dyDescent="0.25">
      <c r="B8" s="12" t="s">
        <v>141</v>
      </c>
      <c r="C8" s="11"/>
      <c r="D8" s="23"/>
      <c r="E8" s="13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14"/>
      <c r="AA8" s="6"/>
      <c r="AB8" s="6"/>
      <c r="AC8" s="6"/>
      <c r="AD8" s="6"/>
      <c r="AE8" s="14"/>
      <c r="AF8" s="6"/>
      <c r="AG8" s="6"/>
      <c r="AH8" s="6"/>
      <c r="AI8" s="6"/>
      <c r="AJ8" s="14"/>
    </row>
    <row r="9" spans="1:38" s="5" customFormat="1" ht="16.5" thickBot="1" x14ac:dyDescent="0.3">
      <c r="B9" s="12"/>
      <c r="C9"/>
      <c r="D9" s="12"/>
      <c r="E9" s="11"/>
      <c r="G9"/>
      <c r="M9" s="6"/>
      <c r="N9" s="6"/>
      <c r="O9" s="15"/>
      <c r="P9" s="15"/>
      <c r="Q9" s="16"/>
      <c r="R9" s="15"/>
      <c r="S9" s="15"/>
      <c r="T9" s="15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15"/>
      <c r="AI9" s="15"/>
      <c r="AJ9" s="15"/>
      <c r="AK9" s="24"/>
      <c r="AL9" s="24"/>
    </row>
    <row r="10" spans="1:38" s="17" customFormat="1" ht="22.9" customHeight="1" thickTop="1" x14ac:dyDescent="0.25">
      <c r="A10" s="127" t="s">
        <v>45</v>
      </c>
      <c r="B10" s="90" t="s">
        <v>37</v>
      </c>
      <c r="C10" s="90" t="s">
        <v>1</v>
      </c>
      <c r="D10" s="92" t="s">
        <v>2</v>
      </c>
      <c r="E10" s="88" t="s">
        <v>32</v>
      </c>
      <c r="F10" s="88" t="s">
        <v>40</v>
      </c>
      <c r="G10" s="88" t="s">
        <v>33</v>
      </c>
      <c r="H10" s="88" t="s">
        <v>41</v>
      </c>
      <c r="I10" s="88" t="s">
        <v>133</v>
      </c>
      <c r="J10" s="92" t="s">
        <v>3</v>
      </c>
      <c r="K10" s="92" t="s">
        <v>28</v>
      </c>
      <c r="L10" s="92" t="s">
        <v>4</v>
      </c>
      <c r="M10" s="92" t="s">
        <v>5</v>
      </c>
      <c r="N10" s="90" t="s">
        <v>6</v>
      </c>
      <c r="O10" s="92" t="s">
        <v>7</v>
      </c>
      <c r="P10" s="92" t="s">
        <v>8</v>
      </c>
      <c r="Q10" s="92" t="s">
        <v>9</v>
      </c>
      <c r="R10" s="92" t="s">
        <v>10</v>
      </c>
      <c r="S10" s="92" t="s">
        <v>11</v>
      </c>
      <c r="T10" s="90" t="s">
        <v>12</v>
      </c>
      <c r="U10" s="90" t="s">
        <v>13</v>
      </c>
      <c r="V10" s="92" t="s">
        <v>14</v>
      </c>
      <c r="W10" s="154" t="s">
        <v>15</v>
      </c>
      <c r="X10" s="92" t="s">
        <v>16</v>
      </c>
      <c r="Y10" s="92" t="s">
        <v>17</v>
      </c>
      <c r="Z10" s="92" t="s">
        <v>18</v>
      </c>
      <c r="AA10" s="92" t="s">
        <v>19</v>
      </c>
      <c r="AB10" s="92" t="s">
        <v>20</v>
      </c>
      <c r="AC10" s="92" t="s">
        <v>21</v>
      </c>
      <c r="AD10" s="92" t="s">
        <v>22</v>
      </c>
      <c r="AE10" s="90" t="s">
        <v>23</v>
      </c>
      <c r="AF10" s="92" t="s">
        <v>24</v>
      </c>
      <c r="AG10" s="92" t="s">
        <v>25</v>
      </c>
      <c r="AH10" s="88" t="s">
        <v>134</v>
      </c>
      <c r="AI10" s="92" t="s">
        <v>26</v>
      </c>
      <c r="AJ10" s="92" t="s">
        <v>27</v>
      </c>
      <c r="AK10" s="146" t="s">
        <v>47</v>
      </c>
      <c r="AL10" s="151" t="s">
        <v>46</v>
      </c>
    </row>
    <row r="11" spans="1:38" s="17" customFormat="1" ht="22.9" customHeight="1" thickBot="1" x14ac:dyDescent="0.3">
      <c r="A11" s="128"/>
      <c r="B11" s="91"/>
      <c r="C11" s="91"/>
      <c r="D11" s="93"/>
      <c r="E11" s="89"/>
      <c r="F11" s="89"/>
      <c r="G11" s="89"/>
      <c r="H11" s="89"/>
      <c r="I11" s="89"/>
      <c r="J11" s="93"/>
      <c r="K11" s="117"/>
      <c r="L11" s="93"/>
      <c r="M11" s="93"/>
      <c r="N11" s="91"/>
      <c r="O11" s="93"/>
      <c r="P11" s="93"/>
      <c r="Q11" s="93"/>
      <c r="R11" s="100"/>
      <c r="S11" s="93"/>
      <c r="T11" s="153"/>
      <c r="U11" s="153"/>
      <c r="V11" s="100"/>
      <c r="W11" s="155"/>
      <c r="X11" s="93"/>
      <c r="Y11" s="100"/>
      <c r="Z11" s="100"/>
      <c r="AA11" s="100"/>
      <c r="AB11" s="100"/>
      <c r="AC11" s="100"/>
      <c r="AD11" s="100"/>
      <c r="AE11" s="153"/>
      <c r="AF11" s="100"/>
      <c r="AG11" s="93"/>
      <c r="AH11" s="89"/>
      <c r="AI11" s="93"/>
      <c r="AJ11" s="142"/>
      <c r="AK11" s="147"/>
      <c r="AL11" s="152"/>
    </row>
    <row r="12" spans="1:38" s="18" customFormat="1" ht="22.9" customHeight="1" thickTop="1" x14ac:dyDescent="0.25">
      <c r="A12" s="132" t="s">
        <v>135</v>
      </c>
      <c r="B12" s="65" t="s">
        <v>76</v>
      </c>
      <c r="C12" s="217" t="s">
        <v>108</v>
      </c>
      <c r="D12" s="200" t="s">
        <v>103</v>
      </c>
      <c r="E12" s="68" t="s">
        <v>53</v>
      </c>
      <c r="F12" s="68" t="s">
        <v>92</v>
      </c>
      <c r="G12" s="68" t="s">
        <v>93</v>
      </c>
      <c r="H12" s="68" t="s">
        <v>65</v>
      </c>
      <c r="I12" s="209">
        <f>+K13</f>
        <v>1</v>
      </c>
      <c r="J12" s="190" t="s">
        <v>104</v>
      </c>
      <c r="K12" s="46" t="s">
        <v>42</v>
      </c>
      <c r="L12" s="46" t="s">
        <v>42</v>
      </c>
      <c r="M12" s="46" t="s">
        <v>42</v>
      </c>
      <c r="N12" s="47" t="s">
        <v>42</v>
      </c>
      <c r="O12" s="46" t="s">
        <v>42</v>
      </c>
      <c r="P12" s="47" t="s">
        <v>42</v>
      </c>
      <c r="Q12" s="46" t="s">
        <v>42</v>
      </c>
      <c r="R12" s="47" t="s">
        <v>42</v>
      </c>
      <c r="S12" s="46" t="s">
        <v>42</v>
      </c>
      <c r="T12" s="47" t="s">
        <v>42</v>
      </c>
      <c r="U12" s="46" t="s">
        <v>42</v>
      </c>
      <c r="V12" s="47" t="s">
        <v>42</v>
      </c>
      <c r="W12" s="46" t="s">
        <v>42</v>
      </c>
      <c r="X12" s="47" t="s">
        <v>42</v>
      </c>
      <c r="Y12" s="46" t="s">
        <v>42</v>
      </c>
      <c r="Z12" s="47" t="s">
        <v>42</v>
      </c>
      <c r="AA12" s="46" t="s">
        <v>42</v>
      </c>
      <c r="AB12" s="47" t="s">
        <v>42</v>
      </c>
      <c r="AC12" s="46" t="s">
        <v>42</v>
      </c>
      <c r="AD12" s="47" t="s">
        <v>42</v>
      </c>
      <c r="AE12" s="46" t="s">
        <v>42</v>
      </c>
      <c r="AF12" s="47" t="s">
        <v>42</v>
      </c>
      <c r="AG12" s="46" t="s">
        <v>42</v>
      </c>
      <c r="AH12" s="47" t="s">
        <v>42</v>
      </c>
      <c r="AI12" s="56"/>
      <c r="AJ12" s="148" t="s">
        <v>140</v>
      </c>
      <c r="AK12" s="76"/>
      <c r="AL12" s="137" t="s">
        <v>77</v>
      </c>
    </row>
    <row r="13" spans="1:38" s="18" customFormat="1" ht="22.9" customHeight="1" x14ac:dyDescent="0.25">
      <c r="A13" s="133"/>
      <c r="B13" s="66" t="s">
        <v>78</v>
      </c>
      <c r="C13" s="218"/>
      <c r="D13" s="201"/>
      <c r="E13" s="69"/>
      <c r="F13" s="71"/>
      <c r="G13" s="71"/>
      <c r="H13" s="71"/>
      <c r="I13" s="210"/>
      <c r="J13" s="191"/>
      <c r="K13" s="48">
        <f>IF(K15&lt;&gt;0,+K15/K17,0%)</f>
        <v>1</v>
      </c>
      <c r="L13" s="57">
        <f>IF(L15&lt;&gt;0,+L15/L17,0%)</f>
        <v>0.25</v>
      </c>
      <c r="M13" s="57">
        <f>IF(M15&lt;&gt;0,+M15/M17,0%)</f>
        <v>0</v>
      </c>
      <c r="N13" s="49">
        <f t="shared" ref="N13" si="0">IF(N15&lt;&gt;0,+N15/N17,0%)</f>
        <v>0.25</v>
      </c>
      <c r="O13" s="57">
        <f>IF(O15&lt;&gt;0,+O15/O17,0%)</f>
        <v>0.25</v>
      </c>
      <c r="P13" s="49">
        <f t="shared" ref="P13" si="1">IF(P15&lt;&gt;0,+P15/P17,0%)</f>
        <v>0.5</v>
      </c>
      <c r="Q13" s="57">
        <f>IF(Q15&lt;&gt;0,+Q15/Q17,0%)</f>
        <v>0</v>
      </c>
      <c r="R13" s="49">
        <f t="shared" ref="R13" si="2">IF(R15&lt;&gt;0,+R15/R17,0%)</f>
        <v>0.5</v>
      </c>
      <c r="S13" s="57">
        <f>IF(S15&lt;&gt;0,+S15/S17,0%)</f>
        <v>0</v>
      </c>
      <c r="T13" s="49">
        <f t="shared" ref="T13" si="3">IF(T15&lt;&gt;0,+T15/T17,0%)</f>
        <v>0.5</v>
      </c>
      <c r="U13" s="57">
        <f>IF(U15&lt;&gt;0,+U15/U17,0%)</f>
        <v>0.25</v>
      </c>
      <c r="V13" s="49">
        <f t="shared" ref="V13" si="4">IF(V15&lt;&gt;0,+V15/V17,0%)</f>
        <v>0.75</v>
      </c>
      <c r="W13" s="57">
        <f>IF(W15&lt;&gt;0,+W15/W17,0%)</f>
        <v>0</v>
      </c>
      <c r="X13" s="49">
        <f t="shared" ref="X13" si="5">IF(X15&lt;&gt;0,+X15/X17,0%)</f>
        <v>0.75</v>
      </c>
      <c r="Y13" s="57">
        <f>IF(Y15&lt;&gt;0,+Y15/Y17,0%)</f>
        <v>0</v>
      </c>
      <c r="Z13" s="49">
        <f t="shared" ref="Z13" si="6">IF(Z15&lt;&gt;0,+Z15/Z17,0%)</f>
        <v>0.75</v>
      </c>
      <c r="AA13" s="57">
        <f>IF(AA15&lt;&gt;0,+AA15/AA17,0%)</f>
        <v>0.25</v>
      </c>
      <c r="AB13" s="49">
        <f t="shared" ref="AB13" si="7">IF(AB15&lt;&gt;0,+AB15/AB17,0%)</f>
        <v>1</v>
      </c>
      <c r="AC13" s="57">
        <f>IF(AC15&lt;&gt;0,+AC15/AC17,0%)</f>
        <v>0</v>
      </c>
      <c r="AD13" s="49">
        <f t="shared" ref="AD13" si="8">IF(AD15&lt;&gt;0,+AD15/AD17,0%)</f>
        <v>1</v>
      </c>
      <c r="AE13" s="57">
        <f>IF(AE15&lt;&gt;0,+AE15/AE17,0%)</f>
        <v>0</v>
      </c>
      <c r="AF13" s="49">
        <f t="shared" ref="AF13" si="9">IF(AF15&lt;&gt;0,+AF15/AF17,0%)</f>
        <v>1</v>
      </c>
      <c r="AG13" s="57">
        <f>IF(AG15&lt;&gt;0,+AG15/AG17,0%)</f>
        <v>0</v>
      </c>
      <c r="AH13" s="49">
        <f t="shared" ref="AH13" si="10">IF(AH15&lt;&gt;0,+AH15/AH17,0%)</f>
        <v>1</v>
      </c>
      <c r="AI13" s="58"/>
      <c r="AJ13" s="149"/>
      <c r="AK13" s="77"/>
      <c r="AL13" s="140"/>
    </row>
    <row r="14" spans="1:38" s="18" customFormat="1" ht="22.9" customHeight="1" thickBot="1" x14ac:dyDescent="0.3">
      <c r="A14" s="133"/>
      <c r="B14" s="66" t="s">
        <v>79</v>
      </c>
      <c r="C14" s="218"/>
      <c r="D14" s="201"/>
      <c r="E14" s="69"/>
      <c r="F14" s="71"/>
      <c r="G14" s="71"/>
      <c r="H14" s="71"/>
      <c r="I14" s="210"/>
      <c r="J14" s="192"/>
      <c r="K14" s="50" t="s">
        <v>43</v>
      </c>
      <c r="L14" s="50" t="s">
        <v>43</v>
      </c>
      <c r="M14" s="50" t="s">
        <v>43</v>
      </c>
      <c r="N14" s="51" t="s">
        <v>43</v>
      </c>
      <c r="O14" s="50" t="s">
        <v>43</v>
      </c>
      <c r="P14" s="51" t="s">
        <v>43</v>
      </c>
      <c r="Q14" s="50" t="s">
        <v>43</v>
      </c>
      <c r="R14" s="51" t="s">
        <v>43</v>
      </c>
      <c r="S14" s="50" t="s">
        <v>43</v>
      </c>
      <c r="T14" s="51" t="s">
        <v>43</v>
      </c>
      <c r="U14" s="50" t="s">
        <v>43</v>
      </c>
      <c r="V14" s="51" t="s">
        <v>43</v>
      </c>
      <c r="W14" s="50" t="s">
        <v>43</v>
      </c>
      <c r="X14" s="51" t="s">
        <v>43</v>
      </c>
      <c r="Y14" s="50" t="s">
        <v>43</v>
      </c>
      <c r="Z14" s="51" t="s">
        <v>43</v>
      </c>
      <c r="AA14" s="50" t="s">
        <v>43</v>
      </c>
      <c r="AB14" s="51" t="s">
        <v>43</v>
      </c>
      <c r="AC14" s="50" t="s">
        <v>43</v>
      </c>
      <c r="AD14" s="51" t="s">
        <v>43</v>
      </c>
      <c r="AE14" s="50" t="s">
        <v>43</v>
      </c>
      <c r="AF14" s="51" t="s">
        <v>43</v>
      </c>
      <c r="AG14" s="50" t="s">
        <v>43</v>
      </c>
      <c r="AH14" s="51" t="s">
        <v>43</v>
      </c>
      <c r="AI14" s="58"/>
      <c r="AJ14" s="149"/>
      <c r="AK14" s="77"/>
      <c r="AL14" s="140"/>
    </row>
    <row r="15" spans="1:38" s="18" customFormat="1" ht="22.9" customHeight="1" thickTop="1" x14ac:dyDescent="0.25">
      <c r="A15" s="133"/>
      <c r="B15" s="66"/>
      <c r="C15" s="218"/>
      <c r="D15" s="201"/>
      <c r="E15" s="69"/>
      <c r="F15" s="71"/>
      <c r="G15" s="71"/>
      <c r="H15" s="71"/>
      <c r="I15" s="210"/>
      <c r="J15" s="193" t="s">
        <v>105</v>
      </c>
      <c r="K15" s="55">
        <v>4</v>
      </c>
      <c r="L15" s="59">
        <v>1</v>
      </c>
      <c r="M15" s="59"/>
      <c r="N15" s="52">
        <f t="shared" ref="N15" si="11">+L15+M15</f>
        <v>1</v>
      </c>
      <c r="O15" s="59">
        <v>1</v>
      </c>
      <c r="P15" s="52">
        <f t="shared" ref="P15" si="12">+N15+O15</f>
        <v>2</v>
      </c>
      <c r="Q15" s="59"/>
      <c r="R15" s="52">
        <f t="shared" ref="R15" si="13">+P15+Q15</f>
        <v>2</v>
      </c>
      <c r="S15" s="59"/>
      <c r="T15" s="52">
        <f t="shared" ref="T15" si="14">+R15+S15</f>
        <v>2</v>
      </c>
      <c r="U15" s="59">
        <v>1</v>
      </c>
      <c r="V15" s="52">
        <f t="shared" ref="V15" si="15">+T15+U15</f>
        <v>3</v>
      </c>
      <c r="W15" s="59"/>
      <c r="X15" s="52">
        <f t="shared" ref="X15" si="16">+V15+W15</f>
        <v>3</v>
      </c>
      <c r="Y15" s="59"/>
      <c r="Z15" s="52">
        <f t="shared" ref="Z15" si="17">+X15+Y15</f>
        <v>3</v>
      </c>
      <c r="AA15" s="59">
        <v>1</v>
      </c>
      <c r="AB15" s="52">
        <f t="shared" ref="AB15" si="18">+Z15+AA15</f>
        <v>4</v>
      </c>
      <c r="AC15" s="59"/>
      <c r="AD15" s="52">
        <f t="shared" ref="AD15" si="19">+AB15+AC15</f>
        <v>4</v>
      </c>
      <c r="AE15" s="59"/>
      <c r="AF15" s="52">
        <f t="shared" ref="AF15" si="20">+AD15+AE15</f>
        <v>4</v>
      </c>
      <c r="AG15" s="60"/>
      <c r="AH15" s="61">
        <f>+AF15+AG15</f>
        <v>4</v>
      </c>
      <c r="AI15" s="62">
        <f>+AH13/K13</f>
        <v>1</v>
      </c>
      <c r="AJ15" s="149"/>
      <c r="AK15" s="77"/>
      <c r="AL15" s="140"/>
    </row>
    <row r="16" spans="1:38" s="18" customFormat="1" ht="22.9" customHeight="1" x14ac:dyDescent="0.25">
      <c r="A16" s="133"/>
      <c r="B16" s="66"/>
      <c r="C16" s="218"/>
      <c r="D16" s="201"/>
      <c r="E16" s="69"/>
      <c r="F16" s="71"/>
      <c r="G16" s="71"/>
      <c r="H16" s="71"/>
      <c r="I16" s="210"/>
      <c r="J16" s="190"/>
      <c r="K16" s="53" t="s">
        <v>44</v>
      </c>
      <c r="L16" s="53" t="s">
        <v>44</v>
      </c>
      <c r="M16" s="53" t="s">
        <v>44</v>
      </c>
      <c r="N16" s="54" t="s">
        <v>44</v>
      </c>
      <c r="O16" s="53" t="s">
        <v>44</v>
      </c>
      <c r="P16" s="54" t="s">
        <v>44</v>
      </c>
      <c r="Q16" s="53" t="s">
        <v>44</v>
      </c>
      <c r="R16" s="54" t="s">
        <v>44</v>
      </c>
      <c r="S16" s="53" t="s">
        <v>44</v>
      </c>
      <c r="T16" s="54" t="s">
        <v>44</v>
      </c>
      <c r="U16" s="53" t="s">
        <v>44</v>
      </c>
      <c r="V16" s="54" t="s">
        <v>44</v>
      </c>
      <c r="W16" s="53" t="s">
        <v>44</v>
      </c>
      <c r="X16" s="54" t="s">
        <v>44</v>
      </c>
      <c r="Y16" s="53" t="s">
        <v>44</v>
      </c>
      <c r="Z16" s="54" t="s">
        <v>44</v>
      </c>
      <c r="AA16" s="53" t="s">
        <v>44</v>
      </c>
      <c r="AB16" s="54" t="s">
        <v>44</v>
      </c>
      <c r="AC16" s="53" t="s">
        <v>44</v>
      </c>
      <c r="AD16" s="54" t="s">
        <v>44</v>
      </c>
      <c r="AE16" s="53" t="s">
        <v>44</v>
      </c>
      <c r="AF16" s="54" t="s">
        <v>44</v>
      </c>
      <c r="AG16" s="53" t="s">
        <v>44</v>
      </c>
      <c r="AH16" s="54" t="s">
        <v>44</v>
      </c>
      <c r="AI16" s="58"/>
      <c r="AJ16" s="149"/>
      <c r="AK16" s="77"/>
      <c r="AL16" s="140"/>
    </row>
    <row r="17" spans="1:38" s="18" customFormat="1" ht="22.9" customHeight="1" thickBot="1" x14ac:dyDescent="0.3">
      <c r="A17" s="134"/>
      <c r="B17" s="67"/>
      <c r="C17" s="219"/>
      <c r="D17" s="202"/>
      <c r="E17" s="70"/>
      <c r="F17" s="72"/>
      <c r="G17" s="72"/>
      <c r="H17" s="72"/>
      <c r="I17" s="211"/>
      <c r="J17" s="192"/>
      <c r="K17" s="55">
        <v>4</v>
      </c>
      <c r="L17" s="63">
        <v>4</v>
      </c>
      <c r="M17" s="63">
        <v>4</v>
      </c>
      <c r="N17" s="45">
        <v>4</v>
      </c>
      <c r="O17" s="44">
        <v>4</v>
      </c>
      <c r="P17" s="45">
        <v>4</v>
      </c>
      <c r="Q17" s="44">
        <v>4</v>
      </c>
      <c r="R17" s="45">
        <v>4</v>
      </c>
      <c r="S17" s="44">
        <v>4</v>
      </c>
      <c r="T17" s="45">
        <v>4</v>
      </c>
      <c r="U17" s="44">
        <v>4</v>
      </c>
      <c r="V17" s="45">
        <v>4</v>
      </c>
      <c r="W17" s="44">
        <v>4</v>
      </c>
      <c r="X17" s="45">
        <v>4</v>
      </c>
      <c r="Y17" s="44">
        <v>4</v>
      </c>
      <c r="Z17" s="45">
        <v>4</v>
      </c>
      <c r="AA17" s="44">
        <v>4</v>
      </c>
      <c r="AB17" s="45">
        <v>4</v>
      </c>
      <c r="AC17" s="44">
        <v>4</v>
      </c>
      <c r="AD17" s="45">
        <v>4</v>
      </c>
      <c r="AE17" s="44">
        <v>4</v>
      </c>
      <c r="AF17" s="45">
        <v>4</v>
      </c>
      <c r="AG17" s="44">
        <v>4</v>
      </c>
      <c r="AH17" s="45">
        <v>4</v>
      </c>
      <c r="AI17" s="64"/>
      <c r="AJ17" s="150"/>
      <c r="AK17" s="78"/>
      <c r="AL17" s="141"/>
    </row>
    <row r="18" spans="1:38" s="18" customFormat="1" ht="22.9" customHeight="1" thickTop="1" x14ac:dyDescent="0.25">
      <c r="A18" s="194" t="s">
        <v>136</v>
      </c>
      <c r="B18" s="65" t="s">
        <v>76</v>
      </c>
      <c r="C18" s="65" t="s">
        <v>109</v>
      </c>
      <c r="D18" s="200" t="s">
        <v>103</v>
      </c>
      <c r="E18" s="68" t="s">
        <v>53</v>
      </c>
      <c r="F18" s="68" t="s">
        <v>92</v>
      </c>
      <c r="G18" s="68" t="s">
        <v>137</v>
      </c>
      <c r="H18" s="68" t="s">
        <v>65</v>
      </c>
      <c r="I18" s="209">
        <f>+K19</f>
        <v>1</v>
      </c>
      <c r="J18" s="190" t="s">
        <v>104</v>
      </c>
      <c r="K18" s="46" t="s">
        <v>42</v>
      </c>
      <c r="L18" s="46" t="s">
        <v>42</v>
      </c>
      <c r="M18" s="46" t="s">
        <v>42</v>
      </c>
      <c r="N18" s="47" t="s">
        <v>42</v>
      </c>
      <c r="O18" s="46" t="s">
        <v>42</v>
      </c>
      <c r="P18" s="47" t="s">
        <v>42</v>
      </c>
      <c r="Q18" s="46" t="s">
        <v>42</v>
      </c>
      <c r="R18" s="47" t="s">
        <v>42</v>
      </c>
      <c r="S18" s="46" t="s">
        <v>42</v>
      </c>
      <c r="T18" s="47" t="s">
        <v>42</v>
      </c>
      <c r="U18" s="46" t="s">
        <v>42</v>
      </c>
      <c r="V18" s="47" t="s">
        <v>42</v>
      </c>
      <c r="W18" s="46" t="s">
        <v>42</v>
      </c>
      <c r="X18" s="47" t="s">
        <v>42</v>
      </c>
      <c r="Y18" s="46" t="s">
        <v>42</v>
      </c>
      <c r="Z18" s="47" t="s">
        <v>42</v>
      </c>
      <c r="AA18" s="46" t="s">
        <v>42</v>
      </c>
      <c r="AB18" s="47" t="s">
        <v>42</v>
      </c>
      <c r="AC18" s="46" t="s">
        <v>42</v>
      </c>
      <c r="AD18" s="47" t="s">
        <v>42</v>
      </c>
      <c r="AE18" s="46" t="s">
        <v>42</v>
      </c>
      <c r="AF18" s="47" t="s">
        <v>42</v>
      </c>
      <c r="AG18" s="46" t="s">
        <v>42</v>
      </c>
      <c r="AH18" s="47" t="s">
        <v>42</v>
      </c>
      <c r="AI18" s="56"/>
      <c r="AJ18" s="148" t="s">
        <v>140</v>
      </c>
      <c r="AK18" s="220"/>
      <c r="AL18" s="223" t="s">
        <v>80</v>
      </c>
    </row>
    <row r="19" spans="1:38" s="18" customFormat="1" ht="22.9" customHeight="1" x14ac:dyDescent="0.25">
      <c r="A19" s="215"/>
      <c r="B19" s="66" t="s">
        <v>78</v>
      </c>
      <c r="C19" s="74"/>
      <c r="D19" s="201"/>
      <c r="E19" s="69"/>
      <c r="F19" s="71"/>
      <c r="G19" s="71"/>
      <c r="H19" s="71"/>
      <c r="I19" s="210"/>
      <c r="J19" s="191"/>
      <c r="K19" s="48">
        <f>IF(K21&lt;&gt;0,+K21/K23,0%)</f>
        <v>1</v>
      </c>
      <c r="L19" s="57">
        <f>IF(L21&lt;&gt;0,+L21/L23,0%)</f>
        <v>0.25</v>
      </c>
      <c r="M19" s="57">
        <f>IF(M21&lt;&gt;0,+M21/M23,0%)</f>
        <v>0</v>
      </c>
      <c r="N19" s="49">
        <f t="shared" ref="N19" si="21">IF(N21&lt;&gt;0,+N21/N23,0%)</f>
        <v>0.25</v>
      </c>
      <c r="O19" s="57">
        <f>IF(O21&lt;&gt;0,+O21/O23,0%)</f>
        <v>0.25</v>
      </c>
      <c r="P19" s="49">
        <f t="shared" ref="P19" si="22">IF(P21&lt;&gt;0,+P21/P23,0%)</f>
        <v>0.5</v>
      </c>
      <c r="Q19" s="57">
        <f>IF(Q21&lt;&gt;0,+Q21/Q23,0%)</f>
        <v>0</v>
      </c>
      <c r="R19" s="49">
        <f t="shared" ref="R19" si="23">IF(R21&lt;&gt;0,+R21/R23,0%)</f>
        <v>0.5</v>
      </c>
      <c r="S19" s="57">
        <f>IF(S21&lt;&gt;0,+S21/S23,0%)</f>
        <v>0</v>
      </c>
      <c r="T19" s="49">
        <f t="shared" ref="T19" si="24">IF(T21&lt;&gt;0,+T21/T23,0%)</f>
        <v>0.5</v>
      </c>
      <c r="U19" s="57">
        <f>IF(U21&lt;&gt;0,+U21/U23,0%)</f>
        <v>0.25</v>
      </c>
      <c r="V19" s="49">
        <f t="shared" ref="V19" si="25">IF(V21&lt;&gt;0,+V21/V23,0%)</f>
        <v>0.75</v>
      </c>
      <c r="W19" s="57">
        <f>IF(W21&lt;&gt;0,+W21/W23,0%)</f>
        <v>0</v>
      </c>
      <c r="X19" s="49">
        <f t="shared" ref="X19" si="26">IF(X21&lt;&gt;0,+X21/X23,0%)</f>
        <v>0.75</v>
      </c>
      <c r="Y19" s="57">
        <f>IF(Y21&lt;&gt;0,+Y21/Y23,0%)</f>
        <v>0</v>
      </c>
      <c r="Z19" s="49">
        <f t="shared" ref="Z19" si="27">IF(Z21&lt;&gt;0,+Z21/Z23,0%)</f>
        <v>0.75</v>
      </c>
      <c r="AA19" s="57">
        <f>IF(AA21&lt;&gt;0,+AA21/AA23,0%)</f>
        <v>0.25</v>
      </c>
      <c r="AB19" s="49">
        <f t="shared" ref="AB19" si="28">IF(AB21&lt;&gt;0,+AB21/AB23,0%)</f>
        <v>1</v>
      </c>
      <c r="AC19" s="57">
        <f>IF(AC21&lt;&gt;0,+AC21/AC23,0%)</f>
        <v>0</v>
      </c>
      <c r="AD19" s="49">
        <f t="shared" ref="AD19" si="29">IF(AD21&lt;&gt;0,+AD21/AD23,0%)</f>
        <v>1</v>
      </c>
      <c r="AE19" s="57">
        <f>IF(AE21&lt;&gt;0,+AE21/AE23,0%)</f>
        <v>0</v>
      </c>
      <c r="AF19" s="49">
        <f t="shared" ref="AF19" si="30">IF(AF21&lt;&gt;0,+AF21/AF23,0%)</f>
        <v>1</v>
      </c>
      <c r="AG19" s="57">
        <f>IF(AG21&lt;&gt;0,+AG21/AG23,0%)</f>
        <v>0</v>
      </c>
      <c r="AH19" s="49">
        <f t="shared" ref="AH19" si="31">IF(AH21&lt;&gt;0,+AH21/AH23,0%)</f>
        <v>1</v>
      </c>
      <c r="AI19" s="58"/>
      <c r="AJ19" s="149"/>
      <c r="AK19" s="221"/>
      <c r="AL19" s="224"/>
    </row>
    <row r="20" spans="1:38" s="18" customFormat="1" ht="22.9" customHeight="1" thickBot="1" x14ac:dyDescent="0.3">
      <c r="A20" s="215"/>
      <c r="B20" s="66" t="s">
        <v>79</v>
      </c>
      <c r="C20" s="74"/>
      <c r="D20" s="201"/>
      <c r="E20" s="69"/>
      <c r="F20" s="71"/>
      <c r="G20" s="71"/>
      <c r="H20" s="71"/>
      <c r="I20" s="210"/>
      <c r="J20" s="192"/>
      <c r="K20" s="50" t="s">
        <v>43</v>
      </c>
      <c r="L20" s="50" t="s">
        <v>43</v>
      </c>
      <c r="M20" s="50" t="s">
        <v>43</v>
      </c>
      <c r="N20" s="51" t="s">
        <v>43</v>
      </c>
      <c r="O20" s="50" t="s">
        <v>43</v>
      </c>
      <c r="P20" s="51" t="s">
        <v>43</v>
      </c>
      <c r="Q20" s="50" t="s">
        <v>43</v>
      </c>
      <c r="R20" s="51" t="s">
        <v>43</v>
      </c>
      <c r="S20" s="50" t="s">
        <v>43</v>
      </c>
      <c r="T20" s="51" t="s">
        <v>43</v>
      </c>
      <c r="U20" s="50" t="s">
        <v>43</v>
      </c>
      <c r="V20" s="51" t="s">
        <v>43</v>
      </c>
      <c r="W20" s="50" t="s">
        <v>43</v>
      </c>
      <c r="X20" s="51" t="s">
        <v>43</v>
      </c>
      <c r="Y20" s="50" t="s">
        <v>43</v>
      </c>
      <c r="Z20" s="51" t="s">
        <v>43</v>
      </c>
      <c r="AA20" s="50" t="s">
        <v>43</v>
      </c>
      <c r="AB20" s="51" t="s">
        <v>43</v>
      </c>
      <c r="AC20" s="50" t="s">
        <v>43</v>
      </c>
      <c r="AD20" s="51" t="s">
        <v>43</v>
      </c>
      <c r="AE20" s="50" t="s">
        <v>43</v>
      </c>
      <c r="AF20" s="51" t="s">
        <v>43</v>
      </c>
      <c r="AG20" s="50" t="s">
        <v>43</v>
      </c>
      <c r="AH20" s="51" t="s">
        <v>43</v>
      </c>
      <c r="AI20" s="58"/>
      <c r="AJ20" s="149"/>
      <c r="AK20" s="221"/>
      <c r="AL20" s="224"/>
    </row>
    <row r="21" spans="1:38" s="18" customFormat="1" ht="22.9" customHeight="1" thickTop="1" x14ac:dyDescent="0.25">
      <c r="A21" s="215"/>
      <c r="B21" s="66"/>
      <c r="C21" s="74"/>
      <c r="D21" s="201"/>
      <c r="E21" s="69"/>
      <c r="F21" s="71"/>
      <c r="G21" s="71"/>
      <c r="H21" s="71"/>
      <c r="I21" s="210"/>
      <c r="J21" s="193" t="s">
        <v>105</v>
      </c>
      <c r="K21" s="55">
        <v>4</v>
      </c>
      <c r="L21" s="59">
        <v>1</v>
      </c>
      <c r="M21" s="59"/>
      <c r="N21" s="52">
        <f t="shared" ref="N21" si="32">+L21+M21</f>
        <v>1</v>
      </c>
      <c r="O21" s="59">
        <v>1</v>
      </c>
      <c r="P21" s="52">
        <f t="shared" ref="P21" si="33">+N21+O21</f>
        <v>2</v>
      </c>
      <c r="Q21" s="59"/>
      <c r="R21" s="52">
        <f t="shared" ref="R21" si="34">+P21+Q21</f>
        <v>2</v>
      </c>
      <c r="S21" s="59"/>
      <c r="T21" s="52">
        <f t="shared" ref="T21" si="35">+R21+S21</f>
        <v>2</v>
      </c>
      <c r="U21" s="59">
        <v>1</v>
      </c>
      <c r="V21" s="52">
        <f t="shared" ref="V21" si="36">+T21+U21</f>
        <v>3</v>
      </c>
      <c r="W21" s="59"/>
      <c r="X21" s="52">
        <f t="shared" ref="X21" si="37">+V21+W21</f>
        <v>3</v>
      </c>
      <c r="Y21" s="59"/>
      <c r="Z21" s="52">
        <f t="shared" ref="Z21" si="38">+X21+Y21</f>
        <v>3</v>
      </c>
      <c r="AA21" s="59">
        <v>1</v>
      </c>
      <c r="AB21" s="52">
        <f t="shared" ref="AB21" si="39">+Z21+AA21</f>
        <v>4</v>
      </c>
      <c r="AC21" s="59"/>
      <c r="AD21" s="52">
        <f t="shared" ref="AD21" si="40">+AB21+AC21</f>
        <v>4</v>
      </c>
      <c r="AE21" s="59"/>
      <c r="AF21" s="52">
        <f t="shared" ref="AF21" si="41">+AD21+AE21</f>
        <v>4</v>
      </c>
      <c r="AG21" s="60"/>
      <c r="AH21" s="61">
        <f>+AF21+AG21</f>
        <v>4</v>
      </c>
      <c r="AI21" s="62">
        <f>+AH19/K19</f>
        <v>1</v>
      </c>
      <c r="AJ21" s="149"/>
      <c r="AK21" s="221"/>
      <c r="AL21" s="224"/>
    </row>
    <row r="22" spans="1:38" s="18" customFormat="1" ht="22.9" customHeight="1" x14ac:dyDescent="0.25">
      <c r="A22" s="215"/>
      <c r="B22" s="66"/>
      <c r="C22" s="74"/>
      <c r="D22" s="201"/>
      <c r="E22" s="69"/>
      <c r="F22" s="71"/>
      <c r="G22" s="71"/>
      <c r="H22" s="71"/>
      <c r="I22" s="210"/>
      <c r="J22" s="190"/>
      <c r="K22" s="53" t="s">
        <v>44</v>
      </c>
      <c r="L22" s="53" t="s">
        <v>44</v>
      </c>
      <c r="M22" s="53" t="s">
        <v>44</v>
      </c>
      <c r="N22" s="54" t="s">
        <v>44</v>
      </c>
      <c r="O22" s="53" t="s">
        <v>44</v>
      </c>
      <c r="P22" s="54" t="s">
        <v>44</v>
      </c>
      <c r="Q22" s="53" t="s">
        <v>44</v>
      </c>
      <c r="R22" s="54" t="s">
        <v>44</v>
      </c>
      <c r="S22" s="53" t="s">
        <v>44</v>
      </c>
      <c r="T22" s="54" t="s">
        <v>44</v>
      </c>
      <c r="U22" s="53" t="s">
        <v>44</v>
      </c>
      <c r="V22" s="54" t="s">
        <v>44</v>
      </c>
      <c r="W22" s="53" t="s">
        <v>44</v>
      </c>
      <c r="X22" s="54" t="s">
        <v>44</v>
      </c>
      <c r="Y22" s="53" t="s">
        <v>44</v>
      </c>
      <c r="Z22" s="54" t="s">
        <v>44</v>
      </c>
      <c r="AA22" s="53" t="s">
        <v>44</v>
      </c>
      <c r="AB22" s="54" t="s">
        <v>44</v>
      </c>
      <c r="AC22" s="53" t="s">
        <v>44</v>
      </c>
      <c r="AD22" s="54" t="s">
        <v>44</v>
      </c>
      <c r="AE22" s="53" t="s">
        <v>44</v>
      </c>
      <c r="AF22" s="54" t="s">
        <v>44</v>
      </c>
      <c r="AG22" s="53" t="s">
        <v>44</v>
      </c>
      <c r="AH22" s="54" t="s">
        <v>44</v>
      </c>
      <c r="AI22" s="58"/>
      <c r="AJ22" s="149"/>
      <c r="AK22" s="221"/>
      <c r="AL22" s="224"/>
    </row>
    <row r="23" spans="1:38" s="18" customFormat="1" ht="22.9" customHeight="1" thickBot="1" x14ac:dyDescent="0.3">
      <c r="A23" s="216"/>
      <c r="B23" s="67"/>
      <c r="C23" s="75"/>
      <c r="D23" s="202"/>
      <c r="E23" s="70"/>
      <c r="F23" s="72"/>
      <c r="G23" s="72"/>
      <c r="H23" s="72"/>
      <c r="I23" s="211"/>
      <c r="J23" s="192"/>
      <c r="K23" s="55">
        <v>4</v>
      </c>
      <c r="L23" s="63">
        <v>4</v>
      </c>
      <c r="M23" s="63">
        <v>4</v>
      </c>
      <c r="N23" s="45">
        <v>4</v>
      </c>
      <c r="O23" s="44">
        <v>4</v>
      </c>
      <c r="P23" s="45">
        <v>4</v>
      </c>
      <c r="Q23" s="44">
        <v>4</v>
      </c>
      <c r="R23" s="45">
        <v>4</v>
      </c>
      <c r="S23" s="44">
        <v>4</v>
      </c>
      <c r="T23" s="45">
        <v>4</v>
      </c>
      <c r="U23" s="44">
        <v>4</v>
      </c>
      <c r="V23" s="45">
        <v>4</v>
      </c>
      <c r="W23" s="44">
        <v>4</v>
      </c>
      <c r="X23" s="45">
        <v>4</v>
      </c>
      <c r="Y23" s="44">
        <v>4</v>
      </c>
      <c r="Z23" s="45">
        <v>4</v>
      </c>
      <c r="AA23" s="44">
        <v>4</v>
      </c>
      <c r="AB23" s="45">
        <v>4</v>
      </c>
      <c r="AC23" s="44">
        <v>4</v>
      </c>
      <c r="AD23" s="45">
        <v>4</v>
      </c>
      <c r="AE23" s="44">
        <v>4</v>
      </c>
      <c r="AF23" s="45">
        <v>4</v>
      </c>
      <c r="AG23" s="44">
        <v>4</v>
      </c>
      <c r="AH23" s="45">
        <v>4</v>
      </c>
      <c r="AI23" s="64"/>
      <c r="AJ23" s="150"/>
      <c r="AK23" s="222"/>
      <c r="AL23" s="225"/>
    </row>
    <row r="24" spans="1:38" s="18" customFormat="1" ht="22.9" customHeight="1" thickTop="1" x14ac:dyDescent="0.25">
      <c r="A24" s="132" t="s">
        <v>138</v>
      </c>
      <c r="B24" s="65" t="s">
        <v>76</v>
      </c>
      <c r="C24" s="212" t="s">
        <v>110</v>
      </c>
      <c r="D24" s="200" t="s">
        <v>103</v>
      </c>
      <c r="E24" s="68" t="s">
        <v>53</v>
      </c>
      <c r="F24" s="68" t="s">
        <v>92</v>
      </c>
      <c r="G24" s="68" t="s">
        <v>94</v>
      </c>
      <c r="H24" s="68" t="s">
        <v>65</v>
      </c>
      <c r="I24" s="206">
        <f>K25</f>
        <v>1</v>
      </c>
      <c r="J24" s="190" t="s">
        <v>104</v>
      </c>
      <c r="K24" s="46" t="s">
        <v>42</v>
      </c>
      <c r="L24" s="46" t="s">
        <v>42</v>
      </c>
      <c r="M24" s="46" t="s">
        <v>42</v>
      </c>
      <c r="N24" s="47" t="s">
        <v>42</v>
      </c>
      <c r="O24" s="46" t="s">
        <v>42</v>
      </c>
      <c r="P24" s="47" t="s">
        <v>42</v>
      </c>
      <c r="Q24" s="46" t="s">
        <v>42</v>
      </c>
      <c r="R24" s="47" t="s">
        <v>42</v>
      </c>
      <c r="S24" s="46" t="s">
        <v>42</v>
      </c>
      <c r="T24" s="47" t="s">
        <v>42</v>
      </c>
      <c r="U24" s="46" t="s">
        <v>42</v>
      </c>
      <c r="V24" s="47" t="s">
        <v>42</v>
      </c>
      <c r="W24" s="46" t="s">
        <v>42</v>
      </c>
      <c r="X24" s="47" t="s">
        <v>42</v>
      </c>
      <c r="Y24" s="46" t="s">
        <v>42</v>
      </c>
      <c r="Z24" s="47" t="s">
        <v>42</v>
      </c>
      <c r="AA24" s="46" t="s">
        <v>42</v>
      </c>
      <c r="AB24" s="47" t="s">
        <v>42</v>
      </c>
      <c r="AC24" s="46" t="s">
        <v>42</v>
      </c>
      <c r="AD24" s="47" t="s">
        <v>42</v>
      </c>
      <c r="AE24" s="46" t="s">
        <v>42</v>
      </c>
      <c r="AF24" s="47" t="s">
        <v>42</v>
      </c>
      <c r="AG24" s="46" t="s">
        <v>42</v>
      </c>
      <c r="AH24" s="47" t="s">
        <v>42</v>
      </c>
      <c r="AI24" s="56"/>
      <c r="AJ24" s="148" t="s">
        <v>140</v>
      </c>
      <c r="AK24" s="143"/>
      <c r="AL24" s="137" t="s">
        <v>81</v>
      </c>
    </row>
    <row r="25" spans="1:38" s="18" customFormat="1" ht="22.9" customHeight="1" x14ac:dyDescent="0.25">
      <c r="A25" s="133"/>
      <c r="B25" s="66" t="s">
        <v>78</v>
      </c>
      <c r="C25" s="213"/>
      <c r="D25" s="201"/>
      <c r="E25" s="69"/>
      <c r="F25" s="71"/>
      <c r="G25" s="71"/>
      <c r="H25" s="71"/>
      <c r="I25" s="207"/>
      <c r="J25" s="191"/>
      <c r="K25" s="48">
        <f>IF(K27&lt;&gt;0,+K27/K29,0%)</f>
        <v>1</v>
      </c>
      <c r="L25" s="57">
        <f>IF(L27&lt;&gt;0,+L27/L29,0%)</f>
        <v>0.25</v>
      </c>
      <c r="M25" s="57">
        <f>IF(M27&lt;&gt;0,+M27/M29,0%)</f>
        <v>0</v>
      </c>
      <c r="N25" s="49">
        <f t="shared" ref="N25" si="42">IF(N27&lt;&gt;0,+N27/N29,0%)</f>
        <v>0.25</v>
      </c>
      <c r="O25" s="57">
        <f>IF(O27&lt;&gt;0,+O27/O29,0%)</f>
        <v>0.25</v>
      </c>
      <c r="P25" s="49">
        <f t="shared" ref="P25" si="43">IF(P27&lt;&gt;0,+P27/P29,0%)</f>
        <v>0.5</v>
      </c>
      <c r="Q25" s="57">
        <f>IF(Q27&lt;&gt;0,+Q27/Q29,0%)</f>
        <v>0</v>
      </c>
      <c r="R25" s="49">
        <f t="shared" ref="R25" si="44">IF(R27&lt;&gt;0,+R27/R29,0%)</f>
        <v>0.5</v>
      </c>
      <c r="S25" s="57">
        <f>IF(S27&lt;&gt;0,+S27/S29,0%)</f>
        <v>0</v>
      </c>
      <c r="T25" s="49">
        <f t="shared" ref="T25" si="45">IF(T27&lt;&gt;0,+T27/T29,0%)</f>
        <v>0.5</v>
      </c>
      <c r="U25" s="57">
        <f>IF(U27&lt;&gt;0,+U27/U29,0%)</f>
        <v>0.25</v>
      </c>
      <c r="V25" s="49">
        <f t="shared" ref="V25" si="46">IF(V27&lt;&gt;0,+V27/V29,0%)</f>
        <v>0.75</v>
      </c>
      <c r="W25" s="57">
        <f>IF(W27&lt;&gt;0,+W27/W29,0%)</f>
        <v>0</v>
      </c>
      <c r="X25" s="49">
        <f t="shared" ref="X25" si="47">IF(X27&lt;&gt;0,+X27/X29,0%)</f>
        <v>0.75</v>
      </c>
      <c r="Y25" s="57">
        <f>IF(Y27&lt;&gt;0,+Y27/Y29,0%)</f>
        <v>0</v>
      </c>
      <c r="Z25" s="49">
        <f t="shared" ref="Z25" si="48">IF(Z27&lt;&gt;0,+Z27/Z29,0%)</f>
        <v>0.75</v>
      </c>
      <c r="AA25" s="57">
        <f>IF(AA27&lt;&gt;0,+AA27/AA29,0%)</f>
        <v>0.25</v>
      </c>
      <c r="AB25" s="49">
        <f t="shared" ref="AB25" si="49">IF(AB27&lt;&gt;0,+AB27/AB29,0%)</f>
        <v>1</v>
      </c>
      <c r="AC25" s="57">
        <f>IF(AC27&lt;&gt;0,+AC27/AC29,0%)</f>
        <v>0</v>
      </c>
      <c r="AD25" s="49">
        <f t="shared" ref="AD25" si="50">IF(AD27&lt;&gt;0,+AD27/AD29,0%)</f>
        <v>1</v>
      </c>
      <c r="AE25" s="57">
        <f>IF(AE27&lt;&gt;0,+AE27/AE29,0%)</f>
        <v>0</v>
      </c>
      <c r="AF25" s="49">
        <f t="shared" ref="AF25" si="51">IF(AF27&lt;&gt;0,+AF27/AF29,0%)</f>
        <v>1</v>
      </c>
      <c r="AG25" s="57">
        <f>IF(AG27&lt;&gt;0,+AG27/AG29,0%)</f>
        <v>0</v>
      </c>
      <c r="AH25" s="49">
        <f t="shared" ref="AH25" si="52">IF(AH27&lt;&gt;0,+AH27/AH29,0%)</f>
        <v>1</v>
      </c>
      <c r="AI25" s="58"/>
      <c r="AJ25" s="149"/>
      <c r="AK25" s="144"/>
      <c r="AL25" s="140"/>
    </row>
    <row r="26" spans="1:38" s="18" customFormat="1" ht="22.9" customHeight="1" thickBot="1" x14ac:dyDescent="0.3">
      <c r="A26" s="133"/>
      <c r="B26" s="66" t="s">
        <v>79</v>
      </c>
      <c r="C26" s="213"/>
      <c r="D26" s="201"/>
      <c r="E26" s="69"/>
      <c r="F26" s="71"/>
      <c r="G26" s="71"/>
      <c r="H26" s="71"/>
      <c r="I26" s="207"/>
      <c r="J26" s="192"/>
      <c r="K26" s="50" t="s">
        <v>43</v>
      </c>
      <c r="L26" s="50" t="s">
        <v>43</v>
      </c>
      <c r="M26" s="50" t="s">
        <v>43</v>
      </c>
      <c r="N26" s="51" t="s">
        <v>43</v>
      </c>
      <c r="O26" s="50" t="s">
        <v>43</v>
      </c>
      <c r="P26" s="51" t="s">
        <v>43</v>
      </c>
      <c r="Q26" s="50" t="s">
        <v>43</v>
      </c>
      <c r="R26" s="51" t="s">
        <v>43</v>
      </c>
      <c r="S26" s="50" t="s">
        <v>43</v>
      </c>
      <c r="T26" s="51" t="s">
        <v>43</v>
      </c>
      <c r="U26" s="50" t="s">
        <v>43</v>
      </c>
      <c r="V26" s="51" t="s">
        <v>43</v>
      </c>
      <c r="W26" s="50" t="s">
        <v>43</v>
      </c>
      <c r="X26" s="51" t="s">
        <v>43</v>
      </c>
      <c r="Y26" s="50" t="s">
        <v>43</v>
      </c>
      <c r="Z26" s="51" t="s">
        <v>43</v>
      </c>
      <c r="AA26" s="50" t="s">
        <v>43</v>
      </c>
      <c r="AB26" s="51" t="s">
        <v>43</v>
      </c>
      <c r="AC26" s="50" t="s">
        <v>43</v>
      </c>
      <c r="AD26" s="51" t="s">
        <v>43</v>
      </c>
      <c r="AE26" s="50" t="s">
        <v>43</v>
      </c>
      <c r="AF26" s="51" t="s">
        <v>43</v>
      </c>
      <c r="AG26" s="50" t="s">
        <v>43</v>
      </c>
      <c r="AH26" s="51" t="s">
        <v>43</v>
      </c>
      <c r="AI26" s="58"/>
      <c r="AJ26" s="149"/>
      <c r="AK26" s="144"/>
      <c r="AL26" s="140"/>
    </row>
    <row r="27" spans="1:38" s="18" customFormat="1" ht="22.9" customHeight="1" thickTop="1" x14ac:dyDescent="0.25">
      <c r="A27" s="133"/>
      <c r="B27" s="66"/>
      <c r="C27" s="213"/>
      <c r="D27" s="201"/>
      <c r="E27" s="69"/>
      <c r="F27" s="71"/>
      <c r="G27" s="71"/>
      <c r="H27" s="71"/>
      <c r="I27" s="207"/>
      <c r="J27" s="193" t="s">
        <v>105</v>
      </c>
      <c r="K27" s="55">
        <v>4</v>
      </c>
      <c r="L27" s="59">
        <v>1</v>
      </c>
      <c r="M27" s="59"/>
      <c r="N27" s="52">
        <f t="shared" ref="N27" si="53">+L27+M27</f>
        <v>1</v>
      </c>
      <c r="O27" s="59">
        <v>1</v>
      </c>
      <c r="P27" s="52">
        <f t="shared" ref="P27" si="54">+N27+O27</f>
        <v>2</v>
      </c>
      <c r="Q27" s="59"/>
      <c r="R27" s="52">
        <f t="shared" ref="R27" si="55">+P27+Q27</f>
        <v>2</v>
      </c>
      <c r="S27" s="59"/>
      <c r="T27" s="52">
        <f t="shared" ref="T27" si="56">+R27+S27</f>
        <v>2</v>
      </c>
      <c r="U27" s="59">
        <v>1</v>
      </c>
      <c r="V27" s="52">
        <f t="shared" ref="V27" si="57">+T27+U27</f>
        <v>3</v>
      </c>
      <c r="W27" s="59"/>
      <c r="X27" s="52">
        <f t="shared" ref="X27" si="58">+V27+W27</f>
        <v>3</v>
      </c>
      <c r="Y27" s="59"/>
      <c r="Z27" s="52">
        <f t="shared" ref="Z27" si="59">+X27+Y27</f>
        <v>3</v>
      </c>
      <c r="AA27" s="59">
        <v>1</v>
      </c>
      <c r="AB27" s="52">
        <f t="shared" ref="AB27" si="60">+Z27+AA27</f>
        <v>4</v>
      </c>
      <c r="AC27" s="59"/>
      <c r="AD27" s="52">
        <f t="shared" ref="AD27" si="61">+AB27+AC27</f>
        <v>4</v>
      </c>
      <c r="AE27" s="59"/>
      <c r="AF27" s="52">
        <f t="shared" ref="AF27" si="62">+AD27+AE27</f>
        <v>4</v>
      </c>
      <c r="AG27" s="60"/>
      <c r="AH27" s="61">
        <f>+AF27+AG27</f>
        <v>4</v>
      </c>
      <c r="AI27" s="62">
        <f>+AH25/K25</f>
        <v>1</v>
      </c>
      <c r="AJ27" s="149"/>
      <c r="AK27" s="144"/>
      <c r="AL27" s="140"/>
    </row>
    <row r="28" spans="1:38" s="18" customFormat="1" ht="22.9" customHeight="1" x14ac:dyDescent="0.25">
      <c r="A28" s="133"/>
      <c r="B28" s="66"/>
      <c r="C28" s="213"/>
      <c r="D28" s="201"/>
      <c r="E28" s="69"/>
      <c r="F28" s="71"/>
      <c r="G28" s="71"/>
      <c r="H28" s="71"/>
      <c r="I28" s="207"/>
      <c r="J28" s="190"/>
      <c r="K28" s="53" t="s">
        <v>44</v>
      </c>
      <c r="L28" s="53" t="s">
        <v>44</v>
      </c>
      <c r="M28" s="53" t="s">
        <v>44</v>
      </c>
      <c r="N28" s="54" t="s">
        <v>44</v>
      </c>
      <c r="O28" s="53" t="s">
        <v>44</v>
      </c>
      <c r="P28" s="54" t="s">
        <v>44</v>
      </c>
      <c r="Q28" s="53" t="s">
        <v>44</v>
      </c>
      <c r="R28" s="54" t="s">
        <v>44</v>
      </c>
      <c r="S28" s="53" t="s">
        <v>44</v>
      </c>
      <c r="T28" s="54" t="s">
        <v>44</v>
      </c>
      <c r="U28" s="53" t="s">
        <v>44</v>
      </c>
      <c r="V28" s="54" t="s">
        <v>44</v>
      </c>
      <c r="W28" s="53" t="s">
        <v>44</v>
      </c>
      <c r="X28" s="54" t="s">
        <v>44</v>
      </c>
      <c r="Y28" s="53" t="s">
        <v>44</v>
      </c>
      <c r="Z28" s="54" t="s">
        <v>44</v>
      </c>
      <c r="AA28" s="53" t="s">
        <v>44</v>
      </c>
      <c r="AB28" s="54" t="s">
        <v>44</v>
      </c>
      <c r="AC28" s="53" t="s">
        <v>44</v>
      </c>
      <c r="AD28" s="54" t="s">
        <v>44</v>
      </c>
      <c r="AE28" s="53" t="s">
        <v>44</v>
      </c>
      <c r="AF28" s="54" t="s">
        <v>44</v>
      </c>
      <c r="AG28" s="53" t="s">
        <v>44</v>
      </c>
      <c r="AH28" s="54" t="s">
        <v>44</v>
      </c>
      <c r="AI28" s="58"/>
      <c r="AJ28" s="149"/>
      <c r="AK28" s="144"/>
      <c r="AL28" s="140"/>
    </row>
    <row r="29" spans="1:38" s="18" customFormat="1" ht="22.9" customHeight="1" thickBot="1" x14ac:dyDescent="0.3">
      <c r="A29" s="134"/>
      <c r="B29" s="67"/>
      <c r="C29" s="214"/>
      <c r="D29" s="202"/>
      <c r="E29" s="70"/>
      <c r="F29" s="72"/>
      <c r="G29" s="72"/>
      <c r="H29" s="72"/>
      <c r="I29" s="208"/>
      <c r="J29" s="192"/>
      <c r="K29" s="55">
        <v>4</v>
      </c>
      <c r="L29" s="63">
        <v>4</v>
      </c>
      <c r="M29" s="63">
        <v>4</v>
      </c>
      <c r="N29" s="45">
        <v>4</v>
      </c>
      <c r="O29" s="44">
        <v>4</v>
      </c>
      <c r="P29" s="45">
        <v>4</v>
      </c>
      <c r="Q29" s="44">
        <v>4</v>
      </c>
      <c r="R29" s="45">
        <v>4</v>
      </c>
      <c r="S29" s="44">
        <v>4</v>
      </c>
      <c r="T29" s="45">
        <v>4</v>
      </c>
      <c r="U29" s="44">
        <v>4</v>
      </c>
      <c r="V29" s="45">
        <v>4</v>
      </c>
      <c r="W29" s="44">
        <v>4</v>
      </c>
      <c r="X29" s="45">
        <v>4</v>
      </c>
      <c r="Y29" s="44">
        <v>4</v>
      </c>
      <c r="Z29" s="45">
        <v>4</v>
      </c>
      <c r="AA29" s="44">
        <v>4</v>
      </c>
      <c r="AB29" s="45">
        <v>4</v>
      </c>
      <c r="AC29" s="44">
        <v>4</v>
      </c>
      <c r="AD29" s="45">
        <v>4</v>
      </c>
      <c r="AE29" s="44">
        <v>4</v>
      </c>
      <c r="AF29" s="45">
        <v>4</v>
      </c>
      <c r="AG29" s="44">
        <v>4</v>
      </c>
      <c r="AH29" s="45">
        <v>4</v>
      </c>
      <c r="AI29" s="64"/>
      <c r="AJ29" s="150"/>
      <c r="AK29" s="145"/>
      <c r="AL29" s="141"/>
    </row>
    <row r="30" spans="1:38" s="18" customFormat="1" ht="22.9" customHeight="1" thickTop="1" x14ac:dyDescent="0.25">
      <c r="A30" s="194" t="s">
        <v>139</v>
      </c>
      <c r="B30" s="65" t="s">
        <v>76</v>
      </c>
      <c r="C30" s="197" t="s">
        <v>111</v>
      </c>
      <c r="D30" s="200" t="s">
        <v>103</v>
      </c>
      <c r="E30" s="68" t="s">
        <v>53</v>
      </c>
      <c r="F30" s="68" t="s">
        <v>92</v>
      </c>
      <c r="G30" s="68" t="s">
        <v>137</v>
      </c>
      <c r="H30" s="68" t="s">
        <v>65</v>
      </c>
      <c r="I30" s="203">
        <f>+K31</f>
        <v>1</v>
      </c>
      <c r="J30" s="190" t="s">
        <v>104</v>
      </c>
      <c r="K30" s="46" t="s">
        <v>42</v>
      </c>
      <c r="L30" s="46" t="s">
        <v>42</v>
      </c>
      <c r="M30" s="46" t="s">
        <v>42</v>
      </c>
      <c r="N30" s="47" t="s">
        <v>42</v>
      </c>
      <c r="O30" s="46" t="s">
        <v>42</v>
      </c>
      <c r="P30" s="47" t="s">
        <v>42</v>
      </c>
      <c r="Q30" s="46" t="s">
        <v>42</v>
      </c>
      <c r="R30" s="47" t="s">
        <v>42</v>
      </c>
      <c r="S30" s="46" t="s">
        <v>42</v>
      </c>
      <c r="T30" s="47" t="s">
        <v>42</v>
      </c>
      <c r="U30" s="46" t="s">
        <v>42</v>
      </c>
      <c r="V30" s="47" t="s">
        <v>42</v>
      </c>
      <c r="W30" s="46" t="s">
        <v>42</v>
      </c>
      <c r="X30" s="47" t="s">
        <v>42</v>
      </c>
      <c r="Y30" s="46" t="s">
        <v>42</v>
      </c>
      <c r="Z30" s="47" t="s">
        <v>42</v>
      </c>
      <c r="AA30" s="46" t="s">
        <v>42</v>
      </c>
      <c r="AB30" s="47" t="s">
        <v>42</v>
      </c>
      <c r="AC30" s="46" t="s">
        <v>42</v>
      </c>
      <c r="AD30" s="47" t="s">
        <v>42</v>
      </c>
      <c r="AE30" s="46" t="s">
        <v>42</v>
      </c>
      <c r="AF30" s="47" t="s">
        <v>42</v>
      </c>
      <c r="AG30" s="46" t="s">
        <v>42</v>
      </c>
      <c r="AH30" s="47" t="s">
        <v>42</v>
      </c>
      <c r="AI30" s="56"/>
      <c r="AJ30" s="148" t="s">
        <v>140</v>
      </c>
      <c r="AK30" s="143"/>
      <c r="AL30" s="137" t="s">
        <v>82</v>
      </c>
    </row>
    <row r="31" spans="1:38" s="18" customFormat="1" ht="22.9" customHeight="1" x14ac:dyDescent="0.25">
      <c r="A31" s="195"/>
      <c r="B31" s="66" t="s">
        <v>78</v>
      </c>
      <c r="C31" s="198"/>
      <c r="D31" s="201"/>
      <c r="E31" s="69"/>
      <c r="F31" s="71"/>
      <c r="G31" s="71"/>
      <c r="H31" s="71"/>
      <c r="I31" s="204"/>
      <c r="J31" s="191"/>
      <c r="K31" s="48">
        <f>IF(K33&lt;&gt;0,+K33/K35,0%)</f>
        <v>1</v>
      </c>
      <c r="L31" s="57">
        <f>IF(L33&lt;&gt;0,+L33/L35,0%)</f>
        <v>0.25</v>
      </c>
      <c r="M31" s="57">
        <f>IF(M33&lt;&gt;0,+M33/M35,0%)</f>
        <v>0</v>
      </c>
      <c r="N31" s="49">
        <f t="shared" ref="N31" si="63">IF(N33&lt;&gt;0,+N33/N35,0%)</f>
        <v>0.25</v>
      </c>
      <c r="O31" s="57">
        <f>IF(O33&lt;&gt;0,+O33/O35,0%)</f>
        <v>0.25</v>
      </c>
      <c r="P31" s="49">
        <f t="shared" ref="P31" si="64">IF(P33&lt;&gt;0,+P33/P35,0%)</f>
        <v>0.5</v>
      </c>
      <c r="Q31" s="57">
        <f>IF(Q33&lt;&gt;0,+Q33/Q35,0%)</f>
        <v>0</v>
      </c>
      <c r="R31" s="49">
        <f t="shared" ref="R31" si="65">IF(R33&lt;&gt;0,+R33/R35,0%)</f>
        <v>0.5</v>
      </c>
      <c r="S31" s="57">
        <f>IF(S33&lt;&gt;0,+S33/S35,0%)</f>
        <v>0</v>
      </c>
      <c r="T31" s="49">
        <f t="shared" ref="T31" si="66">IF(T33&lt;&gt;0,+T33/T35,0%)</f>
        <v>0.5</v>
      </c>
      <c r="U31" s="57">
        <f>IF(U33&lt;&gt;0,+U33/U35,0%)</f>
        <v>0.25</v>
      </c>
      <c r="V31" s="49">
        <f t="shared" ref="V31" si="67">IF(V33&lt;&gt;0,+V33/V35,0%)</f>
        <v>0.75</v>
      </c>
      <c r="W31" s="57">
        <f>IF(W33&lt;&gt;0,+W33/W35,0%)</f>
        <v>0</v>
      </c>
      <c r="X31" s="49">
        <f t="shared" ref="X31" si="68">IF(X33&lt;&gt;0,+X33/X35,0%)</f>
        <v>0.75</v>
      </c>
      <c r="Y31" s="57">
        <f>IF(Y33&lt;&gt;0,+Y33/Y35,0%)</f>
        <v>0</v>
      </c>
      <c r="Z31" s="49">
        <f t="shared" ref="Z31" si="69">IF(Z33&lt;&gt;0,+Z33/Z35,0%)</f>
        <v>0.75</v>
      </c>
      <c r="AA31" s="57">
        <f>IF(AA33&lt;&gt;0,+AA33/AA35,0%)</f>
        <v>0.25</v>
      </c>
      <c r="AB31" s="49">
        <f t="shared" ref="AB31" si="70">IF(AB33&lt;&gt;0,+AB33/AB35,0%)</f>
        <v>1</v>
      </c>
      <c r="AC31" s="57">
        <f>IF(AC33&lt;&gt;0,+AC33/AC35,0%)</f>
        <v>0</v>
      </c>
      <c r="AD31" s="49">
        <f t="shared" ref="AD31" si="71">IF(AD33&lt;&gt;0,+AD33/AD35,0%)</f>
        <v>1</v>
      </c>
      <c r="AE31" s="57">
        <f>IF(AE33&lt;&gt;0,+AE33/AE35,0%)</f>
        <v>0</v>
      </c>
      <c r="AF31" s="49">
        <f t="shared" ref="AF31" si="72">IF(AF33&lt;&gt;0,+AF33/AF35,0%)</f>
        <v>1</v>
      </c>
      <c r="AG31" s="57">
        <f>IF(AG33&lt;&gt;0,+AG33/AG35,0%)</f>
        <v>0</v>
      </c>
      <c r="AH31" s="49">
        <f t="shared" ref="AH31" si="73">IF(AH33&lt;&gt;0,+AH33/AH35,0%)</f>
        <v>1</v>
      </c>
      <c r="AI31" s="58"/>
      <c r="AJ31" s="149"/>
      <c r="AK31" s="144"/>
      <c r="AL31" s="140"/>
    </row>
    <row r="32" spans="1:38" s="18" customFormat="1" ht="22.9" customHeight="1" thickBot="1" x14ac:dyDescent="0.3">
      <c r="A32" s="195"/>
      <c r="B32" s="66" t="s">
        <v>79</v>
      </c>
      <c r="C32" s="198"/>
      <c r="D32" s="201"/>
      <c r="E32" s="69"/>
      <c r="F32" s="71"/>
      <c r="G32" s="71"/>
      <c r="H32" s="71"/>
      <c r="I32" s="204"/>
      <c r="J32" s="192"/>
      <c r="K32" s="50" t="s">
        <v>43</v>
      </c>
      <c r="L32" s="50" t="s">
        <v>43</v>
      </c>
      <c r="M32" s="50" t="s">
        <v>43</v>
      </c>
      <c r="N32" s="51" t="s">
        <v>43</v>
      </c>
      <c r="O32" s="50" t="s">
        <v>43</v>
      </c>
      <c r="P32" s="51" t="s">
        <v>43</v>
      </c>
      <c r="Q32" s="50" t="s">
        <v>43</v>
      </c>
      <c r="R32" s="51" t="s">
        <v>43</v>
      </c>
      <c r="S32" s="50" t="s">
        <v>43</v>
      </c>
      <c r="T32" s="51" t="s">
        <v>43</v>
      </c>
      <c r="U32" s="50" t="s">
        <v>43</v>
      </c>
      <c r="V32" s="51" t="s">
        <v>43</v>
      </c>
      <c r="W32" s="50" t="s">
        <v>43</v>
      </c>
      <c r="X32" s="51" t="s">
        <v>43</v>
      </c>
      <c r="Y32" s="50" t="s">
        <v>43</v>
      </c>
      <c r="Z32" s="51" t="s">
        <v>43</v>
      </c>
      <c r="AA32" s="50" t="s">
        <v>43</v>
      </c>
      <c r="AB32" s="51" t="s">
        <v>43</v>
      </c>
      <c r="AC32" s="50" t="s">
        <v>43</v>
      </c>
      <c r="AD32" s="51" t="s">
        <v>43</v>
      </c>
      <c r="AE32" s="50" t="s">
        <v>43</v>
      </c>
      <c r="AF32" s="51" t="s">
        <v>43</v>
      </c>
      <c r="AG32" s="50" t="s">
        <v>43</v>
      </c>
      <c r="AH32" s="51" t="s">
        <v>43</v>
      </c>
      <c r="AI32" s="58"/>
      <c r="AJ32" s="149"/>
      <c r="AK32" s="144"/>
      <c r="AL32" s="140"/>
    </row>
    <row r="33" spans="1:38" s="18" customFormat="1" ht="22.9" customHeight="1" thickTop="1" x14ac:dyDescent="0.25">
      <c r="A33" s="195"/>
      <c r="B33" s="66"/>
      <c r="C33" s="198"/>
      <c r="D33" s="201"/>
      <c r="E33" s="69"/>
      <c r="F33" s="71"/>
      <c r="G33" s="71"/>
      <c r="H33" s="71"/>
      <c r="I33" s="204"/>
      <c r="J33" s="193" t="s">
        <v>105</v>
      </c>
      <c r="K33" s="55">
        <v>4</v>
      </c>
      <c r="L33" s="59">
        <v>1</v>
      </c>
      <c r="M33" s="59"/>
      <c r="N33" s="52">
        <f t="shared" ref="N33" si="74">+L33+M33</f>
        <v>1</v>
      </c>
      <c r="O33" s="59">
        <v>1</v>
      </c>
      <c r="P33" s="52">
        <f t="shared" ref="P33" si="75">+N33+O33</f>
        <v>2</v>
      </c>
      <c r="Q33" s="59"/>
      <c r="R33" s="52">
        <f t="shared" ref="R33" si="76">+P33+Q33</f>
        <v>2</v>
      </c>
      <c r="S33" s="59"/>
      <c r="T33" s="52">
        <f t="shared" ref="T33" si="77">+R33+S33</f>
        <v>2</v>
      </c>
      <c r="U33" s="59">
        <v>1</v>
      </c>
      <c r="V33" s="52">
        <f t="shared" ref="V33" si="78">+T33+U33</f>
        <v>3</v>
      </c>
      <c r="W33" s="59"/>
      <c r="X33" s="52">
        <f t="shared" ref="X33" si="79">+V33+W33</f>
        <v>3</v>
      </c>
      <c r="Y33" s="59"/>
      <c r="Z33" s="52">
        <f t="shared" ref="Z33" si="80">+X33+Y33</f>
        <v>3</v>
      </c>
      <c r="AA33" s="59">
        <v>1</v>
      </c>
      <c r="AB33" s="52">
        <f t="shared" ref="AB33" si="81">+Z33+AA33</f>
        <v>4</v>
      </c>
      <c r="AC33" s="59"/>
      <c r="AD33" s="52">
        <f t="shared" ref="AD33" si="82">+AB33+AC33</f>
        <v>4</v>
      </c>
      <c r="AE33" s="59"/>
      <c r="AF33" s="52">
        <f t="shared" ref="AF33" si="83">+AD33+AE33</f>
        <v>4</v>
      </c>
      <c r="AG33" s="60"/>
      <c r="AH33" s="61">
        <f>+AF33+AG33</f>
        <v>4</v>
      </c>
      <c r="AI33" s="62">
        <f>+AH31/K31</f>
        <v>1</v>
      </c>
      <c r="AJ33" s="149"/>
      <c r="AK33" s="144"/>
      <c r="AL33" s="140"/>
    </row>
    <row r="34" spans="1:38" s="18" customFormat="1" ht="22.9" customHeight="1" x14ac:dyDescent="0.25">
      <c r="A34" s="195"/>
      <c r="B34" s="66"/>
      <c r="C34" s="198"/>
      <c r="D34" s="201"/>
      <c r="E34" s="69"/>
      <c r="F34" s="71"/>
      <c r="G34" s="71"/>
      <c r="H34" s="71"/>
      <c r="I34" s="204"/>
      <c r="J34" s="190"/>
      <c r="K34" s="53" t="s">
        <v>44</v>
      </c>
      <c r="L34" s="53" t="s">
        <v>44</v>
      </c>
      <c r="M34" s="53" t="s">
        <v>44</v>
      </c>
      <c r="N34" s="54" t="s">
        <v>44</v>
      </c>
      <c r="O34" s="53" t="s">
        <v>44</v>
      </c>
      <c r="P34" s="54" t="s">
        <v>44</v>
      </c>
      <c r="Q34" s="53" t="s">
        <v>44</v>
      </c>
      <c r="R34" s="54" t="s">
        <v>44</v>
      </c>
      <c r="S34" s="53" t="s">
        <v>44</v>
      </c>
      <c r="T34" s="54" t="s">
        <v>44</v>
      </c>
      <c r="U34" s="53" t="s">
        <v>44</v>
      </c>
      <c r="V34" s="54" t="s">
        <v>44</v>
      </c>
      <c r="W34" s="53" t="s">
        <v>44</v>
      </c>
      <c r="X34" s="54" t="s">
        <v>44</v>
      </c>
      <c r="Y34" s="53" t="s">
        <v>44</v>
      </c>
      <c r="Z34" s="54" t="s">
        <v>44</v>
      </c>
      <c r="AA34" s="53" t="s">
        <v>44</v>
      </c>
      <c r="AB34" s="54" t="s">
        <v>44</v>
      </c>
      <c r="AC34" s="53" t="s">
        <v>44</v>
      </c>
      <c r="AD34" s="54" t="s">
        <v>44</v>
      </c>
      <c r="AE34" s="53" t="s">
        <v>44</v>
      </c>
      <c r="AF34" s="54" t="s">
        <v>44</v>
      </c>
      <c r="AG34" s="53" t="s">
        <v>44</v>
      </c>
      <c r="AH34" s="54" t="s">
        <v>44</v>
      </c>
      <c r="AI34" s="58"/>
      <c r="AJ34" s="149"/>
      <c r="AK34" s="144"/>
      <c r="AL34" s="140"/>
    </row>
    <row r="35" spans="1:38" s="18" customFormat="1" ht="22.9" customHeight="1" thickBot="1" x14ac:dyDescent="0.3">
      <c r="A35" s="196"/>
      <c r="B35" s="67"/>
      <c r="C35" s="199"/>
      <c r="D35" s="202"/>
      <c r="E35" s="70"/>
      <c r="F35" s="72"/>
      <c r="G35" s="72"/>
      <c r="H35" s="72"/>
      <c r="I35" s="205"/>
      <c r="J35" s="192"/>
      <c r="K35" s="55">
        <v>4</v>
      </c>
      <c r="L35" s="63">
        <v>4</v>
      </c>
      <c r="M35" s="63">
        <v>4</v>
      </c>
      <c r="N35" s="45">
        <v>4</v>
      </c>
      <c r="O35" s="44">
        <v>4</v>
      </c>
      <c r="P35" s="45">
        <v>4</v>
      </c>
      <c r="Q35" s="44">
        <v>4</v>
      </c>
      <c r="R35" s="45">
        <v>4</v>
      </c>
      <c r="S35" s="44">
        <v>4</v>
      </c>
      <c r="T35" s="45">
        <v>4</v>
      </c>
      <c r="U35" s="44">
        <v>4</v>
      </c>
      <c r="V35" s="45">
        <v>4</v>
      </c>
      <c r="W35" s="44">
        <v>4</v>
      </c>
      <c r="X35" s="45">
        <v>4</v>
      </c>
      <c r="Y35" s="44">
        <v>4</v>
      </c>
      <c r="Z35" s="45">
        <v>4</v>
      </c>
      <c r="AA35" s="44">
        <v>4</v>
      </c>
      <c r="AB35" s="45">
        <v>4</v>
      </c>
      <c r="AC35" s="44">
        <v>4</v>
      </c>
      <c r="AD35" s="45">
        <v>4</v>
      </c>
      <c r="AE35" s="44">
        <v>4</v>
      </c>
      <c r="AF35" s="45">
        <v>4</v>
      </c>
      <c r="AG35" s="44">
        <v>4</v>
      </c>
      <c r="AH35" s="45">
        <v>4</v>
      </c>
      <c r="AI35" s="64"/>
      <c r="AJ35" s="150"/>
      <c r="AK35" s="145"/>
      <c r="AL35" s="141"/>
    </row>
    <row r="36" spans="1:38" ht="13.5" thickTop="1" x14ac:dyDescent="0.2">
      <c r="C36"/>
      <c r="G36"/>
    </row>
    <row r="266" spans="5:5" x14ac:dyDescent="0.2">
      <c r="E266" s="1" t="s">
        <v>30</v>
      </c>
    </row>
  </sheetData>
  <mergeCells count="103">
    <mergeCell ref="N1:Q1"/>
    <mergeCell ref="N2:Q2"/>
    <mergeCell ref="N3:Q3"/>
    <mergeCell ref="N5:Q5"/>
    <mergeCell ref="A10:A11"/>
    <mergeCell ref="B10:B11"/>
    <mergeCell ref="C10:C11"/>
    <mergeCell ref="D10:D11"/>
    <mergeCell ref="E10:E11"/>
    <mergeCell ref="F10:F11"/>
    <mergeCell ref="G10:G11"/>
    <mergeCell ref="B1:D5"/>
    <mergeCell ref="E1:M5"/>
    <mergeCell ref="H10:H11"/>
    <mergeCell ref="I10:I11"/>
    <mergeCell ref="J10:J11"/>
    <mergeCell ref="K10:K11"/>
    <mergeCell ref="L10:L11"/>
    <mergeCell ref="B6:D6"/>
    <mergeCell ref="E6:M6"/>
    <mergeCell ref="N6:Q6"/>
    <mergeCell ref="S10:S11"/>
    <mergeCell ref="T10:T11"/>
    <mergeCell ref="U10:U11"/>
    <mergeCell ref="V10:V11"/>
    <mergeCell ref="W10:W11"/>
    <mergeCell ref="X10:X11"/>
    <mergeCell ref="M10:M11"/>
    <mergeCell ref="N10:N11"/>
    <mergeCell ref="O10:O11"/>
    <mergeCell ref="P10:P11"/>
    <mergeCell ref="Q10:Q11"/>
    <mergeCell ref="R10:R11"/>
    <mergeCell ref="AK10:AK11"/>
    <mergeCell ref="AL10:AL11"/>
    <mergeCell ref="AE10:AE11"/>
    <mergeCell ref="AF10:AF11"/>
    <mergeCell ref="AG10:AG11"/>
    <mergeCell ref="AH10:AH11"/>
    <mergeCell ref="AI10:AI11"/>
    <mergeCell ref="AJ10:AJ11"/>
    <mergeCell ref="Y10:Y11"/>
    <mergeCell ref="Z10:Z11"/>
    <mergeCell ref="AA10:AA11"/>
    <mergeCell ref="AB10:AB11"/>
    <mergeCell ref="AC10:AC11"/>
    <mergeCell ref="AD10:AD11"/>
    <mergeCell ref="J12:J14"/>
    <mergeCell ref="AJ12:AJ17"/>
    <mergeCell ref="A18:A23"/>
    <mergeCell ref="B18:B23"/>
    <mergeCell ref="C18:C23"/>
    <mergeCell ref="D18:D23"/>
    <mergeCell ref="AK12:AK17"/>
    <mergeCell ref="AL12:AL17"/>
    <mergeCell ref="J15:J17"/>
    <mergeCell ref="A12:A17"/>
    <mergeCell ref="B12:B17"/>
    <mergeCell ref="C12:C17"/>
    <mergeCell ref="D12:D17"/>
    <mergeCell ref="E12:E17"/>
    <mergeCell ref="F12:F17"/>
    <mergeCell ref="G12:G17"/>
    <mergeCell ref="H12:H17"/>
    <mergeCell ref="AK18:AK23"/>
    <mergeCell ref="AL18:AL23"/>
    <mergeCell ref="J21:J23"/>
    <mergeCell ref="J18:J20"/>
    <mergeCell ref="AJ18:AJ23"/>
    <mergeCell ref="A30:A35"/>
    <mergeCell ref="B30:B35"/>
    <mergeCell ref="C30:C35"/>
    <mergeCell ref="D30:D35"/>
    <mergeCell ref="E30:E35"/>
    <mergeCell ref="F30:F35"/>
    <mergeCell ref="G30:G35"/>
    <mergeCell ref="H30:H35"/>
    <mergeCell ref="I30:I35"/>
    <mergeCell ref="I12:I17"/>
    <mergeCell ref="A24:A29"/>
    <mergeCell ref="B24:B29"/>
    <mergeCell ref="C24:C29"/>
    <mergeCell ref="D24:D29"/>
    <mergeCell ref="E24:E29"/>
    <mergeCell ref="E18:E23"/>
    <mergeCell ref="F18:F23"/>
    <mergeCell ref="G18:G23"/>
    <mergeCell ref="H18:H23"/>
    <mergeCell ref="I18:I23"/>
    <mergeCell ref="AJ24:AJ29"/>
    <mergeCell ref="AK24:AK29"/>
    <mergeCell ref="AL24:AL29"/>
    <mergeCell ref="F24:F29"/>
    <mergeCell ref="G24:G29"/>
    <mergeCell ref="H24:H29"/>
    <mergeCell ref="I24:I29"/>
    <mergeCell ref="J24:J26"/>
    <mergeCell ref="J27:J29"/>
    <mergeCell ref="J30:J32"/>
    <mergeCell ref="AJ30:AJ35"/>
    <mergeCell ref="AK30:AK35"/>
    <mergeCell ref="AL30:AL35"/>
    <mergeCell ref="J33:J35"/>
  </mergeCells>
  <pageMargins left="0.56999999999999995" right="0.37" top="0.41" bottom="0.47" header="0" footer="0"/>
  <pageSetup scale="59" orientation="landscape" r:id="rId1"/>
  <headerFooter alignWithMargins="0"/>
  <colBreaks count="1" manualBreakCount="1">
    <brk id="3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CDC 2025</vt:lpstr>
      <vt:lpstr>PMG 2025</vt:lpstr>
      <vt:lpstr>Riesgos 2025</vt:lpstr>
      <vt:lpstr>'CDC 2025'!Área_de_impresión</vt:lpstr>
      <vt:lpstr>'PMG 2025'!Área_de_impresión</vt:lpstr>
      <vt:lpstr>'Riesgos 2025'!Área_de_impresión</vt:lpstr>
      <vt:lpstr>'CDC 2025'!Títulos_a_imprimir</vt:lpstr>
      <vt:lpstr>'PMG 2025'!Títulos_a_imprimir</vt:lpstr>
      <vt:lpstr>'Riesgos 2025'!Títulos_a_imprimir</vt:lpstr>
    </vt:vector>
  </TitlesOfParts>
  <Company>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creator>Salvador Aguilera</dc:creator>
  <cp:lastModifiedBy>Cesar Francisco Alfaro Valdes</cp:lastModifiedBy>
  <cp:lastPrinted>2012-03-08T20:51:00Z</cp:lastPrinted>
  <dcterms:created xsi:type="dcterms:W3CDTF">2008-08-20T14:03:15Z</dcterms:created>
  <dcterms:modified xsi:type="dcterms:W3CDTF">2024-12-04T20:21:15Z</dcterms:modified>
</cp:coreProperties>
</file>