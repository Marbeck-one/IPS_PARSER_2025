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paulina_alfred_ips_gob_cl/Documents/Escritorio/"/>
    </mc:Choice>
  </mc:AlternateContent>
  <xr:revisionPtr revIDLastSave="0" documentId="8_{699EA471-E924-4614-896C-186388E5691A}" xr6:coauthVersionLast="47" xr6:coauthVersionMax="47" xr10:uidLastSave="{00000000-0000-0000-0000-000000000000}"/>
  <bookViews>
    <workbookView xWindow="-110" yWindow="-110" windowWidth="19420" windowHeight="11500" firstSheet="1" xr2:uid="{00000000-000D-0000-FFFF-FFFF00000000}"/>
  </bookViews>
  <sheets>
    <sheet name="CDC 2026" sheetId="1" r:id="rId1"/>
    <sheet name="PMG 2026" sheetId="2" r:id="rId2"/>
  </sheets>
  <definedNames>
    <definedName name="_xlnm._FilterDatabase" localSheetId="0" hidden="1">'CDC 2026'!$A$11:$AM$42</definedName>
    <definedName name="_xlnm._FilterDatabase" localSheetId="1" hidden="1">'PMG 2026'!$A$11:$AL$18</definedName>
    <definedName name="_xlnm.Print_Area" localSheetId="0">'CDC 2026'!$B$1:$AL$12</definedName>
    <definedName name="_xlnm.Print_Area" localSheetId="1">'PMG 2026'!$B$1:$AK$12</definedName>
    <definedName name="_xlnm.Print_Titles" localSheetId="0">'CDC 2026'!$1:$12</definedName>
    <definedName name="_xlnm.Print_Titles" localSheetId="1">'PMG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6" i="1" l="1"/>
  <c r="AE26" i="1"/>
  <c r="AC26" i="1"/>
  <c r="AA26" i="1"/>
  <c r="Y26" i="1"/>
  <c r="W26" i="1"/>
  <c r="U26" i="1"/>
  <c r="S26" i="1"/>
  <c r="AG38" i="1"/>
  <c r="AE38" i="1"/>
  <c r="AC38" i="1"/>
  <c r="AA38" i="1"/>
  <c r="Y38" i="1"/>
  <c r="W38" i="1"/>
  <c r="U38" i="1"/>
  <c r="S38" i="1"/>
  <c r="Q38" i="1"/>
  <c r="R38" i="1"/>
  <c r="N16" i="2"/>
  <c r="P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K14" i="2"/>
  <c r="I13" i="2" s="1"/>
  <c r="N14" i="2" l="1"/>
  <c r="P14" i="2"/>
  <c r="R16" i="2"/>
  <c r="T16" i="2" l="1"/>
  <c r="R14" i="2"/>
  <c r="T14" i="2" l="1"/>
  <c r="V16" i="2"/>
  <c r="X16" i="2" l="1"/>
  <c r="V14" i="2"/>
  <c r="Z16" i="2" l="1"/>
  <c r="X14" i="2"/>
  <c r="Z14" i="2" l="1"/>
  <c r="AB16" i="2"/>
  <c r="AD16" i="2" l="1"/>
  <c r="AB14" i="2"/>
  <c r="AF16" i="2" l="1"/>
  <c r="AD14" i="2"/>
  <c r="AH16" i="2" l="1"/>
  <c r="AH14" i="2" s="1"/>
  <c r="AI16" i="2" s="1"/>
  <c r="AF14" i="2"/>
  <c r="J43" i="1" l="1"/>
  <c r="L32" i="1"/>
  <c r="I31" i="1" s="1"/>
  <c r="O28" i="1" l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AI26" i="1" s="1"/>
  <c r="AH26" i="1"/>
  <c r="AF26" i="1"/>
  <c r="AD26" i="1"/>
  <c r="AB26" i="1"/>
  <c r="Z26" i="1"/>
  <c r="X26" i="1"/>
  <c r="V26" i="1"/>
  <c r="T26" i="1"/>
  <c r="R26" i="1"/>
  <c r="P26" i="1"/>
  <c r="N26" i="1"/>
  <c r="M26" i="1"/>
  <c r="L26" i="1"/>
  <c r="I25" i="1"/>
  <c r="O34" i="1"/>
  <c r="Q34" i="1" s="1"/>
  <c r="AH32" i="1"/>
  <c r="AF32" i="1"/>
  <c r="AD32" i="1"/>
  <c r="AB32" i="1"/>
  <c r="Z32" i="1"/>
  <c r="X32" i="1"/>
  <c r="V32" i="1"/>
  <c r="T32" i="1"/>
  <c r="R32" i="1"/>
  <c r="P32" i="1"/>
  <c r="N32" i="1"/>
  <c r="M32" i="1"/>
  <c r="O32" i="1" l="1"/>
  <c r="AJ28" i="1"/>
  <c r="S34" i="1"/>
  <c r="U34" i="1" s="1"/>
  <c r="Q32" i="1"/>
  <c r="O26" i="1"/>
  <c r="S32" i="1"/>
  <c r="W34" i="1" l="1"/>
  <c r="U32" i="1"/>
  <c r="W32" i="1" l="1"/>
  <c r="Y34" i="1"/>
  <c r="AA34" i="1" l="1"/>
  <c r="Y32" i="1"/>
  <c r="AC34" i="1" l="1"/>
  <c r="AA32" i="1"/>
  <c r="AE34" i="1" l="1"/>
  <c r="AC32" i="1"/>
  <c r="AE32" i="1" l="1"/>
  <c r="AG34" i="1"/>
  <c r="AI34" i="1" l="1"/>
  <c r="AI32" i="1" s="1"/>
  <c r="AJ34" i="1" s="1"/>
  <c r="AG32" i="1"/>
  <c r="AH38" i="1" l="1"/>
  <c r="AF38" i="1"/>
  <c r="AD38" i="1"/>
  <c r="AB38" i="1"/>
  <c r="Z38" i="1"/>
  <c r="X38" i="1"/>
  <c r="V38" i="1"/>
  <c r="T38" i="1"/>
  <c r="P38" i="1"/>
  <c r="N38" i="1"/>
  <c r="M38" i="1"/>
  <c r="O40" i="1" l="1"/>
  <c r="Q40" i="1" l="1"/>
  <c r="S40" i="1" s="1"/>
  <c r="O38" i="1"/>
  <c r="U40" i="1" l="1"/>
  <c r="W40" i="1" l="1"/>
  <c r="Y40" i="1" l="1"/>
  <c r="AA40" i="1" l="1"/>
  <c r="AC40" i="1" l="1"/>
  <c r="AE40" i="1" l="1"/>
  <c r="AG40" i="1" l="1"/>
  <c r="AI40" i="1" l="1"/>
  <c r="AI38" i="1" s="1"/>
  <c r="L38" i="1" l="1"/>
  <c r="I37" i="1" s="1"/>
  <c r="AJ22" i="1" l="1"/>
  <c r="AJ16" i="1" l="1"/>
  <c r="AJ40" i="1"/>
  <c r="I19" i="1" l="1"/>
  <c r="I13" i="1"/>
</calcChain>
</file>

<file path=xl/sharedStrings.xml><?xml version="1.0" encoding="utf-8"?>
<sst xmlns="http://schemas.openxmlformats.org/spreadsheetml/2006/main" count="617" uniqueCount="106">
  <si>
    <t>Plantilla del SIG Compromisos Institucionales</t>
  </si>
  <si>
    <t xml:space="preserve">  </t>
  </si>
  <si>
    <t>Elaborado por: Analista de Gestión</t>
  </si>
  <si>
    <t>Revisado por:</t>
  </si>
  <si>
    <t>CONVENIO DE DESEMPEÑO COLECTIVO 2026</t>
  </si>
  <si>
    <t>CENTRO DE RESPONSABILIDAD: DEPARTAMENTO DE GESTIÓN Y DESARROLLO DE PERSONAS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</si>
  <si>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</si>
  <si>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</si>
  <si>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</si>
  <si>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</si>
  <si>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</si>
  <si>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</si>
  <si>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</si>
  <si>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</si>
  <si>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</si>
  <si>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</si>
  <si>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</si>
  <si>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</si>
  <si>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</si>
  <si>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</si>
  <si>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</si>
  <si>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</si>
  <si>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</si>
  <si>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</si>
  <si>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</si>
  <si>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</si>
  <si>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</si>
  <si>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</si>
  <si>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</si>
  <si>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</si>
  <si>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</si>
  <si>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</si>
  <si>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</si>
  <si>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</si>
  <si>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</si>
  <si>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</si>
  <si>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</si>
  <si>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</si>
  <si>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</si>
  <si>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</si>
  <si>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</si>
  <si>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</si>
  <si>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</si>
  <si>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</si>
  <si>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</si>
  <si>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5.3.1.60</t>
  </si>
  <si>
    <t>5.- Proceso de Apoyo                                                 5.3.-Personas                                                 5.3.1-Gestión Personas</t>
  </si>
  <si>
    <r>
      <rPr>
        <b/>
        <u/>
        <sz val="8"/>
        <rFont val="Arial Narrow"/>
        <family val="2"/>
      </rPr>
      <t>1) Eficacia /Proceso</t>
    </r>
    <r>
      <rPr>
        <sz val="8"/>
        <rFont val="Arial Narrow"/>
        <family val="2"/>
      </rPr>
      <t xml:space="preserve">
Porcentaje de compromisos derivados de los hallazgos de las Auditorías Internas que son de responsabilidad del Departamento Gestión y Desarrollo de Personas implementados en el año t.</t>
    </r>
  </si>
  <si>
    <t>(Número de compromisos derivados de los hallazgos de Auditoria Internas implementados en el año t / Número total de compromisos adquiridos por el Departamento Gestión y Desarrollo de Personas derivados de las Auditorías Internas en el año t)*100</t>
  </si>
  <si>
    <t>Subdireccion de Sist Inform y Adm
Depto Gerstión y Desarrollo de Personas</t>
  </si>
  <si>
    <t>Consuelo Rebolledo Rebolledo (S)</t>
  </si>
  <si>
    <t>Claudia Andrea Ordóñez Zamudio</t>
  </si>
  <si>
    <t>(Número de compromisos derivados de los hallazgos de Auditoria Internas implementados en el año t</t>
  </si>
  <si>
    <t xml:space="preserve">Valor indicador=   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</si>
  <si>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</si>
  <si>
    <t>CDC: Departamento Gestión y Desarrollo de Personas</t>
  </si>
  <si>
    <t xml:space="preserve">Operando 1=   </t>
  </si>
  <si>
    <t>Número total de compromisos adquiridos por el Departamento Gestión y Desarrollo de Personas derivados de las Auditorías Internas en el año t)*100</t>
  </si>
  <si>
    <t xml:space="preserve">Operando 2=    </t>
  </si>
  <si>
    <t>5.3.1.19</t>
  </si>
  <si>
    <r>
      <t xml:space="preserve">2) Calidad/Producto
</t>
    </r>
    <r>
      <rPr>
        <sz val="8"/>
        <rFont val="Arial Narrow"/>
        <family val="2"/>
      </rPr>
      <t>Porcentaje de actividades de capacitaciones formación realizadas a las cuales se les aplicó medición de resultados enel año t.</t>
    </r>
  </si>
  <si>
    <t>( N° de actividades de capacitaciones y formaciór realizadas a las cuales se les aplicó medición de resultados en el año t / N° total de actividades de capacitaciones y formación realizadas en el año t)</t>
  </si>
  <si>
    <t xml:space="preserve"> N° de actividades de capacitaciones y formaciór realizadas a las cuales se les aplicó medición de resultados en el año t</t>
  </si>
  <si>
    <t>Reportes/Informes
- Reporte de las actividades de capacitación y formación realizadas a las cuales se les aplicó medición de resultados.</t>
  </si>
  <si>
    <t>N° total de actividades de capacitaciones y formación realizadas en el año t</t>
  </si>
  <si>
    <t> </t>
  </si>
  <si>
    <t>5.1.3.46</t>
  </si>
  <si>
    <t xml:space="preserve">5.-Proceso de Apoyo
5.7.-Gestión Documental 
5.7.1.-Gestión Documental y Transparencia
</t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</si>
  <si>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</si>
  <si>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</si>
  <si>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Subdirección Sistemas de Información y Administración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</si>
  <si>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</si>
  <si>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</si>
  <si>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</si>
  <si>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</si>
  <si>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Reportes/Informes
-	Informe de ejecución presupuestaria emitido por el Subdepartamento de Presupuesto del Departamento de Finanzas.</t>
  </si>
  <si>
    <t xml:space="preserve"> 
CDC: Div. Beneficio,Subdirección Clientes, División Informática, Subdirección Sistema de información y Administración, División Planificación y Desarrollo, Departamento Comunicaciones</t>
  </si>
  <si>
    <t>(N° total de hitos de control definidos de ejecución presupuestaria a nivel de los Subtítulos 22 y 29) *100</t>
  </si>
  <si>
    <t>5.3.1.61</t>
  </si>
  <si>
    <r>
      <rPr>
        <b/>
        <u/>
        <sz val="8"/>
        <rFont val="Arial Narrow"/>
        <family val="2"/>
      </rPr>
      <t>4) Eficacia /Proceso</t>
    </r>
    <r>
      <rPr>
        <sz val="8"/>
        <rFont val="Arial Narrow"/>
        <family val="2"/>
      </rPr>
      <t xml:space="preserve">
Porcentaje de hitos cumplidos en el plan de trabajo para abordar las brechas identificadas y priorizadas en relación a la Norma Chilena 3262 de las dimensiones que son ejecutadas por el Departamento Gestión y Desarrollo de Personas, en el año t.</t>
    </r>
  </si>
  <si>
    <t>(Sumatoria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</si>
  <si>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</si>
  <si>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</si>
  <si>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</si>
  <si>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>5.3.1.62</t>
  </si>
  <si>
    <r>
      <rPr>
        <b/>
        <u/>
        <sz val="8"/>
        <rFont val="Arial Narrow"/>
        <family val="2"/>
      </rPr>
      <t xml:space="preserve">5) Eficacia/Proceso
</t>
    </r>
    <r>
      <rPr>
        <sz val="8"/>
        <rFont val="Arial Narrow"/>
        <family val="2"/>
      </rPr>
      <t>Porcentaje de hitos cumplidos en el plan de trabajo para reforzar las medidas de control interno respecto de cumplimiento de jomada laboral, control de asistencia y licencias médicas en el año t.</t>
    </r>
  </si>
  <si>
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</si>
  <si>
    <t>Sumatoria de actividades cumplidas del Plan de Trabajo del Sistema de Integridad en el año t</t>
  </si>
  <si>
    <t>Reportes/Informes
- Plan de trabajo para reforzar las medidas de control interno respecto cumplimiento de de jornada laboral, control de asistencia y licencias médicas.
- Medios de verificación de las actividades definidas en el plan.</t>
  </si>
  <si>
    <t>Número total de actividades definidas en el Plan de Trabajo del Sistema de Integridad en el año t)*100</t>
  </si>
  <si>
    <t xml:space="preserve"> </t>
  </si>
  <si>
    <t>DIVISIÓN PLANIFICACIÓN</t>
  </si>
  <si>
    <t>Y DESARROLLO</t>
  </si>
  <si>
    <t xml:space="preserve">Fecha: </t>
  </si>
  <si>
    <t xml:space="preserve">Aprobado por: </t>
  </si>
  <si>
    <t>CENTRO DE RESPONSABILIDAD: DEPARTAMENTO GESTION DE PERSONAS</t>
  </si>
  <si>
    <t>Cumplimiento
Proyectado
2026</t>
  </si>
  <si>
    <t>5.4.2.36</t>
  </si>
  <si>
    <t>5.- Proceso de Apoyo
5.3.-Personas
5.3.1-Gestión Personas</t>
  </si>
  <si>
    <r>
      <rPr>
        <b/>
        <u/>
        <sz val="8"/>
        <rFont val="Arial Narrow"/>
        <family val="2"/>
      </rPr>
      <t>Eficiencia/Calidad</t>
    </r>
    <r>
      <rPr>
        <sz val="8"/>
        <rFont val="Arial Narrow"/>
        <family val="2"/>
      </rPr>
      <t xml:space="preserve">
Riegos Psicosociales Laborales</t>
    </r>
  </si>
  <si>
    <t>(Sumatoria de requisitos técnicos cumplidos del Sistema Riesgos Psicosociales Laborales en el año t /Total de requisitos técnicos programados cumplir del sistema Riesgos Psicosociales Laborales en el año t) *100</t>
  </si>
  <si>
    <t>Natalia Aravena</t>
  </si>
  <si>
    <t>Sumatoria de requisitos técnicos cumplidos del Sistema Riesgos Psicosociales Laborales en el año t</t>
  </si>
  <si>
    <t>Reportes/Informes
-	Medios de verificación requisitos técnicos</t>
  </si>
  <si>
    <t>PMG 2026 Etapa 1 y Etapa 2</t>
  </si>
  <si>
    <t>Total de requisitos técnicos programados cumplir del sistema Riesgos Psicosociales Laborales en el año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</si>
</sst>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8"/>
      <color indexed="8"/>
      <name val="Arial Narrow"/>
      <family val="2"/>
    </font>
    <font>
      <b/>
      <sz val="8"/>
      <color rgb="FFFF0000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7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0" borderId="5" xfId="4" applyFont="1" applyBorder="1" applyAlignment="1">
      <alignment vertical="center"/>
    </xf>
    <xf numFmtId="10" fontId="5" fillId="5" borderId="8" xfId="4" applyNumberFormat="1" applyFont="1" applyFill="1" applyBorder="1" applyAlignment="1" applyProtection="1">
      <alignment horizontal="right" vertical="center"/>
    </xf>
    <xf numFmtId="10" fontId="5" fillId="2" borderId="7" xfId="4" applyNumberFormat="1" applyFont="1" applyFill="1" applyBorder="1" applyAlignment="1" applyProtection="1">
      <alignment vertical="center"/>
    </xf>
    <xf numFmtId="9" fontId="5" fillId="0" borderId="8" xfId="4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3" fontId="5" fillId="3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3" borderId="10" xfId="0" applyNumberFormat="1" applyFont="1" applyFill="1" applyBorder="1" applyAlignment="1">
      <alignment horizontal="righ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9" fontId="5" fillId="0" borderId="10" xfId="4" applyFont="1" applyBorder="1" applyAlignment="1">
      <alignment vertical="center"/>
    </xf>
    <xf numFmtId="10" fontId="4" fillId="7" borderId="8" xfId="4" applyNumberFormat="1" applyFont="1" applyFill="1" applyBorder="1" applyAlignment="1" applyProtection="1">
      <alignment horizontal="right" vertical="center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0" fontId="12" fillId="0" borderId="0" xfId="0" applyFont="1"/>
    <xf numFmtId="3" fontId="5" fillId="5" borderId="8" xfId="0" applyNumberFormat="1" applyFont="1" applyFill="1" applyBorder="1" applyAlignment="1">
      <alignment horizontal="right" vertical="center" wrapText="1"/>
    </xf>
    <xf numFmtId="3" fontId="5" fillId="5" borderId="10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left"/>
    </xf>
    <xf numFmtId="10" fontId="5" fillId="2" borderId="8" xfId="7" applyNumberFormat="1" applyFont="1" applyFill="1" applyBorder="1" applyAlignment="1">
      <alignment vertical="center"/>
    </xf>
    <xf numFmtId="0" fontId="14" fillId="0" borderId="5" xfId="0" applyFont="1" applyBorder="1" applyAlignment="1">
      <alignment horizontal="left" vertical="center" wrapText="1"/>
    </xf>
    <xf numFmtId="9" fontId="14" fillId="0" borderId="5" xfId="4" applyFont="1" applyBorder="1" applyAlignment="1">
      <alignment vertical="center"/>
    </xf>
    <xf numFmtId="9" fontId="14" fillId="0" borderId="8" xfId="4" applyFont="1" applyBorder="1" applyAlignment="1">
      <alignment vertical="center"/>
    </xf>
    <xf numFmtId="0" fontId="14" fillId="0" borderId="8" xfId="0" applyFont="1" applyBorder="1" applyAlignment="1">
      <alignment horizontal="left" vertical="center" wrapText="1"/>
    </xf>
    <xf numFmtId="3" fontId="14" fillId="3" borderId="8" xfId="0" applyNumberFormat="1" applyFont="1" applyFill="1" applyBorder="1" applyAlignment="1">
      <alignment horizontal="right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10" fontId="14" fillId="0" borderId="8" xfId="4" applyNumberFormat="1" applyFont="1" applyBorder="1" applyAlignment="1">
      <alignment horizontal="center" vertical="center"/>
    </xf>
    <xf numFmtId="3" fontId="14" fillId="0" borderId="8" xfId="0" applyNumberFormat="1" applyFont="1" applyBorder="1" applyAlignment="1">
      <alignment horizontal="left" vertical="center" wrapText="1"/>
    </xf>
    <xf numFmtId="3" fontId="14" fillId="2" borderId="7" xfId="0" applyNumberFormat="1" applyFont="1" applyFill="1" applyBorder="1" applyAlignment="1">
      <alignment horizontal="left" vertical="center" wrapText="1"/>
    </xf>
    <xf numFmtId="3" fontId="14" fillId="3" borderId="10" xfId="0" applyNumberFormat="1" applyFont="1" applyFill="1" applyBorder="1" applyAlignment="1">
      <alignment horizontal="right" vertical="center" wrapText="1"/>
    </xf>
    <xf numFmtId="3" fontId="14" fillId="2" borderId="9" xfId="0" applyNumberFormat="1" applyFont="1" applyFill="1" applyBorder="1" applyAlignment="1">
      <alignment horizontal="right" vertical="center" wrapText="1"/>
    </xf>
    <xf numFmtId="9" fontId="14" fillId="0" borderId="10" xfId="4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2" fontId="5" fillId="5" borderId="8" xfId="4" applyNumberFormat="1" applyFont="1" applyFill="1" applyBorder="1" applyAlignment="1" applyProtection="1">
      <alignment horizontal="right" vertical="center"/>
    </xf>
    <xf numFmtId="2" fontId="5" fillId="3" borderId="8" xfId="4" applyNumberFormat="1" applyFont="1" applyFill="1" applyBorder="1" applyAlignment="1" applyProtection="1">
      <alignment horizontal="right" vertical="center"/>
    </xf>
    <xf numFmtId="2" fontId="5" fillId="2" borderId="7" xfId="4" applyNumberFormat="1" applyFont="1" applyFill="1" applyBorder="1" applyAlignment="1" applyProtection="1">
      <alignment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14" fillId="6" borderId="8" xfId="0" applyNumberFormat="1" applyFont="1" applyFill="1" applyBorder="1" applyAlignment="1">
      <alignment horizontal="righ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3" fontId="14" fillId="6" borderId="10" xfId="0" applyNumberFormat="1" applyFont="1" applyFill="1" applyBorder="1" applyAlignment="1">
      <alignment horizontal="right" vertical="center" wrapText="1"/>
    </xf>
    <xf numFmtId="9" fontId="7" fillId="0" borderId="0" xfId="0" applyNumberFormat="1" applyFont="1"/>
    <xf numFmtId="0" fontId="11" fillId="0" borderId="0" xfId="2" applyFont="1"/>
    <xf numFmtId="0" fontId="18" fillId="0" borderId="0" xfId="2" applyFont="1" applyAlignment="1">
      <alignment horizontal="center"/>
    </xf>
    <xf numFmtId="0" fontId="18" fillId="0" borderId="0" xfId="2" applyFont="1"/>
    <xf numFmtId="0" fontId="17" fillId="0" borderId="0" xfId="2" applyFont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7" fillId="0" borderId="0" xfId="2" applyFont="1"/>
    <xf numFmtId="0" fontId="19" fillId="0" borderId="0" xfId="2" applyFont="1" applyAlignment="1">
      <alignment horizontal="center"/>
    </xf>
    <xf numFmtId="0" fontId="19" fillId="0" borderId="0" xfId="2" applyFont="1"/>
    <xf numFmtId="0" fontId="17" fillId="0" borderId="0" xfId="2" applyFont="1" applyAlignment="1">
      <alignment horizontal="left"/>
    </xf>
    <xf numFmtId="0" fontId="3" fillId="0" borderId="0" xfId="2" applyFont="1"/>
    <xf numFmtId="0" fontId="3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20" fillId="0" borderId="0" xfId="2" applyFont="1"/>
    <xf numFmtId="3" fontId="18" fillId="0" borderId="0" xfId="2" applyNumberFormat="1" applyFont="1" applyAlignment="1">
      <alignment horizontal="center"/>
    </xf>
    <xf numFmtId="0" fontId="18" fillId="0" borderId="4" xfId="2" applyFont="1" applyBorder="1" applyAlignment="1">
      <alignment horizontal="center"/>
    </xf>
    <xf numFmtId="3" fontId="18" fillId="0" borderId="4" xfId="2" applyNumberFormat="1" applyFont="1" applyBorder="1" applyAlignment="1">
      <alignment horizontal="center"/>
    </xf>
    <xf numFmtId="0" fontId="3" fillId="0" borderId="0" xfId="2" applyFont="1" applyAlignment="1">
      <alignment horizontal="center" vertical="center"/>
    </xf>
    <xf numFmtId="0" fontId="4" fillId="0" borderId="0" xfId="2" applyFont="1"/>
    <xf numFmtId="0" fontId="14" fillId="0" borderId="5" xfId="2" applyFont="1" applyBorder="1" applyAlignment="1">
      <alignment horizontal="left" vertical="center" wrapText="1"/>
    </xf>
    <xf numFmtId="0" fontId="14" fillId="2" borderId="6" xfId="2" applyFont="1" applyFill="1" applyBorder="1" applyAlignment="1">
      <alignment horizontal="left" vertical="center" wrapText="1"/>
    </xf>
    <xf numFmtId="0" fontId="5" fillId="0" borderId="0" xfId="2" applyFont="1"/>
    <xf numFmtId="10" fontId="15" fillId="7" borderId="8" xfId="4" applyNumberFormat="1" applyFont="1" applyFill="1" applyBorder="1" applyAlignment="1" applyProtection="1">
      <alignment horizontal="right" vertical="center"/>
    </xf>
    <xf numFmtId="10" fontId="14" fillId="3" borderId="8" xfId="4" applyNumberFormat="1" applyFont="1" applyFill="1" applyBorder="1" applyAlignment="1" applyProtection="1">
      <alignment horizontal="right" vertical="center"/>
    </xf>
    <xf numFmtId="10" fontId="14" fillId="2" borderId="7" xfId="4" applyNumberFormat="1" applyFont="1" applyFill="1" applyBorder="1" applyAlignment="1" applyProtection="1">
      <alignment vertical="center"/>
    </xf>
    <xf numFmtId="0" fontId="14" fillId="0" borderId="8" xfId="2" applyFont="1" applyBorder="1" applyAlignment="1">
      <alignment horizontal="left" vertical="center" wrapText="1"/>
    </xf>
    <xf numFmtId="0" fontId="14" fillId="2" borderId="7" xfId="2" applyFont="1" applyFill="1" applyBorder="1" applyAlignment="1">
      <alignment horizontal="left" vertical="center" wrapText="1"/>
    </xf>
    <xf numFmtId="3" fontId="14" fillId="6" borderId="8" xfId="2" applyNumberFormat="1" applyFont="1" applyFill="1" applyBorder="1" applyAlignment="1">
      <alignment horizontal="right" vertical="center" wrapText="1"/>
    </xf>
    <xf numFmtId="3" fontId="14" fillId="3" borderId="8" xfId="2" applyNumberFormat="1" applyFont="1" applyFill="1" applyBorder="1" applyAlignment="1">
      <alignment horizontal="right" vertical="center" wrapText="1"/>
    </xf>
    <xf numFmtId="3" fontId="14" fillId="2" borderId="8" xfId="2" applyNumberFormat="1" applyFont="1" applyFill="1" applyBorder="1" applyAlignment="1">
      <alignment horizontal="right" vertical="center" wrapText="1"/>
    </xf>
    <xf numFmtId="3" fontId="14" fillId="0" borderId="8" xfId="2" applyNumberFormat="1" applyFont="1" applyBorder="1" applyAlignment="1">
      <alignment horizontal="left" vertical="center" wrapText="1"/>
    </xf>
    <xf numFmtId="3" fontId="14" fillId="2" borderId="7" xfId="2" applyNumberFormat="1" applyFont="1" applyFill="1" applyBorder="1" applyAlignment="1">
      <alignment horizontal="left" vertical="center" wrapText="1"/>
    </xf>
    <xf numFmtId="3" fontId="14" fillId="6" borderId="10" xfId="2" applyNumberFormat="1" applyFont="1" applyFill="1" applyBorder="1" applyAlignment="1">
      <alignment horizontal="right" vertical="center" wrapText="1"/>
    </xf>
    <xf numFmtId="3" fontId="14" fillId="3" borderId="10" xfId="2" applyNumberFormat="1" applyFont="1" applyFill="1" applyBorder="1" applyAlignment="1">
      <alignment horizontal="right" vertical="center" wrapText="1"/>
    </xf>
    <xf numFmtId="3" fontId="14" fillId="2" borderId="9" xfId="2" applyNumberFormat="1" applyFont="1" applyFill="1" applyBorder="1" applyAlignment="1">
      <alignment horizontal="right" vertical="center" wrapText="1"/>
    </xf>
    <xf numFmtId="0" fontId="22" fillId="0" borderId="0" xfId="2" applyFont="1"/>
    <xf numFmtId="0" fontId="14" fillId="0" borderId="0" xfId="2" applyFont="1"/>
    <xf numFmtId="0" fontId="14" fillId="0" borderId="0" xfId="2" applyFont="1" applyAlignment="1">
      <alignment horizontal="center"/>
    </xf>
    <xf numFmtId="0" fontId="17" fillId="0" borderId="0" xfId="2" applyFont="1"/>
    <xf numFmtId="0" fontId="14" fillId="0" borderId="0" xfId="2" applyFont="1" applyAlignment="1">
      <alignment horizontal="left" vertical="center" wrapText="1"/>
    </xf>
    <xf numFmtId="9" fontId="14" fillId="0" borderId="0" xfId="4" applyFont="1" applyFill="1" applyBorder="1" applyAlignment="1">
      <alignment vertical="center"/>
    </xf>
    <xf numFmtId="10" fontId="15" fillId="0" borderId="0" xfId="4" applyNumberFormat="1" applyFont="1" applyFill="1" applyBorder="1" applyAlignment="1" applyProtection="1">
      <alignment horizontal="right" vertical="center"/>
    </xf>
    <xf numFmtId="10" fontId="14" fillId="0" borderId="0" xfId="4" applyNumberFormat="1" applyFont="1" applyFill="1" applyBorder="1" applyAlignment="1" applyProtection="1">
      <alignment horizontal="right" vertical="center"/>
    </xf>
    <xf numFmtId="10" fontId="14" fillId="0" borderId="0" xfId="4" applyNumberFormat="1" applyFont="1" applyFill="1" applyBorder="1" applyAlignment="1" applyProtection="1">
      <alignment vertical="center"/>
    </xf>
    <xf numFmtId="10" fontId="14" fillId="0" borderId="0" xfId="4" applyNumberFormat="1" applyFont="1" applyFill="1" applyBorder="1" applyAlignment="1">
      <alignment vertical="center"/>
    </xf>
    <xf numFmtId="3" fontId="14" fillId="0" borderId="0" xfId="2" applyNumberFormat="1" applyFont="1" applyAlignment="1">
      <alignment horizontal="right" vertical="center" wrapText="1"/>
    </xf>
    <xf numFmtId="10" fontId="14" fillId="0" borderId="0" xfId="4" applyNumberFormat="1" applyFont="1" applyFill="1" applyBorder="1" applyAlignment="1">
      <alignment horizontal="center" vertical="center"/>
    </xf>
    <xf numFmtId="3" fontId="14" fillId="0" borderId="0" xfId="2" applyNumberFormat="1" applyFont="1" applyAlignment="1">
      <alignment horizontal="left" vertical="center" wrapText="1"/>
    </xf>
    <xf numFmtId="0" fontId="7" fillId="0" borderId="0" xfId="2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0" fontId="5" fillId="4" borderId="5" xfId="0" applyNumberFormat="1" applyFont="1" applyFill="1" applyBorder="1" applyAlignment="1">
      <alignment horizontal="center" vertical="center" wrapText="1"/>
    </xf>
    <xf numFmtId="10" fontId="5" fillId="4" borderId="8" xfId="0" applyNumberFormat="1" applyFont="1" applyFill="1" applyBorder="1" applyAlignment="1">
      <alignment horizontal="center" vertical="center" wrapText="1"/>
    </xf>
    <xf numFmtId="10" fontId="5" fillId="4" borderId="10" xfId="0" applyNumberFormat="1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6" xfId="4" applyNumberFormat="1" applyFont="1" applyBorder="1" applyAlignment="1">
      <alignment horizontal="left" vertical="center" wrapText="1"/>
    </xf>
    <xf numFmtId="164" fontId="5" fillId="0" borderId="7" xfId="4" applyNumberFormat="1" applyFont="1" applyBorder="1" applyAlignment="1">
      <alignment horizontal="left" vertical="center" wrapText="1"/>
    </xf>
    <xf numFmtId="164" fontId="5" fillId="0" borderId="9" xfId="4" applyNumberFormat="1" applyFont="1" applyBorder="1" applyAlignment="1">
      <alignment horizontal="left" vertical="center" wrapText="1"/>
    </xf>
    <xf numFmtId="164" fontId="5" fillId="0" borderId="5" xfId="4" applyNumberFormat="1" applyFont="1" applyBorder="1" applyAlignment="1">
      <alignment horizontal="left" vertical="center" wrapText="1"/>
    </xf>
    <xf numFmtId="164" fontId="5" fillId="0" borderId="8" xfId="4" applyNumberFormat="1" applyFont="1" applyBorder="1" applyAlignment="1">
      <alignment horizontal="left" vertical="center" wrapText="1"/>
    </xf>
    <xf numFmtId="164" fontId="5" fillId="0" borderId="10" xfId="4" applyNumberFormat="1" applyFont="1" applyBorder="1" applyAlignment="1">
      <alignment horizontal="left" vertical="center" wrapText="1"/>
    </xf>
    <xf numFmtId="9" fontId="5" fillId="8" borderId="5" xfId="4" applyFont="1" applyFill="1" applyBorder="1" applyAlignment="1">
      <alignment horizontal="center" vertical="center" wrapText="1"/>
    </xf>
    <xf numFmtId="9" fontId="5" fillId="8" borderId="8" xfId="4" applyFont="1" applyFill="1" applyBorder="1" applyAlignment="1">
      <alignment horizontal="center" vertical="center" wrapText="1"/>
    </xf>
    <xf numFmtId="9" fontId="5" fillId="8" borderId="10" xfId="4" applyFont="1" applyFill="1" applyBorder="1" applyAlignment="1">
      <alignment horizontal="center" vertical="center" wrapText="1"/>
    </xf>
    <xf numFmtId="164" fontId="5" fillId="0" borderId="20" xfId="4" applyNumberFormat="1" applyFont="1" applyBorder="1" applyAlignment="1">
      <alignment horizontal="left" vertical="center" wrapText="1"/>
    </xf>
    <xf numFmtId="164" fontId="5" fillId="0" borderId="21" xfId="4" applyNumberFormat="1" applyFont="1" applyBorder="1" applyAlignment="1">
      <alignment horizontal="left" vertical="center" wrapText="1"/>
    </xf>
    <xf numFmtId="164" fontId="5" fillId="0" borderId="22" xfId="4" applyNumberFormat="1" applyFont="1" applyBorder="1" applyAlignment="1">
      <alignment horizontal="left" vertical="center" wrapText="1"/>
    </xf>
    <xf numFmtId="1" fontId="5" fillId="8" borderId="5" xfId="0" applyNumberFormat="1" applyFont="1" applyFill="1" applyBorder="1" applyAlignment="1">
      <alignment horizontal="left" vertical="center" wrapText="1"/>
    </xf>
    <xf numFmtId="1" fontId="5" fillId="8" borderId="8" xfId="0" applyNumberFormat="1" applyFont="1" applyFill="1" applyBorder="1" applyAlignment="1">
      <alignment horizontal="left" vertical="center" wrapText="1"/>
    </xf>
    <xf numFmtId="1" fontId="5" fillId="8" borderId="10" xfId="0" applyNumberFormat="1" applyFont="1" applyFill="1" applyBorder="1" applyAlignment="1">
      <alignment horizontal="left" vertical="center" wrapText="1"/>
    </xf>
    <xf numFmtId="1" fontId="5" fillId="4" borderId="5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12" fillId="4" borderId="10" xfId="0" applyNumberFormat="1" applyFont="1" applyFill="1" applyBorder="1" applyAlignment="1">
      <alignment horizontal="left" vertical="center" wrapText="1"/>
    </xf>
    <xf numFmtId="164" fontId="5" fillId="0" borderId="5" xfId="4" applyNumberFormat="1" applyFont="1" applyFill="1" applyBorder="1" applyAlignment="1">
      <alignment horizontal="left" vertical="center" wrapText="1"/>
    </xf>
    <xf numFmtId="164" fontId="5" fillId="0" borderId="8" xfId="4" applyNumberFormat="1" applyFont="1" applyFill="1" applyBorder="1" applyAlignment="1">
      <alignment horizontal="left" vertical="center" wrapText="1"/>
    </xf>
    <xf numFmtId="164" fontId="5" fillId="0" borderId="10" xfId="4" applyNumberFormat="1" applyFont="1" applyFill="1" applyBorder="1" applyAlignment="1">
      <alignment horizontal="left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1" fontId="5" fillId="4" borderId="8" xfId="0" applyNumberFormat="1" applyFont="1" applyFill="1" applyBorder="1" applyAlignment="1">
      <alignment horizontal="left" vertical="center" wrapText="1"/>
    </xf>
    <xf numFmtId="1" fontId="5" fillId="4" borderId="10" xfId="0" applyNumberFormat="1" applyFont="1" applyFill="1" applyBorder="1" applyAlignment="1">
      <alignment horizontal="left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9" fontId="14" fillId="8" borderId="5" xfId="0" applyNumberFormat="1" applyFont="1" applyFill="1" applyBorder="1" applyAlignment="1">
      <alignment horizontal="left" vertical="center" wrapText="1"/>
    </xf>
    <xf numFmtId="9" fontId="14" fillId="8" borderId="8" xfId="0" applyNumberFormat="1" applyFont="1" applyFill="1" applyBorder="1" applyAlignment="1">
      <alignment horizontal="left" vertical="center" wrapText="1"/>
    </xf>
    <xf numFmtId="0" fontId="14" fillId="8" borderId="10" xfId="0" applyFont="1" applyFill="1" applyBorder="1" applyAlignment="1">
      <alignment wrapText="1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8" xfId="4" applyNumberFormat="1" applyFont="1" applyBorder="1" applyAlignment="1">
      <alignment horizontal="left" vertical="center" wrapText="1"/>
    </xf>
    <xf numFmtId="164" fontId="14" fillId="0" borderId="10" xfId="4" applyNumberFormat="1" applyFont="1" applyBorder="1" applyAlignment="1">
      <alignment horizontal="left" vertical="center" wrapText="1"/>
    </xf>
    <xf numFmtId="0" fontId="14" fillId="8" borderId="8" xfId="0" applyFont="1" applyFill="1" applyBorder="1" applyAlignment="1">
      <alignment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5" fillId="8" borderId="5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8" borderId="10" xfId="2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9" fontId="14" fillId="8" borderId="5" xfId="4" applyFont="1" applyFill="1" applyBorder="1" applyAlignment="1">
      <alignment horizontal="center" vertical="center" wrapText="1"/>
    </xf>
    <xf numFmtId="9" fontId="14" fillId="8" borderId="8" xfId="4" applyFont="1" applyFill="1" applyBorder="1" applyAlignment="1">
      <alignment horizontal="center" vertical="center" wrapText="1"/>
    </xf>
    <xf numFmtId="9" fontId="14" fillId="8" borderId="10" xfId="4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10" fontId="5" fillId="8" borderId="5" xfId="0" applyNumberFormat="1" applyFont="1" applyFill="1" applyBorder="1" applyAlignment="1">
      <alignment horizontal="center" vertical="center" wrapText="1"/>
    </xf>
    <xf numFmtId="10" fontId="5" fillId="8" borderId="8" xfId="0" applyNumberFormat="1" applyFont="1" applyFill="1" applyBorder="1" applyAlignment="1">
      <alignment horizontal="center" vertical="center" wrapText="1"/>
    </xf>
    <xf numFmtId="10" fontId="5" fillId="8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10" fontId="5" fillId="8" borderId="5" xfId="4" applyNumberFormat="1" applyFont="1" applyFill="1" applyBorder="1" applyAlignment="1">
      <alignment horizontal="center" vertical="center" wrapText="1"/>
    </xf>
    <xf numFmtId="10" fontId="5" fillId="8" borderId="8" xfId="4" applyNumberFormat="1" applyFont="1" applyFill="1" applyBorder="1" applyAlignment="1">
      <alignment horizontal="center" vertical="center" wrapText="1"/>
    </xf>
    <xf numFmtId="10" fontId="5" fillId="8" borderId="10" xfId="4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vertical="top" wrapText="1"/>
    </xf>
    <xf numFmtId="0" fontId="24" fillId="0" borderId="0" xfId="2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10" fontId="14" fillId="0" borderId="0" xfId="4" applyNumberFormat="1" applyFont="1" applyFill="1" applyBorder="1" applyAlignment="1">
      <alignment horizontal="center" vertical="center" wrapText="1"/>
    </xf>
    <xf numFmtId="1" fontId="14" fillId="0" borderId="0" xfId="2" applyNumberFormat="1" applyFont="1" applyAlignment="1">
      <alignment horizontal="center" vertical="center" wrapText="1"/>
    </xf>
    <xf numFmtId="164" fontId="14" fillId="0" borderId="0" xfId="4" applyNumberFormat="1" applyFont="1" applyFill="1" applyBorder="1" applyAlignment="1">
      <alignment horizontal="left" vertical="center" wrapText="1"/>
    </xf>
    <xf numFmtId="0" fontId="14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23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/>
    </xf>
    <xf numFmtId="0" fontId="14" fillId="0" borderId="0" xfId="2" applyFont="1" applyAlignment="1">
      <alignment horizontal="left" vertical="center" wrapText="1"/>
    </xf>
    <xf numFmtId="0" fontId="14" fillId="0" borderId="0" xfId="2" applyFont="1" applyAlignment="1">
      <alignment horizontal="left"/>
    </xf>
    <xf numFmtId="0" fontId="15" fillId="0" borderId="0" xfId="2" applyFont="1" applyAlignment="1">
      <alignment horizontal="left" vertical="center" wrapText="1"/>
    </xf>
    <xf numFmtId="9" fontId="24" fillId="0" borderId="0" xfId="2" applyNumberFormat="1" applyFont="1" applyAlignment="1">
      <alignment horizontal="center" vertical="center" wrapText="1"/>
    </xf>
    <xf numFmtId="1" fontId="14" fillId="8" borderId="5" xfId="2" applyNumberFormat="1" applyFont="1" applyFill="1" applyBorder="1" applyAlignment="1">
      <alignment horizontal="left" vertical="center" wrapText="1"/>
    </xf>
    <xf numFmtId="1" fontId="14" fillId="8" borderId="8" xfId="2" applyNumberFormat="1" applyFont="1" applyFill="1" applyBorder="1" applyAlignment="1">
      <alignment horizontal="left" vertical="center" wrapText="1"/>
    </xf>
    <xf numFmtId="1" fontId="14" fillId="8" borderId="10" xfId="2" applyNumberFormat="1" applyFont="1" applyFill="1" applyBorder="1" applyAlignment="1">
      <alignment horizontal="left" vertical="center" wrapText="1"/>
    </xf>
    <xf numFmtId="164" fontId="21" fillId="0" borderId="5" xfId="4" applyNumberFormat="1" applyFont="1" applyBorder="1" applyAlignment="1">
      <alignment horizontal="left" vertical="center" wrapText="1"/>
    </xf>
    <xf numFmtId="164" fontId="14" fillId="0" borderId="5" xfId="4" applyNumberFormat="1" applyFont="1" applyFill="1" applyBorder="1" applyAlignment="1">
      <alignment horizontal="left" vertical="center" wrapText="1"/>
    </xf>
    <xf numFmtId="164" fontId="14" fillId="0" borderId="8" xfId="4" applyNumberFormat="1" applyFont="1" applyFill="1" applyBorder="1" applyAlignment="1">
      <alignment horizontal="left" vertical="center" wrapText="1"/>
    </xf>
    <xf numFmtId="164" fontId="14" fillId="0" borderId="10" xfId="4" applyNumberFormat="1" applyFont="1" applyFill="1" applyBorder="1" applyAlignment="1">
      <alignment horizontal="left" vertical="center" wrapText="1"/>
    </xf>
    <xf numFmtId="0" fontId="14" fillId="4" borderId="5" xfId="2" applyFont="1" applyFill="1" applyBorder="1" applyAlignment="1">
      <alignment horizontal="center" vertical="center" wrapText="1"/>
    </xf>
    <xf numFmtId="0" fontId="14" fillId="4" borderId="8" xfId="2" applyFont="1" applyFill="1" applyBorder="1" applyAlignment="1">
      <alignment horizontal="center" vertical="center" wrapText="1"/>
    </xf>
    <xf numFmtId="0" fontId="14" fillId="4" borderId="10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8" borderId="8" xfId="2" applyFont="1" applyFill="1" applyBorder="1" applyAlignment="1">
      <alignment horizontal="center" vertical="center"/>
    </xf>
    <xf numFmtId="0" fontId="14" fillId="8" borderId="10" xfId="2" applyFont="1" applyFill="1" applyBorder="1" applyAlignment="1">
      <alignment horizontal="center" vertical="center"/>
    </xf>
    <xf numFmtId="0" fontId="5" fillId="8" borderId="5" xfId="2" applyFont="1" applyFill="1" applyBorder="1" applyAlignment="1">
      <alignment horizontal="left" vertical="center" wrapText="1"/>
    </xf>
    <xf numFmtId="0" fontId="5" fillId="8" borderId="8" xfId="2" applyFont="1" applyFill="1" applyBorder="1" applyAlignment="1">
      <alignment horizontal="left" vertical="center"/>
    </xf>
    <xf numFmtId="0" fontId="5" fillId="8" borderId="10" xfId="2" applyFont="1" applyFill="1" applyBorder="1" applyAlignment="1">
      <alignment horizontal="left" vertical="center"/>
    </xf>
    <xf numFmtId="0" fontId="14" fillId="8" borderId="5" xfId="2" applyFont="1" applyFill="1" applyBorder="1" applyAlignment="1">
      <alignment horizontal="center" vertical="center" wrapText="1"/>
    </xf>
    <xf numFmtId="0" fontId="14" fillId="8" borderId="8" xfId="2" applyFont="1" applyFill="1" applyBorder="1" applyAlignment="1">
      <alignment horizontal="center" vertical="center" wrapText="1"/>
    </xf>
    <xf numFmtId="0" fontId="14" fillId="8" borderId="10" xfId="2" applyFont="1" applyFill="1" applyBorder="1" applyAlignment="1">
      <alignment horizontal="center" vertical="center" wrapText="1"/>
    </xf>
    <xf numFmtId="10" fontId="14" fillId="8" borderId="5" xfId="2" applyNumberFormat="1" applyFont="1" applyFill="1" applyBorder="1" applyAlignment="1">
      <alignment horizontal="center" vertical="center" wrapText="1"/>
    </xf>
    <xf numFmtId="10" fontId="14" fillId="8" borderId="8" xfId="2" applyNumberFormat="1" applyFont="1" applyFill="1" applyBorder="1" applyAlignment="1">
      <alignment horizontal="center" vertical="center" wrapText="1"/>
    </xf>
    <xf numFmtId="10" fontId="14" fillId="8" borderId="10" xfId="2" applyNumberFormat="1" applyFont="1" applyFill="1" applyBorder="1" applyAlignment="1">
      <alignment horizontal="center" vertical="center" wrapText="1"/>
    </xf>
    <xf numFmtId="0" fontId="15" fillId="2" borderId="10" xfId="2" applyFont="1" applyFill="1" applyBorder="1" applyAlignment="1">
      <alignment horizontal="center" vertical="center"/>
    </xf>
    <xf numFmtId="0" fontId="15" fillId="0" borderId="10" xfId="2" applyFont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/>
    </xf>
    <xf numFmtId="0" fontId="15" fillId="2" borderId="17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11" fillId="0" borderId="14" xfId="2" applyFont="1" applyBorder="1" applyAlignment="1">
      <alignment horizontal="center"/>
    </xf>
    <xf numFmtId="0" fontId="11" fillId="0" borderId="15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6" xfId="2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11" fillId="0" borderId="3" xfId="2" applyFont="1" applyBorder="1" applyAlignment="1">
      <alignment horizontal="center"/>
    </xf>
    <xf numFmtId="0" fontId="17" fillId="0" borderId="18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7" fillId="0" borderId="15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8" fillId="0" borderId="14" xfId="2" applyFont="1" applyBorder="1" applyAlignment="1">
      <alignment horizontal="center" vertical="center" wrapText="1"/>
    </xf>
    <xf numFmtId="0" fontId="18" fillId="0" borderId="15" xfId="2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18" fillId="0" borderId="11" xfId="2" applyFont="1" applyBorder="1" applyAlignment="1">
      <alignment wrapText="1"/>
    </xf>
    <xf numFmtId="0" fontId="18" fillId="0" borderId="12" xfId="2" applyFont="1" applyBorder="1" applyAlignment="1">
      <alignment wrapText="1"/>
    </xf>
    <xf numFmtId="0" fontId="18" fillId="0" borderId="13" xfId="2" applyFont="1" applyBorder="1" applyAlignment="1">
      <alignment wrapText="1"/>
    </xf>
    <xf numFmtId="0" fontId="7" fillId="0" borderId="11" xfId="2" applyFont="1" applyBorder="1" applyAlignment="1">
      <alignment horizontal="left"/>
    </xf>
    <xf numFmtId="0" fontId="7" fillId="0" borderId="12" xfId="2" applyFont="1" applyBorder="1" applyAlignment="1">
      <alignment horizontal="left"/>
    </xf>
    <xf numFmtId="0" fontId="7" fillId="0" borderId="13" xfId="2" applyFont="1" applyBorder="1" applyAlignment="1">
      <alignment horizontal="left"/>
    </xf>
    <xf numFmtId="0" fontId="19" fillId="0" borderId="11" xfId="2" applyFont="1" applyBorder="1" applyAlignment="1">
      <alignment wrapText="1"/>
    </xf>
    <xf numFmtId="0" fontId="19" fillId="0" borderId="12" xfId="2" applyFont="1" applyBorder="1" applyAlignment="1">
      <alignment wrapText="1"/>
    </xf>
    <xf numFmtId="0" fontId="19" fillId="0" borderId="13" xfId="2" applyFont="1" applyBorder="1" applyAlignment="1">
      <alignment wrapText="1"/>
    </xf>
    <xf numFmtId="9" fontId="5" fillId="9" borderId="8" xfId="4" applyNumberFormat="1" applyFont="1" applyFill="1" applyBorder="1" applyAlignment="1">
      <alignment vertical="center"/>
    </xf>
    <xf numFmtId="9" fontId="5" fillId="2" borderId="8" xfId="4" applyNumberFormat="1" applyFont="1" applyFill="1" applyBorder="1" applyAlignment="1">
      <alignment vertical="center"/>
    </xf>
    <xf numFmtId="9" fontId="5" fillId="3" borderId="8" xfId="4" applyNumberFormat="1" applyFont="1" applyFill="1" applyBorder="1" applyAlignment="1">
      <alignment vertical="center"/>
    </xf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0" fontId="5" fillId="11" borderId="6" xfId="0" applyFont="1" applyFill="1" applyBorder="1" applyAlignment="1">
      <alignment wrapText="1"/>
    </xf>
    <xf numFmtId="10" fontId="4" fillId="12" borderId="8" xfId="0" applyNumberFormat="1" applyFont="1" applyFill="1" applyBorder="1" applyAlignment="1"/>
    <xf numFmtId="10" fontId="5" fillId="9" borderId="7" xfId="0" applyNumberFormat="1" applyFont="1" applyFill="1" applyBorder="1" applyAlignment="1"/>
    <xf numFmtId="10" fontId="5" fillId="11" borderId="7" xfId="0" applyNumberFormat="1" applyFont="1" applyFill="1" applyBorder="1" applyAlignment="1"/>
    <xf numFmtId="0" fontId="5" fillId="0" borderId="8" xfId="0" applyFont="1" applyFill="1" applyBorder="1" applyAlignment="1">
      <alignment wrapText="1"/>
    </xf>
    <xf numFmtId="0" fontId="5" fillId="0" borderId="7" xfId="0" applyFont="1" applyFill="1" applyBorder="1" applyAlignment="1">
      <alignment wrapText="1"/>
    </xf>
    <xf numFmtId="0" fontId="5" fillId="11" borderId="7" xfId="0" applyFont="1" applyFill="1" applyBorder="1" applyAlignment="1">
      <alignment wrapText="1"/>
    </xf>
    <xf numFmtId="0" fontId="5" fillId="13" borderId="8" xfId="0" applyFont="1" applyFill="1" applyBorder="1" applyAlignment="1">
      <alignment wrapText="1"/>
    </xf>
    <xf numFmtId="0" fontId="5" fillId="9" borderId="7" xfId="0" applyFont="1" applyFill="1" applyBorder="1" applyAlignment="1">
      <alignment wrapText="1"/>
    </xf>
    <xf numFmtId="0" fontId="5" fillId="13" borderId="10" xfId="0" applyFont="1" applyFill="1" applyBorder="1" applyAlignment="1">
      <alignment wrapText="1"/>
    </xf>
    <xf numFmtId="0" fontId="5" fillId="9" borderId="9" xfId="0" applyFont="1" applyFill="1" applyBorder="1" applyAlignment="1">
      <alignment wrapText="1"/>
    </xf>
    <xf numFmtId="0" fontId="5" fillId="11" borderId="9" xfId="0" applyFont="1" applyFill="1" applyBorder="1" applyAlignment="1">
      <alignment wrapText="1"/>
    </xf>
    <xf numFmtId="0" fontId="14" fillId="8" borderId="8" xfId="0" applyFont="1" applyFill="1" applyBorder="1" applyAlignment="1"/>
    <xf numFmtId="0" fontId="14" fillId="8" borderId="10" xfId="0" applyFont="1" applyFill="1" applyBorder="1" applyAlignment="1"/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494" name="Picture 67" descr="image002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D5B7EB2A-E9F2-4D7E-9A5D-302A3936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875" y="0"/>
          <a:ext cx="771525" cy="83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234"/>
  <sheetViews>
    <sheetView showGridLines="0" tabSelected="1" topLeftCell="A8" zoomScaleNormal="100" workbookViewId="0">
      <pane xSplit="3" ySplit="5" topLeftCell="R13" activePane="bottomRight" state="frozen"/>
      <selection pane="bottomRight" activeCell="AJ19" sqref="AJ19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4"/>
    <col min="2" max="4" width="26.7109375" style="4" customWidth="1"/>
    <col min="5" max="5" width="22.42578125" style="4" customWidth="1"/>
    <col min="6" max="6" width="14.5703125" style="4" customWidth="1"/>
    <col min="7" max="7" width="23.42578125" style="4" customWidth="1"/>
    <col min="8" max="8" width="18" style="4" customWidth="1"/>
    <col min="9" max="10" width="11.140625" style="4" customWidth="1"/>
    <col min="11" max="11" width="28.5703125" style="4" customWidth="1"/>
    <col min="12" max="12" width="17" style="4" customWidth="1"/>
    <col min="13" max="13" width="11.140625" style="4" customWidth="1"/>
    <col min="14" max="14" width="11.7109375" style="3" customWidth="1"/>
    <col min="15" max="35" width="10.7109375" style="3" customWidth="1"/>
    <col min="36" max="36" width="16" style="3" customWidth="1"/>
    <col min="37" max="37" width="20" style="3" customWidth="1"/>
    <col min="38" max="38" width="12.5703125" style="4" customWidth="1"/>
    <col min="39" max="39" width="30.7109375" style="4" customWidth="1"/>
    <col min="40" max="40" width="21.28515625" style="4" customWidth="1"/>
    <col min="41" max="41" width="2.28515625" style="4" customWidth="1"/>
    <col min="42" max="16384" width="11.42578125" style="4"/>
  </cols>
  <sheetData>
    <row r="1" spans="1:40" s="13" customFormat="1" ht="12.75" customHeight="1">
      <c r="B1" s="207"/>
      <c r="C1" s="207"/>
      <c r="D1" s="208"/>
      <c r="E1" s="221" t="s">
        <v>0</v>
      </c>
      <c r="F1" s="215"/>
      <c r="G1" s="215"/>
      <c r="H1" s="215"/>
      <c r="I1" s="215"/>
      <c r="J1" s="215"/>
      <c r="K1" s="215"/>
      <c r="L1" s="215"/>
      <c r="M1" s="215"/>
      <c r="N1" s="222"/>
      <c r="O1" s="215"/>
      <c r="P1" s="216"/>
      <c r="Q1" s="216"/>
      <c r="R1" s="217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0" s="13" customFormat="1" ht="12.75" customHeight="1">
      <c r="B2" s="209"/>
      <c r="C2" s="209"/>
      <c r="D2" s="210"/>
      <c r="E2" s="223"/>
      <c r="F2" s="218"/>
      <c r="G2" s="218"/>
      <c r="H2" s="218"/>
      <c r="I2" s="218"/>
      <c r="J2" s="218"/>
      <c r="K2" s="218"/>
      <c r="L2" s="218"/>
      <c r="M2" s="218"/>
      <c r="N2" s="224"/>
      <c r="O2" s="228"/>
      <c r="P2" s="228"/>
      <c r="Q2" s="228"/>
      <c r="R2" s="22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0" s="13" customFormat="1" ht="15.75" customHeight="1">
      <c r="B3" s="209"/>
      <c r="C3" s="209"/>
      <c r="D3" s="210"/>
      <c r="E3" s="223"/>
      <c r="F3" s="218"/>
      <c r="G3" s="218"/>
      <c r="H3" s="218"/>
      <c r="I3" s="218"/>
      <c r="J3" s="218"/>
      <c r="K3" s="218"/>
      <c r="L3" s="218"/>
      <c r="M3" s="218"/>
      <c r="N3" s="224"/>
      <c r="O3" s="218"/>
      <c r="P3" s="219"/>
      <c r="Q3" s="219"/>
      <c r="R3" s="220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0" s="13" customFormat="1" ht="12.75" customHeight="1">
      <c r="B4" s="209"/>
      <c r="C4" s="209"/>
      <c r="D4" s="210"/>
      <c r="E4" s="223"/>
      <c r="F4" s="218"/>
      <c r="G4" s="218"/>
      <c r="H4" s="218"/>
      <c r="I4" s="218"/>
      <c r="J4" s="218"/>
      <c r="K4" s="218"/>
      <c r="L4" s="218"/>
      <c r="M4" s="218"/>
      <c r="N4" s="224"/>
      <c r="O4" s="15"/>
      <c r="P4" s="15"/>
      <c r="Q4" s="15"/>
      <c r="R4" s="16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40" s="13" customFormat="1" ht="20.25" customHeight="1">
      <c r="B5" s="211"/>
      <c r="C5" s="211"/>
      <c r="D5" s="212"/>
      <c r="E5" s="225"/>
      <c r="F5" s="226"/>
      <c r="G5" s="226"/>
      <c r="H5" s="226"/>
      <c r="I5" s="226"/>
      <c r="J5" s="226"/>
      <c r="K5" s="226"/>
      <c r="L5" s="226"/>
      <c r="M5" s="226"/>
      <c r="N5" s="227"/>
      <c r="O5" s="231"/>
      <c r="P5" s="231"/>
      <c r="Q5" s="231"/>
      <c r="R5" s="232"/>
      <c r="S5" s="14"/>
      <c r="T5" s="14"/>
      <c r="U5" s="14"/>
      <c r="V5" s="14" t="s">
        <v>1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40" ht="15" customHeight="1">
      <c r="B6" s="204" t="s">
        <v>2</v>
      </c>
      <c r="C6" s="205"/>
      <c r="D6" s="206"/>
      <c r="E6" s="201" t="s">
        <v>3</v>
      </c>
      <c r="F6" s="202"/>
      <c r="G6" s="202"/>
      <c r="H6" s="202"/>
      <c r="I6" s="202"/>
      <c r="J6" s="202"/>
      <c r="K6" s="202"/>
      <c r="L6" s="202"/>
      <c r="M6" s="202"/>
      <c r="N6" s="203"/>
      <c r="O6" s="202"/>
      <c r="P6" s="202"/>
      <c r="Q6" s="202"/>
      <c r="R6" s="203"/>
    </row>
    <row r="7" spans="1:40" ht="15" customHeight="1">
      <c r="E7" s="10"/>
    </row>
    <row r="8" spans="1:40" ht="15" customHeight="1">
      <c r="B8" s="5" t="s">
        <v>4</v>
      </c>
      <c r="C8" s="10"/>
      <c r="D8" s="12"/>
      <c r="E8"/>
      <c r="F8" s="8"/>
      <c r="G8" s="8"/>
      <c r="H8" s="8"/>
      <c r="I8" s="8"/>
      <c r="J8" s="8"/>
      <c r="K8" s="8"/>
      <c r="L8" s="8"/>
      <c r="M8" s="8"/>
      <c r="AA8" s="9"/>
      <c r="AF8" s="9"/>
      <c r="AK8" s="9"/>
    </row>
    <row r="9" spans="1:40" ht="15" customHeight="1">
      <c r="B9" s="5" t="s">
        <v>5</v>
      </c>
      <c r="C9" s="10"/>
      <c r="D9" s="10"/>
      <c r="E9"/>
      <c r="F9" s="8"/>
      <c r="G9" s="8"/>
      <c r="H9" s="8"/>
      <c r="I9" s="8"/>
      <c r="J9" s="8"/>
      <c r="K9" s="8"/>
      <c r="L9" s="8"/>
      <c r="M9" s="8"/>
      <c r="R9" s="9"/>
    </row>
    <row r="10" spans="1:40" ht="12" customHeight="1" thickBot="1">
      <c r="B10" s="5"/>
      <c r="C10" s="5"/>
      <c r="D10" s="5"/>
      <c r="E10" s="10"/>
      <c r="P10" s="6"/>
      <c r="Q10" s="6"/>
      <c r="R10" s="11"/>
      <c r="S10" s="6"/>
      <c r="T10" s="6"/>
      <c r="U10" s="6"/>
      <c r="AI10" s="6"/>
      <c r="AJ10" s="6"/>
      <c r="AK10" s="6"/>
      <c r="AL10" s="1"/>
      <c r="AM10" s="1"/>
      <c r="AN10" s="1"/>
    </row>
    <row r="11" spans="1:40" s="2" customFormat="1" ht="22.9" customHeight="1" thickTop="1">
      <c r="A11" s="194" t="s">
        <v>6</v>
      </c>
      <c r="B11" s="194" t="s">
        <v>7</v>
      </c>
      <c r="C11" s="194" t="s">
        <v>8</v>
      </c>
      <c r="D11" s="160" t="s">
        <v>9</v>
      </c>
      <c r="E11" s="169" t="s">
        <v>10</v>
      </c>
      <c r="F11" s="169" t="s">
        <v>11</v>
      </c>
      <c r="G11" s="169" t="s">
        <v>12</v>
      </c>
      <c r="H11" s="169" t="s">
        <v>13</v>
      </c>
      <c r="I11" s="169" t="s">
        <v>14</v>
      </c>
      <c r="J11" s="169" t="s">
        <v>15</v>
      </c>
      <c r="K11" s="160" t="s">
        <v>16</v>
      </c>
      <c r="L11" s="160" t="s">
        <v>17</v>
      </c>
      <c r="M11" s="160" t="s">
        <v>18</v>
      </c>
      <c r="N11" s="160" t="s">
        <v>19</v>
      </c>
      <c r="O11" s="160" t="s">
        <v>20</v>
      </c>
      <c r="P11" s="160" t="s">
        <v>21</v>
      </c>
      <c r="Q11" s="160" t="s">
        <v>22</v>
      </c>
      <c r="R11" s="160" t="s">
        <v>23</v>
      </c>
      <c r="S11" s="160" t="s">
        <v>24</v>
      </c>
      <c r="T11" s="160" t="s">
        <v>25</v>
      </c>
      <c r="U11" s="194" t="s">
        <v>26</v>
      </c>
      <c r="V11" s="194" t="s">
        <v>27</v>
      </c>
      <c r="W11" s="160" t="s">
        <v>28</v>
      </c>
      <c r="X11" s="213" t="s">
        <v>29</v>
      </c>
      <c r="Y11" s="160" t="s">
        <v>30</v>
      </c>
      <c r="Z11" s="160" t="s">
        <v>31</v>
      </c>
      <c r="AA11" s="160" t="s">
        <v>32</v>
      </c>
      <c r="AB11" s="160" t="s">
        <v>33</v>
      </c>
      <c r="AC11" s="160" t="s">
        <v>34</v>
      </c>
      <c r="AD11" s="160" t="s">
        <v>35</v>
      </c>
      <c r="AE11" s="160" t="s">
        <v>36</v>
      </c>
      <c r="AF11" s="194" t="s">
        <v>37</v>
      </c>
      <c r="AG11" s="160" t="s">
        <v>38</v>
      </c>
      <c r="AH11" s="160" t="s">
        <v>39</v>
      </c>
      <c r="AI11" s="169" t="s">
        <v>40</v>
      </c>
      <c r="AJ11" s="160" t="s">
        <v>41</v>
      </c>
      <c r="AK11" s="160" t="s">
        <v>42</v>
      </c>
      <c r="AL11" s="169" t="s">
        <v>43</v>
      </c>
      <c r="AM11" s="160" t="s">
        <v>44</v>
      </c>
    </row>
    <row r="12" spans="1:40" s="2" customFormat="1" ht="22.9" customHeight="1">
      <c r="A12" s="196"/>
      <c r="B12" s="196"/>
      <c r="C12" s="196"/>
      <c r="D12" s="161"/>
      <c r="E12" s="170"/>
      <c r="F12" s="170"/>
      <c r="G12" s="170"/>
      <c r="H12" s="170"/>
      <c r="I12" s="170"/>
      <c r="J12" s="170"/>
      <c r="K12" s="161"/>
      <c r="L12" s="230"/>
      <c r="M12" s="161"/>
      <c r="N12" s="161"/>
      <c r="O12" s="161"/>
      <c r="P12" s="161"/>
      <c r="Q12" s="161"/>
      <c r="R12" s="161"/>
      <c r="S12" s="172"/>
      <c r="T12" s="161"/>
      <c r="U12" s="195"/>
      <c r="V12" s="195"/>
      <c r="W12" s="172"/>
      <c r="X12" s="214"/>
      <c r="Y12" s="161"/>
      <c r="Z12" s="172"/>
      <c r="AA12" s="172"/>
      <c r="AB12" s="172"/>
      <c r="AC12" s="172"/>
      <c r="AD12" s="172"/>
      <c r="AE12" s="172"/>
      <c r="AF12" s="195"/>
      <c r="AG12" s="172"/>
      <c r="AH12" s="161"/>
      <c r="AI12" s="170"/>
      <c r="AJ12" s="161"/>
      <c r="AK12" s="171"/>
      <c r="AL12" s="170"/>
      <c r="AM12" s="161"/>
    </row>
    <row r="13" spans="1:40" s="7" customFormat="1" ht="22.9" customHeight="1">
      <c r="A13" s="188" t="s">
        <v>45</v>
      </c>
      <c r="B13" s="173" t="s">
        <v>46</v>
      </c>
      <c r="C13" s="176" t="s">
        <v>47</v>
      </c>
      <c r="D13" s="182" t="s">
        <v>48</v>
      </c>
      <c r="E13" s="182" t="s">
        <v>49</v>
      </c>
      <c r="F13" s="182" t="s">
        <v>50</v>
      </c>
      <c r="G13" s="179" t="s">
        <v>51</v>
      </c>
      <c r="H13" s="182" t="s">
        <v>50</v>
      </c>
      <c r="I13" s="233">
        <f>L14</f>
        <v>0.9375</v>
      </c>
      <c r="J13" s="138">
        <v>0.25</v>
      </c>
      <c r="K13" s="144" t="s">
        <v>52</v>
      </c>
      <c r="L13" s="318" t="s">
        <v>53</v>
      </c>
      <c r="M13" s="319" t="s">
        <v>53</v>
      </c>
      <c r="N13" s="319" t="s">
        <v>53</v>
      </c>
      <c r="O13" s="320" t="s">
        <v>53</v>
      </c>
      <c r="P13" s="319" t="s">
        <v>53</v>
      </c>
      <c r="Q13" s="320" t="s">
        <v>53</v>
      </c>
      <c r="R13" s="319" t="s">
        <v>53</v>
      </c>
      <c r="S13" s="320" t="s">
        <v>53</v>
      </c>
      <c r="T13" s="319" t="s">
        <v>53</v>
      </c>
      <c r="U13" s="320" t="s">
        <v>53</v>
      </c>
      <c r="V13" s="319" t="s">
        <v>53</v>
      </c>
      <c r="W13" s="320" t="s">
        <v>53</v>
      </c>
      <c r="X13" s="319" t="s">
        <v>53</v>
      </c>
      <c r="Y13" s="320" t="s">
        <v>53</v>
      </c>
      <c r="Z13" s="319" t="s">
        <v>53</v>
      </c>
      <c r="AA13" s="320" t="s">
        <v>53</v>
      </c>
      <c r="AB13" s="319" t="s">
        <v>53</v>
      </c>
      <c r="AC13" s="320" t="s">
        <v>53</v>
      </c>
      <c r="AD13" s="319" t="s">
        <v>53</v>
      </c>
      <c r="AE13" s="320" t="s">
        <v>53</v>
      </c>
      <c r="AF13" s="319" t="s">
        <v>53</v>
      </c>
      <c r="AG13" s="320" t="s">
        <v>53</v>
      </c>
      <c r="AH13" s="319" t="s">
        <v>53</v>
      </c>
      <c r="AI13" s="320" t="s">
        <v>53</v>
      </c>
      <c r="AJ13" s="19"/>
      <c r="AK13" s="135" t="s">
        <v>54</v>
      </c>
      <c r="AL13" s="135"/>
      <c r="AM13" s="129" t="s">
        <v>55</v>
      </c>
    </row>
    <row r="14" spans="1:40" s="7" customFormat="1" ht="22.9" customHeight="1">
      <c r="A14" s="189"/>
      <c r="B14" s="174"/>
      <c r="C14" s="177"/>
      <c r="D14" s="183"/>
      <c r="E14" s="183"/>
      <c r="F14" s="183"/>
      <c r="G14" s="180"/>
      <c r="H14" s="183"/>
      <c r="I14" s="234"/>
      <c r="J14" s="139"/>
      <c r="K14" s="145"/>
      <c r="L14" s="321">
        <v>0.9375</v>
      </c>
      <c r="M14" s="322">
        <v>0</v>
      </c>
      <c r="N14" s="322">
        <v>0</v>
      </c>
      <c r="O14" s="323">
        <v>0</v>
      </c>
      <c r="P14" s="322">
        <v>1</v>
      </c>
      <c r="Q14" s="323">
        <v>0</v>
      </c>
      <c r="R14" s="322">
        <v>1</v>
      </c>
      <c r="S14" s="323">
        <v>0</v>
      </c>
      <c r="T14" s="322">
        <v>0.83330000000000004</v>
      </c>
      <c r="U14" s="323">
        <v>0</v>
      </c>
      <c r="V14" s="322">
        <v>0</v>
      </c>
      <c r="W14" s="323">
        <v>0</v>
      </c>
      <c r="X14" s="322">
        <v>0</v>
      </c>
      <c r="Y14" s="323">
        <v>0</v>
      </c>
      <c r="Z14" s="322">
        <v>0</v>
      </c>
      <c r="AA14" s="323">
        <v>0</v>
      </c>
      <c r="AB14" s="322">
        <v>0</v>
      </c>
      <c r="AC14" s="323">
        <v>0</v>
      </c>
      <c r="AD14" s="322">
        <v>0</v>
      </c>
      <c r="AE14" s="323">
        <v>0</v>
      </c>
      <c r="AF14" s="322">
        <v>0</v>
      </c>
      <c r="AG14" s="323">
        <v>0</v>
      </c>
      <c r="AH14" s="322">
        <v>0</v>
      </c>
      <c r="AI14" s="323">
        <v>0.9375</v>
      </c>
      <c r="AJ14" s="22"/>
      <c r="AK14" s="136"/>
      <c r="AL14" s="136"/>
      <c r="AM14" s="130"/>
    </row>
    <row r="15" spans="1:40" s="7" customFormat="1" ht="22.9" customHeight="1">
      <c r="A15" s="189"/>
      <c r="B15" s="174"/>
      <c r="C15" s="177"/>
      <c r="D15" s="183"/>
      <c r="E15" s="183"/>
      <c r="F15" s="183"/>
      <c r="G15" s="180"/>
      <c r="H15" s="183"/>
      <c r="I15" s="234"/>
      <c r="J15" s="139"/>
      <c r="K15" s="146"/>
      <c r="L15" s="324" t="s">
        <v>56</v>
      </c>
      <c r="M15" s="325" t="s">
        <v>56</v>
      </c>
      <c r="N15" s="325" t="s">
        <v>56</v>
      </c>
      <c r="O15" s="326" t="s">
        <v>56</v>
      </c>
      <c r="P15" s="325" t="s">
        <v>56</v>
      </c>
      <c r="Q15" s="326" t="s">
        <v>56</v>
      </c>
      <c r="R15" s="325" t="s">
        <v>56</v>
      </c>
      <c r="S15" s="326" t="s">
        <v>56</v>
      </c>
      <c r="T15" s="325" t="s">
        <v>56</v>
      </c>
      <c r="U15" s="326" t="s">
        <v>56</v>
      </c>
      <c r="V15" s="325" t="s">
        <v>56</v>
      </c>
      <c r="W15" s="326" t="s">
        <v>56</v>
      </c>
      <c r="X15" s="325" t="s">
        <v>56</v>
      </c>
      <c r="Y15" s="326" t="s">
        <v>56</v>
      </c>
      <c r="Z15" s="325" t="s">
        <v>56</v>
      </c>
      <c r="AA15" s="326" t="s">
        <v>56</v>
      </c>
      <c r="AB15" s="325" t="s">
        <v>56</v>
      </c>
      <c r="AC15" s="326" t="s">
        <v>56</v>
      </c>
      <c r="AD15" s="325" t="s">
        <v>56</v>
      </c>
      <c r="AE15" s="326" t="s">
        <v>56</v>
      </c>
      <c r="AF15" s="325" t="s">
        <v>56</v>
      </c>
      <c r="AG15" s="326" t="s">
        <v>56</v>
      </c>
      <c r="AH15" s="325" t="s">
        <v>56</v>
      </c>
      <c r="AI15" s="326" t="s">
        <v>56</v>
      </c>
      <c r="AJ15" s="22"/>
      <c r="AK15" s="136"/>
      <c r="AL15" s="136"/>
      <c r="AM15" s="130"/>
    </row>
    <row r="16" spans="1:40" s="7" customFormat="1" ht="22.9" customHeight="1">
      <c r="A16" s="189"/>
      <c r="B16" s="174"/>
      <c r="C16" s="177"/>
      <c r="D16" s="183"/>
      <c r="E16" s="183"/>
      <c r="F16" s="183"/>
      <c r="G16" s="180"/>
      <c r="H16" s="183"/>
      <c r="I16" s="234"/>
      <c r="J16" s="139"/>
      <c r="K16" s="145" t="s">
        <v>57</v>
      </c>
      <c r="L16" s="327">
        <v>15</v>
      </c>
      <c r="M16" s="328">
        <v>0</v>
      </c>
      <c r="N16" s="328">
        <v>0</v>
      </c>
      <c r="O16" s="326">
        <v>0</v>
      </c>
      <c r="P16" s="328">
        <v>5</v>
      </c>
      <c r="Q16" s="326">
        <v>5</v>
      </c>
      <c r="R16" s="328">
        <v>5</v>
      </c>
      <c r="S16" s="326">
        <v>10</v>
      </c>
      <c r="T16" s="328">
        <v>5</v>
      </c>
      <c r="U16" s="326">
        <v>15</v>
      </c>
      <c r="V16" s="328">
        <v>0</v>
      </c>
      <c r="W16" s="326">
        <v>15</v>
      </c>
      <c r="X16" s="328">
        <v>0</v>
      </c>
      <c r="Y16" s="326">
        <v>15</v>
      </c>
      <c r="Z16" s="328">
        <v>0</v>
      </c>
      <c r="AA16" s="326">
        <v>15</v>
      </c>
      <c r="AB16" s="328">
        <v>0</v>
      </c>
      <c r="AC16" s="326">
        <v>15</v>
      </c>
      <c r="AD16" s="328">
        <v>0</v>
      </c>
      <c r="AE16" s="326">
        <v>15</v>
      </c>
      <c r="AF16" s="328">
        <v>0</v>
      </c>
      <c r="AG16" s="326">
        <v>15</v>
      </c>
      <c r="AH16" s="328">
        <v>0</v>
      </c>
      <c r="AI16" s="326">
        <v>15</v>
      </c>
      <c r="AJ16" s="27">
        <f>+AI14/L14</f>
        <v>1</v>
      </c>
      <c r="AK16" s="136"/>
      <c r="AL16" s="136"/>
      <c r="AM16" s="130"/>
    </row>
    <row r="17" spans="1:39" s="7" customFormat="1" ht="22.9" customHeight="1">
      <c r="A17" s="189"/>
      <c r="B17" s="174"/>
      <c r="C17" s="177"/>
      <c r="D17" s="183"/>
      <c r="E17" s="183"/>
      <c r="F17" s="183"/>
      <c r="G17" s="180"/>
      <c r="H17" s="183"/>
      <c r="I17" s="234"/>
      <c r="J17" s="139"/>
      <c r="K17" s="145"/>
      <c r="L17" s="324" t="s">
        <v>58</v>
      </c>
      <c r="M17" s="325" t="s">
        <v>58</v>
      </c>
      <c r="N17" s="325" t="s">
        <v>58</v>
      </c>
      <c r="O17" s="326" t="s">
        <v>58</v>
      </c>
      <c r="P17" s="325" t="s">
        <v>58</v>
      </c>
      <c r="Q17" s="326" t="s">
        <v>58</v>
      </c>
      <c r="R17" s="325" t="s">
        <v>58</v>
      </c>
      <c r="S17" s="326" t="s">
        <v>58</v>
      </c>
      <c r="T17" s="325" t="s">
        <v>58</v>
      </c>
      <c r="U17" s="326" t="s">
        <v>58</v>
      </c>
      <c r="V17" s="325" t="s">
        <v>58</v>
      </c>
      <c r="W17" s="326" t="s">
        <v>58</v>
      </c>
      <c r="X17" s="325" t="s">
        <v>58</v>
      </c>
      <c r="Y17" s="326" t="s">
        <v>58</v>
      </c>
      <c r="Z17" s="325" t="s">
        <v>58</v>
      </c>
      <c r="AA17" s="326" t="s">
        <v>58</v>
      </c>
      <c r="AB17" s="325" t="s">
        <v>58</v>
      </c>
      <c r="AC17" s="326" t="s">
        <v>58</v>
      </c>
      <c r="AD17" s="325" t="s">
        <v>58</v>
      </c>
      <c r="AE17" s="326" t="s">
        <v>58</v>
      </c>
      <c r="AF17" s="325" t="s">
        <v>58</v>
      </c>
      <c r="AG17" s="326" t="s">
        <v>58</v>
      </c>
      <c r="AH17" s="325" t="s">
        <v>58</v>
      </c>
      <c r="AI17" s="326" t="s">
        <v>58</v>
      </c>
      <c r="AJ17" s="22"/>
      <c r="AK17" s="136"/>
      <c r="AL17" s="136"/>
      <c r="AM17" s="130"/>
    </row>
    <row r="18" spans="1:39" s="7" customFormat="1" ht="22.9" customHeight="1">
      <c r="A18" s="190"/>
      <c r="B18" s="175"/>
      <c r="C18" s="178"/>
      <c r="D18" s="184"/>
      <c r="E18" s="184"/>
      <c r="F18" s="184"/>
      <c r="G18" s="181"/>
      <c r="H18" s="184"/>
      <c r="I18" s="235"/>
      <c r="J18" s="140"/>
      <c r="K18" s="146"/>
      <c r="L18" s="329">
        <v>16</v>
      </c>
      <c r="M18" s="330">
        <v>0</v>
      </c>
      <c r="N18" s="330">
        <v>0</v>
      </c>
      <c r="O18" s="331">
        <v>0</v>
      </c>
      <c r="P18" s="330">
        <v>5</v>
      </c>
      <c r="Q18" s="331">
        <v>5</v>
      </c>
      <c r="R18" s="330">
        <v>5</v>
      </c>
      <c r="S18" s="331">
        <v>10</v>
      </c>
      <c r="T18" s="330">
        <v>6</v>
      </c>
      <c r="U18" s="331">
        <v>16</v>
      </c>
      <c r="V18" s="330">
        <v>0</v>
      </c>
      <c r="W18" s="331">
        <v>16</v>
      </c>
      <c r="X18" s="330">
        <v>0</v>
      </c>
      <c r="Y18" s="331">
        <v>16</v>
      </c>
      <c r="Z18" s="330">
        <v>0</v>
      </c>
      <c r="AA18" s="331">
        <v>16</v>
      </c>
      <c r="AB18" s="330">
        <v>0</v>
      </c>
      <c r="AC18" s="331">
        <v>16</v>
      </c>
      <c r="AD18" s="330">
        <v>0</v>
      </c>
      <c r="AE18" s="331">
        <v>16</v>
      </c>
      <c r="AF18" s="330">
        <v>0</v>
      </c>
      <c r="AG18" s="331">
        <v>16</v>
      </c>
      <c r="AH18" s="330">
        <v>0</v>
      </c>
      <c r="AI18" s="331">
        <v>16</v>
      </c>
      <c r="AJ18" s="32"/>
      <c r="AK18" s="137"/>
      <c r="AL18" s="137"/>
      <c r="AM18" s="131"/>
    </row>
    <row r="19" spans="1:39" s="7" customFormat="1" ht="22.9" customHeight="1">
      <c r="A19" s="188" t="s">
        <v>59</v>
      </c>
      <c r="B19" s="173" t="s">
        <v>46</v>
      </c>
      <c r="C19" s="236" t="s">
        <v>60</v>
      </c>
      <c r="D19" s="182" t="s">
        <v>61</v>
      </c>
      <c r="E19" s="179" t="s">
        <v>49</v>
      </c>
      <c r="F19" s="182" t="s">
        <v>50</v>
      </c>
      <c r="G19" s="179" t="s">
        <v>51</v>
      </c>
      <c r="H19" s="182" t="s">
        <v>50</v>
      </c>
      <c r="I19" s="233">
        <f>L20</f>
        <v>0.40960000000000002</v>
      </c>
      <c r="J19" s="138">
        <v>0.1</v>
      </c>
      <c r="K19" s="144" t="s">
        <v>62</v>
      </c>
      <c r="L19" s="318" t="s">
        <v>53</v>
      </c>
      <c r="M19" s="319" t="s">
        <v>53</v>
      </c>
      <c r="N19" s="319" t="s">
        <v>53</v>
      </c>
      <c r="O19" s="320" t="s">
        <v>53</v>
      </c>
      <c r="P19" s="319" t="s">
        <v>53</v>
      </c>
      <c r="Q19" s="320" t="s">
        <v>53</v>
      </c>
      <c r="R19" s="319" t="s">
        <v>53</v>
      </c>
      <c r="S19" s="320" t="s">
        <v>53</v>
      </c>
      <c r="T19" s="319" t="s">
        <v>53</v>
      </c>
      <c r="U19" s="320" t="s">
        <v>53</v>
      </c>
      <c r="V19" s="319" t="s">
        <v>53</v>
      </c>
      <c r="W19" s="320" t="s">
        <v>53</v>
      </c>
      <c r="X19" s="319" t="s">
        <v>53</v>
      </c>
      <c r="Y19" s="320" t="s">
        <v>53</v>
      </c>
      <c r="Z19" s="319" t="s">
        <v>53</v>
      </c>
      <c r="AA19" s="320" t="s">
        <v>53</v>
      </c>
      <c r="AB19" s="319" t="s">
        <v>53</v>
      </c>
      <c r="AC19" s="320" t="s">
        <v>53</v>
      </c>
      <c r="AD19" s="319" t="s">
        <v>53</v>
      </c>
      <c r="AE19" s="320" t="s">
        <v>53</v>
      </c>
      <c r="AF19" s="319" t="s">
        <v>53</v>
      </c>
      <c r="AG19" s="320" t="s">
        <v>53</v>
      </c>
      <c r="AH19" s="319" t="s">
        <v>53</v>
      </c>
      <c r="AI19" s="320" t="s">
        <v>53</v>
      </c>
      <c r="AJ19" s="19"/>
      <c r="AK19" s="135" t="s">
        <v>63</v>
      </c>
      <c r="AL19" s="135"/>
      <c r="AM19" s="129" t="s">
        <v>55</v>
      </c>
    </row>
    <row r="20" spans="1:39" s="7" customFormat="1" ht="22.9" customHeight="1">
      <c r="A20" s="189"/>
      <c r="B20" s="174"/>
      <c r="C20" s="177"/>
      <c r="D20" s="183"/>
      <c r="E20" s="180"/>
      <c r="F20" s="183"/>
      <c r="G20" s="180"/>
      <c r="H20" s="183"/>
      <c r="I20" s="234"/>
      <c r="J20" s="139"/>
      <c r="K20" s="145"/>
      <c r="L20" s="321">
        <v>0.40960000000000002</v>
      </c>
      <c r="M20" s="322">
        <v>0</v>
      </c>
      <c r="N20" s="322">
        <v>0</v>
      </c>
      <c r="O20" s="323">
        <v>0</v>
      </c>
      <c r="P20" s="322">
        <v>0</v>
      </c>
      <c r="Q20" s="323">
        <v>0</v>
      </c>
      <c r="R20" s="322">
        <v>0</v>
      </c>
      <c r="S20" s="323">
        <v>0</v>
      </c>
      <c r="T20" s="322">
        <v>0</v>
      </c>
      <c r="U20" s="323">
        <v>0</v>
      </c>
      <c r="V20" s="322">
        <v>0.41270000000000001</v>
      </c>
      <c r="W20" s="323">
        <v>0</v>
      </c>
      <c r="X20" s="322">
        <v>0</v>
      </c>
      <c r="Y20" s="323">
        <v>0</v>
      </c>
      <c r="Z20" s="322">
        <v>0.41270000000000001</v>
      </c>
      <c r="AA20" s="323">
        <v>0</v>
      </c>
      <c r="AB20" s="322">
        <v>0</v>
      </c>
      <c r="AC20" s="323">
        <v>0</v>
      </c>
      <c r="AD20" s="322">
        <v>0.4032</v>
      </c>
      <c r="AE20" s="323">
        <v>0</v>
      </c>
      <c r="AF20" s="322">
        <v>0</v>
      </c>
      <c r="AG20" s="323">
        <v>0</v>
      </c>
      <c r="AH20" s="322">
        <v>0</v>
      </c>
      <c r="AI20" s="323">
        <v>0.40960000000000002</v>
      </c>
      <c r="AJ20" s="22"/>
      <c r="AK20" s="136"/>
      <c r="AL20" s="136"/>
      <c r="AM20" s="130"/>
    </row>
    <row r="21" spans="1:39" s="7" customFormat="1" ht="22.9" customHeight="1">
      <c r="A21" s="189"/>
      <c r="B21" s="174"/>
      <c r="C21" s="177"/>
      <c r="D21" s="183"/>
      <c r="E21" s="180"/>
      <c r="F21" s="183"/>
      <c r="G21" s="180"/>
      <c r="H21" s="183"/>
      <c r="I21" s="234"/>
      <c r="J21" s="139"/>
      <c r="K21" s="146"/>
      <c r="L21" s="324" t="s">
        <v>56</v>
      </c>
      <c r="M21" s="325" t="s">
        <v>56</v>
      </c>
      <c r="N21" s="325" t="s">
        <v>56</v>
      </c>
      <c r="O21" s="326" t="s">
        <v>56</v>
      </c>
      <c r="P21" s="325" t="s">
        <v>56</v>
      </c>
      <c r="Q21" s="326" t="s">
        <v>56</v>
      </c>
      <c r="R21" s="325" t="s">
        <v>56</v>
      </c>
      <c r="S21" s="326" t="s">
        <v>56</v>
      </c>
      <c r="T21" s="325" t="s">
        <v>56</v>
      </c>
      <c r="U21" s="326" t="s">
        <v>56</v>
      </c>
      <c r="V21" s="325" t="s">
        <v>56</v>
      </c>
      <c r="W21" s="326" t="s">
        <v>56</v>
      </c>
      <c r="X21" s="325" t="s">
        <v>56</v>
      </c>
      <c r="Y21" s="326" t="s">
        <v>56</v>
      </c>
      <c r="Z21" s="325" t="s">
        <v>56</v>
      </c>
      <c r="AA21" s="326" t="s">
        <v>56</v>
      </c>
      <c r="AB21" s="325" t="s">
        <v>56</v>
      </c>
      <c r="AC21" s="326" t="s">
        <v>56</v>
      </c>
      <c r="AD21" s="325" t="s">
        <v>56</v>
      </c>
      <c r="AE21" s="326" t="s">
        <v>56</v>
      </c>
      <c r="AF21" s="325" t="s">
        <v>56</v>
      </c>
      <c r="AG21" s="326" t="s">
        <v>56</v>
      </c>
      <c r="AH21" s="325" t="s">
        <v>56</v>
      </c>
      <c r="AI21" s="326" t="s">
        <v>56</v>
      </c>
      <c r="AJ21" s="22"/>
      <c r="AK21" s="136"/>
      <c r="AL21" s="136"/>
      <c r="AM21" s="130"/>
    </row>
    <row r="22" spans="1:39" s="7" customFormat="1" ht="22.9" customHeight="1">
      <c r="A22" s="189"/>
      <c r="B22" s="174"/>
      <c r="C22" s="177"/>
      <c r="D22" s="183"/>
      <c r="E22" s="180"/>
      <c r="F22" s="183"/>
      <c r="G22" s="180"/>
      <c r="H22" s="183"/>
      <c r="I22" s="234"/>
      <c r="J22" s="139"/>
      <c r="K22" s="144" t="s">
        <v>64</v>
      </c>
      <c r="L22" s="327">
        <v>77</v>
      </c>
      <c r="M22" s="328" t="s">
        <v>65</v>
      </c>
      <c r="N22" s="328" t="s">
        <v>65</v>
      </c>
      <c r="O22" s="326">
        <v>0</v>
      </c>
      <c r="P22" s="328" t="s">
        <v>65</v>
      </c>
      <c r="Q22" s="326">
        <v>0</v>
      </c>
      <c r="R22" s="328" t="s">
        <v>65</v>
      </c>
      <c r="S22" s="326">
        <v>0</v>
      </c>
      <c r="T22" s="328" t="s">
        <v>65</v>
      </c>
      <c r="U22" s="326">
        <v>0</v>
      </c>
      <c r="V22" s="328">
        <v>26</v>
      </c>
      <c r="W22" s="326">
        <v>26</v>
      </c>
      <c r="X22" s="328" t="s">
        <v>65</v>
      </c>
      <c r="Y22" s="326">
        <v>26</v>
      </c>
      <c r="Z22" s="328">
        <v>26</v>
      </c>
      <c r="AA22" s="326">
        <v>52</v>
      </c>
      <c r="AB22" s="328" t="s">
        <v>65</v>
      </c>
      <c r="AC22" s="326">
        <v>52</v>
      </c>
      <c r="AD22" s="328">
        <v>25</v>
      </c>
      <c r="AE22" s="326">
        <v>77</v>
      </c>
      <c r="AF22" s="328" t="s">
        <v>65</v>
      </c>
      <c r="AG22" s="326">
        <v>77</v>
      </c>
      <c r="AH22" s="328" t="s">
        <v>65</v>
      </c>
      <c r="AI22" s="326">
        <v>77</v>
      </c>
      <c r="AJ22" s="27">
        <f>AI20/L20</f>
        <v>1</v>
      </c>
      <c r="AK22" s="136"/>
      <c r="AL22" s="136"/>
      <c r="AM22" s="130"/>
    </row>
    <row r="23" spans="1:39" s="7" customFormat="1" ht="22.9" customHeight="1">
      <c r="A23" s="189"/>
      <c r="B23" s="174"/>
      <c r="C23" s="177"/>
      <c r="D23" s="183"/>
      <c r="E23" s="180"/>
      <c r="F23" s="183"/>
      <c r="G23" s="180"/>
      <c r="H23" s="183"/>
      <c r="I23" s="234"/>
      <c r="J23" s="139"/>
      <c r="K23" s="145"/>
      <c r="L23" s="324" t="s">
        <v>58</v>
      </c>
      <c r="M23" s="325" t="s">
        <v>58</v>
      </c>
      <c r="N23" s="325" t="s">
        <v>58</v>
      </c>
      <c r="O23" s="326" t="s">
        <v>58</v>
      </c>
      <c r="P23" s="325" t="s">
        <v>58</v>
      </c>
      <c r="Q23" s="326" t="s">
        <v>58</v>
      </c>
      <c r="R23" s="325" t="s">
        <v>58</v>
      </c>
      <c r="S23" s="326" t="s">
        <v>58</v>
      </c>
      <c r="T23" s="325" t="s">
        <v>58</v>
      </c>
      <c r="U23" s="326" t="s">
        <v>58</v>
      </c>
      <c r="V23" s="325" t="s">
        <v>58</v>
      </c>
      <c r="W23" s="326" t="s">
        <v>58</v>
      </c>
      <c r="X23" s="325" t="s">
        <v>58</v>
      </c>
      <c r="Y23" s="326" t="s">
        <v>58</v>
      </c>
      <c r="Z23" s="325" t="s">
        <v>58</v>
      </c>
      <c r="AA23" s="326" t="s">
        <v>58</v>
      </c>
      <c r="AB23" s="325" t="s">
        <v>58</v>
      </c>
      <c r="AC23" s="326" t="s">
        <v>58</v>
      </c>
      <c r="AD23" s="325" t="s">
        <v>58</v>
      </c>
      <c r="AE23" s="326" t="s">
        <v>58</v>
      </c>
      <c r="AF23" s="325" t="s">
        <v>58</v>
      </c>
      <c r="AG23" s="326" t="s">
        <v>58</v>
      </c>
      <c r="AH23" s="325" t="s">
        <v>58</v>
      </c>
      <c r="AI23" s="326" t="s">
        <v>58</v>
      </c>
      <c r="AJ23" s="22"/>
      <c r="AK23" s="136"/>
      <c r="AL23" s="136"/>
      <c r="AM23" s="130"/>
    </row>
    <row r="24" spans="1:39" s="7" customFormat="1" ht="22.9" customHeight="1">
      <c r="A24" s="190"/>
      <c r="B24" s="175"/>
      <c r="C24" s="178"/>
      <c r="D24" s="184"/>
      <c r="E24" s="181"/>
      <c r="F24" s="184"/>
      <c r="G24" s="181"/>
      <c r="H24" s="184"/>
      <c r="I24" s="235"/>
      <c r="J24" s="140"/>
      <c r="K24" s="146"/>
      <c r="L24" s="329">
        <v>188</v>
      </c>
      <c r="M24" s="330" t="s">
        <v>65</v>
      </c>
      <c r="N24" s="330" t="s">
        <v>65</v>
      </c>
      <c r="O24" s="331">
        <v>0</v>
      </c>
      <c r="P24" s="330" t="s">
        <v>65</v>
      </c>
      <c r="Q24" s="331">
        <v>0</v>
      </c>
      <c r="R24" s="330" t="s">
        <v>65</v>
      </c>
      <c r="S24" s="331">
        <v>0</v>
      </c>
      <c r="T24" s="330" t="s">
        <v>65</v>
      </c>
      <c r="U24" s="331">
        <v>0</v>
      </c>
      <c r="V24" s="330">
        <v>63</v>
      </c>
      <c r="W24" s="331">
        <v>63</v>
      </c>
      <c r="X24" s="330" t="s">
        <v>65</v>
      </c>
      <c r="Y24" s="331">
        <v>63</v>
      </c>
      <c r="Z24" s="330">
        <v>63</v>
      </c>
      <c r="AA24" s="331">
        <v>126</v>
      </c>
      <c r="AB24" s="330" t="s">
        <v>65</v>
      </c>
      <c r="AC24" s="331">
        <v>126</v>
      </c>
      <c r="AD24" s="330">
        <v>62</v>
      </c>
      <c r="AE24" s="331">
        <v>188</v>
      </c>
      <c r="AF24" s="330" t="s">
        <v>65</v>
      </c>
      <c r="AG24" s="331">
        <v>188</v>
      </c>
      <c r="AH24" s="330" t="s">
        <v>65</v>
      </c>
      <c r="AI24" s="331">
        <v>188</v>
      </c>
      <c r="AJ24" s="32"/>
      <c r="AK24" s="137"/>
      <c r="AL24" s="137"/>
      <c r="AM24" s="131"/>
    </row>
    <row r="25" spans="1:39" s="36" customFormat="1" ht="22.9" customHeight="1">
      <c r="A25" s="114" t="s">
        <v>66</v>
      </c>
      <c r="B25" s="117" t="s">
        <v>67</v>
      </c>
      <c r="C25" s="120" t="s">
        <v>68</v>
      </c>
      <c r="D25" s="123" t="s">
        <v>69</v>
      </c>
      <c r="E25" s="123" t="s">
        <v>70</v>
      </c>
      <c r="F25" s="123" t="s">
        <v>71</v>
      </c>
      <c r="G25" s="123" t="s">
        <v>72</v>
      </c>
      <c r="H25" s="123" t="s">
        <v>73</v>
      </c>
      <c r="I25" s="126">
        <f>L26</f>
        <v>0.66666666666666663</v>
      </c>
      <c r="J25" s="126">
        <v>0.3</v>
      </c>
      <c r="K25" s="147" t="s">
        <v>74</v>
      </c>
      <c r="L25" s="17" t="s">
        <v>53</v>
      </c>
      <c r="M25" s="17" t="s">
        <v>53</v>
      </c>
      <c r="N25" s="17" t="s">
        <v>53</v>
      </c>
      <c r="O25" s="18" t="s">
        <v>53</v>
      </c>
      <c r="P25" s="17" t="s">
        <v>53</v>
      </c>
      <c r="Q25" s="18" t="s">
        <v>53</v>
      </c>
      <c r="R25" s="17" t="s">
        <v>53</v>
      </c>
      <c r="S25" s="18" t="s">
        <v>53</v>
      </c>
      <c r="T25" s="17" t="s">
        <v>53</v>
      </c>
      <c r="U25" s="18" t="s">
        <v>53</v>
      </c>
      <c r="V25" s="17" t="s">
        <v>53</v>
      </c>
      <c r="W25" s="18" t="s">
        <v>53</v>
      </c>
      <c r="X25" s="17" t="s">
        <v>53</v>
      </c>
      <c r="Y25" s="18" t="s">
        <v>53</v>
      </c>
      <c r="Z25" s="17" t="s">
        <v>53</v>
      </c>
      <c r="AA25" s="18" t="s">
        <v>53</v>
      </c>
      <c r="AB25" s="17" t="s">
        <v>53</v>
      </c>
      <c r="AC25" s="18" t="s">
        <v>53</v>
      </c>
      <c r="AD25" s="17" t="s">
        <v>53</v>
      </c>
      <c r="AE25" s="18" t="s">
        <v>53</v>
      </c>
      <c r="AF25" s="17" t="s">
        <v>53</v>
      </c>
      <c r="AG25" s="18" t="s">
        <v>53</v>
      </c>
      <c r="AH25" s="17" t="s">
        <v>53</v>
      </c>
      <c r="AI25" s="18" t="s">
        <v>53</v>
      </c>
      <c r="AJ25" s="19"/>
      <c r="AK25" s="150" t="s">
        <v>75</v>
      </c>
      <c r="AL25" s="135"/>
      <c r="AM25" s="129" t="s">
        <v>76</v>
      </c>
    </row>
    <row r="26" spans="1:39" s="36" customFormat="1" ht="22.9" customHeight="1">
      <c r="A26" s="115"/>
      <c r="B26" s="118"/>
      <c r="C26" s="121"/>
      <c r="D26" s="124"/>
      <c r="E26" s="124"/>
      <c r="F26" s="124"/>
      <c r="G26" s="124"/>
      <c r="H26" s="124"/>
      <c r="I26" s="127"/>
      <c r="J26" s="127"/>
      <c r="K26" s="148"/>
      <c r="L26" s="33">
        <f t="shared" ref="L26" si="0">IF(L28&lt;&gt;0,+L28/L30,0%)</f>
        <v>0.66666666666666663</v>
      </c>
      <c r="M26" s="20">
        <f>IF(M28&lt;&gt;0,+M28/M30,0%)</f>
        <v>0</v>
      </c>
      <c r="N26" s="20">
        <f>IF(N28&lt;&gt;0,+N28/N30,0%)</f>
        <v>0</v>
      </c>
      <c r="O26" s="21">
        <f t="shared" ref="O26" si="1">IF(O28&lt;&gt;0,+O28/O30,0%)</f>
        <v>0</v>
      </c>
      <c r="P26" s="20">
        <f>IF(P28&lt;&gt;0,+P28/P30,0%)</f>
        <v>0</v>
      </c>
      <c r="Q26" s="40">
        <v>0</v>
      </c>
      <c r="R26" s="20">
        <f>IF(R28&lt;&gt;0,+R28/R30,0%)</f>
        <v>0.33333333333333331</v>
      </c>
      <c r="S26" s="40">
        <f>R26</f>
        <v>0.33333333333333331</v>
      </c>
      <c r="T26" s="20">
        <f>IF(T28&lt;&gt;0,+T28/T30,0%)</f>
        <v>0</v>
      </c>
      <c r="U26" s="40">
        <f>T26+S26</f>
        <v>0.33333333333333331</v>
      </c>
      <c r="V26" s="20">
        <f>IF(V28&lt;&gt;0,+V28/V30,0%)</f>
        <v>0.33333333333333331</v>
      </c>
      <c r="W26" s="40">
        <f>V26+U26</f>
        <v>0.66666666666666663</v>
      </c>
      <c r="X26" s="20">
        <f>IF(X28&lt;&gt;0,+X28/X30,0%)</f>
        <v>0</v>
      </c>
      <c r="Y26" s="40">
        <f>X26+W26</f>
        <v>0.66666666666666663</v>
      </c>
      <c r="Z26" s="20">
        <f>IF(Z28&lt;&gt;0,+Z28/Z30,0%)</f>
        <v>0</v>
      </c>
      <c r="AA26" s="40">
        <f>Z26+Y26</f>
        <v>0.66666666666666663</v>
      </c>
      <c r="AB26" s="20">
        <f>IF(AB28&lt;&gt;0,+AB28/AB30,0%)</f>
        <v>0</v>
      </c>
      <c r="AC26" s="40">
        <f>AB26+AA26</f>
        <v>0.66666666666666663</v>
      </c>
      <c r="AD26" s="20">
        <f>IF(AD28&lt;&gt;0,+AD28/AD30,0%)</f>
        <v>0</v>
      </c>
      <c r="AE26" s="40">
        <f>AD26+AC26</f>
        <v>0.66666666666666663</v>
      </c>
      <c r="AF26" s="20">
        <f>IF(AF28&lt;&gt;0,+AF28/AF30,0%)</f>
        <v>0</v>
      </c>
      <c r="AG26" s="40">
        <f>AF26+AE26</f>
        <v>0.66666666666666663</v>
      </c>
      <c r="AH26" s="20">
        <f>IF(AH28&lt;&gt;0,+AH28/AH30,0%)</f>
        <v>0</v>
      </c>
      <c r="AI26" s="21">
        <f t="shared" ref="AI26" si="2">IF(AI28&lt;&gt;0,+AI28/AI30,0%)</f>
        <v>0.66666666666666663</v>
      </c>
      <c r="AJ26" s="22"/>
      <c r="AK26" s="151"/>
      <c r="AL26" s="136"/>
      <c r="AM26" s="153"/>
    </row>
    <row r="27" spans="1:39" s="36" customFormat="1" ht="22.9" customHeight="1" thickBot="1">
      <c r="A27" s="115"/>
      <c r="B27" s="118"/>
      <c r="C27" s="121"/>
      <c r="D27" s="124"/>
      <c r="E27" s="124"/>
      <c r="F27" s="124"/>
      <c r="G27" s="124"/>
      <c r="H27" s="124"/>
      <c r="I27" s="127"/>
      <c r="J27" s="127"/>
      <c r="K27" s="149"/>
      <c r="L27" s="23" t="s">
        <v>56</v>
      </c>
      <c r="M27" s="23" t="s">
        <v>56</v>
      </c>
      <c r="N27" s="23" t="s">
        <v>56</v>
      </c>
      <c r="O27" s="24" t="s">
        <v>56</v>
      </c>
      <c r="P27" s="23" t="s">
        <v>56</v>
      </c>
      <c r="Q27" s="24" t="s">
        <v>56</v>
      </c>
      <c r="R27" s="23" t="s">
        <v>56</v>
      </c>
      <c r="S27" s="24" t="s">
        <v>56</v>
      </c>
      <c r="T27" s="23" t="s">
        <v>56</v>
      </c>
      <c r="U27" s="24" t="s">
        <v>56</v>
      </c>
      <c r="V27" s="23" t="s">
        <v>56</v>
      </c>
      <c r="W27" s="24" t="s">
        <v>56</v>
      </c>
      <c r="X27" s="23" t="s">
        <v>56</v>
      </c>
      <c r="Y27" s="24" t="s">
        <v>56</v>
      </c>
      <c r="Z27" s="23" t="s">
        <v>56</v>
      </c>
      <c r="AA27" s="24" t="s">
        <v>56</v>
      </c>
      <c r="AB27" s="23" t="s">
        <v>56</v>
      </c>
      <c r="AC27" s="24" t="s">
        <v>56</v>
      </c>
      <c r="AD27" s="23" t="s">
        <v>56</v>
      </c>
      <c r="AE27" s="24" t="s">
        <v>56</v>
      </c>
      <c r="AF27" s="23" t="s">
        <v>56</v>
      </c>
      <c r="AG27" s="24" t="s">
        <v>56</v>
      </c>
      <c r="AH27" s="23" t="s">
        <v>56</v>
      </c>
      <c r="AI27" s="24" t="s">
        <v>56</v>
      </c>
      <c r="AJ27" s="22"/>
      <c r="AK27" s="151"/>
      <c r="AL27" s="136"/>
      <c r="AM27" s="153"/>
    </row>
    <row r="28" spans="1:39" s="36" customFormat="1" ht="22.9" customHeight="1" thickTop="1">
      <c r="A28" s="115"/>
      <c r="B28" s="118"/>
      <c r="C28" s="121"/>
      <c r="D28" s="124"/>
      <c r="E28" s="124"/>
      <c r="F28" s="124"/>
      <c r="G28" s="124"/>
      <c r="H28" s="124"/>
      <c r="I28" s="127"/>
      <c r="J28" s="127"/>
      <c r="K28" s="147" t="s">
        <v>77</v>
      </c>
      <c r="L28" s="34">
        <v>2</v>
      </c>
      <c r="M28" s="45">
        <v>0</v>
      </c>
      <c r="N28" s="45">
        <v>0</v>
      </c>
      <c r="O28" s="46">
        <f>+M28+N28</f>
        <v>0</v>
      </c>
      <c r="P28" s="45">
        <v>0</v>
      </c>
      <c r="Q28" s="46">
        <f t="shared" ref="Q28:AI28" si="3">+O28+P28</f>
        <v>0</v>
      </c>
      <c r="R28" s="45">
        <v>1</v>
      </c>
      <c r="S28" s="46">
        <f t="shared" si="3"/>
        <v>1</v>
      </c>
      <c r="T28" s="45">
        <v>0</v>
      </c>
      <c r="U28" s="46">
        <f t="shared" si="3"/>
        <v>1</v>
      </c>
      <c r="V28" s="45">
        <v>1</v>
      </c>
      <c r="W28" s="46">
        <f t="shared" si="3"/>
        <v>2</v>
      </c>
      <c r="X28" s="45">
        <v>0</v>
      </c>
      <c r="Y28" s="46">
        <f t="shared" si="3"/>
        <v>2</v>
      </c>
      <c r="Z28" s="45">
        <v>0</v>
      </c>
      <c r="AA28" s="46">
        <f t="shared" si="3"/>
        <v>2</v>
      </c>
      <c r="AB28" s="45">
        <v>0</v>
      </c>
      <c r="AC28" s="46">
        <f t="shared" si="3"/>
        <v>2</v>
      </c>
      <c r="AD28" s="45">
        <v>0</v>
      </c>
      <c r="AE28" s="46">
        <f t="shared" si="3"/>
        <v>2</v>
      </c>
      <c r="AF28" s="45">
        <v>0</v>
      </c>
      <c r="AG28" s="46">
        <f t="shared" si="3"/>
        <v>2</v>
      </c>
      <c r="AH28" s="45">
        <v>0</v>
      </c>
      <c r="AI28" s="46">
        <f t="shared" si="3"/>
        <v>2</v>
      </c>
      <c r="AJ28" s="27">
        <f>AI26/L26</f>
        <v>1</v>
      </c>
      <c r="AK28" s="151"/>
      <c r="AL28" s="136"/>
      <c r="AM28" s="153"/>
    </row>
    <row r="29" spans="1:39" s="36" customFormat="1" ht="22.9" customHeight="1">
      <c r="A29" s="115"/>
      <c r="B29" s="118"/>
      <c r="C29" s="121"/>
      <c r="D29" s="124"/>
      <c r="E29" s="124"/>
      <c r="F29" s="124"/>
      <c r="G29" s="124"/>
      <c r="H29" s="124"/>
      <c r="I29" s="127"/>
      <c r="J29" s="127"/>
      <c r="K29" s="155"/>
      <c r="L29" s="28" t="s">
        <v>58</v>
      </c>
      <c r="M29" s="48" t="s">
        <v>58</v>
      </c>
      <c r="N29" s="48" t="s">
        <v>58</v>
      </c>
      <c r="O29" s="49" t="s">
        <v>58</v>
      </c>
      <c r="P29" s="48" t="s">
        <v>58</v>
      </c>
      <c r="Q29" s="49" t="s">
        <v>58</v>
      </c>
      <c r="R29" s="48" t="s">
        <v>58</v>
      </c>
      <c r="S29" s="49" t="s">
        <v>58</v>
      </c>
      <c r="T29" s="48" t="s">
        <v>58</v>
      </c>
      <c r="U29" s="49" t="s">
        <v>58</v>
      </c>
      <c r="V29" s="48" t="s">
        <v>58</v>
      </c>
      <c r="W29" s="49" t="s">
        <v>58</v>
      </c>
      <c r="X29" s="48" t="s">
        <v>58</v>
      </c>
      <c r="Y29" s="49" t="s">
        <v>58</v>
      </c>
      <c r="Z29" s="48" t="s">
        <v>58</v>
      </c>
      <c r="AA29" s="49" t="s">
        <v>58</v>
      </c>
      <c r="AB29" s="48" t="s">
        <v>58</v>
      </c>
      <c r="AC29" s="49" t="s">
        <v>58</v>
      </c>
      <c r="AD29" s="48" t="s">
        <v>58</v>
      </c>
      <c r="AE29" s="49" t="s">
        <v>58</v>
      </c>
      <c r="AF29" s="48" t="s">
        <v>58</v>
      </c>
      <c r="AG29" s="49" t="s">
        <v>58</v>
      </c>
      <c r="AH29" s="48" t="s">
        <v>58</v>
      </c>
      <c r="AI29" s="49" t="s">
        <v>58</v>
      </c>
      <c r="AJ29" s="22"/>
      <c r="AK29" s="151"/>
      <c r="AL29" s="136"/>
      <c r="AM29" s="153"/>
    </row>
    <row r="30" spans="1:39" s="36" customFormat="1" ht="22.9" customHeight="1" thickBot="1">
      <c r="A30" s="116"/>
      <c r="B30" s="119"/>
      <c r="C30" s="122"/>
      <c r="D30" s="125"/>
      <c r="E30" s="125"/>
      <c r="F30" s="125"/>
      <c r="G30" s="125"/>
      <c r="H30" s="125"/>
      <c r="I30" s="128"/>
      <c r="J30" s="128"/>
      <c r="K30" s="156"/>
      <c r="L30" s="35">
        <v>3</v>
      </c>
      <c r="M30" s="50">
        <v>3</v>
      </c>
      <c r="N30" s="50">
        <v>3</v>
      </c>
      <c r="O30" s="51">
        <v>3</v>
      </c>
      <c r="P30" s="50">
        <v>3</v>
      </c>
      <c r="Q30" s="51">
        <v>3</v>
      </c>
      <c r="R30" s="50">
        <v>3</v>
      </c>
      <c r="S30" s="51">
        <v>3</v>
      </c>
      <c r="T30" s="50">
        <v>3</v>
      </c>
      <c r="U30" s="51">
        <v>3</v>
      </c>
      <c r="V30" s="50">
        <v>3</v>
      </c>
      <c r="W30" s="51">
        <v>3</v>
      </c>
      <c r="X30" s="50">
        <v>3</v>
      </c>
      <c r="Y30" s="51">
        <v>3</v>
      </c>
      <c r="Z30" s="50">
        <v>3</v>
      </c>
      <c r="AA30" s="51">
        <v>3</v>
      </c>
      <c r="AB30" s="50">
        <v>3</v>
      </c>
      <c r="AC30" s="51">
        <v>3</v>
      </c>
      <c r="AD30" s="50">
        <v>3</v>
      </c>
      <c r="AE30" s="51">
        <v>3</v>
      </c>
      <c r="AF30" s="50">
        <v>3</v>
      </c>
      <c r="AG30" s="51">
        <v>3</v>
      </c>
      <c r="AH30" s="50">
        <v>3</v>
      </c>
      <c r="AI30" s="51">
        <v>3</v>
      </c>
      <c r="AJ30" s="32"/>
      <c r="AK30" s="152"/>
      <c r="AL30" s="137"/>
      <c r="AM30" s="154"/>
    </row>
    <row r="31" spans="1:39" s="7" customFormat="1" ht="22.9" customHeight="1" thickTop="1">
      <c r="A31" s="157" t="s">
        <v>78</v>
      </c>
      <c r="B31" s="173" t="s">
        <v>46</v>
      </c>
      <c r="C31" s="176" t="s">
        <v>79</v>
      </c>
      <c r="D31" s="197" t="s">
        <v>80</v>
      </c>
      <c r="E31" s="179" t="s">
        <v>49</v>
      </c>
      <c r="F31" s="182" t="s">
        <v>50</v>
      </c>
      <c r="G31" s="179" t="s">
        <v>51</v>
      </c>
      <c r="H31" s="182" t="s">
        <v>50</v>
      </c>
      <c r="I31" s="198">
        <f>+L32</f>
        <v>1</v>
      </c>
      <c r="J31" s="185">
        <v>0.2</v>
      </c>
      <c r="K31" s="162" t="s">
        <v>81</v>
      </c>
      <c r="L31" s="41" t="s">
        <v>53</v>
      </c>
      <c r="M31" s="17" t="s">
        <v>53</v>
      </c>
      <c r="N31" s="17" t="s">
        <v>53</v>
      </c>
      <c r="O31" s="18" t="s">
        <v>53</v>
      </c>
      <c r="P31" s="17" t="s">
        <v>53</v>
      </c>
      <c r="Q31" s="53" t="s">
        <v>53</v>
      </c>
      <c r="R31" s="17" t="s">
        <v>53</v>
      </c>
      <c r="S31" s="53" t="s">
        <v>53</v>
      </c>
      <c r="T31" s="17" t="s">
        <v>53</v>
      </c>
      <c r="U31" s="53" t="s">
        <v>53</v>
      </c>
      <c r="V31" s="17" t="s">
        <v>53</v>
      </c>
      <c r="W31" s="53" t="s">
        <v>53</v>
      </c>
      <c r="X31" s="17" t="s">
        <v>53</v>
      </c>
      <c r="Y31" s="53" t="s">
        <v>53</v>
      </c>
      <c r="Z31" s="17" t="s">
        <v>53</v>
      </c>
      <c r="AA31" s="53" t="s">
        <v>53</v>
      </c>
      <c r="AB31" s="17" t="s">
        <v>53</v>
      </c>
      <c r="AC31" s="53" t="s">
        <v>53</v>
      </c>
      <c r="AD31" s="17" t="s">
        <v>53</v>
      </c>
      <c r="AE31" s="53" t="s">
        <v>53</v>
      </c>
      <c r="AF31" s="17" t="s">
        <v>53</v>
      </c>
      <c r="AG31" s="53" t="s">
        <v>53</v>
      </c>
      <c r="AH31" s="17" t="s">
        <v>53</v>
      </c>
      <c r="AI31" s="53" t="s">
        <v>53</v>
      </c>
      <c r="AJ31" s="42"/>
      <c r="AK31" s="165" t="s">
        <v>82</v>
      </c>
      <c r="AL31" s="165"/>
      <c r="AM31" s="129" t="s">
        <v>55</v>
      </c>
    </row>
    <row r="32" spans="1:39" s="7" customFormat="1" ht="22.9" customHeight="1">
      <c r="A32" s="158"/>
      <c r="B32" s="174"/>
      <c r="C32" s="177"/>
      <c r="D32" s="332"/>
      <c r="E32" s="180"/>
      <c r="F32" s="183"/>
      <c r="G32" s="180"/>
      <c r="H32" s="183"/>
      <c r="I32" s="199"/>
      <c r="J32" s="186"/>
      <c r="K32" s="163"/>
      <c r="L32" s="33">
        <f>IF(L34&lt;&gt;0,+L34/L36,0%)</f>
        <v>1</v>
      </c>
      <c r="M32" s="54">
        <f>IF(M34&lt;&gt;0,+M34/M36,0%)</f>
        <v>0</v>
      </c>
      <c r="N32" s="55">
        <f>IF(N34&lt;&gt;0,+N34/N36,0%)</f>
        <v>0</v>
      </c>
      <c r="O32" s="56">
        <f t="shared" ref="O32:AG32" si="4">IF(O34&lt;&gt;0,+O34/O36,0%)</f>
        <v>0</v>
      </c>
      <c r="P32" s="55">
        <f>IF(P34&lt;&gt;0,ROUND(+P34/P36,4),0%)</f>
        <v>0</v>
      </c>
      <c r="Q32" s="57">
        <f t="shared" si="4"/>
        <v>0</v>
      </c>
      <c r="R32" s="58">
        <f>IF(R34&lt;&gt;0,ROUND(+R34/R36,4),0%)</f>
        <v>0</v>
      </c>
      <c r="S32" s="57">
        <f t="shared" si="4"/>
        <v>0</v>
      </c>
      <c r="T32" s="58">
        <f>IF(T34&lt;&gt;0,ROUND(+T34/T36,4),0%)</f>
        <v>0</v>
      </c>
      <c r="U32" s="57">
        <f t="shared" si="4"/>
        <v>0</v>
      </c>
      <c r="V32" s="58">
        <f>IF(V34&lt;&gt;0,ROUND(+V34/V36,4),0%)</f>
        <v>0</v>
      </c>
      <c r="W32" s="57">
        <f t="shared" si="4"/>
        <v>0</v>
      </c>
      <c r="X32" s="58">
        <f>IF(X34&lt;&gt;0,ROUND(+X34/X36,4),0%)</f>
        <v>0</v>
      </c>
      <c r="Y32" s="57">
        <f t="shared" si="4"/>
        <v>0</v>
      </c>
      <c r="Z32" s="315">
        <f>IF(Z34&lt;&gt;0,ROUND(+Z34/Z36,4),0%)</f>
        <v>0.125</v>
      </c>
      <c r="AA32" s="316">
        <f t="shared" si="4"/>
        <v>0.125</v>
      </c>
      <c r="AB32" s="317">
        <f>IF(AB34&lt;&gt;0,ROUND(+AB34/AB36,4),0%)</f>
        <v>0.125</v>
      </c>
      <c r="AC32" s="316">
        <f t="shared" si="4"/>
        <v>0.25</v>
      </c>
      <c r="AD32" s="317">
        <f>IF(AD34&lt;&gt;0,ROUND(+AD34/AD36,4),0%)</f>
        <v>0.25</v>
      </c>
      <c r="AE32" s="316">
        <f t="shared" si="4"/>
        <v>0.5</v>
      </c>
      <c r="AF32" s="317">
        <f>IF(AF34&lt;&gt;0,ROUND(+AF34/AF36,4),0%)</f>
        <v>0.5</v>
      </c>
      <c r="AG32" s="316">
        <f t="shared" si="4"/>
        <v>1</v>
      </c>
      <c r="AH32" s="317">
        <f>IF(AH34&lt;&gt;0,ROUND(+AH34/AH36,4),0%)</f>
        <v>0</v>
      </c>
      <c r="AI32" s="316">
        <f>IF(AI34&lt;&gt;0,+AI34/AI36,0%)</f>
        <v>1</v>
      </c>
      <c r="AJ32" s="43"/>
      <c r="AK32" s="166"/>
      <c r="AL32" s="166"/>
      <c r="AM32" s="130"/>
    </row>
    <row r="33" spans="1:39" s="7" customFormat="1" ht="22.9" customHeight="1" thickBot="1">
      <c r="A33" s="158"/>
      <c r="B33" s="174"/>
      <c r="C33" s="177"/>
      <c r="D33" s="332"/>
      <c r="E33" s="180"/>
      <c r="F33" s="183"/>
      <c r="G33" s="180"/>
      <c r="H33" s="183"/>
      <c r="I33" s="199"/>
      <c r="J33" s="186"/>
      <c r="K33" s="164"/>
      <c r="L33" s="44" t="s">
        <v>56</v>
      </c>
      <c r="M33" s="23" t="s">
        <v>56</v>
      </c>
      <c r="N33" s="23" t="s">
        <v>56</v>
      </c>
      <c r="O33" s="24" t="s">
        <v>56</v>
      </c>
      <c r="P33" s="23" t="s">
        <v>56</v>
      </c>
      <c r="Q33" s="59" t="s">
        <v>56</v>
      </c>
      <c r="R33" s="23" t="s">
        <v>56</v>
      </c>
      <c r="S33" s="59" t="s">
        <v>56</v>
      </c>
      <c r="T33" s="23" t="s">
        <v>56</v>
      </c>
      <c r="U33" s="59" t="s">
        <v>56</v>
      </c>
      <c r="V33" s="23" t="s">
        <v>56</v>
      </c>
      <c r="W33" s="59" t="s">
        <v>56</v>
      </c>
      <c r="X33" s="23" t="s">
        <v>56</v>
      </c>
      <c r="Y33" s="59" t="s">
        <v>56</v>
      </c>
      <c r="Z33" s="23" t="s">
        <v>56</v>
      </c>
      <c r="AA33" s="59" t="s">
        <v>56</v>
      </c>
      <c r="AB33" s="23" t="s">
        <v>56</v>
      </c>
      <c r="AC33" s="59" t="s">
        <v>56</v>
      </c>
      <c r="AD33" s="23" t="s">
        <v>56</v>
      </c>
      <c r="AE33" s="59" t="s">
        <v>56</v>
      </c>
      <c r="AF33" s="23" t="s">
        <v>56</v>
      </c>
      <c r="AG33" s="59" t="s">
        <v>56</v>
      </c>
      <c r="AH33" s="23" t="s">
        <v>56</v>
      </c>
      <c r="AI33" s="59" t="s">
        <v>56</v>
      </c>
      <c r="AJ33" s="43"/>
      <c r="AK33" s="166"/>
      <c r="AL33" s="166"/>
      <c r="AM33" s="130"/>
    </row>
    <row r="34" spans="1:39" s="7" customFormat="1" ht="22.9" customHeight="1" thickTop="1">
      <c r="A34" s="158"/>
      <c r="B34" s="174"/>
      <c r="C34" s="177"/>
      <c r="D34" s="332"/>
      <c r="E34" s="180"/>
      <c r="F34" s="183"/>
      <c r="G34" s="180"/>
      <c r="H34" s="183"/>
      <c r="I34" s="199"/>
      <c r="J34" s="186"/>
      <c r="K34" s="163" t="s">
        <v>83</v>
      </c>
      <c r="L34" s="60">
        <v>8</v>
      </c>
      <c r="M34" s="37">
        <v>0</v>
      </c>
      <c r="N34" s="37">
        <v>0</v>
      </c>
      <c r="O34" s="26">
        <f>+M34+N34</f>
        <v>0</v>
      </c>
      <c r="P34" s="37">
        <v>0</v>
      </c>
      <c r="Q34" s="26">
        <f>+O34+P34</f>
        <v>0</v>
      </c>
      <c r="R34" s="37">
        <v>0</v>
      </c>
      <c r="S34" s="26">
        <f>+Q34+R34</f>
        <v>0</v>
      </c>
      <c r="T34" s="37">
        <v>0</v>
      </c>
      <c r="U34" s="26">
        <f>+S34+T34</f>
        <v>0</v>
      </c>
      <c r="V34" s="37">
        <v>0</v>
      </c>
      <c r="W34" s="26">
        <f>+U34+V34</f>
        <v>0</v>
      </c>
      <c r="X34" s="37">
        <v>0</v>
      </c>
      <c r="Y34" s="26">
        <f>+W34+X34</f>
        <v>0</v>
      </c>
      <c r="Z34" s="37">
        <v>1</v>
      </c>
      <c r="AA34" s="26">
        <f>+Y34+Z34</f>
        <v>1</v>
      </c>
      <c r="AB34" s="37">
        <v>1</v>
      </c>
      <c r="AC34" s="26">
        <f>+AA34+AB34</f>
        <v>2</v>
      </c>
      <c r="AD34" s="37">
        <v>2</v>
      </c>
      <c r="AE34" s="26">
        <f>+AC34+AD34</f>
        <v>4</v>
      </c>
      <c r="AF34" s="37">
        <v>4</v>
      </c>
      <c r="AG34" s="26">
        <f>+AE34+AF34</f>
        <v>8</v>
      </c>
      <c r="AH34" s="37">
        <v>0</v>
      </c>
      <c r="AI34" s="26">
        <f>+AG34+AH34</f>
        <v>8</v>
      </c>
      <c r="AJ34" s="47">
        <f>+AI32/L32</f>
        <v>1</v>
      </c>
      <c r="AK34" s="166"/>
      <c r="AL34" s="166"/>
      <c r="AM34" s="130"/>
    </row>
    <row r="35" spans="1:39" s="7" customFormat="1" ht="22.9" customHeight="1">
      <c r="A35" s="158"/>
      <c r="B35" s="174"/>
      <c r="C35" s="177"/>
      <c r="D35" s="332"/>
      <c r="E35" s="180"/>
      <c r="F35" s="183"/>
      <c r="G35" s="180"/>
      <c r="H35" s="183"/>
      <c r="I35" s="199"/>
      <c r="J35" s="186"/>
      <c r="K35" s="168"/>
      <c r="L35" s="48" t="s">
        <v>58</v>
      </c>
      <c r="M35" s="28" t="s">
        <v>58</v>
      </c>
      <c r="N35" s="28" t="s">
        <v>58</v>
      </c>
      <c r="O35" s="29" t="s">
        <v>58</v>
      </c>
      <c r="P35" s="28" t="s">
        <v>58</v>
      </c>
      <c r="Q35" s="29" t="s">
        <v>58</v>
      </c>
      <c r="R35" s="28" t="s">
        <v>58</v>
      </c>
      <c r="S35" s="29" t="s">
        <v>58</v>
      </c>
      <c r="T35" s="28" t="s">
        <v>58</v>
      </c>
      <c r="U35" s="29" t="s">
        <v>58</v>
      </c>
      <c r="V35" s="28" t="s">
        <v>58</v>
      </c>
      <c r="W35" s="29" t="s">
        <v>58</v>
      </c>
      <c r="X35" s="28" t="s">
        <v>58</v>
      </c>
      <c r="Y35" s="29" t="s">
        <v>58</v>
      </c>
      <c r="Z35" s="28" t="s">
        <v>58</v>
      </c>
      <c r="AA35" s="29" t="s">
        <v>58</v>
      </c>
      <c r="AB35" s="28" t="s">
        <v>58</v>
      </c>
      <c r="AC35" s="29" t="s">
        <v>58</v>
      </c>
      <c r="AD35" s="28" t="s">
        <v>58</v>
      </c>
      <c r="AE35" s="29" t="s">
        <v>58</v>
      </c>
      <c r="AF35" s="28" t="s">
        <v>58</v>
      </c>
      <c r="AG35" s="29" t="s">
        <v>58</v>
      </c>
      <c r="AH35" s="28" t="s">
        <v>58</v>
      </c>
      <c r="AI35" s="61" t="s">
        <v>58</v>
      </c>
      <c r="AJ35" s="43"/>
      <c r="AK35" s="166"/>
      <c r="AL35" s="166"/>
      <c r="AM35" s="130"/>
    </row>
    <row r="36" spans="1:39" s="7" customFormat="1" ht="22.9" customHeight="1" thickBot="1">
      <c r="A36" s="159"/>
      <c r="B36" s="175"/>
      <c r="C36" s="178"/>
      <c r="D36" s="333"/>
      <c r="E36" s="181"/>
      <c r="F36" s="184"/>
      <c r="G36" s="181"/>
      <c r="H36" s="184"/>
      <c r="I36" s="200"/>
      <c r="J36" s="187"/>
      <c r="K36" s="164"/>
      <c r="L36" s="62">
        <v>8</v>
      </c>
      <c r="M36" s="38">
        <v>8</v>
      </c>
      <c r="N36" s="38">
        <v>8</v>
      </c>
      <c r="O36" s="31">
        <v>8</v>
      </c>
      <c r="P36" s="38">
        <v>8</v>
      </c>
      <c r="Q36" s="31">
        <v>8</v>
      </c>
      <c r="R36" s="38">
        <v>8</v>
      </c>
      <c r="S36" s="31">
        <v>8</v>
      </c>
      <c r="T36" s="38">
        <v>8</v>
      </c>
      <c r="U36" s="31">
        <v>8</v>
      </c>
      <c r="V36" s="38">
        <v>8</v>
      </c>
      <c r="W36" s="31">
        <v>8</v>
      </c>
      <c r="X36" s="38">
        <v>8</v>
      </c>
      <c r="Y36" s="31">
        <v>8</v>
      </c>
      <c r="Z36" s="38">
        <v>8</v>
      </c>
      <c r="AA36" s="31">
        <v>8</v>
      </c>
      <c r="AB36" s="38">
        <v>8</v>
      </c>
      <c r="AC36" s="31">
        <v>8</v>
      </c>
      <c r="AD36" s="38">
        <v>8</v>
      </c>
      <c r="AE36" s="31">
        <v>8</v>
      </c>
      <c r="AF36" s="38">
        <v>8</v>
      </c>
      <c r="AG36" s="31">
        <v>8</v>
      </c>
      <c r="AH36" s="38">
        <v>8</v>
      </c>
      <c r="AI36" s="31">
        <v>8</v>
      </c>
      <c r="AJ36" s="52"/>
      <c r="AK36" s="167"/>
      <c r="AL36" s="167"/>
      <c r="AM36" s="131"/>
    </row>
    <row r="37" spans="1:39" s="7" customFormat="1" ht="22.9" customHeight="1" thickTop="1">
      <c r="A37" s="191" t="s">
        <v>84</v>
      </c>
      <c r="B37" s="173" t="s">
        <v>46</v>
      </c>
      <c r="C37" s="176" t="s">
        <v>85</v>
      </c>
      <c r="D37" s="182" t="s">
        <v>86</v>
      </c>
      <c r="E37" s="179" t="s">
        <v>49</v>
      </c>
      <c r="F37" s="182" t="s">
        <v>50</v>
      </c>
      <c r="G37" s="179" t="s">
        <v>51</v>
      </c>
      <c r="H37" s="182" t="s">
        <v>50</v>
      </c>
      <c r="I37" s="233">
        <f>L38</f>
        <v>1</v>
      </c>
      <c r="J37" s="138">
        <v>0.15</v>
      </c>
      <c r="K37" s="144" t="s">
        <v>87</v>
      </c>
      <c r="L37" s="17" t="s">
        <v>53</v>
      </c>
      <c r="M37" s="17" t="s">
        <v>53</v>
      </c>
      <c r="N37" s="17" t="s">
        <v>53</v>
      </c>
      <c r="O37" s="18" t="s">
        <v>53</v>
      </c>
      <c r="P37" s="17" t="s">
        <v>53</v>
      </c>
      <c r="Q37" s="18" t="s">
        <v>53</v>
      </c>
      <c r="R37" s="17" t="s">
        <v>53</v>
      </c>
      <c r="S37" s="18" t="s">
        <v>53</v>
      </c>
      <c r="T37" s="17" t="s">
        <v>53</v>
      </c>
      <c r="U37" s="18" t="s">
        <v>53</v>
      </c>
      <c r="V37" s="17" t="s">
        <v>53</v>
      </c>
      <c r="W37" s="18" t="s">
        <v>53</v>
      </c>
      <c r="X37" s="17" t="s">
        <v>53</v>
      </c>
      <c r="Y37" s="18" t="s">
        <v>53</v>
      </c>
      <c r="Z37" s="17" t="s">
        <v>53</v>
      </c>
      <c r="AA37" s="18" t="s">
        <v>53</v>
      </c>
      <c r="AB37" s="17" t="s">
        <v>53</v>
      </c>
      <c r="AC37" s="18" t="s">
        <v>53</v>
      </c>
      <c r="AD37" s="17" t="s">
        <v>53</v>
      </c>
      <c r="AE37" s="18" t="s">
        <v>53</v>
      </c>
      <c r="AF37" s="17" t="s">
        <v>53</v>
      </c>
      <c r="AG37" s="18" t="s">
        <v>53</v>
      </c>
      <c r="AH37" s="17" t="s">
        <v>53</v>
      </c>
      <c r="AI37" s="18" t="s">
        <v>53</v>
      </c>
      <c r="AJ37" s="19"/>
      <c r="AK37" s="141" t="s">
        <v>88</v>
      </c>
      <c r="AL37" s="132"/>
      <c r="AM37" s="129" t="s">
        <v>55</v>
      </c>
    </row>
    <row r="38" spans="1:39" s="7" customFormat="1" ht="22.9" customHeight="1">
      <c r="A38" s="192"/>
      <c r="B38" s="174"/>
      <c r="C38" s="177"/>
      <c r="D38" s="183"/>
      <c r="E38" s="180"/>
      <c r="F38" s="183"/>
      <c r="G38" s="180"/>
      <c r="H38" s="183"/>
      <c r="I38" s="234"/>
      <c r="J38" s="139"/>
      <c r="K38" s="145"/>
      <c r="L38" s="33">
        <f>IF(L40&lt;&gt;0,+L40/L42,0%)</f>
        <v>1</v>
      </c>
      <c r="M38" s="20">
        <f>IF(M40&lt;&gt;0,+M40/M42,0%)</f>
        <v>0.16666666666666666</v>
      </c>
      <c r="N38" s="20">
        <f>IF(N40&lt;&gt;0,+N40/N42,0%)</f>
        <v>0</v>
      </c>
      <c r="O38" s="21">
        <f t="shared" ref="O38" si="5">IF(O40&lt;&gt;0,+O40/O42,0%)</f>
        <v>0.16666666666666666</v>
      </c>
      <c r="P38" s="20">
        <f>IF(P40&lt;&gt;0,+P40/P42,0%)</f>
        <v>0</v>
      </c>
      <c r="Q38" s="40">
        <f>P38+O38</f>
        <v>0.16666666666666666</v>
      </c>
      <c r="R38" s="20">
        <f>IF(R40&lt;&gt;0,+R40/R42,0%)</f>
        <v>0.16666666666666666</v>
      </c>
      <c r="S38" s="40">
        <f>R38+Q38</f>
        <v>0.33333333333333331</v>
      </c>
      <c r="T38" s="20">
        <f>IF(T40&lt;&gt;0,+T40/T42,0%)</f>
        <v>0</v>
      </c>
      <c r="U38" s="40">
        <f>T38+S38</f>
        <v>0.33333333333333331</v>
      </c>
      <c r="V38" s="20">
        <f>IF(V40&lt;&gt;0,+V40/V42,0%)</f>
        <v>0</v>
      </c>
      <c r="W38" s="40">
        <f>V38+U38</f>
        <v>0.33333333333333331</v>
      </c>
      <c r="X38" s="20">
        <f>IF(X40&lt;&gt;0,+X40/X42,0%)</f>
        <v>0</v>
      </c>
      <c r="Y38" s="40">
        <f>X38+W38</f>
        <v>0.33333333333333331</v>
      </c>
      <c r="Z38" s="20">
        <f>IF(Z40&lt;&gt;0,+Z40/Z42,0%)</f>
        <v>0</v>
      </c>
      <c r="AA38" s="40">
        <f>Z38+Y38</f>
        <v>0.33333333333333331</v>
      </c>
      <c r="AB38" s="20">
        <f>IF(AB40&lt;&gt;0,+AB40/AB42,0%)</f>
        <v>0</v>
      </c>
      <c r="AC38" s="40">
        <f>AB38+AA38</f>
        <v>0.33333333333333331</v>
      </c>
      <c r="AD38" s="20">
        <f>IF(AD40&lt;&gt;0,+AD40/AD42,0%)</f>
        <v>0.16666666666666666</v>
      </c>
      <c r="AE38" s="40">
        <f>AD38+AC38</f>
        <v>0.5</v>
      </c>
      <c r="AF38" s="20">
        <f>IF(AF40&lt;&gt;0,+AF40/AF42,0%)</f>
        <v>0.5</v>
      </c>
      <c r="AG38" s="40">
        <f>AF38+AE38</f>
        <v>1</v>
      </c>
      <c r="AH38" s="20">
        <f>IF(AH40&lt;&gt;0,+AH40/AH42,0%)</f>
        <v>0</v>
      </c>
      <c r="AI38" s="21">
        <f t="shared" ref="AI38" si="6">IF(AI40&lt;&gt;0,+AI40/AI42,0%)</f>
        <v>1</v>
      </c>
      <c r="AJ38" s="22"/>
      <c r="AK38" s="142"/>
      <c r="AL38" s="133"/>
      <c r="AM38" s="130"/>
    </row>
    <row r="39" spans="1:39" s="7" customFormat="1" ht="22.9" customHeight="1" thickBot="1">
      <c r="A39" s="192"/>
      <c r="B39" s="174"/>
      <c r="C39" s="177"/>
      <c r="D39" s="183"/>
      <c r="E39" s="180"/>
      <c r="F39" s="183"/>
      <c r="G39" s="180"/>
      <c r="H39" s="183"/>
      <c r="I39" s="234"/>
      <c r="J39" s="139"/>
      <c r="K39" s="146"/>
      <c r="L39" s="23" t="s">
        <v>56</v>
      </c>
      <c r="M39" s="23" t="s">
        <v>56</v>
      </c>
      <c r="N39" s="23" t="s">
        <v>56</v>
      </c>
      <c r="O39" s="24" t="s">
        <v>56</v>
      </c>
      <c r="P39" s="23" t="s">
        <v>56</v>
      </c>
      <c r="Q39" s="24" t="s">
        <v>56</v>
      </c>
      <c r="R39" s="23" t="s">
        <v>56</v>
      </c>
      <c r="S39" s="24" t="s">
        <v>56</v>
      </c>
      <c r="T39" s="23" t="s">
        <v>56</v>
      </c>
      <c r="U39" s="24" t="s">
        <v>56</v>
      </c>
      <c r="V39" s="23" t="s">
        <v>56</v>
      </c>
      <c r="W39" s="24" t="s">
        <v>56</v>
      </c>
      <c r="X39" s="23" t="s">
        <v>56</v>
      </c>
      <c r="Y39" s="24" t="s">
        <v>56</v>
      </c>
      <c r="Z39" s="23" t="s">
        <v>56</v>
      </c>
      <c r="AA39" s="24" t="s">
        <v>56</v>
      </c>
      <c r="AB39" s="23" t="s">
        <v>56</v>
      </c>
      <c r="AC39" s="24" t="s">
        <v>56</v>
      </c>
      <c r="AD39" s="23" t="s">
        <v>56</v>
      </c>
      <c r="AE39" s="24" t="s">
        <v>56</v>
      </c>
      <c r="AF39" s="23" t="s">
        <v>56</v>
      </c>
      <c r="AG39" s="24" t="s">
        <v>56</v>
      </c>
      <c r="AH39" s="23" t="s">
        <v>56</v>
      </c>
      <c r="AI39" s="24" t="s">
        <v>56</v>
      </c>
      <c r="AJ39" s="22"/>
      <c r="AK39" s="142"/>
      <c r="AL39" s="133"/>
      <c r="AM39" s="130"/>
    </row>
    <row r="40" spans="1:39" s="7" customFormat="1" ht="22.9" customHeight="1" thickTop="1">
      <c r="A40" s="192"/>
      <c r="B40" s="174"/>
      <c r="C40" s="177"/>
      <c r="D40" s="183"/>
      <c r="E40" s="180"/>
      <c r="F40" s="183"/>
      <c r="G40" s="180"/>
      <c r="H40" s="183"/>
      <c r="I40" s="234"/>
      <c r="J40" s="139"/>
      <c r="K40" s="145" t="s">
        <v>89</v>
      </c>
      <c r="L40" s="34">
        <v>6</v>
      </c>
      <c r="M40" s="25">
        <v>1</v>
      </c>
      <c r="N40" s="25">
        <v>0</v>
      </c>
      <c r="O40" s="26">
        <f>+M40+N40</f>
        <v>1</v>
      </c>
      <c r="P40" s="25">
        <v>0</v>
      </c>
      <c r="Q40" s="26">
        <f>+O40+P40</f>
        <v>1</v>
      </c>
      <c r="R40" s="25">
        <v>1</v>
      </c>
      <c r="S40" s="26">
        <f>+Q40+R40</f>
        <v>2</v>
      </c>
      <c r="T40" s="25">
        <v>0</v>
      </c>
      <c r="U40" s="26">
        <f>+S40+T40</f>
        <v>2</v>
      </c>
      <c r="V40" s="25">
        <v>0</v>
      </c>
      <c r="W40" s="26">
        <f>+U40+V40</f>
        <v>2</v>
      </c>
      <c r="X40" s="25">
        <v>0</v>
      </c>
      <c r="Y40" s="26">
        <f>+W40+X40</f>
        <v>2</v>
      </c>
      <c r="Z40" s="25">
        <v>0</v>
      </c>
      <c r="AA40" s="26">
        <f>+Y40+Z40</f>
        <v>2</v>
      </c>
      <c r="AB40" s="25">
        <v>0</v>
      </c>
      <c r="AC40" s="26">
        <f>+AA40+AB40</f>
        <v>2</v>
      </c>
      <c r="AD40" s="25">
        <v>1</v>
      </c>
      <c r="AE40" s="26">
        <f>+AC40+AD40</f>
        <v>3</v>
      </c>
      <c r="AF40" s="25">
        <v>3</v>
      </c>
      <c r="AG40" s="26">
        <f>+AE40+AF40</f>
        <v>6</v>
      </c>
      <c r="AH40" s="25">
        <v>0</v>
      </c>
      <c r="AI40" s="26">
        <f>+AG40+AH40</f>
        <v>6</v>
      </c>
      <c r="AJ40" s="27">
        <f>+AI38/L38</f>
        <v>1</v>
      </c>
      <c r="AK40" s="142"/>
      <c r="AL40" s="133"/>
      <c r="AM40" s="130"/>
    </row>
    <row r="41" spans="1:39" s="7" customFormat="1" ht="22.9" customHeight="1">
      <c r="A41" s="192"/>
      <c r="B41" s="174"/>
      <c r="C41" s="177"/>
      <c r="D41" s="183"/>
      <c r="E41" s="180"/>
      <c r="F41" s="183"/>
      <c r="G41" s="180"/>
      <c r="H41" s="183"/>
      <c r="I41" s="234"/>
      <c r="J41" s="139"/>
      <c r="K41" s="145"/>
      <c r="L41" s="28" t="s">
        <v>58</v>
      </c>
      <c r="M41" s="28" t="s">
        <v>58</v>
      </c>
      <c r="N41" s="28" t="s">
        <v>58</v>
      </c>
      <c r="O41" s="29" t="s">
        <v>58</v>
      </c>
      <c r="P41" s="28" t="s">
        <v>58</v>
      </c>
      <c r="Q41" s="29" t="s">
        <v>58</v>
      </c>
      <c r="R41" s="28" t="s">
        <v>58</v>
      </c>
      <c r="S41" s="29" t="s">
        <v>58</v>
      </c>
      <c r="T41" s="28" t="s">
        <v>58</v>
      </c>
      <c r="U41" s="29" t="s">
        <v>58</v>
      </c>
      <c r="V41" s="28" t="s">
        <v>58</v>
      </c>
      <c r="W41" s="29" t="s">
        <v>58</v>
      </c>
      <c r="X41" s="28" t="s">
        <v>58</v>
      </c>
      <c r="Y41" s="29" t="s">
        <v>58</v>
      </c>
      <c r="Z41" s="28" t="s">
        <v>58</v>
      </c>
      <c r="AA41" s="29" t="s">
        <v>58</v>
      </c>
      <c r="AB41" s="28" t="s">
        <v>58</v>
      </c>
      <c r="AC41" s="29" t="s">
        <v>58</v>
      </c>
      <c r="AD41" s="28" t="s">
        <v>58</v>
      </c>
      <c r="AE41" s="29" t="s">
        <v>58</v>
      </c>
      <c r="AF41" s="28" t="s">
        <v>58</v>
      </c>
      <c r="AG41" s="29" t="s">
        <v>58</v>
      </c>
      <c r="AH41" s="28" t="s">
        <v>58</v>
      </c>
      <c r="AI41" s="29" t="s">
        <v>58</v>
      </c>
      <c r="AJ41" s="22"/>
      <c r="AK41" s="142"/>
      <c r="AL41" s="133"/>
      <c r="AM41" s="130"/>
    </row>
    <row r="42" spans="1:39" s="7" customFormat="1" ht="22.9" customHeight="1" thickBot="1">
      <c r="A42" s="193"/>
      <c r="B42" s="175"/>
      <c r="C42" s="178"/>
      <c r="D42" s="184"/>
      <c r="E42" s="181"/>
      <c r="F42" s="184"/>
      <c r="G42" s="181"/>
      <c r="H42" s="184"/>
      <c r="I42" s="235"/>
      <c r="J42" s="140"/>
      <c r="K42" s="146"/>
      <c r="L42" s="35">
        <v>6</v>
      </c>
      <c r="M42" s="30">
        <v>6</v>
      </c>
      <c r="N42" s="30">
        <v>6</v>
      </c>
      <c r="O42" s="31">
        <v>6</v>
      </c>
      <c r="P42" s="30">
        <v>6</v>
      </c>
      <c r="Q42" s="31">
        <v>6</v>
      </c>
      <c r="R42" s="30">
        <v>6</v>
      </c>
      <c r="S42" s="31">
        <v>6</v>
      </c>
      <c r="T42" s="30">
        <v>6</v>
      </c>
      <c r="U42" s="31">
        <v>6</v>
      </c>
      <c r="V42" s="30">
        <v>6</v>
      </c>
      <c r="W42" s="31">
        <v>6</v>
      </c>
      <c r="X42" s="30">
        <v>6</v>
      </c>
      <c r="Y42" s="31">
        <v>6</v>
      </c>
      <c r="Z42" s="30">
        <v>6</v>
      </c>
      <c r="AA42" s="31">
        <v>6</v>
      </c>
      <c r="AB42" s="30">
        <v>6</v>
      </c>
      <c r="AC42" s="31">
        <v>6</v>
      </c>
      <c r="AD42" s="30">
        <v>6</v>
      </c>
      <c r="AE42" s="31">
        <v>6</v>
      </c>
      <c r="AF42" s="30">
        <v>6</v>
      </c>
      <c r="AG42" s="31">
        <v>6</v>
      </c>
      <c r="AH42" s="30">
        <v>6</v>
      </c>
      <c r="AI42" s="31">
        <v>6</v>
      </c>
      <c r="AJ42" s="32"/>
      <c r="AK42" s="143"/>
      <c r="AL42" s="134"/>
      <c r="AM42" s="131"/>
    </row>
    <row r="43" spans="1:39" ht="13.5" thickTop="1">
      <c r="J43" s="63">
        <f>SUM(J13:J42)</f>
        <v>0.99999999999999989</v>
      </c>
      <c r="K43" s="39"/>
    </row>
    <row r="44" spans="1:39">
      <c r="K44" s="39"/>
    </row>
    <row r="45" spans="1:39">
      <c r="K45" s="39"/>
    </row>
    <row r="46" spans="1:39">
      <c r="K46" s="39"/>
    </row>
    <row r="47" spans="1:39">
      <c r="K47" s="39"/>
    </row>
    <row r="48" spans="1:39">
      <c r="K48" s="39"/>
    </row>
    <row r="49" spans="11:11">
      <c r="K49" s="39"/>
    </row>
    <row r="50" spans="11:11">
      <c r="K50" s="39"/>
    </row>
    <row r="51" spans="11:11">
      <c r="K51" s="39"/>
    </row>
    <row r="52" spans="11:11">
      <c r="K52" s="39"/>
    </row>
    <row r="53" spans="11:11">
      <c r="K53" s="39"/>
    </row>
    <row r="54" spans="11:11">
      <c r="K54" s="39"/>
    </row>
    <row r="55" spans="11:11">
      <c r="K55" s="39"/>
    </row>
    <row r="56" spans="11:11">
      <c r="K56" s="39"/>
    </row>
    <row r="57" spans="11:11">
      <c r="K57" s="39"/>
    </row>
    <row r="58" spans="11:11">
      <c r="K58" s="39"/>
    </row>
    <row r="59" spans="11:11">
      <c r="K59" s="39"/>
    </row>
    <row r="60" spans="11:11">
      <c r="K60" s="39"/>
    </row>
    <row r="61" spans="11:11">
      <c r="K61" s="39"/>
    </row>
    <row r="62" spans="11:11">
      <c r="K62" s="39"/>
    </row>
    <row r="63" spans="11:11">
      <c r="K63" s="39"/>
    </row>
    <row r="64" spans="11:11">
      <c r="K64" s="39"/>
    </row>
    <row r="65" spans="11:11">
      <c r="K65" s="39"/>
    </row>
    <row r="66" spans="11:11">
      <c r="K66" s="39"/>
    </row>
    <row r="67" spans="11:11">
      <c r="K67" s="39"/>
    </row>
    <row r="68" spans="11:11">
      <c r="K68" s="39"/>
    </row>
    <row r="69" spans="11:11">
      <c r="K69" s="39"/>
    </row>
    <row r="70" spans="11:11">
      <c r="K70" s="39"/>
    </row>
    <row r="71" spans="11:11">
      <c r="K71" s="39"/>
    </row>
    <row r="72" spans="11:11">
      <c r="K72" s="39"/>
    </row>
    <row r="73" spans="11:11">
      <c r="K73" s="39"/>
    </row>
    <row r="74" spans="11:11">
      <c r="K74" s="39"/>
    </row>
    <row r="75" spans="11:11">
      <c r="K75" s="39"/>
    </row>
    <row r="76" spans="11:11">
      <c r="K76" s="39"/>
    </row>
    <row r="77" spans="11:11">
      <c r="K77" s="39"/>
    </row>
    <row r="78" spans="11:11">
      <c r="K78" s="39"/>
    </row>
    <row r="79" spans="11:11">
      <c r="K79" s="39"/>
    </row>
    <row r="80" spans="11:11">
      <c r="K80" s="39"/>
    </row>
    <row r="81" spans="11:11">
      <c r="K81" s="39"/>
    </row>
    <row r="82" spans="11:11">
      <c r="K82" s="39"/>
    </row>
    <row r="83" spans="11:11">
      <c r="K83" s="39"/>
    </row>
    <row r="84" spans="11:11">
      <c r="K84" s="39"/>
    </row>
    <row r="85" spans="11:11">
      <c r="K85" s="39"/>
    </row>
    <row r="86" spans="11:11">
      <c r="K86" s="39"/>
    </row>
    <row r="87" spans="11:11">
      <c r="K87" s="39"/>
    </row>
    <row r="88" spans="11:11">
      <c r="K88" s="39"/>
    </row>
    <row r="89" spans="11:11">
      <c r="K89" s="39"/>
    </row>
    <row r="90" spans="11:11">
      <c r="K90" s="39"/>
    </row>
    <row r="91" spans="11:11">
      <c r="K91" s="39"/>
    </row>
    <row r="92" spans="11:11">
      <c r="K92" s="39"/>
    </row>
    <row r="93" spans="11:11">
      <c r="K93" s="39"/>
    </row>
    <row r="94" spans="11:11">
      <c r="K94" s="39"/>
    </row>
    <row r="95" spans="11:11">
      <c r="K95" s="39"/>
    </row>
    <row r="96" spans="11:11">
      <c r="K96" s="39"/>
    </row>
    <row r="97" spans="11:11">
      <c r="K97" s="39"/>
    </row>
    <row r="98" spans="11:11">
      <c r="K98" s="39"/>
    </row>
    <row r="99" spans="11:11">
      <c r="K99" s="39"/>
    </row>
    <row r="100" spans="11:11">
      <c r="K100" s="39"/>
    </row>
    <row r="101" spans="11:11">
      <c r="K101" s="39"/>
    </row>
    <row r="102" spans="11:11">
      <c r="K102" s="39"/>
    </row>
    <row r="103" spans="11:11">
      <c r="K103" s="39"/>
    </row>
    <row r="104" spans="11:11">
      <c r="K104" s="39"/>
    </row>
    <row r="105" spans="11:11">
      <c r="K105" s="39"/>
    </row>
    <row r="106" spans="11:11">
      <c r="K106" s="39"/>
    </row>
    <row r="107" spans="11:11">
      <c r="K107" s="39"/>
    </row>
    <row r="108" spans="11:11">
      <c r="K108" s="39"/>
    </row>
    <row r="109" spans="11:11">
      <c r="K109" s="39"/>
    </row>
    <row r="110" spans="11:11">
      <c r="K110" s="39"/>
    </row>
    <row r="111" spans="11:11">
      <c r="K111" s="39"/>
    </row>
    <row r="112" spans="11:11">
      <c r="K112" s="39"/>
    </row>
    <row r="113" spans="11:11">
      <c r="K113" s="39"/>
    </row>
    <row r="114" spans="11:11">
      <c r="K114" s="39"/>
    </row>
    <row r="115" spans="11:11">
      <c r="K115" s="39"/>
    </row>
    <row r="116" spans="11:11">
      <c r="K116" s="39"/>
    </row>
    <row r="117" spans="11:11">
      <c r="K117" s="39"/>
    </row>
    <row r="118" spans="11:11">
      <c r="K118" s="39"/>
    </row>
    <row r="119" spans="11:11">
      <c r="K119" s="39"/>
    </row>
    <row r="120" spans="11:11">
      <c r="K120" s="39"/>
    </row>
    <row r="121" spans="11:11">
      <c r="K121" s="39"/>
    </row>
    <row r="122" spans="11:11">
      <c r="K122" s="39"/>
    </row>
    <row r="123" spans="11:11">
      <c r="K123" s="39"/>
    </row>
    <row r="124" spans="11:11">
      <c r="K124" s="39"/>
    </row>
    <row r="125" spans="11:11">
      <c r="K125" s="39"/>
    </row>
    <row r="126" spans="11:11">
      <c r="K126" s="39"/>
    </row>
    <row r="127" spans="11:11">
      <c r="K127" s="39"/>
    </row>
    <row r="128" spans="11:11">
      <c r="K128" s="39"/>
    </row>
    <row r="129" spans="11:11">
      <c r="K129" s="39"/>
    </row>
    <row r="130" spans="11:11">
      <c r="K130" s="39"/>
    </row>
    <row r="131" spans="11:11">
      <c r="K131" s="39"/>
    </row>
    <row r="132" spans="11:11">
      <c r="K132" s="39"/>
    </row>
    <row r="133" spans="11:11">
      <c r="K133" s="39"/>
    </row>
    <row r="134" spans="11:11">
      <c r="K134" s="39"/>
    </row>
    <row r="135" spans="11:11">
      <c r="K135" s="39"/>
    </row>
    <row r="136" spans="11:11">
      <c r="K136" s="39"/>
    </row>
    <row r="137" spans="11:11">
      <c r="K137" s="39"/>
    </row>
    <row r="138" spans="11:11">
      <c r="K138" s="39"/>
    </row>
    <row r="139" spans="11:11">
      <c r="K139" s="39"/>
    </row>
    <row r="140" spans="11:11">
      <c r="K140" s="39"/>
    </row>
    <row r="141" spans="11:11">
      <c r="K141" s="39"/>
    </row>
    <row r="142" spans="11:11">
      <c r="K142" s="39"/>
    </row>
    <row r="143" spans="11:11">
      <c r="K143" s="39"/>
    </row>
    <row r="144" spans="11:11">
      <c r="K144" s="39"/>
    </row>
    <row r="145" spans="11:11">
      <c r="K145" s="39"/>
    </row>
    <row r="146" spans="11:11">
      <c r="K146" s="39"/>
    </row>
    <row r="147" spans="11:11">
      <c r="K147" s="39"/>
    </row>
    <row r="148" spans="11:11">
      <c r="K148" s="39"/>
    </row>
    <row r="149" spans="11:11">
      <c r="K149" s="39"/>
    </row>
    <row r="150" spans="11:11">
      <c r="K150" s="39"/>
    </row>
    <row r="151" spans="11:11">
      <c r="K151" s="39"/>
    </row>
    <row r="152" spans="11:11">
      <c r="K152" s="39"/>
    </row>
    <row r="153" spans="11:11">
      <c r="K153" s="39"/>
    </row>
    <row r="154" spans="11:11">
      <c r="K154" s="39"/>
    </row>
    <row r="155" spans="11:11">
      <c r="K155" s="39"/>
    </row>
    <row r="156" spans="11:11">
      <c r="K156" s="39"/>
    </row>
    <row r="157" spans="11:11">
      <c r="K157" s="39"/>
    </row>
    <row r="158" spans="11:11">
      <c r="K158" s="39"/>
    </row>
    <row r="159" spans="11:11">
      <c r="K159" s="39"/>
    </row>
    <row r="160" spans="11:11">
      <c r="K160" s="39"/>
    </row>
    <row r="161" spans="11:11">
      <c r="K161" s="39"/>
    </row>
    <row r="162" spans="11:11">
      <c r="K162" s="39"/>
    </row>
    <row r="163" spans="11:11">
      <c r="K163" s="39"/>
    </row>
    <row r="164" spans="11:11">
      <c r="K164" s="39"/>
    </row>
    <row r="165" spans="11:11">
      <c r="K165" s="39"/>
    </row>
    <row r="166" spans="11:11">
      <c r="K166" s="39"/>
    </row>
    <row r="167" spans="11:11">
      <c r="K167" s="39"/>
    </row>
    <row r="168" spans="11:11">
      <c r="K168" s="39"/>
    </row>
    <row r="169" spans="11:11">
      <c r="K169" s="39"/>
    </row>
    <row r="170" spans="11:11">
      <c r="K170" s="39"/>
    </row>
    <row r="171" spans="11:11">
      <c r="K171" s="39"/>
    </row>
    <row r="172" spans="11:11">
      <c r="K172" s="39"/>
    </row>
    <row r="173" spans="11:11">
      <c r="K173" s="39"/>
    </row>
    <row r="174" spans="11:11">
      <c r="K174" s="39"/>
    </row>
    <row r="175" spans="11:11">
      <c r="K175" s="39"/>
    </row>
    <row r="176" spans="11:11">
      <c r="K176" s="39"/>
    </row>
    <row r="177" spans="11:11">
      <c r="K177" s="39"/>
    </row>
    <row r="178" spans="11:11">
      <c r="K178" s="39"/>
    </row>
    <row r="179" spans="11:11">
      <c r="K179" s="39"/>
    </row>
    <row r="180" spans="11:11">
      <c r="K180" s="39"/>
    </row>
    <row r="181" spans="11:11">
      <c r="K181" s="39"/>
    </row>
    <row r="182" spans="11:11">
      <c r="K182" s="39"/>
    </row>
    <row r="183" spans="11:11">
      <c r="K183" s="39"/>
    </row>
    <row r="184" spans="11:11">
      <c r="K184" s="39"/>
    </row>
    <row r="185" spans="11:11">
      <c r="K185" s="39"/>
    </row>
    <row r="186" spans="11:11">
      <c r="K186" s="39"/>
    </row>
    <row r="187" spans="11:11">
      <c r="K187" s="39"/>
    </row>
    <row r="188" spans="11:11">
      <c r="K188" s="39"/>
    </row>
    <row r="189" spans="11:11">
      <c r="K189" s="39"/>
    </row>
    <row r="190" spans="11:11">
      <c r="K190" s="39"/>
    </row>
    <row r="191" spans="11:11">
      <c r="K191" s="39"/>
    </row>
    <row r="192" spans="11:11">
      <c r="K192" s="39"/>
    </row>
    <row r="193" spans="11:11">
      <c r="K193" s="39"/>
    </row>
    <row r="194" spans="11:11">
      <c r="K194" s="39"/>
    </row>
    <row r="195" spans="11:11">
      <c r="K195" s="39"/>
    </row>
    <row r="196" spans="11:11">
      <c r="K196" s="39"/>
    </row>
    <row r="197" spans="11:11">
      <c r="K197" s="39"/>
    </row>
    <row r="198" spans="11:11">
      <c r="K198" s="39"/>
    </row>
    <row r="199" spans="11:11">
      <c r="K199" s="39"/>
    </row>
    <row r="200" spans="11:11">
      <c r="K200" s="39"/>
    </row>
    <row r="201" spans="11:11">
      <c r="K201" s="39"/>
    </row>
    <row r="202" spans="11:11">
      <c r="K202" s="39"/>
    </row>
    <row r="203" spans="11:11">
      <c r="K203" s="39"/>
    </row>
    <row r="204" spans="11:11">
      <c r="K204" s="39"/>
    </row>
    <row r="205" spans="11:11">
      <c r="K205" s="39"/>
    </row>
    <row r="206" spans="11:11">
      <c r="K206" s="39"/>
    </row>
    <row r="207" spans="11:11">
      <c r="K207" s="39"/>
    </row>
    <row r="208" spans="11:11">
      <c r="K208" s="39"/>
    </row>
    <row r="209" spans="11:11">
      <c r="K209" s="39"/>
    </row>
    <row r="210" spans="11:11">
      <c r="K210" s="39"/>
    </row>
    <row r="211" spans="11:11">
      <c r="K211" s="39"/>
    </row>
    <row r="212" spans="11:11">
      <c r="K212" s="39"/>
    </row>
    <row r="213" spans="11:11">
      <c r="K213" s="39"/>
    </row>
    <row r="214" spans="11:11">
      <c r="K214" s="39"/>
    </row>
    <row r="215" spans="11:11">
      <c r="K215" s="39"/>
    </row>
    <row r="234" spans="5:5">
      <c r="E234" s="4" t="s">
        <v>90</v>
      </c>
    </row>
  </sheetData>
  <mergeCells count="123">
    <mergeCell ref="B37:B42"/>
    <mergeCell ref="B13:B18"/>
    <mergeCell ref="I13:I18"/>
    <mergeCell ref="H13:H18"/>
    <mergeCell ref="E37:E42"/>
    <mergeCell ref="C37:C42"/>
    <mergeCell ref="D37:D42"/>
    <mergeCell ref="F37:F42"/>
    <mergeCell ref="I37:I42"/>
    <mergeCell ref="D13:D18"/>
    <mergeCell ref="H37:H42"/>
    <mergeCell ref="E13:E18"/>
    <mergeCell ref="F13:F18"/>
    <mergeCell ref="G37:G42"/>
    <mergeCell ref="B19:B24"/>
    <mergeCell ref="C19:C24"/>
    <mergeCell ref="D19:D24"/>
    <mergeCell ref="E19:E24"/>
    <mergeCell ref="F19:F24"/>
    <mergeCell ref="G19:G24"/>
    <mergeCell ref="H19:H24"/>
    <mergeCell ref="I19:I24"/>
    <mergeCell ref="E6:N6"/>
    <mergeCell ref="B6:D6"/>
    <mergeCell ref="K11:K12"/>
    <mergeCell ref="F11:F12"/>
    <mergeCell ref="B1:D5"/>
    <mergeCell ref="G11:G12"/>
    <mergeCell ref="M11:M12"/>
    <mergeCell ref="S11:S12"/>
    <mergeCell ref="X11:X12"/>
    <mergeCell ref="H11:H12"/>
    <mergeCell ref="P11:P12"/>
    <mergeCell ref="D11:D12"/>
    <mergeCell ref="W11:W12"/>
    <mergeCell ref="O11:O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C11:C12"/>
    <mergeCell ref="A37:A42"/>
    <mergeCell ref="A13:A18"/>
    <mergeCell ref="AL11:AL12"/>
    <mergeCell ref="N11:N12"/>
    <mergeCell ref="AH11:AH12"/>
    <mergeCell ref="Z11:Z12"/>
    <mergeCell ref="Q11:Q12"/>
    <mergeCell ref="R11:R12"/>
    <mergeCell ref="AB11:AB12"/>
    <mergeCell ref="AA11:AA12"/>
    <mergeCell ref="T11:T12"/>
    <mergeCell ref="U11:U12"/>
    <mergeCell ref="AE11:AE12"/>
    <mergeCell ref="AF11:AF12"/>
    <mergeCell ref="AC11:AC12"/>
    <mergeCell ref="V11:V12"/>
    <mergeCell ref="B11:B12"/>
    <mergeCell ref="D31:D36"/>
    <mergeCell ref="AK13:AK18"/>
    <mergeCell ref="G13:G18"/>
    <mergeCell ref="C13:C18"/>
    <mergeCell ref="A11:A12"/>
    <mergeCell ref="I31:I36"/>
    <mergeCell ref="H31:H36"/>
    <mergeCell ref="A31:A36"/>
    <mergeCell ref="AM11:AM12"/>
    <mergeCell ref="K31:K33"/>
    <mergeCell ref="AK31:AK36"/>
    <mergeCell ref="K34:K36"/>
    <mergeCell ref="AI11:AI12"/>
    <mergeCell ref="AJ11:AJ12"/>
    <mergeCell ref="AK11:AK12"/>
    <mergeCell ref="AL31:AL36"/>
    <mergeCell ref="AD11:AD12"/>
    <mergeCell ref="B31:B36"/>
    <mergeCell ref="C31:C36"/>
    <mergeCell ref="AG11:AG12"/>
    <mergeCell ref="Y11:Y12"/>
    <mergeCell ref="E31:E36"/>
    <mergeCell ref="G31:G36"/>
    <mergeCell ref="F31:F36"/>
    <mergeCell ref="J11:J12"/>
    <mergeCell ref="J31:J36"/>
    <mergeCell ref="AM31:AM36"/>
    <mergeCell ref="A19:A24"/>
    <mergeCell ref="AM19:AM24"/>
    <mergeCell ref="K22:K24"/>
    <mergeCell ref="J19:J24"/>
    <mergeCell ref="AM13:AM18"/>
    <mergeCell ref="AM37:AM42"/>
    <mergeCell ref="AL37:AL42"/>
    <mergeCell ref="AL13:AL18"/>
    <mergeCell ref="J13:J18"/>
    <mergeCell ref="AK37:AK42"/>
    <mergeCell ref="K37:K39"/>
    <mergeCell ref="J37:J42"/>
    <mergeCell ref="K40:K42"/>
    <mergeCell ref="K13:K15"/>
    <mergeCell ref="K16:K18"/>
    <mergeCell ref="K19:K21"/>
    <mergeCell ref="AK19:AK24"/>
    <mergeCell ref="AL19:AL24"/>
    <mergeCell ref="J25:J30"/>
    <mergeCell ref="K25:K27"/>
    <mergeCell ref="AK25:AK30"/>
    <mergeCell ref="AL25:AL30"/>
    <mergeCell ref="AM25:AM30"/>
    <mergeCell ref="K28:K30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</mergeCells>
  <phoneticPr fontId="6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43C79-6D77-4585-AC7F-0CE7B5562A57}">
  <dimension ref="A1:AM309"/>
  <sheetViews>
    <sheetView showGridLines="0" topLeftCell="A8" zoomScale="89" zoomScaleNormal="89" workbookViewId="0">
      <pane xSplit="3" ySplit="5" topLeftCell="D13" activePane="bottomRight" state="frozen"/>
      <selection pane="bottomRight" activeCell="A13" sqref="A13:A18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8.42578125" style="71" customWidth="1"/>
    <col min="2" max="4" width="26.7109375" style="71" customWidth="1"/>
    <col min="5" max="5" width="22.42578125" style="71" customWidth="1"/>
    <col min="6" max="6" width="14.5703125" style="71" customWidth="1"/>
    <col min="7" max="7" width="23.42578125" style="71" customWidth="1"/>
    <col min="8" max="8" width="18" style="71" customWidth="1"/>
    <col min="9" max="9" width="11.140625" style="71" customWidth="1"/>
    <col min="10" max="10" width="28.5703125" style="71" customWidth="1"/>
    <col min="11" max="11" width="17" style="71" customWidth="1"/>
    <col min="12" max="12" width="11.140625" style="71" customWidth="1"/>
    <col min="13" max="13" width="11.7109375" style="113" customWidth="1"/>
    <col min="14" max="33" width="10.7109375" style="113" customWidth="1"/>
    <col min="34" max="34" width="13" style="113" bestFit="1" customWidth="1"/>
    <col min="35" max="35" width="16" style="113" customWidth="1"/>
    <col min="36" max="36" width="24.140625" style="113" customWidth="1"/>
    <col min="37" max="37" width="12.5703125" style="71" customWidth="1"/>
    <col min="38" max="38" width="26.85546875" style="71" customWidth="1"/>
    <col min="39" max="39" width="21.28515625" style="71" customWidth="1"/>
    <col min="40" max="40" width="2.28515625" style="71" customWidth="1"/>
    <col min="41" max="16384" width="11.42578125" style="71"/>
  </cols>
  <sheetData>
    <row r="1" spans="1:39" s="64" customFormat="1" ht="12.75" customHeight="1">
      <c r="B1" s="284"/>
      <c r="C1" s="284"/>
      <c r="D1" s="285"/>
      <c r="E1" s="290" t="s">
        <v>0</v>
      </c>
      <c r="F1" s="291"/>
      <c r="G1" s="291"/>
      <c r="H1" s="291"/>
      <c r="I1" s="291"/>
      <c r="J1" s="291"/>
      <c r="K1" s="291"/>
      <c r="L1" s="291"/>
      <c r="M1" s="292"/>
      <c r="N1" s="290" t="s">
        <v>91</v>
      </c>
      <c r="O1" s="299"/>
      <c r="P1" s="299"/>
      <c r="Q1" s="300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6"/>
      <c r="AL1" s="66"/>
    </row>
    <row r="2" spans="1:39" s="64" customFormat="1" ht="12.75" customHeight="1">
      <c r="B2" s="286"/>
      <c r="C2" s="286"/>
      <c r="D2" s="287"/>
      <c r="E2" s="293"/>
      <c r="F2" s="294"/>
      <c r="G2" s="294"/>
      <c r="H2" s="294"/>
      <c r="I2" s="294"/>
      <c r="J2" s="294"/>
      <c r="K2" s="294"/>
      <c r="L2" s="294"/>
      <c r="M2" s="295"/>
      <c r="N2" s="301" t="s">
        <v>92</v>
      </c>
      <c r="O2" s="302"/>
      <c r="P2" s="302"/>
      <c r="Q2" s="303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6"/>
      <c r="AL2" s="66"/>
    </row>
    <row r="3" spans="1:39" s="64" customFormat="1" ht="15.75" customHeight="1">
      <c r="B3" s="286"/>
      <c r="C3" s="286"/>
      <c r="D3" s="287"/>
      <c r="E3" s="293"/>
      <c r="F3" s="294"/>
      <c r="G3" s="294"/>
      <c r="H3" s="294"/>
      <c r="I3" s="294"/>
      <c r="J3" s="294"/>
      <c r="K3" s="294"/>
      <c r="L3" s="294"/>
      <c r="M3" s="295"/>
      <c r="N3" s="293"/>
      <c r="O3" s="304"/>
      <c r="P3" s="304"/>
      <c r="Q3" s="30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/>
      <c r="AL3" s="66"/>
    </row>
    <row r="4" spans="1:39" s="64" customFormat="1" ht="12.75" customHeight="1">
      <c r="B4" s="286"/>
      <c r="C4" s="286"/>
      <c r="D4" s="287"/>
      <c r="E4" s="293"/>
      <c r="F4" s="294"/>
      <c r="G4" s="294"/>
      <c r="H4" s="294"/>
      <c r="I4" s="294"/>
      <c r="J4" s="294"/>
      <c r="K4" s="294"/>
      <c r="L4" s="294"/>
      <c r="M4" s="295"/>
      <c r="N4" s="68"/>
      <c r="O4" s="69"/>
      <c r="P4" s="69"/>
      <c r="Q4" s="70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6"/>
      <c r="AL4" s="66"/>
    </row>
    <row r="5" spans="1:39" s="64" customFormat="1" ht="20.25" customHeight="1">
      <c r="B5" s="288"/>
      <c r="C5" s="288"/>
      <c r="D5" s="289"/>
      <c r="E5" s="296"/>
      <c r="F5" s="297"/>
      <c r="G5" s="297"/>
      <c r="H5" s="297"/>
      <c r="I5" s="297"/>
      <c r="J5" s="297"/>
      <c r="K5" s="297"/>
      <c r="L5" s="297"/>
      <c r="M5" s="298"/>
      <c r="N5" s="306" t="s">
        <v>93</v>
      </c>
      <c r="O5" s="307"/>
      <c r="P5" s="307"/>
      <c r="Q5" s="308"/>
      <c r="R5" s="65"/>
      <c r="S5" s="65"/>
      <c r="T5" s="65"/>
      <c r="U5" s="65" t="s">
        <v>1</v>
      </c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6"/>
      <c r="AL5" s="66"/>
    </row>
    <row r="6" spans="1:39" ht="15.75" customHeight="1">
      <c r="B6" s="309" t="s">
        <v>2</v>
      </c>
      <c r="C6" s="310"/>
      <c r="D6" s="311"/>
      <c r="E6" s="312" t="s">
        <v>3</v>
      </c>
      <c r="F6" s="313"/>
      <c r="G6" s="313"/>
      <c r="H6" s="313"/>
      <c r="I6" s="313"/>
      <c r="J6" s="313"/>
      <c r="K6" s="313"/>
      <c r="L6" s="313"/>
      <c r="M6" s="314"/>
      <c r="N6" s="312" t="s">
        <v>94</v>
      </c>
      <c r="O6" s="313"/>
      <c r="P6" s="313"/>
      <c r="Q6" s="314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3"/>
      <c r="AL6" s="73"/>
    </row>
    <row r="7" spans="1:39" s="64" customFormat="1" ht="16.5" customHeight="1">
      <c r="E7" s="74"/>
      <c r="F7" s="66"/>
      <c r="G7" s="66"/>
      <c r="H7" s="66"/>
      <c r="I7" s="66"/>
      <c r="J7" s="66"/>
      <c r="K7" s="66"/>
      <c r="L7" s="66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6"/>
      <c r="AL7" s="66"/>
    </row>
    <row r="8" spans="1:39" s="64" customFormat="1" ht="15.6">
      <c r="B8" s="75" t="s">
        <v>4</v>
      </c>
      <c r="C8" s="76"/>
      <c r="D8" s="77"/>
      <c r="E8" s="78"/>
      <c r="F8" s="66"/>
      <c r="G8" s="66"/>
      <c r="H8" s="66"/>
      <c r="I8" s="66"/>
      <c r="J8" s="66"/>
      <c r="K8" s="66"/>
      <c r="L8" s="66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79"/>
      <c r="AA8" s="65"/>
      <c r="AB8" s="65"/>
      <c r="AC8" s="65"/>
      <c r="AD8" s="65"/>
      <c r="AE8" s="79"/>
      <c r="AF8" s="65"/>
      <c r="AG8" s="65"/>
      <c r="AH8" s="65"/>
      <c r="AI8" s="65"/>
      <c r="AJ8" s="79"/>
      <c r="AK8" s="66"/>
      <c r="AL8" s="66"/>
    </row>
    <row r="9" spans="1:39" s="64" customFormat="1" ht="16.5" customHeight="1">
      <c r="B9" s="75" t="s">
        <v>95</v>
      </c>
      <c r="C9" s="76"/>
      <c r="D9" s="76"/>
      <c r="E9" s="78"/>
      <c r="F9" s="66"/>
      <c r="G9" s="66"/>
      <c r="H9" s="66"/>
      <c r="I9" s="66"/>
      <c r="J9" s="66"/>
      <c r="K9" s="66"/>
      <c r="L9" s="66"/>
      <c r="M9" s="65"/>
      <c r="N9" s="65"/>
      <c r="O9" s="65"/>
      <c r="P9" s="65"/>
      <c r="Q9" s="79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  <c r="AL9" s="66"/>
    </row>
    <row r="10" spans="1:39" s="64" customFormat="1" ht="15.95" thickBot="1">
      <c r="B10" s="75"/>
      <c r="C10" s="75"/>
      <c r="D10" s="75"/>
      <c r="E10" s="74"/>
      <c r="F10" s="66"/>
      <c r="G10" s="66"/>
      <c r="H10" s="66"/>
      <c r="I10" s="66"/>
      <c r="J10" s="66"/>
      <c r="K10" s="66"/>
      <c r="L10" s="66"/>
      <c r="M10" s="65"/>
      <c r="N10" s="65"/>
      <c r="O10" s="80"/>
      <c r="P10" s="80"/>
      <c r="Q10" s="81"/>
      <c r="R10" s="80"/>
      <c r="S10" s="80"/>
      <c r="T10" s="80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80"/>
      <c r="AI10" s="80"/>
      <c r="AJ10" s="80"/>
      <c r="AK10" s="67"/>
      <c r="AL10" s="67"/>
      <c r="AM10" s="82"/>
    </row>
    <row r="11" spans="1:39" s="83" customFormat="1" ht="22.9" customHeight="1" thickTop="1">
      <c r="A11" s="278" t="s">
        <v>6</v>
      </c>
      <c r="B11" s="278" t="s">
        <v>7</v>
      </c>
      <c r="C11" s="278" t="s">
        <v>8</v>
      </c>
      <c r="D11" s="262" t="s">
        <v>9</v>
      </c>
      <c r="E11" s="262" t="s">
        <v>10</v>
      </c>
      <c r="F11" s="262" t="s">
        <v>11</v>
      </c>
      <c r="G11" s="262" t="s">
        <v>12</v>
      </c>
      <c r="H11" s="262" t="s">
        <v>13</v>
      </c>
      <c r="I11" s="262" t="s">
        <v>14</v>
      </c>
      <c r="J11" s="262" t="s">
        <v>16</v>
      </c>
      <c r="K11" s="262" t="s">
        <v>17</v>
      </c>
      <c r="L11" s="262" t="s">
        <v>18</v>
      </c>
      <c r="M11" s="262" t="s">
        <v>19</v>
      </c>
      <c r="N11" s="278" t="s">
        <v>20</v>
      </c>
      <c r="O11" s="262" t="s">
        <v>21</v>
      </c>
      <c r="P11" s="262" t="s">
        <v>22</v>
      </c>
      <c r="Q11" s="262" t="s">
        <v>23</v>
      </c>
      <c r="R11" s="262" t="s">
        <v>24</v>
      </c>
      <c r="S11" s="262" t="s">
        <v>25</v>
      </c>
      <c r="T11" s="278" t="s">
        <v>26</v>
      </c>
      <c r="U11" s="278" t="s">
        <v>27</v>
      </c>
      <c r="V11" s="262" t="s">
        <v>28</v>
      </c>
      <c r="W11" s="280" t="s">
        <v>29</v>
      </c>
      <c r="X11" s="262" t="s">
        <v>30</v>
      </c>
      <c r="Y11" s="262" t="s">
        <v>31</v>
      </c>
      <c r="Z11" s="262" t="s">
        <v>32</v>
      </c>
      <c r="AA11" s="262" t="s">
        <v>33</v>
      </c>
      <c r="AB11" s="262" t="s">
        <v>34</v>
      </c>
      <c r="AC11" s="262" t="s">
        <v>35</v>
      </c>
      <c r="AD11" s="262" t="s">
        <v>36</v>
      </c>
      <c r="AE11" s="278" t="s">
        <v>37</v>
      </c>
      <c r="AF11" s="262" t="s">
        <v>38</v>
      </c>
      <c r="AG11" s="262" t="s">
        <v>39</v>
      </c>
      <c r="AH11" s="262" t="s">
        <v>96</v>
      </c>
      <c r="AI11" s="262" t="s">
        <v>41</v>
      </c>
      <c r="AJ11" s="262" t="s">
        <v>42</v>
      </c>
      <c r="AK11" s="262" t="s">
        <v>43</v>
      </c>
      <c r="AL11" s="262" t="s">
        <v>44</v>
      </c>
    </row>
    <row r="12" spans="1:39" s="83" customFormat="1" ht="22.9" customHeight="1" thickBot="1">
      <c r="A12" s="283"/>
      <c r="B12" s="283"/>
      <c r="C12" s="283"/>
      <c r="D12" s="263"/>
      <c r="E12" s="263"/>
      <c r="F12" s="263"/>
      <c r="G12" s="263"/>
      <c r="H12" s="263"/>
      <c r="I12" s="263"/>
      <c r="J12" s="263"/>
      <c r="K12" s="282"/>
      <c r="L12" s="263"/>
      <c r="M12" s="263"/>
      <c r="N12" s="283"/>
      <c r="O12" s="263"/>
      <c r="P12" s="263"/>
      <c r="Q12" s="263"/>
      <c r="R12" s="276"/>
      <c r="S12" s="263"/>
      <c r="T12" s="279"/>
      <c r="U12" s="279"/>
      <c r="V12" s="276"/>
      <c r="W12" s="281"/>
      <c r="X12" s="263"/>
      <c r="Y12" s="276"/>
      <c r="Z12" s="276"/>
      <c r="AA12" s="276"/>
      <c r="AB12" s="276"/>
      <c r="AC12" s="276"/>
      <c r="AD12" s="276"/>
      <c r="AE12" s="279"/>
      <c r="AF12" s="276"/>
      <c r="AG12" s="263"/>
      <c r="AH12" s="263"/>
      <c r="AI12" s="263"/>
      <c r="AJ12" s="277"/>
      <c r="AK12" s="263"/>
      <c r="AL12" s="263"/>
    </row>
    <row r="13" spans="1:39" s="86" customFormat="1" ht="22.9" customHeight="1" thickTop="1">
      <c r="A13" s="264" t="s">
        <v>97</v>
      </c>
      <c r="B13" s="173" t="s">
        <v>98</v>
      </c>
      <c r="C13" s="267" t="s">
        <v>99</v>
      </c>
      <c r="D13" s="270" t="s">
        <v>100</v>
      </c>
      <c r="E13" s="179" t="s">
        <v>49</v>
      </c>
      <c r="F13" s="182" t="s">
        <v>50</v>
      </c>
      <c r="G13" s="179" t="s">
        <v>101</v>
      </c>
      <c r="H13" s="182" t="s">
        <v>50</v>
      </c>
      <c r="I13" s="273">
        <f>K14</f>
        <v>1</v>
      </c>
      <c r="J13" s="252" t="s">
        <v>102</v>
      </c>
      <c r="K13" s="84" t="s">
        <v>53</v>
      </c>
      <c r="L13" s="84" t="s">
        <v>53</v>
      </c>
      <c r="M13" s="84" t="s">
        <v>53</v>
      </c>
      <c r="N13" s="85" t="s">
        <v>53</v>
      </c>
      <c r="O13" s="84" t="s">
        <v>53</v>
      </c>
      <c r="P13" s="85" t="s">
        <v>53</v>
      </c>
      <c r="Q13" s="84" t="s">
        <v>53</v>
      </c>
      <c r="R13" s="85" t="s">
        <v>53</v>
      </c>
      <c r="S13" s="84" t="s">
        <v>53</v>
      </c>
      <c r="T13" s="85" t="s">
        <v>53</v>
      </c>
      <c r="U13" s="84" t="s">
        <v>53</v>
      </c>
      <c r="V13" s="85" t="s">
        <v>53</v>
      </c>
      <c r="W13" s="84" t="s">
        <v>53</v>
      </c>
      <c r="X13" s="85" t="s">
        <v>53</v>
      </c>
      <c r="Y13" s="84" t="s">
        <v>53</v>
      </c>
      <c r="Z13" s="85" t="s">
        <v>53</v>
      </c>
      <c r="AA13" s="84" t="s">
        <v>53</v>
      </c>
      <c r="AB13" s="85" t="s">
        <v>53</v>
      </c>
      <c r="AC13" s="84" t="s">
        <v>53</v>
      </c>
      <c r="AD13" s="85" t="s">
        <v>53</v>
      </c>
      <c r="AE13" s="84" t="s">
        <v>53</v>
      </c>
      <c r="AF13" s="85" t="s">
        <v>53</v>
      </c>
      <c r="AG13" s="84" t="s">
        <v>53</v>
      </c>
      <c r="AH13" s="85" t="s">
        <v>53</v>
      </c>
      <c r="AI13" s="42"/>
      <c r="AJ13" s="255" t="s">
        <v>103</v>
      </c>
      <c r="AK13" s="256"/>
      <c r="AL13" s="259" t="s">
        <v>104</v>
      </c>
    </row>
    <row r="14" spans="1:39" s="86" customFormat="1" ht="22.9" customHeight="1">
      <c r="A14" s="265"/>
      <c r="B14" s="174"/>
      <c r="C14" s="268"/>
      <c r="D14" s="271"/>
      <c r="E14" s="180"/>
      <c r="F14" s="183"/>
      <c r="G14" s="180"/>
      <c r="H14" s="183"/>
      <c r="I14" s="274"/>
      <c r="J14" s="253"/>
      <c r="K14" s="87">
        <f>+K16/K18</f>
        <v>1</v>
      </c>
      <c r="L14" s="88">
        <f t="shared" ref="L14:AH14" si="0">IF(L16&lt;&gt;0,+L16/L18,0%)</f>
        <v>0</v>
      </c>
      <c r="M14" s="88">
        <f t="shared" si="0"/>
        <v>5.8823529411764705E-2</v>
      </c>
      <c r="N14" s="89">
        <f t="shared" si="0"/>
        <v>5.8823529411764705E-2</v>
      </c>
      <c r="O14" s="88">
        <f t="shared" si="0"/>
        <v>0.17647058823529413</v>
      </c>
      <c r="P14" s="89">
        <f t="shared" si="0"/>
        <v>0.23529411764705882</v>
      </c>
      <c r="Q14" s="88">
        <f t="shared" si="0"/>
        <v>5.8823529411764705E-2</v>
      </c>
      <c r="R14" s="89">
        <f t="shared" si="0"/>
        <v>0.29411764705882354</v>
      </c>
      <c r="S14" s="88">
        <f t="shared" si="0"/>
        <v>0</v>
      </c>
      <c r="T14" s="89">
        <f t="shared" si="0"/>
        <v>0.29411764705882354</v>
      </c>
      <c r="U14" s="88">
        <f t="shared" si="0"/>
        <v>0.11764705882352941</v>
      </c>
      <c r="V14" s="89">
        <f t="shared" si="0"/>
        <v>0.41176470588235292</v>
      </c>
      <c r="W14" s="88">
        <f t="shared" si="0"/>
        <v>0.17647058823529413</v>
      </c>
      <c r="X14" s="89">
        <f t="shared" si="0"/>
        <v>0.58823529411764708</v>
      </c>
      <c r="Y14" s="88">
        <f t="shared" si="0"/>
        <v>5.8823529411764705E-2</v>
      </c>
      <c r="Z14" s="89">
        <f t="shared" si="0"/>
        <v>0.6470588235294118</v>
      </c>
      <c r="AA14" s="88">
        <f t="shared" si="0"/>
        <v>5.8823529411764705E-2</v>
      </c>
      <c r="AB14" s="89">
        <f t="shared" si="0"/>
        <v>0.70588235294117652</v>
      </c>
      <c r="AC14" s="88">
        <f t="shared" si="0"/>
        <v>5.8823529411764705E-2</v>
      </c>
      <c r="AD14" s="89">
        <f t="shared" si="0"/>
        <v>0.76470588235294112</v>
      </c>
      <c r="AE14" s="88">
        <f t="shared" si="0"/>
        <v>0.17647058823529413</v>
      </c>
      <c r="AF14" s="89">
        <f t="shared" si="0"/>
        <v>0.94117647058823528</v>
      </c>
      <c r="AG14" s="88">
        <f t="shared" si="0"/>
        <v>5.8823529411764705E-2</v>
      </c>
      <c r="AH14" s="89">
        <f t="shared" si="0"/>
        <v>1</v>
      </c>
      <c r="AI14" s="43"/>
      <c r="AJ14" s="166"/>
      <c r="AK14" s="257"/>
      <c r="AL14" s="260"/>
    </row>
    <row r="15" spans="1:39" s="86" customFormat="1" ht="22.9" customHeight="1" thickBot="1">
      <c r="A15" s="265"/>
      <c r="B15" s="174"/>
      <c r="C15" s="268"/>
      <c r="D15" s="271"/>
      <c r="E15" s="180"/>
      <c r="F15" s="183"/>
      <c r="G15" s="180"/>
      <c r="H15" s="183"/>
      <c r="I15" s="274"/>
      <c r="J15" s="254"/>
      <c r="K15" s="90" t="s">
        <v>56</v>
      </c>
      <c r="L15" s="90" t="s">
        <v>56</v>
      </c>
      <c r="M15" s="90" t="s">
        <v>56</v>
      </c>
      <c r="N15" s="91" t="s">
        <v>56</v>
      </c>
      <c r="O15" s="90" t="s">
        <v>56</v>
      </c>
      <c r="P15" s="91" t="s">
        <v>56</v>
      </c>
      <c r="Q15" s="90" t="s">
        <v>56</v>
      </c>
      <c r="R15" s="91" t="s">
        <v>56</v>
      </c>
      <c r="S15" s="90" t="s">
        <v>56</v>
      </c>
      <c r="T15" s="91" t="s">
        <v>56</v>
      </c>
      <c r="U15" s="90" t="s">
        <v>56</v>
      </c>
      <c r="V15" s="91" t="s">
        <v>56</v>
      </c>
      <c r="W15" s="90" t="s">
        <v>56</v>
      </c>
      <c r="X15" s="91" t="s">
        <v>56</v>
      </c>
      <c r="Y15" s="90" t="s">
        <v>56</v>
      </c>
      <c r="Z15" s="91" t="s">
        <v>56</v>
      </c>
      <c r="AA15" s="90" t="s">
        <v>56</v>
      </c>
      <c r="AB15" s="91" t="s">
        <v>56</v>
      </c>
      <c r="AC15" s="90" t="s">
        <v>56</v>
      </c>
      <c r="AD15" s="91" t="s">
        <v>56</v>
      </c>
      <c r="AE15" s="90" t="s">
        <v>56</v>
      </c>
      <c r="AF15" s="91" t="s">
        <v>56</v>
      </c>
      <c r="AG15" s="90" t="s">
        <v>56</v>
      </c>
      <c r="AH15" s="91" t="s">
        <v>56</v>
      </c>
      <c r="AI15" s="43"/>
      <c r="AJ15" s="166"/>
      <c r="AK15" s="257"/>
      <c r="AL15" s="260"/>
    </row>
    <row r="16" spans="1:39" s="86" customFormat="1" ht="22.9" customHeight="1" thickTop="1">
      <c r="A16" s="265"/>
      <c r="B16" s="174"/>
      <c r="C16" s="268"/>
      <c r="D16" s="271"/>
      <c r="E16" s="180"/>
      <c r="F16" s="183"/>
      <c r="G16" s="180"/>
      <c r="H16" s="183"/>
      <c r="I16" s="274"/>
      <c r="J16" s="253" t="s">
        <v>105</v>
      </c>
      <c r="K16" s="92">
        <v>17</v>
      </c>
      <c r="L16" s="93">
        <v>0</v>
      </c>
      <c r="M16" s="93">
        <v>1</v>
      </c>
      <c r="N16" s="94">
        <f>+L16+M16</f>
        <v>1</v>
      </c>
      <c r="O16" s="93">
        <v>3</v>
      </c>
      <c r="P16" s="94">
        <f>+N16+O16</f>
        <v>4</v>
      </c>
      <c r="Q16" s="93">
        <v>1</v>
      </c>
      <c r="R16" s="94">
        <f>+P16+Q16</f>
        <v>5</v>
      </c>
      <c r="S16" s="93">
        <v>0</v>
      </c>
      <c r="T16" s="94">
        <f>+R16+S16</f>
        <v>5</v>
      </c>
      <c r="U16" s="93">
        <v>2</v>
      </c>
      <c r="V16" s="94">
        <f>+T16+U16</f>
        <v>7</v>
      </c>
      <c r="W16" s="93">
        <v>3</v>
      </c>
      <c r="X16" s="94">
        <f>+V16+W16</f>
        <v>10</v>
      </c>
      <c r="Y16" s="93">
        <v>1</v>
      </c>
      <c r="Z16" s="94">
        <f>+X16+Y16</f>
        <v>11</v>
      </c>
      <c r="AA16" s="93">
        <v>1</v>
      </c>
      <c r="AB16" s="94">
        <f>+Z16+AA16</f>
        <v>12</v>
      </c>
      <c r="AC16" s="93">
        <v>1</v>
      </c>
      <c r="AD16" s="94">
        <f>+AB16+AC16</f>
        <v>13</v>
      </c>
      <c r="AE16" s="93">
        <v>3</v>
      </c>
      <c r="AF16" s="94">
        <f>+AD16+AE16</f>
        <v>16</v>
      </c>
      <c r="AG16" s="93">
        <v>1</v>
      </c>
      <c r="AH16" s="94">
        <f>+AF16+AG16</f>
        <v>17</v>
      </c>
      <c r="AI16" s="47">
        <f>+AH14/K14</f>
        <v>1</v>
      </c>
      <c r="AJ16" s="166"/>
      <c r="AK16" s="257"/>
      <c r="AL16" s="260"/>
    </row>
    <row r="17" spans="1:38" s="86" customFormat="1" ht="22.9" customHeight="1">
      <c r="A17" s="265"/>
      <c r="B17" s="174"/>
      <c r="C17" s="268"/>
      <c r="D17" s="271"/>
      <c r="E17" s="180"/>
      <c r="F17" s="183"/>
      <c r="G17" s="180"/>
      <c r="H17" s="183"/>
      <c r="I17" s="274"/>
      <c r="J17" s="253"/>
      <c r="K17" s="95" t="s">
        <v>58</v>
      </c>
      <c r="L17" s="95" t="s">
        <v>58</v>
      </c>
      <c r="M17" s="95" t="s">
        <v>58</v>
      </c>
      <c r="N17" s="96" t="s">
        <v>58</v>
      </c>
      <c r="O17" s="95" t="s">
        <v>58</v>
      </c>
      <c r="P17" s="96" t="s">
        <v>58</v>
      </c>
      <c r="Q17" s="95" t="s">
        <v>58</v>
      </c>
      <c r="R17" s="96" t="s">
        <v>58</v>
      </c>
      <c r="S17" s="95" t="s">
        <v>58</v>
      </c>
      <c r="T17" s="96" t="s">
        <v>58</v>
      </c>
      <c r="U17" s="95" t="s">
        <v>58</v>
      </c>
      <c r="V17" s="96" t="s">
        <v>58</v>
      </c>
      <c r="W17" s="95" t="s">
        <v>58</v>
      </c>
      <c r="X17" s="96" t="s">
        <v>58</v>
      </c>
      <c r="Y17" s="95" t="s">
        <v>58</v>
      </c>
      <c r="Z17" s="96" t="s">
        <v>58</v>
      </c>
      <c r="AA17" s="95" t="s">
        <v>58</v>
      </c>
      <c r="AB17" s="96" t="s">
        <v>58</v>
      </c>
      <c r="AC17" s="95" t="s">
        <v>58</v>
      </c>
      <c r="AD17" s="96" t="s">
        <v>58</v>
      </c>
      <c r="AE17" s="95" t="s">
        <v>58</v>
      </c>
      <c r="AF17" s="96" t="s">
        <v>58</v>
      </c>
      <c r="AG17" s="95" t="s">
        <v>58</v>
      </c>
      <c r="AH17" s="96" t="s">
        <v>58</v>
      </c>
      <c r="AI17" s="43"/>
      <c r="AJ17" s="166"/>
      <c r="AK17" s="257"/>
      <c r="AL17" s="260"/>
    </row>
    <row r="18" spans="1:38" s="86" customFormat="1" ht="22.9" customHeight="1" thickBot="1">
      <c r="A18" s="266"/>
      <c r="B18" s="175"/>
      <c r="C18" s="269"/>
      <c r="D18" s="272"/>
      <c r="E18" s="181"/>
      <c r="F18" s="184"/>
      <c r="G18" s="181"/>
      <c r="H18" s="184"/>
      <c r="I18" s="275"/>
      <c r="J18" s="254"/>
      <c r="K18" s="97">
        <v>17</v>
      </c>
      <c r="L18" s="98">
        <v>17</v>
      </c>
      <c r="M18" s="98">
        <v>17</v>
      </c>
      <c r="N18" s="99">
        <v>17</v>
      </c>
      <c r="O18" s="98">
        <v>17</v>
      </c>
      <c r="P18" s="99">
        <v>17</v>
      </c>
      <c r="Q18" s="98">
        <v>17</v>
      </c>
      <c r="R18" s="99">
        <v>17</v>
      </c>
      <c r="S18" s="98">
        <v>17</v>
      </c>
      <c r="T18" s="99">
        <v>17</v>
      </c>
      <c r="U18" s="98">
        <v>17</v>
      </c>
      <c r="V18" s="99">
        <v>17</v>
      </c>
      <c r="W18" s="98">
        <v>17</v>
      </c>
      <c r="X18" s="99">
        <v>17</v>
      </c>
      <c r="Y18" s="98">
        <v>17</v>
      </c>
      <c r="Z18" s="99">
        <v>17</v>
      </c>
      <c r="AA18" s="98">
        <v>17</v>
      </c>
      <c r="AB18" s="99">
        <v>17</v>
      </c>
      <c r="AC18" s="98">
        <v>17</v>
      </c>
      <c r="AD18" s="99">
        <v>17</v>
      </c>
      <c r="AE18" s="98">
        <v>17</v>
      </c>
      <c r="AF18" s="99">
        <v>17</v>
      </c>
      <c r="AG18" s="98">
        <v>17</v>
      </c>
      <c r="AH18" s="99">
        <v>17</v>
      </c>
      <c r="AI18" s="52"/>
      <c r="AJ18" s="167"/>
      <c r="AK18" s="258"/>
      <c r="AL18" s="261"/>
    </row>
    <row r="19" spans="1:38" s="86" customFormat="1" ht="11.1" thickTop="1">
      <c r="A19" s="100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1"/>
      <c r="AL19" s="101"/>
    </row>
    <row r="20" spans="1:38" ht="15.6">
      <c r="A20" s="103"/>
      <c r="B20" s="103"/>
      <c r="C20" s="103"/>
      <c r="D20" s="103"/>
      <c r="E20" s="74"/>
      <c r="F20" s="66"/>
      <c r="G20" s="66"/>
      <c r="H20" s="66"/>
      <c r="I20" s="66"/>
      <c r="J20" s="66"/>
      <c r="K20" s="66"/>
      <c r="L20" s="66"/>
      <c r="M20" s="65"/>
      <c r="N20" s="65"/>
      <c r="O20" s="65"/>
      <c r="P20" s="65"/>
      <c r="Q20" s="79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7"/>
      <c r="AL20" s="67"/>
    </row>
    <row r="21" spans="1:38">
      <c r="A21" s="244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</row>
    <row r="22" spans="1:38" ht="47.25" customHeight="1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2"/>
      <c r="L22" s="244"/>
      <c r="M22" s="244"/>
      <c r="N22" s="244"/>
      <c r="O22" s="244"/>
      <c r="P22" s="244"/>
      <c r="Q22" s="244"/>
      <c r="R22" s="245"/>
      <c r="S22" s="244"/>
      <c r="T22" s="245"/>
      <c r="U22" s="245"/>
      <c r="V22" s="245"/>
      <c r="W22" s="245"/>
      <c r="X22" s="244"/>
      <c r="Y22" s="245"/>
      <c r="Z22" s="245"/>
      <c r="AA22" s="245"/>
      <c r="AB22" s="245"/>
      <c r="AC22" s="245"/>
      <c r="AD22" s="245"/>
      <c r="AE22" s="245"/>
      <c r="AF22" s="245"/>
      <c r="AG22" s="244"/>
      <c r="AH22" s="244"/>
      <c r="AI22" s="244"/>
      <c r="AJ22" s="244"/>
      <c r="AK22" s="244"/>
      <c r="AL22" s="244"/>
    </row>
    <row r="23" spans="1:38" ht="18.75" customHeight="1">
      <c r="A23" s="246"/>
      <c r="B23" s="248"/>
      <c r="C23" s="248"/>
      <c r="D23" s="242"/>
      <c r="E23" s="251"/>
      <c r="F23" s="251"/>
      <c r="G23" s="237"/>
      <c r="H23" s="237"/>
      <c r="I23" s="239"/>
      <c r="J23" s="240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5"/>
      <c r="AJ23" s="241"/>
      <c r="AK23" s="241"/>
      <c r="AL23" s="242"/>
    </row>
    <row r="24" spans="1:38" ht="18.75" customHeight="1">
      <c r="A24" s="247"/>
      <c r="B24" s="249"/>
      <c r="C24" s="250"/>
      <c r="D24" s="244"/>
      <c r="E24" s="237"/>
      <c r="F24" s="237"/>
      <c r="G24" s="238"/>
      <c r="H24" s="238"/>
      <c r="I24" s="239"/>
      <c r="J24" s="240"/>
      <c r="K24" s="106"/>
      <c r="L24" s="107"/>
      <c r="M24" s="107"/>
      <c r="N24" s="108"/>
      <c r="O24" s="107"/>
      <c r="P24" s="109"/>
      <c r="Q24" s="107"/>
      <c r="R24" s="109"/>
      <c r="S24" s="107"/>
      <c r="T24" s="109"/>
      <c r="U24" s="107"/>
      <c r="V24" s="109"/>
      <c r="W24" s="107"/>
      <c r="X24" s="109"/>
      <c r="Y24" s="107"/>
      <c r="Z24" s="109"/>
      <c r="AA24" s="107"/>
      <c r="AB24" s="109"/>
      <c r="AC24" s="107"/>
      <c r="AD24" s="109"/>
      <c r="AE24" s="107"/>
      <c r="AF24" s="109"/>
      <c r="AG24" s="107"/>
      <c r="AH24" s="105"/>
      <c r="AI24" s="105"/>
      <c r="AJ24" s="241"/>
      <c r="AK24" s="241"/>
      <c r="AL24" s="243"/>
    </row>
    <row r="25" spans="1:38" ht="18.75" customHeight="1">
      <c r="A25" s="247"/>
      <c r="B25" s="249"/>
      <c r="C25" s="250"/>
      <c r="D25" s="244"/>
      <c r="E25" s="237"/>
      <c r="F25" s="237"/>
      <c r="G25" s="238"/>
      <c r="H25" s="238"/>
      <c r="I25" s="239"/>
      <c r="J25" s="240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5"/>
      <c r="AJ25" s="241"/>
      <c r="AK25" s="241"/>
      <c r="AL25" s="243"/>
    </row>
    <row r="26" spans="1:38" ht="18.75" customHeight="1">
      <c r="A26" s="247"/>
      <c r="B26" s="249"/>
      <c r="C26" s="250"/>
      <c r="D26" s="244"/>
      <c r="E26" s="237"/>
      <c r="F26" s="237"/>
      <c r="G26" s="238"/>
      <c r="H26" s="238"/>
      <c r="I26" s="239"/>
      <c r="J26" s="24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1"/>
      <c r="AJ26" s="241"/>
      <c r="AK26" s="241"/>
      <c r="AL26" s="243"/>
    </row>
    <row r="27" spans="1:38" ht="18.75" customHeight="1">
      <c r="A27" s="247"/>
      <c r="B27" s="249"/>
      <c r="C27" s="250"/>
      <c r="D27" s="244"/>
      <c r="E27" s="237"/>
      <c r="F27" s="237"/>
      <c r="G27" s="238"/>
      <c r="H27" s="238"/>
      <c r="I27" s="239"/>
      <c r="J27" s="240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05"/>
      <c r="AJ27" s="241"/>
      <c r="AK27" s="241"/>
      <c r="AL27" s="243"/>
    </row>
    <row r="28" spans="1:38" ht="18.75" customHeight="1">
      <c r="A28" s="247"/>
      <c r="B28" s="249"/>
      <c r="C28" s="250"/>
      <c r="D28" s="244"/>
      <c r="E28" s="237"/>
      <c r="F28" s="237"/>
      <c r="G28" s="238"/>
      <c r="H28" s="238"/>
      <c r="I28" s="239"/>
      <c r="J28" s="24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05"/>
      <c r="AJ28" s="241"/>
      <c r="AK28" s="241"/>
      <c r="AL28" s="243"/>
    </row>
    <row r="29" spans="1:38">
      <c r="A29" s="73"/>
      <c r="B29" s="73"/>
      <c r="C29" s="73"/>
      <c r="D29" s="73"/>
      <c r="E29" s="73"/>
      <c r="F29" s="73"/>
      <c r="I29" s="86"/>
      <c r="J29" s="86"/>
      <c r="AL29" s="86"/>
    </row>
    <row r="30" spans="1:38">
      <c r="I30" s="86"/>
      <c r="J30" s="86"/>
      <c r="AL30" s="86"/>
    </row>
    <row r="31" spans="1:38">
      <c r="I31" s="86"/>
      <c r="J31" s="86"/>
      <c r="AL31" s="86"/>
    </row>
    <row r="32" spans="1:38">
      <c r="I32" s="86"/>
      <c r="J32" s="86"/>
      <c r="AL32" s="86"/>
    </row>
    <row r="33" spans="9:38">
      <c r="I33" s="86"/>
      <c r="J33" s="86"/>
      <c r="AL33" s="86"/>
    </row>
    <row r="34" spans="9:38">
      <c r="I34" s="86"/>
      <c r="J34" s="86"/>
      <c r="AL34" s="86"/>
    </row>
    <row r="35" spans="9:38">
      <c r="I35" s="86"/>
      <c r="J35" s="86"/>
    </row>
    <row r="36" spans="9:38">
      <c r="I36" s="86"/>
      <c r="J36" s="86"/>
    </row>
    <row r="37" spans="9:38">
      <c r="I37" s="86"/>
      <c r="J37" s="86"/>
    </row>
    <row r="38" spans="9:38">
      <c r="I38" s="86"/>
      <c r="J38" s="86"/>
    </row>
    <row r="39" spans="9:38">
      <c r="I39" s="86"/>
      <c r="J39" s="86"/>
    </row>
    <row r="40" spans="9:38">
      <c r="I40" s="86"/>
      <c r="J40" s="86"/>
    </row>
    <row r="41" spans="9:38">
      <c r="I41" s="86"/>
      <c r="J41" s="86"/>
    </row>
    <row r="42" spans="9:38">
      <c r="I42" s="86"/>
      <c r="J42" s="86"/>
    </row>
    <row r="43" spans="9:38">
      <c r="I43" s="86"/>
      <c r="J43" s="86"/>
    </row>
    <row r="44" spans="9:38">
      <c r="I44" s="86"/>
      <c r="J44" s="86"/>
    </row>
    <row r="45" spans="9:38">
      <c r="I45" s="86"/>
      <c r="J45" s="86"/>
    </row>
    <row r="46" spans="9:38">
      <c r="I46" s="86"/>
      <c r="J46" s="86"/>
    </row>
    <row r="47" spans="9:38">
      <c r="I47" s="86"/>
      <c r="J47" s="86"/>
    </row>
    <row r="48" spans="9:38">
      <c r="I48" s="86"/>
      <c r="J48" s="86"/>
    </row>
    <row r="49" spans="9:10">
      <c r="I49" s="86"/>
      <c r="J49" s="86"/>
    </row>
    <row r="50" spans="9:10">
      <c r="I50" s="86"/>
      <c r="J50" s="86"/>
    </row>
    <row r="51" spans="9:10">
      <c r="I51" s="86"/>
      <c r="J51" s="86"/>
    </row>
    <row r="52" spans="9:10">
      <c r="I52" s="86"/>
      <c r="J52" s="86"/>
    </row>
    <row r="53" spans="9:10">
      <c r="I53" s="86"/>
      <c r="J53" s="86"/>
    </row>
    <row r="54" spans="9:10">
      <c r="I54" s="86"/>
      <c r="J54" s="86"/>
    </row>
    <row r="55" spans="9:10">
      <c r="I55" s="86"/>
      <c r="J55" s="86"/>
    </row>
    <row r="56" spans="9:10">
      <c r="I56" s="86"/>
      <c r="J56" s="86"/>
    </row>
    <row r="57" spans="9:10">
      <c r="I57" s="86"/>
      <c r="J57" s="86"/>
    </row>
    <row r="58" spans="9:10">
      <c r="I58" s="86"/>
      <c r="J58" s="86"/>
    </row>
    <row r="59" spans="9:10">
      <c r="I59" s="86"/>
      <c r="J59" s="86"/>
    </row>
    <row r="309" spans="5:5">
      <c r="E309" s="71" t="s">
        <v>90</v>
      </c>
    </row>
  </sheetData>
  <mergeCells count="113">
    <mergeCell ref="B1:D5"/>
    <mergeCell ref="E1:M5"/>
    <mergeCell ref="N1:Q1"/>
    <mergeCell ref="N2:Q2"/>
    <mergeCell ref="N3:Q3"/>
    <mergeCell ref="N5:Q5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A11:AA12"/>
    <mergeCell ref="AB11:AB12"/>
    <mergeCell ref="AC11:AC12"/>
    <mergeCell ref="AD11:AD12"/>
    <mergeCell ref="AE11:AE12"/>
    <mergeCell ref="T11:T12"/>
    <mergeCell ref="U11:U12"/>
    <mergeCell ref="V11:V12"/>
    <mergeCell ref="W11:W12"/>
    <mergeCell ref="X11:X12"/>
    <mergeCell ref="Y11:Y12"/>
    <mergeCell ref="AL13:AL18"/>
    <mergeCell ref="J16:J18"/>
    <mergeCell ref="A21:A22"/>
    <mergeCell ref="B21:B22"/>
    <mergeCell ref="C21:C22"/>
    <mergeCell ref="D21:D22"/>
    <mergeCell ref="E21:E22"/>
    <mergeCell ref="AL11:AL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AF11:AF12"/>
    <mergeCell ref="AG11:AG12"/>
    <mergeCell ref="AH11:AH12"/>
    <mergeCell ref="AI11:AI12"/>
    <mergeCell ref="AJ11:AJ12"/>
    <mergeCell ref="AK11:AK12"/>
    <mergeCell ref="Z11:Z12"/>
    <mergeCell ref="F21:F22"/>
    <mergeCell ref="G21:G22"/>
    <mergeCell ref="H21:H22"/>
    <mergeCell ref="I21:I22"/>
    <mergeCell ref="J21:J22"/>
    <mergeCell ref="K21:K22"/>
    <mergeCell ref="J13:J15"/>
    <mergeCell ref="AJ13:AJ18"/>
    <mergeCell ref="AK13:AK18"/>
    <mergeCell ref="A23:A28"/>
    <mergeCell ref="B23:B28"/>
    <mergeCell ref="C23:C28"/>
    <mergeCell ref="D23:D28"/>
    <mergeCell ref="E23:E28"/>
    <mergeCell ref="F23:F28"/>
    <mergeCell ref="G23:G28"/>
    <mergeCell ref="AD21:AD22"/>
    <mergeCell ref="AE21:AE22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H23:H28"/>
    <mergeCell ref="I23:I28"/>
    <mergeCell ref="J23:J25"/>
    <mergeCell ref="AJ23:AJ28"/>
    <mergeCell ref="AK23:AK28"/>
    <mergeCell ref="AL23:AL28"/>
    <mergeCell ref="J26:J28"/>
    <mergeCell ref="AJ21:AJ22"/>
    <mergeCell ref="AK21:AK22"/>
    <mergeCell ref="AL21:AL22"/>
    <mergeCell ref="AF21:AF22"/>
    <mergeCell ref="AG21:AG22"/>
    <mergeCell ref="AH21:AH22"/>
    <mergeCell ref="AI21:AI22"/>
    <mergeCell ref="O21:O22"/>
    <mergeCell ref="P21:P22"/>
    <mergeCell ref="Q21:Q22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/>
  <cp:revision/>
  <dcterms:created xsi:type="dcterms:W3CDTF">2008-08-20T14:03:15Z</dcterms:created>
  <dcterms:modified xsi:type="dcterms:W3CDTF">2026-02-25T15:16:58Z</dcterms:modified>
  <cp:category/>
  <cp:contentStatus/>
</cp:coreProperties>
</file>