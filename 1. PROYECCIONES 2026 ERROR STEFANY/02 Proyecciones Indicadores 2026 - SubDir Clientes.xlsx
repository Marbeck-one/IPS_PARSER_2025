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chileatiendet-my.sharepoint.com/personal/cesar_alfaro_ips_gob_cl/Documents/Documentos/2026/03 CDC (Proyecciones)/"/>
    </mc:Choice>
  </mc:AlternateContent>
  <xr:revisionPtr revIDLastSave="20" documentId="13_ncr:1_{CE8B34DF-58F7-4154-8AD3-1A183B6B8296}" xr6:coauthVersionLast="47" xr6:coauthVersionMax="47" xr10:uidLastSave="{4ADE44A1-E5D2-427F-A566-B449F9AF9F07}"/>
  <bookViews>
    <workbookView xWindow="-28965" yWindow="2745" windowWidth="29130" windowHeight="15810" xr2:uid="{00000000-000D-0000-FFFF-FFFF00000000}"/>
  </bookViews>
  <sheets>
    <sheet name="CDC 2026" sheetId="1" r:id="rId1"/>
    <sheet name="25 minutos desagregado" sheetId="4" r:id="rId2"/>
    <sheet name="PMG 2026" sheetId="5" r:id="rId3"/>
  </sheets>
  <definedNames>
    <definedName name="_xlnm.Print_Area" localSheetId="0">'CDC 2026'!$B$1:$AL$24</definedName>
    <definedName name="_xlnm.Print_Titles" localSheetId="0">'CDC 2026'!$1:$12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0" i="1" l="1"/>
  <c r="Q40" i="1" s="1"/>
  <c r="S40" i="1" s="1"/>
  <c r="U40" i="1" s="1"/>
  <c r="W40" i="1" s="1"/>
  <c r="Y40" i="1" s="1"/>
  <c r="AA40" i="1" s="1"/>
  <c r="AC40" i="1" s="1"/>
  <c r="AE40" i="1" s="1"/>
  <c r="AG40" i="1" s="1"/>
  <c r="AI40" i="1" s="1"/>
  <c r="AI38" i="1"/>
  <c r="AH38" i="1"/>
  <c r="AG38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AI267" i="4"/>
  <c r="O393" i="4"/>
  <c r="Q393" i="4"/>
  <c r="AI391" i="4"/>
  <c r="O28" i="1" l="1"/>
  <c r="Q28" i="1" s="1"/>
  <c r="S28" i="1" s="1"/>
  <c r="U28" i="1" s="1"/>
  <c r="W28" i="1" s="1"/>
  <c r="O30" i="1"/>
  <c r="Q30" i="1" s="1"/>
  <c r="S30" i="1" s="1"/>
  <c r="U30" i="1" s="1"/>
  <c r="W30" i="1" s="1"/>
  <c r="Y30" i="1" s="1"/>
  <c r="M24" i="1" l="1"/>
  <c r="N16" i="5" l="1"/>
  <c r="N14" i="5" s="1"/>
  <c r="AG14" i="5"/>
  <c r="AE14" i="5"/>
  <c r="AC14" i="5"/>
  <c r="AA14" i="5"/>
  <c r="Y14" i="5"/>
  <c r="W14" i="5"/>
  <c r="U14" i="5"/>
  <c r="S14" i="5"/>
  <c r="Q14" i="5"/>
  <c r="O14" i="5"/>
  <c r="M14" i="5"/>
  <c r="L14" i="5"/>
  <c r="K14" i="5"/>
  <c r="I13" i="5" s="1"/>
  <c r="P16" i="5" l="1"/>
  <c r="R16" i="5" s="1"/>
  <c r="T16" i="5" s="1"/>
  <c r="V16" i="5" s="1"/>
  <c r="X16" i="5" s="1"/>
  <c r="Z16" i="5" s="1"/>
  <c r="AB16" i="5" s="1"/>
  <c r="AD16" i="5" s="1"/>
  <c r="AF16" i="5" s="1"/>
  <c r="AH16" i="5" s="1"/>
  <c r="AH14" i="5" s="1"/>
  <c r="AI16" i="5" s="1"/>
  <c r="L564" i="4" l="1"/>
  <c r="L554" i="4"/>
  <c r="L544" i="4"/>
  <c r="L531" i="4"/>
  <c r="L521" i="4"/>
  <c r="L511" i="4"/>
  <c r="L498" i="4"/>
  <c r="L488" i="4"/>
  <c r="L478" i="4"/>
  <c r="L465" i="4"/>
  <c r="L455" i="4"/>
  <c r="L445" i="4"/>
  <c r="L432" i="4"/>
  <c r="L422" i="4"/>
  <c r="L412" i="4"/>
  <c r="L399" i="4"/>
  <c r="L389" i="4"/>
  <c r="L379" i="4"/>
  <c r="L366" i="4"/>
  <c r="L356" i="4"/>
  <c r="L346" i="4"/>
  <c r="L333" i="4"/>
  <c r="L323" i="4"/>
  <c r="L313" i="4"/>
  <c r="L300" i="4"/>
  <c r="L290" i="4"/>
  <c r="L280" i="4"/>
  <c r="L267" i="4"/>
  <c r="L257" i="4"/>
  <c r="L247" i="4"/>
  <c r="L234" i="4"/>
  <c r="L224" i="4"/>
  <c r="L214" i="4"/>
  <c r="L201" i="4"/>
  <c r="L191" i="4"/>
  <c r="L181" i="4"/>
  <c r="L168" i="4"/>
  <c r="L158" i="4"/>
  <c r="L148" i="4"/>
  <c r="L135" i="4"/>
  <c r="L125" i="4"/>
  <c r="L115" i="4"/>
  <c r="L102" i="4"/>
  <c r="L92" i="4"/>
  <c r="L82" i="4"/>
  <c r="L69" i="4"/>
  <c r="L59" i="4"/>
  <c r="L49" i="4"/>
  <c r="L36" i="4"/>
  <c r="L26" i="4"/>
  <c r="L16" i="4"/>
  <c r="L14" i="1" l="1"/>
  <c r="I13" i="1"/>
  <c r="I81" i="4"/>
  <c r="I91" i="4"/>
  <c r="I101" i="4"/>
  <c r="O568" i="4" l="1"/>
  <c r="Q568" i="4" s="1"/>
  <c r="S568" i="4" s="1"/>
  <c r="U568" i="4" s="1"/>
  <c r="W568" i="4" s="1"/>
  <c r="Y568" i="4" s="1"/>
  <c r="AA568" i="4" s="1"/>
  <c r="AC568" i="4" s="1"/>
  <c r="AE568" i="4" s="1"/>
  <c r="AG568" i="4" s="1"/>
  <c r="O566" i="4"/>
  <c r="Q566" i="4" s="1"/>
  <c r="AH564" i="4"/>
  <c r="AF564" i="4"/>
  <c r="AD564" i="4"/>
  <c r="AB564" i="4"/>
  <c r="Z564" i="4"/>
  <c r="X564" i="4"/>
  <c r="V564" i="4"/>
  <c r="T564" i="4"/>
  <c r="R564" i="4"/>
  <c r="P564" i="4"/>
  <c r="N564" i="4"/>
  <c r="M564" i="4"/>
  <c r="O558" i="4"/>
  <c r="Q558" i="4" s="1"/>
  <c r="S558" i="4" s="1"/>
  <c r="U558" i="4" s="1"/>
  <c r="W558" i="4" s="1"/>
  <c r="Y558" i="4" s="1"/>
  <c r="AA558" i="4" s="1"/>
  <c r="AC558" i="4" s="1"/>
  <c r="AE558" i="4" s="1"/>
  <c r="AG558" i="4" s="1"/>
  <c r="O556" i="4"/>
  <c r="AH554" i="4"/>
  <c r="AF554" i="4"/>
  <c r="AD554" i="4"/>
  <c r="AB554" i="4"/>
  <c r="Z554" i="4"/>
  <c r="X554" i="4"/>
  <c r="V554" i="4"/>
  <c r="T554" i="4"/>
  <c r="R554" i="4"/>
  <c r="P554" i="4"/>
  <c r="N554" i="4"/>
  <c r="M554" i="4"/>
  <c r="O548" i="4"/>
  <c r="Q548" i="4" s="1"/>
  <c r="S548" i="4" s="1"/>
  <c r="U548" i="4" s="1"/>
  <c r="W548" i="4" s="1"/>
  <c r="Y548" i="4" s="1"/>
  <c r="AA548" i="4" s="1"/>
  <c r="AC548" i="4" s="1"/>
  <c r="AE548" i="4" s="1"/>
  <c r="AG548" i="4" s="1"/>
  <c r="AF544" i="4"/>
  <c r="AD544" i="4"/>
  <c r="X544" i="4"/>
  <c r="V544" i="4"/>
  <c r="P544" i="4"/>
  <c r="N544" i="4"/>
  <c r="O546" i="4"/>
  <c r="AH544" i="4"/>
  <c r="AB544" i="4"/>
  <c r="Z544" i="4"/>
  <c r="T544" i="4"/>
  <c r="R544" i="4"/>
  <c r="O535" i="4"/>
  <c r="Q535" i="4" s="1"/>
  <c r="S535" i="4" s="1"/>
  <c r="U535" i="4" s="1"/>
  <c r="W535" i="4" s="1"/>
  <c r="Y535" i="4" s="1"/>
  <c r="AA535" i="4" s="1"/>
  <c r="AC535" i="4" s="1"/>
  <c r="AE535" i="4" s="1"/>
  <c r="AG535" i="4" s="1"/>
  <c r="O533" i="4"/>
  <c r="Q533" i="4" s="1"/>
  <c r="S533" i="4" s="1"/>
  <c r="AH531" i="4"/>
  <c r="AF531" i="4"/>
  <c r="AD531" i="4"/>
  <c r="AB531" i="4"/>
  <c r="Z531" i="4"/>
  <c r="X531" i="4"/>
  <c r="V531" i="4"/>
  <c r="T531" i="4"/>
  <c r="R531" i="4"/>
  <c r="P531" i="4"/>
  <c r="O531" i="4"/>
  <c r="N531" i="4"/>
  <c r="M531" i="4"/>
  <c r="O525" i="4"/>
  <c r="Q525" i="4" s="1"/>
  <c r="S525" i="4" s="1"/>
  <c r="U525" i="4" s="1"/>
  <c r="W525" i="4" s="1"/>
  <c r="Y525" i="4" s="1"/>
  <c r="AA525" i="4" s="1"/>
  <c r="AC525" i="4" s="1"/>
  <c r="AE525" i="4" s="1"/>
  <c r="AG525" i="4" s="1"/>
  <c r="O523" i="4"/>
  <c r="AH521" i="4"/>
  <c r="AF521" i="4"/>
  <c r="AD521" i="4"/>
  <c r="AB521" i="4"/>
  <c r="Z521" i="4"/>
  <c r="X521" i="4"/>
  <c r="V521" i="4"/>
  <c r="T521" i="4"/>
  <c r="R521" i="4"/>
  <c r="P521" i="4"/>
  <c r="N521" i="4"/>
  <c r="M521" i="4"/>
  <c r="O515" i="4"/>
  <c r="Q515" i="4" s="1"/>
  <c r="S515" i="4" s="1"/>
  <c r="U515" i="4" s="1"/>
  <c r="W515" i="4" s="1"/>
  <c r="Y515" i="4" s="1"/>
  <c r="AA515" i="4" s="1"/>
  <c r="AC515" i="4" s="1"/>
  <c r="AE515" i="4" s="1"/>
  <c r="AG515" i="4" s="1"/>
  <c r="AB511" i="4"/>
  <c r="T511" i="4"/>
  <c r="O513" i="4"/>
  <c r="AH511" i="4"/>
  <c r="AF511" i="4"/>
  <c r="AD511" i="4"/>
  <c r="Z511" i="4"/>
  <c r="X511" i="4"/>
  <c r="V511" i="4"/>
  <c r="R511" i="4"/>
  <c r="P511" i="4"/>
  <c r="N511" i="4"/>
  <c r="O502" i="4"/>
  <c r="Q502" i="4" s="1"/>
  <c r="S502" i="4" s="1"/>
  <c r="U502" i="4" s="1"/>
  <c r="W502" i="4" s="1"/>
  <c r="Y502" i="4" s="1"/>
  <c r="AA502" i="4" s="1"/>
  <c r="AC502" i="4" s="1"/>
  <c r="AE502" i="4" s="1"/>
  <c r="AG502" i="4" s="1"/>
  <c r="O500" i="4"/>
  <c r="Q500" i="4" s="1"/>
  <c r="AH498" i="4"/>
  <c r="AF498" i="4"/>
  <c r="AD498" i="4"/>
  <c r="AB498" i="4"/>
  <c r="Z498" i="4"/>
  <c r="X498" i="4"/>
  <c r="V498" i="4"/>
  <c r="T498" i="4"/>
  <c r="R498" i="4"/>
  <c r="P498" i="4"/>
  <c r="N498" i="4"/>
  <c r="M498" i="4"/>
  <c r="O492" i="4"/>
  <c r="Q492" i="4" s="1"/>
  <c r="S492" i="4" s="1"/>
  <c r="U492" i="4" s="1"/>
  <c r="W492" i="4" s="1"/>
  <c r="Y492" i="4" s="1"/>
  <c r="AA492" i="4" s="1"/>
  <c r="AC492" i="4" s="1"/>
  <c r="AE492" i="4" s="1"/>
  <c r="AG492" i="4" s="1"/>
  <c r="O490" i="4"/>
  <c r="O488" i="4" s="1"/>
  <c r="AH488" i="4"/>
  <c r="AF488" i="4"/>
  <c r="AD488" i="4"/>
  <c r="AB488" i="4"/>
  <c r="Z488" i="4"/>
  <c r="X488" i="4"/>
  <c r="V488" i="4"/>
  <c r="T488" i="4"/>
  <c r="R488" i="4"/>
  <c r="P488" i="4"/>
  <c r="N488" i="4"/>
  <c r="M488" i="4"/>
  <c r="O482" i="4"/>
  <c r="Q482" i="4" s="1"/>
  <c r="S482" i="4" s="1"/>
  <c r="U482" i="4" s="1"/>
  <c r="W482" i="4" s="1"/>
  <c r="Y482" i="4" s="1"/>
  <c r="AA482" i="4" s="1"/>
  <c r="AC482" i="4" s="1"/>
  <c r="AE482" i="4" s="1"/>
  <c r="AG482" i="4" s="1"/>
  <c r="AD478" i="4"/>
  <c r="AB478" i="4"/>
  <c r="V478" i="4"/>
  <c r="T478" i="4"/>
  <c r="N478" i="4"/>
  <c r="O480" i="4"/>
  <c r="AH478" i="4"/>
  <c r="AF478" i="4"/>
  <c r="Z478" i="4"/>
  <c r="X478" i="4"/>
  <c r="R478" i="4"/>
  <c r="P478" i="4"/>
  <c r="O469" i="4"/>
  <c r="Q469" i="4" s="1"/>
  <c r="S469" i="4" s="1"/>
  <c r="U469" i="4" s="1"/>
  <c r="W469" i="4" s="1"/>
  <c r="Y469" i="4" s="1"/>
  <c r="AA469" i="4" s="1"/>
  <c r="AC469" i="4" s="1"/>
  <c r="AE469" i="4" s="1"/>
  <c r="AG469" i="4" s="1"/>
  <c r="O467" i="4"/>
  <c r="Q467" i="4" s="1"/>
  <c r="AH465" i="4"/>
  <c r="AF465" i="4"/>
  <c r="AD465" i="4"/>
  <c r="AB465" i="4"/>
  <c r="Z465" i="4"/>
  <c r="X465" i="4"/>
  <c r="V465" i="4"/>
  <c r="T465" i="4"/>
  <c r="R465" i="4"/>
  <c r="P465" i="4"/>
  <c r="N465" i="4"/>
  <c r="M465" i="4"/>
  <c r="O459" i="4"/>
  <c r="Q459" i="4" s="1"/>
  <c r="S459" i="4" s="1"/>
  <c r="U459" i="4" s="1"/>
  <c r="W459" i="4" s="1"/>
  <c r="Y459" i="4" s="1"/>
  <c r="AA459" i="4" s="1"/>
  <c r="AC459" i="4" s="1"/>
  <c r="AE459" i="4" s="1"/>
  <c r="AG459" i="4" s="1"/>
  <c r="O457" i="4"/>
  <c r="O455" i="4" s="1"/>
  <c r="AH455" i="4"/>
  <c r="AF455" i="4"/>
  <c r="AD455" i="4"/>
  <c r="AB455" i="4"/>
  <c r="Z455" i="4"/>
  <c r="X455" i="4"/>
  <c r="V455" i="4"/>
  <c r="T455" i="4"/>
  <c r="R455" i="4"/>
  <c r="P455" i="4"/>
  <c r="N455" i="4"/>
  <c r="M455" i="4"/>
  <c r="O449" i="4"/>
  <c r="Q449" i="4" s="1"/>
  <c r="S449" i="4" s="1"/>
  <c r="U449" i="4" s="1"/>
  <c r="W449" i="4" s="1"/>
  <c r="Y449" i="4" s="1"/>
  <c r="AA449" i="4" s="1"/>
  <c r="AC449" i="4" s="1"/>
  <c r="AE449" i="4" s="1"/>
  <c r="AG449" i="4" s="1"/>
  <c r="AF445" i="4"/>
  <c r="AB445" i="4"/>
  <c r="X445" i="4"/>
  <c r="T445" i="4"/>
  <c r="P445" i="4"/>
  <c r="O447" i="4"/>
  <c r="AH445" i="4"/>
  <c r="AD445" i="4"/>
  <c r="Z445" i="4"/>
  <c r="V445" i="4"/>
  <c r="R445" i="4"/>
  <c r="N445" i="4"/>
  <c r="M445" i="4"/>
  <c r="O436" i="4"/>
  <c r="Q436" i="4" s="1"/>
  <c r="S436" i="4" s="1"/>
  <c r="U436" i="4" s="1"/>
  <c r="W436" i="4" s="1"/>
  <c r="Y436" i="4" s="1"/>
  <c r="AA436" i="4" s="1"/>
  <c r="AC436" i="4" s="1"/>
  <c r="AE436" i="4" s="1"/>
  <c r="AG436" i="4" s="1"/>
  <c r="O434" i="4"/>
  <c r="Q434" i="4" s="1"/>
  <c r="AH432" i="4"/>
  <c r="AF432" i="4"/>
  <c r="AD432" i="4"/>
  <c r="AB432" i="4"/>
  <c r="Z432" i="4"/>
  <c r="X432" i="4"/>
  <c r="V432" i="4"/>
  <c r="T432" i="4"/>
  <c r="R432" i="4"/>
  <c r="P432" i="4"/>
  <c r="N432" i="4"/>
  <c r="M432" i="4"/>
  <c r="O426" i="4"/>
  <c r="Q426" i="4" s="1"/>
  <c r="S426" i="4" s="1"/>
  <c r="U426" i="4" s="1"/>
  <c r="W426" i="4" s="1"/>
  <c r="Y426" i="4" s="1"/>
  <c r="AA426" i="4" s="1"/>
  <c r="AC426" i="4" s="1"/>
  <c r="AE426" i="4" s="1"/>
  <c r="AG426" i="4" s="1"/>
  <c r="O424" i="4"/>
  <c r="O422" i="4" s="1"/>
  <c r="AH422" i="4"/>
  <c r="AF422" i="4"/>
  <c r="AD422" i="4"/>
  <c r="AB422" i="4"/>
  <c r="Z422" i="4"/>
  <c r="X422" i="4"/>
  <c r="V422" i="4"/>
  <c r="T422" i="4"/>
  <c r="R422" i="4"/>
  <c r="P422" i="4"/>
  <c r="N422" i="4"/>
  <c r="M422" i="4"/>
  <c r="O416" i="4"/>
  <c r="Q416" i="4" s="1"/>
  <c r="S416" i="4" s="1"/>
  <c r="U416" i="4" s="1"/>
  <c r="W416" i="4" s="1"/>
  <c r="Y416" i="4" s="1"/>
  <c r="AA416" i="4" s="1"/>
  <c r="AC416" i="4" s="1"/>
  <c r="AE416" i="4" s="1"/>
  <c r="AG416" i="4" s="1"/>
  <c r="AB412" i="4"/>
  <c r="T412" i="4"/>
  <c r="O414" i="4"/>
  <c r="AH412" i="4"/>
  <c r="AF412" i="4"/>
  <c r="AD412" i="4"/>
  <c r="Z412" i="4"/>
  <c r="X412" i="4"/>
  <c r="V412" i="4"/>
  <c r="R412" i="4"/>
  <c r="P412" i="4"/>
  <c r="N412" i="4"/>
  <c r="O403" i="4"/>
  <c r="Q403" i="4" s="1"/>
  <c r="S403" i="4" s="1"/>
  <c r="U403" i="4" s="1"/>
  <c r="W403" i="4" s="1"/>
  <c r="Y403" i="4" s="1"/>
  <c r="AA403" i="4" s="1"/>
  <c r="AC403" i="4" s="1"/>
  <c r="AE403" i="4" s="1"/>
  <c r="AG403" i="4" s="1"/>
  <c r="O401" i="4"/>
  <c r="Q401" i="4" s="1"/>
  <c r="AH399" i="4"/>
  <c r="AF399" i="4"/>
  <c r="AD399" i="4"/>
  <c r="AB399" i="4"/>
  <c r="Z399" i="4"/>
  <c r="X399" i="4"/>
  <c r="V399" i="4"/>
  <c r="T399" i="4"/>
  <c r="R399" i="4"/>
  <c r="P399" i="4"/>
  <c r="O399" i="4"/>
  <c r="N399" i="4"/>
  <c r="M399" i="4"/>
  <c r="S393" i="4"/>
  <c r="U393" i="4" s="1"/>
  <c r="W393" i="4" s="1"/>
  <c r="Y393" i="4" s="1"/>
  <c r="AA393" i="4" s="1"/>
  <c r="AC393" i="4" s="1"/>
  <c r="AE393" i="4" s="1"/>
  <c r="AG393" i="4" s="1"/>
  <c r="AI393" i="4" s="1"/>
  <c r="O391" i="4"/>
  <c r="O389" i="4" s="1"/>
  <c r="AH389" i="4"/>
  <c r="AF389" i="4"/>
  <c r="AD389" i="4"/>
  <c r="AB389" i="4"/>
  <c r="Z389" i="4"/>
  <c r="X389" i="4"/>
  <c r="V389" i="4"/>
  <c r="T389" i="4"/>
  <c r="R389" i="4"/>
  <c r="P389" i="4"/>
  <c r="N389" i="4"/>
  <c r="M389" i="4"/>
  <c r="O383" i="4"/>
  <c r="Q383" i="4" s="1"/>
  <c r="S383" i="4" s="1"/>
  <c r="U383" i="4" s="1"/>
  <c r="W383" i="4" s="1"/>
  <c r="Y383" i="4" s="1"/>
  <c r="AA383" i="4" s="1"/>
  <c r="AC383" i="4" s="1"/>
  <c r="AE383" i="4" s="1"/>
  <c r="AG383" i="4" s="1"/>
  <c r="AF379" i="4"/>
  <c r="AB379" i="4"/>
  <c r="X379" i="4"/>
  <c r="T379" i="4"/>
  <c r="P379" i="4"/>
  <c r="O381" i="4"/>
  <c r="AH379" i="4"/>
  <c r="AD379" i="4"/>
  <c r="Z379" i="4"/>
  <c r="V379" i="4"/>
  <c r="R379" i="4"/>
  <c r="N379" i="4"/>
  <c r="O370" i="4"/>
  <c r="Q370" i="4" s="1"/>
  <c r="S370" i="4" s="1"/>
  <c r="U370" i="4" s="1"/>
  <c r="W370" i="4" s="1"/>
  <c r="Y370" i="4" s="1"/>
  <c r="AA370" i="4" s="1"/>
  <c r="AC370" i="4" s="1"/>
  <c r="AE370" i="4" s="1"/>
  <c r="AG370" i="4" s="1"/>
  <c r="O368" i="4"/>
  <c r="Q368" i="4" s="1"/>
  <c r="AH366" i="4"/>
  <c r="AF366" i="4"/>
  <c r="AD366" i="4"/>
  <c r="AB366" i="4"/>
  <c r="Z366" i="4"/>
  <c r="X366" i="4"/>
  <c r="V366" i="4"/>
  <c r="T366" i="4"/>
  <c r="R366" i="4"/>
  <c r="P366" i="4"/>
  <c r="N366" i="4"/>
  <c r="M366" i="4"/>
  <c r="O360" i="4"/>
  <c r="Q360" i="4" s="1"/>
  <c r="S360" i="4" s="1"/>
  <c r="U360" i="4" s="1"/>
  <c r="W360" i="4" s="1"/>
  <c r="Y360" i="4" s="1"/>
  <c r="AA360" i="4" s="1"/>
  <c r="AC360" i="4" s="1"/>
  <c r="AE360" i="4" s="1"/>
  <c r="AG360" i="4" s="1"/>
  <c r="O358" i="4"/>
  <c r="Q358" i="4" s="1"/>
  <c r="AH356" i="4"/>
  <c r="AF356" i="4"/>
  <c r="AD356" i="4"/>
  <c r="AB356" i="4"/>
  <c r="Z356" i="4"/>
  <c r="X356" i="4"/>
  <c r="V356" i="4"/>
  <c r="T356" i="4"/>
  <c r="R356" i="4"/>
  <c r="P356" i="4"/>
  <c r="N356" i="4"/>
  <c r="M356" i="4"/>
  <c r="O350" i="4"/>
  <c r="Q350" i="4" s="1"/>
  <c r="S350" i="4" s="1"/>
  <c r="U350" i="4" s="1"/>
  <c r="W350" i="4" s="1"/>
  <c r="Y350" i="4" s="1"/>
  <c r="AA350" i="4" s="1"/>
  <c r="AC350" i="4" s="1"/>
  <c r="AE350" i="4" s="1"/>
  <c r="AG350" i="4" s="1"/>
  <c r="AF346" i="4"/>
  <c r="AB346" i="4"/>
  <c r="X346" i="4"/>
  <c r="T346" i="4"/>
  <c r="P346" i="4"/>
  <c r="O348" i="4"/>
  <c r="Q348" i="4" s="1"/>
  <c r="AH346" i="4"/>
  <c r="AD346" i="4"/>
  <c r="Z346" i="4"/>
  <c r="V346" i="4"/>
  <c r="R346" i="4"/>
  <c r="N346" i="4"/>
  <c r="M346" i="4"/>
  <c r="O337" i="4"/>
  <c r="O335" i="4"/>
  <c r="Q335" i="4" s="1"/>
  <c r="AH333" i="4"/>
  <c r="AF333" i="4"/>
  <c r="AD333" i="4"/>
  <c r="AB333" i="4"/>
  <c r="Z333" i="4"/>
  <c r="X333" i="4"/>
  <c r="V333" i="4"/>
  <c r="T333" i="4"/>
  <c r="R333" i="4"/>
  <c r="P333" i="4"/>
  <c r="N333" i="4"/>
  <c r="M333" i="4"/>
  <c r="O327" i="4"/>
  <c r="Q327" i="4" s="1"/>
  <c r="S327" i="4" s="1"/>
  <c r="U327" i="4" s="1"/>
  <c r="W327" i="4" s="1"/>
  <c r="Y327" i="4" s="1"/>
  <c r="AA327" i="4" s="1"/>
  <c r="AC327" i="4" s="1"/>
  <c r="AE327" i="4" s="1"/>
  <c r="AG327" i="4" s="1"/>
  <c r="O325" i="4"/>
  <c r="Q325" i="4" s="1"/>
  <c r="AH323" i="4"/>
  <c r="AF323" i="4"/>
  <c r="AD323" i="4"/>
  <c r="AB323" i="4"/>
  <c r="Z323" i="4"/>
  <c r="X323" i="4"/>
  <c r="V323" i="4"/>
  <c r="T323" i="4"/>
  <c r="R323" i="4"/>
  <c r="P323" i="4"/>
  <c r="O323" i="4"/>
  <c r="N323" i="4"/>
  <c r="M323" i="4"/>
  <c r="O317" i="4"/>
  <c r="Q317" i="4" s="1"/>
  <c r="S317" i="4" s="1"/>
  <c r="U317" i="4" s="1"/>
  <c r="W317" i="4" s="1"/>
  <c r="Y317" i="4" s="1"/>
  <c r="AA317" i="4" s="1"/>
  <c r="AC317" i="4" s="1"/>
  <c r="AE317" i="4" s="1"/>
  <c r="AG317" i="4" s="1"/>
  <c r="AF313" i="4"/>
  <c r="AB313" i="4"/>
  <c r="X313" i="4"/>
  <c r="T313" i="4"/>
  <c r="P313" i="4"/>
  <c r="O315" i="4"/>
  <c r="AH313" i="4"/>
  <c r="AD313" i="4"/>
  <c r="Z313" i="4"/>
  <c r="V313" i="4"/>
  <c r="R313" i="4"/>
  <c r="N313" i="4"/>
  <c r="O304" i="4"/>
  <c r="Q304" i="4" s="1"/>
  <c r="S304" i="4" s="1"/>
  <c r="U304" i="4" s="1"/>
  <c r="W304" i="4" s="1"/>
  <c r="Y304" i="4" s="1"/>
  <c r="AA304" i="4" s="1"/>
  <c r="AC304" i="4" s="1"/>
  <c r="AE304" i="4" s="1"/>
  <c r="AG304" i="4" s="1"/>
  <c r="O302" i="4"/>
  <c r="Q302" i="4" s="1"/>
  <c r="AH300" i="4"/>
  <c r="AF300" i="4"/>
  <c r="AD300" i="4"/>
  <c r="AB300" i="4"/>
  <c r="Z300" i="4"/>
  <c r="X300" i="4"/>
  <c r="V300" i="4"/>
  <c r="T300" i="4"/>
  <c r="R300" i="4"/>
  <c r="P300" i="4"/>
  <c r="N300" i="4"/>
  <c r="M300" i="4"/>
  <c r="O294" i="4"/>
  <c r="Q294" i="4" s="1"/>
  <c r="S294" i="4" s="1"/>
  <c r="U294" i="4" s="1"/>
  <c r="W294" i="4" s="1"/>
  <c r="Y294" i="4" s="1"/>
  <c r="AA294" i="4" s="1"/>
  <c r="AC294" i="4" s="1"/>
  <c r="AE294" i="4" s="1"/>
  <c r="AG294" i="4" s="1"/>
  <c r="O292" i="4"/>
  <c r="AH290" i="4"/>
  <c r="AF290" i="4"/>
  <c r="AD290" i="4"/>
  <c r="AB290" i="4"/>
  <c r="Z290" i="4"/>
  <c r="X290" i="4"/>
  <c r="V290" i="4"/>
  <c r="T290" i="4"/>
  <c r="R290" i="4"/>
  <c r="P290" i="4"/>
  <c r="N290" i="4"/>
  <c r="M290" i="4"/>
  <c r="O284" i="4"/>
  <c r="Q284" i="4" s="1"/>
  <c r="S284" i="4" s="1"/>
  <c r="U284" i="4" s="1"/>
  <c r="W284" i="4" s="1"/>
  <c r="Y284" i="4" s="1"/>
  <c r="AA284" i="4" s="1"/>
  <c r="AC284" i="4" s="1"/>
  <c r="AE284" i="4" s="1"/>
  <c r="AG284" i="4" s="1"/>
  <c r="AF280" i="4"/>
  <c r="AD280" i="4"/>
  <c r="X280" i="4"/>
  <c r="V280" i="4"/>
  <c r="P280" i="4"/>
  <c r="N280" i="4"/>
  <c r="O282" i="4"/>
  <c r="AH280" i="4"/>
  <c r="AB280" i="4"/>
  <c r="Z280" i="4"/>
  <c r="T280" i="4"/>
  <c r="R280" i="4"/>
  <c r="O271" i="4"/>
  <c r="Q271" i="4" s="1"/>
  <c r="S271" i="4" s="1"/>
  <c r="U271" i="4" s="1"/>
  <c r="W271" i="4" s="1"/>
  <c r="Y271" i="4" s="1"/>
  <c r="AA271" i="4" s="1"/>
  <c r="AC271" i="4" s="1"/>
  <c r="AE271" i="4" s="1"/>
  <c r="AG271" i="4" s="1"/>
  <c r="O269" i="4"/>
  <c r="Q269" i="4" s="1"/>
  <c r="AH267" i="4"/>
  <c r="AF267" i="4"/>
  <c r="AD267" i="4"/>
  <c r="AB267" i="4"/>
  <c r="Z267" i="4"/>
  <c r="X267" i="4"/>
  <c r="V267" i="4"/>
  <c r="T267" i="4"/>
  <c r="R267" i="4"/>
  <c r="P267" i="4"/>
  <c r="N267" i="4"/>
  <c r="M267" i="4"/>
  <c r="O261" i="4"/>
  <c r="Q261" i="4" s="1"/>
  <c r="S261" i="4" s="1"/>
  <c r="U261" i="4" s="1"/>
  <c r="W261" i="4" s="1"/>
  <c r="Y261" i="4" s="1"/>
  <c r="AA261" i="4" s="1"/>
  <c r="AC261" i="4" s="1"/>
  <c r="AE261" i="4" s="1"/>
  <c r="AG261" i="4" s="1"/>
  <c r="O259" i="4"/>
  <c r="O257" i="4" s="1"/>
  <c r="AH257" i="4"/>
  <c r="AF257" i="4"/>
  <c r="AD257" i="4"/>
  <c r="AB257" i="4"/>
  <c r="Z257" i="4"/>
  <c r="X257" i="4"/>
  <c r="V257" i="4"/>
  <c r="T257" i="4"/>
  <c r="R257" i="4"/>
  <c r="P257" i="4"/>
  <c r="N257" i="4"/>
  <c r="M257" i="4"/>
  <c r="O251" i="4"/>
  <c r="Q251" i="4" s="1"/>
  <c r="S251" i="4" s="1"/>
  <c r="U251" i="4" s="1"/>
  <c r="W251" i="4" s="1"/>
  <c r="Y251" i="4" s="1"/>
  <c r="AA251" i="4" s="1"/>
  <c r="AC251" i="4" s="1"/>
  <c r="AE251" i="4" s="1"/>
  <c r="AG251" i="4" s="1"/>
  <c r="AF247" i="4"/>
  <c r="AB247" i="4"/>
  <c r="X247" i="4"/>
  <c r="T247" i="4"/>
  <c r="P247" i="4"/>
  <c r="O249" i="4"/>
  <c r="AH247" i="4"/>
  <c r="AD247" i="4"/>
  <c r="Z247" i="4"/>
  <c r="V247" i="4"/>
  <c r="R247" i="4"/>
  <c r="N247" i="4"/>
  <c r="O238" i="4"/>
  <c r="Q238" i="4" s="1"/>
  <c r="S238" i="4" s="1"/>
  <c r="U238" i="4" s="1"/>
  <c r="W238" i="4" s="1"/>
  <c r="Y238" i="4" s="1"/>
  <c r="AA238" i="4" s="1"/>
  <c r="AC238" i="4" s="1"/>
  <c r="AE238" i="4" s="1"/>
  <c r="AG238" i="4" s="1"/>
  <c r="O236" i="4"/>
  <c r="Q236" i="4" s="1"/>
  <c r="AH234" i="4"/>
  <c r="AF234" i="4"/>
  <c r="AD234" i="4"/>
  <c r="AB234" i="4"/>
  <c r="Z234" i="4"/>
  <c r="X234" i="4"/>
  <c r="V234" i="4"/>
  <c r="T234" i="4"/>
  <c r="R234" i="4"/>
  <c r="P234" i="4"/>
  <c r="N234" i="4"/>
  <c r="M234" i="4"/>
  <c r="O228" i="4"/>
  <c r="Q228" i="4" s="1"/>
  <c r="S228" i="4" s="1"/>
  <c r="U228" i="4" s="1"/>
  <c r="W228" i="4" s="1"/>
  <c r="Y228" i="4" s="1"/>
  <c r="AA228" i="4" s="1"/>
  <c r="AC228" i="4" s="1"/>
  <c r="AE228" i="4" s="1"/>
  <c r="AG228" i="4" s="1"/>
  <c r="O226" i="4"/>
  <c r="O224" i="4" s="1"/>
  <c r="AH224" i="4"/>
  <c r="AF224" i="4"/>
  <c r="AD224" i="4"/>
  <c r="AB224" i="4"/>
  <c r="Z224" i="4"/>
  <c r="X224" i="4"/>
  <c r="V224" i="4"/>
  <c r="T224" i="4"/>
  <c r="R224" i="4"/>
  <c r="P224" i="4"/>
  <c r="N224" i="4"/>
  <c r="M224" i="4"/>
  <c r="O218" i="4"/>
  <c r="Q218" i="4" s="1"/>
  <c r="S218" i="4" s="1"/>
  <c r="U218" i="4" s="1"/>
  <c r="W218" i="4" s="1"/>
  <c r="Y218" i="4" s="1"/>
  <c r="AA218" i="4" s="1"/>
  <c r="AC218" i="4" s="1"/>
  <c r="AE218" i="4" s="1"/>
  <c r="AG218" i="4" s="1"/>
  <c r="AF214" i="4"/>
  <c r="AB214" i="4"/>
  <c r="X214" i="4"/>
  <c r="T214" i="4"/>
  <c r="P214" i="4"/>
  <c r="O216" i="4"/>
  <c r="AH214" i="4"/>
  <c r="AD214" i="4"/>
  <c r="Z214" i="4"/>
  <c r="V214" i="4"/>
  <c r="R214" i="4"/>
  <c r="N214" i="4"/>
  <c r="O205" i="4"/>
  <c r="Q205" i="4" s="1"/>
  <c r="S205" i="4" s="1"/>
  <c r="U205" i="4" s="1"/>
  <c r="W205" i="4" s="1"/>
  <c r="Y205" i="4" s="1"/>
  <c r="AA205" i="4" s="1"/>
  <c r="AC205" i="4" s="1"/>
  <c r="AE205" i="4" s="1"/>
  <c r="AG205" i="4" s="1"/>
  <c r="O203" i="4"/>
  <c r="O201" i="4" s="1"/>
  <c r="AH201" i="4"/>
  <c r="AF201" i="4"/>
  <c r="AD201" i="4"/>
  <c r="AB201" i="4"/>
  <c r="Z201" i="4"/>
  <c r="X201" i="4"/>
  <c r="V201" i="4"/>
  <c r="T201" i="4"/>
  <c r="R201" i="4"/>
  <c r="P201" i="4"/>
  <c r="N201" i="4"/>
  <c r="M201" i="4"/>
  <c r="O195" i="4"/>
  <c r="Q195" i="4" s="1"/>
  <c r="S195" i="4" s="1"/>
  <c r="U195" i="4" s="1"/>
  <c r="W195" i="4" s="1"/>
  <c r="Y195" i="4" s="1"/>
  <c r="AA195" i="4" s="1"/>
  <c r="AC195" i="4" s="1"/>
  <c r="AE195" i="4" s="1"/>
  <c r="AG195" i="4" s="1"/>
  <c r="O193" i="4"/>
  <c r="Q193" i="4" s="1"/>
  <c r="AH191" i="4"/>
  <c r="AF191" i="4"/>
  <c r="AD191" i="4"/>
  <c r="AB191" i="4"/>
  <c r="Z191" i="4"/>
  <c r="X191" i="4"/>
  <c r="V191" i="4"/>
  <c r="T191" i="4"/>
  <c r="R191" i="4"/>
  <c r="P191" i="4"/>
  <c r="N191" i="4"/>
  <c r="M191" i="4"/>
  <c r="O185" i="4"/>
  <c r="Q185" i="4" s="1"/>
  <c r="S185" i="4" s="1"/>
  <c r="U185" i="4" s="1"/>
  <c r="W185" i="4" s="1"/>
  <c r="Y185" i="4" s="1"/>
  <c r="AA185" i="4" s="1"/>
  <c r="AC185" i="4" s="1"/>
  <c r="AE185" i="4" s="1"/>
  <c r="AG185" i="4" s="1"/>
  <c r="AH181" i="4"/>
  <c r="AB181" i="4"/>
  <c r="Z181" i="4"/>
  <c r="T181" i="4"/>
  <c r="R181" i="4"/>
  <c r="M181" i="4"/>
  <c r="AF181" i="4"/>
  <c r="AD181" i="4"/>
  <c r="X181" i="4"/>
  <c r="V181" i="4"/>
  <c r="P181" i="4"/>
  <c r="N181" i="4"/>
  <c r="O172" i="4"/>
  <c r="Q172" i="4" s="1"/>
  <c r="S172" i="4" s="1"/>
  <c r="U172" i="4" s="1"/>
  <c r="W172" i="4" s="1"/>
  <c r="Y172" i="4" s="1"/>
  <c r="AA172" i="4" s="1"/>
  <c r="AC172" i="4" s="1"/>
  <c r="AE172" i="4" s="1"/>
  <c r="AG172" i="4" s="1"/>
  <c r="O170" i="4"/>
  <c r="Q170" i="4" s="1"/>
  <c r="AH168" i="4"/>
  <c r="AF168" i="4"/>
  <c r="AD168" i="4"/>
  <c r="AB168" i="4"/>
  <c r="Z168" i="4"/>
  <c r="X168" i="4"/>
  <c r="V168" i="4"/>
  <c r="T168" i="4"/>
  <c r="R168" i="4"/>
  <c r="P168" i="4"/>
  <c r="N168" i="4"/>
  <c r="M168" i="4"/>
  <c r="O162" i="4"/>
  <c r="Q162" i="4" s="1"/>
  <c r="S162" i="4" s="1"/>
  <c r="U162" i="4" s="1"/>
  <c r="W162" i="4" s="1"/>
  <c r="Y162" i="4" s="1"/>
  <c r="AA162" i="4" s="1"/>
  <c r="AC162" i="4" s="1"/>
  <c r="AE162" i="4" s="1"/>
  <c r="AG162" i="4" s="1"/>
  <c r="O160" i="4"/>
  <c r="AH158" i="4"/>
  <c r="AF158" i="4"/>
  <c r="AD158" i="4"/>
  <c r="AB158" i="4"/>
  <c r="Z158" i="4"/>
  <c r="X158" i="4"/>
  <c r="V158" i="4"/>
  <c r="T158" i="4"/>
  <c r="R158" i="4"/>
  <c r="P158" i="4"/>
  <c r="N158" i="4"/>
  <c r="M158" i="4"/>
  <c r="O152" i="4"/>
  <c r="Q152" i="4" s="1"/>
  <c r="S152" i="4" s="1"/>
  <c r="U152" i="4" s="1"/>
  <c r="W152" i="4" s="1"/>
  <c r="Y152" i="4" s="1"/>
  <c r="AA152" i="4" s="1"/>
  <c r="AC152" i="4" s="1"/>
  <c r="AE152" i="4" s="1"/>
  <c r="AG152" i="4" s="1"/>
  <c r="AF148" i="4"/>
  <c r="AB148" i="4"/>
  <c r="X148" i="4"/>
  <c r="T148" i="4"/>
  <c r="P148" i="4"/>
  <c r="O150" i="4"/>
  <c r="AH148" i="4"/>
  <c r="AD148" i="4"/>
  <c r="Z148" i="4"/>
  <c r="V148" i="4"/>
  <c r="R148" i="4"/>
  <c r="N148" i="4"/>
  <c r="O139" i="4"/>
  <c r="Q139" i="4" s="1"/>
  <c r="S139" i="4" s="1"/>
  <c r="U139" i="4" s="1"/>
  <c r="W139" i="4" s="1"/>
  <c r="Y139" i="4" s="1"/>
  <c r="AA139" i="4" s="1"/>
  <c r="AC139" i="4" s="1"/>
  <c r="AE139" i="4" s="1"/>
  <c r="AG139" i="4" s="1"/>
  <c r="O137" i="4"/>
  <c r="O135" i="4" s="1"/>
  <c r="AH135" i="4"/>
  <c r="AF135" i="4"/>
  <c r="AD135" i="4"/>
  <c r="AB135" i="4"/>
  <c r="Z135" i="4"/>
  <c r="X135" i="4"/>
  <c r="V135" i="4"/>
  <c r="T135" i="4"/>
  <c r="R135" i="4"/>
  <c r="P135" i="4"/>
  <c r="N135" i="4"/>
  <c r="M135" i="4"/>
  <c r="O129" i="4"/>
  <c r="Q129" i="4" s="1"/>
  <c r="S129" i="4" s="1"/>
  <c r="U129" i="4" s="1"/>
  <c r="W129" i="4" s="1"/>
  <c r="Y129" i="4" s="1"/>
  <c r="AA129" i="4" s="1"/>
  <c r="AC129" i="4" s="1"/>
  <c r="AE129" i="4" s="1"/>
  <c r="AG129" i="4" s="1"/>
  <c r="O127" i="4"/>
  <c r="Q127" i="4" s="1"/>
  <c r="S127" i="4" s="1"/>
  <c r="AH125" i="4"/>
  <c r="AF125" i="4"/>
  <c r="AD125" i="4"/>
  <c r="AB125" i="4"/>
  <c r="Z125" i="4"/>
  <c r="X125" i="4"/>
  <c r="V125" i="4"/>
  <c r="T125" i="4"/>
  <c r="R125" i="4"/>
  <c r="P125" i="4"/>
  <c r="N125" i="4"/>
  <c r="M125" i="4"/>
  <c r="O119" i="4"/>
  <c r="Q119" i="4" s="1"/>
  <c r="S119" i="4" s="1"/>
  <c r="U119" i="4" s="1"/>
  <c r="W119" i="4" s="1"/>
  <c r="Y119" i="4" s="1"/>
  <c r="AA119" i="4" s="1"/>
  <c r="AC119" i="4" s="1"/>
  <c r="AE119" i="4" s="1"/>
  <c r="AG119" i="4" s="1"/>
  <c r="AH115" i="4"/>
  <c r="Z115" i="4"/>
  <c r="R115" i="4"/>
  <c r="O117" i="4"/>
  <c r="AF115" i="4"/>
  <c r="AD115" i="4"/>
  <c r="AB115" i="4"/>
  <c r="X115" i="4"/>
  <c r="V115" i="4"/>
  <c r="T115" i="4"/>
  <c r="P115" i="4"/>
  <c r="N115" i="4"/>
  <c r="M115" i="4"/>
  <c r="O106" i="4"/>
  <c r="Q106" i="4" s="1"/>
  <c r="S106" i="4" s="1"/>
  <c r="U106" i="4" s="1"/>
  <c r="W106" i="4" s="1"/>
  <c r="Y106" i="4" s="1"/>
  <c r="AA106" i="4" s="1"/>
  <c r="AC106" i="4" s="1"/>
  <c r="AE106" i="4" s="1"/>
  <c r="AG106" i="4" s="1"/>
  <c r="O104" i="4"/>
  <c r="Q104" i="4" s="1"/>
  <c r="AH102" i="4"/>
  <c r="AF102" i="4"/>
  <c r="AD102" i="4"/>
  <c r="AB102" i="4"/>
  <c r="Z102" i="4"/>
  <c r="X102" i="4"/>
  <c r="V102" i="4"/>
  <c r="T102" i="4"/>
  <c r="R102" i="4"/>
  <c r="P102" i="4"/>
  <c r="N102" i="4"/>
  <c r="M102" i="4"/>
  <c r="O96" i="4"/>
  <c r="Q96" i="4" s="1"/>
  <c r="S96" i="4" s="1"/>
  <c r="U96" i="4" s="1"/>
  <c r="W96" i="4" s="1"/>
  <c r="Y96" i="4" s="1"/>
  <c r="AA96" i="4" s="1"/>
  <c r="AC96" i="4" s="1"/>
  <c r="AE96" i="4" s="1"/>
  <c r="AG96" i="4" s="1"/>
  <c r="O94" i="4"/>
  <c r="Q94" i="4" s="1"/>
  <c r="AH92" i="4"/>
  <c r="AF92" i="4"/>
  <c r="AD92" i="4"/>
  <c r="AB92" i="4"/>
  <c r="Z92" i="4"/>
  <c r="X92" i="4"/>
  <c r="V92" i="4"/>
  <c r="T92" i="4"/>
  <c r="R92" i="4"/>
  <c r="P92" i="4"/>
  <c r="O92" i="4"/>
  <c r="N92" i="4"/>
  <c r="M92" i="4"/>
  <c r="O86" i="4"/>
  <c r="Q86" i="4" s="1"/>
  <c r="S86" i="4" s="1"/>
  <c r="U86" i="4" s="1"/>
  <c r="W86" i="4" s="1"/>
  <c r="Y86" i="4" s="1"/>
  <c r="AA86" i="4" s="1"/>
  <c r="AC86" i="4" s="1"/>
  <c r="AE86" i="4" s="1"/>
  <c r="AG86" i="4" s="1"/>
  <c r="AD82" i="4"/>
  <c r="AB82" i="4"/>
  <c r="V82" i="4"/>
  <c r="T82" i="4"/>
  <c r="O84" i="4"/>
  <c r="Q84" i="4" s="1"/>
  <c r="N82" i="4"/>
  <c r="AH82" i="4"/>
  <c r="AF82" i="4"/>
  <c r="Z82" i="4"/>
  <c r="X82" i="4"/>
  <c r="R82" i="4"/>
  <c r="P82" i="4"/>
  <c r="M82" i="4"/>
  <c r="O73" i="4"/>
  <c r="Q73" i="4" s="1"/>
  <c r="S73" i="4" s="1"/>
  <c r="U73" i="4" s="1"/>
  <c r="W73" i="4" s="1"/>
  <c r="Y73" i="4" s="1"/>
  <c r="AA73" i="4" s="1"/>
  <c r="AC73" i="4" s="1"/>
  <c r="AE73" i="4" s="1"/>
  <c r="AG73" i="4" s="1"/>
  <c r="O71" i="4"/>
  <c r="Q71" i="4" s="1"/>
  <c r="AH69" i="4"/>
  <c r="AF69" i="4"/>
  <c r="AD69" i="4"/>
  <c r="AB69" i="4"/>
  <c r="Z69" i="4"/>
  <c r="X69" i="4"/>
  <c r="V69" i="4"/>
  <c r="T69" i="4"/>
  <c r="R69" i="4"/>
  <c r="P69" i="4"/>
  <c r="N69" i="4"/>
  <c r="M69" i="4"/>
  <c r="O63" i="4"/>
  <c r="Q63" i="4" s="1"/>
  <c r="S63" i="4" s="1"/>
  <c r="U63" i="4" s="1"/>
  <c r="W63" i="4" s="1"/>
  <c r="Y63" i="4" s="1"/>
  <c r="AA63" i="4" s="1"/>
  <c r="AC63" i="4" s="1"/>
  <c r="AE63" i="4" s="1"/>
  <c r="AG63" i="4" s="1"/>
  <c r="O61" i="4"/>
  <c r="Q61" i="4" s="1"/>
  <c r="S61" i="4" s="1"/>
  <c r="U61" i="4" s="1"/>
  <c r="AH59" i="4"/>
  <c r="AF59" i="4"/>
  <c r="AD59" i="4"/>
  <c r="AB59" i="4"/>
  <c r="Z59" i="4"/>
  <c r="X59" i="4"/>
  <c r="V59" i="4"/>
  <c r="T59" i="4"/>
  <c r="R59" i="4"/>
  <c r="P59" i="4"/>
  <c r="N59" i="4"/>
  <c r="M59" i="4"/>
  <c r="O53" i="4"/>
  <c r="Q53" i="4" s="1"/>
  <c r="S53" i="4" s="1"/>
  <c r="U53" i="4" s="1"/>
  <c r="W53" i="4" s="1"/>
  <c r="Y53" i="4" s="1"/>
  <c r="AA53" i="4" s="1"/>
  <c r="AC53" i="4" s="1"/>
  <c r="AE53" i="4" s="1"/>
  <c r="AG53" i="4" s="1"/>
  <c r="AF49" i="4"/>
  <c r="AD49" i="4"/>
  <c r="X49" i="4"/>
  <c r="V49" i="4"/>
  <c r="P49" i="4"/>
  <c r="N49" i="4"/>
  <c r="O51" i="4"/>
  <c r="AH49" i="4"/>
  <c r="AB49" i="4"/>
  <c r="Z49" i="4"/>
  <c r="T49" i="4"/>
  <c r="R49" i="4"/>
  <c r="O40" i="4"/>
  <c r="Q40" i="4" s="1"/>
  <c r="S40" i="4" s="1"/>
  <c r="U40" i="4" s="1"/>
  <c r="W40" i="4" s="1"/>
  <c r="Y40" i="4" s="1"/>
  <c r="AA40" i="4" s="1"/>
  <c r="AC40" i="4" s="1"/>
  <c r="AE40" i="4" s="1"/>
  <c r="AG40" i="4" s="1"/>
  <c r="O38" i="4"/>
  <c r="Q38" i="4" s="1"/>
  <c r="S38" i="4" s="1"/>
  <c r="U38" i="4" s="1"/>
  <c r="W38" i="4" s="1"/>
  <c r="Y38" i="4" s="1"/>
  <c r="AA38" i="4" s="1"/>
  <c r="AC38" i="4" s="1"/>
  <c r="AE38" i="4" s="1"/>
  <c r="AG38" i="4" s="1"/>
  <c r="J43" i="1"/>
  <c r="I37" i="1"/>
  <c r="O564" i="4" l="1"/>
  <c r="O554" i="4"/>
  <c r="Q556" i="4"/>
  <c r="O521" i="4"/>
  <c r="Q523" i="4"/>
  <c r="O498" i="4"/>
  <c r="Q490" i="4"/>
  <c r="O465" i="4"/>
  <c r="Q424" i="4"/>
  <c r="Q391" i="4"/>
  <c r="O366" i="4"/>
  <c r="O356" i="4"/>
  <c r="O333" i="4"/>
  <c r="Q337" i="4"/>
  <c r="S337" i="4" s="1"/>
  <c r="U337" i="4" s="1"/>
  <c r="W337" i="4" s="1"/>
  <c r="Y337" i="4" s="1"/>
  <c r="AA337" i="4" s="1"/>
  <c r="AC337" i="4" s="1"/>
  <c r="AE337" i="4" s="1"/>
  <c r="AG337" i="4" s="1"/>
  <c r="AI337" i="4" s="1"/>
  <c r="S325" i="4"/>
  <c r="U325" i="4" s="1"/>
  <c r="Q323" i="4"/>
  <c r="O300" i="4"/>
  <c r="O290" i="4"/>
  <c r="Q292" i="4"/>
  <c r="Q226" i="4"/>
  <c r="Q203" i="4"/>
  <c r="O191" i="4"/>
  <c r="O168" i="4"/>
  <c r="O158" i="4"/>
  <c r="Q160" i="4"/>
  <c r="Q137" i="4"/>
  <c r="Q135" i="4" s="1"/>
  <c r="O125" i="4"/>
  <c r="O69" i="4"/>
  <c r="Q59" i="4"/>
  <c r="O59" i="4"/>
  <c r="Q546" i="4"/>
  <c r="O544" i="4"/>
  <c r="S566" i="4"/>
  <c r="Q564" i="4"/>
  <c r="M544" i="4"/>
  <c r="Q513" i="4"/>
  <c r="O511" i="4"/>
  <c r="U533" i="4"/>
  <c r="S531" i="4"/>
  <c r="M511" i="4"/>
  <c r="Q531" i="4"/>
  <c r="S500" i="4"/>
  <c r="Q498" i="4"/>
  <c r="Q480" i="4"/>
  <c r="O478" i="4"/>
  <c r="M478" i="4"/>
  <c r="Q447" i="4"/>
  <c r="O445" i="4"/>
  <c r="S467" i="4"/>
  <c r="Q465" i="4"/>
  <c r="Q457" i="4"/>
  <c r="Q414" i="4"/>
  <c r="O412" i="4"/>
  <c r="S434" i="4"/>
  <c r="Q432" i="4"/>
  <c r="O432" i="4"/>
  <c r="M412" i="4"/>
  <c r="Q381" i="4"/>
  <c r="O379" i="4"/>
  <c r="S401" i="4"/>
  <c r="Q399" i="4"/>
  <c r="M379" i="4"/>
  <c r="S358" i="4"/>
  <c r="Q356" i="4"/>
  <c r="Q366" i="4"/>
  <c r="S368" i="4"/>
  <c r="Q346" i="4"/>
  <c r="S348" i="4"/>
  <c r="O346" i="4"/>
  <c r="Q315" i="4"/>
  <c r="O313" i="4"/>
  <c r="S335" i="4"/>
  <c r="M313" i="4"/>
  <c r="Q282" i="4"/>
  <c r="O280" i="4"/>
  <c r="S302" i="4"/>
  <c r="Q300" i="4"/>
  <c r="M280" i="4"/>
  <c r="O247" i="4"/>
  <c r="Q249" i="4"/>
  <c r="S269" i="4"/>
  <c r="Q267" i="4"/>
  <c r="M247" i="4"/>
  <c r="O267" i="4"/>
  <c r="Q259" i="4"/>
  <c r="O214" i="4"/>
  <c r="Q216" i="4"/>
  <c r="S236" i="4"/>
  <c r="Q234" i="4"/>
  <c r="O234" i="4"/>
  <c r="M214" i="4"/>
  <c r="S193" i="4"/>
  <c r="Q191" i="4"/>
  <c r="O183" i="4"/>
  <c r="S170" i="4"/>
  <c r="Q168" i="4"/>
  <c r="O148" i="4"/>
  <c r="Q150" i="4"/>
  <c r="M148" i="4"/>
  <c r="U127" i="4"/>
  <c r="S125" i="4"/>
  <c r="Q117" i="4"/>
  <c r="O115" i="4"/>
  <c r="Q125" i="4"/>
  <c r="S94" i="4"/>
  <c r="Q92" i="4"/>
  <c r="Q82" i="4"/>
  <c r="S84" i="4"/>
  <c r="S104" i="4"/>
  <c r="Q102" i="4"/>
  <c r="O102" i="4"/>
  <c r="O82" i="4"/>
  <c r="Q51" i="4"/>
  <c r="O49" i="4"/>
  <c r="S71" i="4"/>
  <c r="Q69" i="4"/>
  <c r="W61" i="4"/>
  <c r="U59" i="4"/>
  <c r="M49" i="4"/>
  <c r="S59" i="4"/>
  <c r="O24" i="1"/>
  <c r="Q24" i="1" s="1"/>
  <c r="S24" i="1" s="1"/>
  <c r="U24" i="1" s="1"/>
  <c r="W24" i="1" s="1"/>
  <c r="Y24" i="1" s="1"/>
  <c r="AA24" i="1" s="1"/>
  <c r="AC24" i="1" s="1"/>
  <c r="AE24" i="1" s="1"/>
  <c r="AG24" i="1" s="1"/>
  <c r="AI24" i="1" s="1"/>
  <c r="O22" i="1"/>
  <c r="Q22" i="1" s="1"/>
  <c r="S22" i="1" s="1"/>
  <c r="U22" i="1" s="1"/>
  <c r="W22" i="1" s="1"/>
  <c r="Y22" i="1" s="1"/>
  <c r="AA22" i="1" s="1"/>
  <c r="AC22" i="1" s="1"/>
  <c r="AE22" i="1" s="1"/>
  <c r="AG22" i="1" s="1"/>
  <c r="AI22" i="1" s="1"/>
  <c r="I563" i="4"/>
  <c r="AI558" i="4"/>
  <c r="I553" i="4"/>
  <c r="AI548" i="4"/>
  <c r="AI535" i="4"/>
  <c r="I530" i="4"/>
  <c r="AI525" i="4"/>
  <c r="I520" i="4"/>
  <c r="I510" i="4"/>
  <c r="AI502" i="4"/>
  <c r="I497" i="4"/>
  <c r="I487" i="4"/>
  <c r="I477" i="4"/>
  <c r="I464" i="4"/>
  <c r="AI459" i="4"/>
  <c r="I454" i="4"/>
  <c r="AI436" i="4"/>
  <c r="I431" i="4"/>
  <c r="AI426" i="4"/>
  <c r="I421" i="4"/>
  <c r="I411" i="4"/>
  <c r="AI403" i="4"/>
  <c r="I398" i="4"/>
  <c r="I388" i="4"/>
  <c r="AI383" i="4"/>
  <c r="I378" i="4"/>
  <c r="AI370" i="4"/>
  <c r="I365" i="4"/>
  <c r="I355" i="4"/>
  <c r="AI350" i="4"/>
  <c r="I345" i="4"/>
  <c r="I332" i="4"/>
  <c r="AI327" i="4"/>
  <c r="I322" i="4"/>
  <c r="AI304" i="4"/>
  <c r="I299" i="4"/>
  <c r="AI294" i="4"/>
  <c r="I289" i="4"/>
  <c r="AI284" i="4"/>
  <c r="I279" i="4"/>
  <c r="AI271" i="4"/>
  <c r="I266" i="4"/>
  <c r="AI261" i="4"/>
  <c r="I256" i="4"/>
  <c r="AI251" i="4"/>
  <c r="I246" i="4"/>
  <c r="AI238" i="4"/>
  <c r="I233" i="4"/>
  <c r="AI228" i="4"/>
  <c r="I223" i="4"/>
  <c r="I213" i="4"/>
  <c r="AI205" i="4"/>
  <c r="I200" i="4"/>
  <c r="AI195" i="4"/>
  <c r="I190" i="4"/>
  <c r="AI185" i="4"/>
  <c r="I180" i="4"/>
  <c r="AI172" i="4"/>
  <c r="I167" i="4"/>
  <c r="AI162" i="4"/>
  <c r="I157" i="4"/>
  <c r="AI152" i="4"/>
  <c r="AI139" i="4"/>
  <c r="I134" i="4"/>
  <c r="AI129" i="4"/>
  <c r="I124" i="4"/>
  <c r="AI119" i="4"/>
  <c r="I114" i="4"/>
  <c r="AI106" i="4"/>
  <c r="AI96" i="4"/>
  <c r="AI73" i="4"/>
  <c r="I68" i="4"/>
  <c r="AI63" i="4"/>
  <c r="I58" i="4"/>
  <c r="I48" i="4"/>
  <c r="AI40" i="4"/>
  <c r="O36" i="4"/>
  <c r="AH36" i="4"/>
  <c r="AF36" i="4"/>
  <c r="AD36" i="4"/>
  <c r="AB36" i="4"/>
  <c r="Z36" i="4"/>
  <c r="X36" i="4"/>
  <c r="V36" i="4"/>
  <c r="T36" i="4"/>
  <c r="R36" i="4"/>
  <c r="P36" i="4"/>
  <c r="N36" i="4"/>
  <c r="M36" i="4"/>
  <c r="I35" i="4"/>
  <c r="O30" i="4"/>
  <c r="Q30" i="4" s="1"/>
  <c r="S30" i="4" s="1"/>
  <c r="U30" i="4" s="1"/>
  <c r="W30" i="4" s="1"/>
  <c r="Y30" i="4" s="1"/>
  <c r="AA30" i="4" s="1"/>
  <c r="AC30" i="4" s="1"/>
  <c r="AE30" i="4" s="1"/>
  <c r="AG30" i="4" s="1"/>
  <c r="AI30" i="4" s="1"/>
  <c r="O28" i="4"/>
  <c r="O26" i="4" s="1"/>
  <c r="AH26" i="4"/>
  <c r="AF26" i="4"/>
  <c r="AD26" i="4"/>
  <c r="AB26" i="4"/>
  <c r="Z26" i="4"/>
  <c r="X26" i="4"/>
  <c r="V26" i="4"/>
  <c r="T26" i="4"/>
  <c r="R26" i="4"/>
  <c r="P26" i="4"/>
  <c r="N26" i="4"/>
  <c r="M26" i="4"/>
  <c r="I25" i="4"/>
  <c r="Z16" i="4"/>
  <c r="O20" i="4"/>
  <c r="Q20" i="4" s="1"/>
  <c r="I15" i="4"/>
  <c r="AF16" i="4"/>
  <c r="V16" i="4"/>
  <c r="T16" i="4"/>
  <c r="P16" i="4"/>
  <c r="O18" i="4"/>
  <c r="AH16" i="4"/>
  <c r="AD16" i="4"/>
  <c r="X16" i="4"/>
  <c r="R16" i="4"/>
  <c r="N16" i="4"/>
  <c r="O34" i="1"/>
  <c r="Q34" i="1" s="1"/>
  <c r="S34" i="1" s="1"/>
  <c r="U34" i="1" s="1"/>
  <c r="W34" i="1" s="1"/>
  <c r="Y34" i="1" s="1"/>
  <c r="AA34" i="1" s="1"/>
  <c r="AC34" i="1" s="1"/>
  <c r="AE34" i="1" s="1"/>
  <c r="AG34" i="1" s="1"/>
  <c r="S556" i="4" l="1"/>
  <c r="Q554" i="4"/>
  <c r="S523" i="4"/>
  <c r="Q521" i="4"/>
  <c r="Q488" i="4"/>
  <c r="S490" i="4"/>
  <c r="Q422" i="4"/>
  <c r="S424" i="4"/>
  <c r="S391" i="4"/>
  <c r="Q389" i="4"/>
  <c r="Q333" i="4"/>
  <c r="S323" i="4"/>
  <c r="S292" i="4"/>
  <c r="Q290" i="4"/>
  <c r="Q224" i="4"/>
  <c r="S226" i="4"/>
  <c r="Q201" i="4"/>
  <c r="S203" i="4"/>
  <c r="S160" i="4"/>
  <c r="Q158" i="4"/>
  <c r="S137" i="4"/>
  <c r="U137" i="4" s="1"/>
  <c r="S546" i="4"/>
  <c r="Q544" i="4"/>
  <c r="U566" i="4"/>
  <c r="S564" i="4"/>
  <c r="S513" i="4"/>
  <c r="Q511" i="4"/>
  <c r="U531" i="4"/>
  <c r="W533" i="4"/>
  <c r="U500" i="4"/>
  <c r="S498" i="4"/>
  <c r="S480" i="4"/>
  <c r="Q478" i="4"/>
  <c r="S457" i="4"/>
  <c r="Q455" i="4"/>
  <c r="U467" i="4"/>
  <c r="S465" i="4"/>
  <c r="S447" i="4"/>
  <c r="Q445" i="4"/>
  <c r="S414" i="4"/>
  <c r="Q412" i="4"/>
  <c r="U434" i="4"/>
  <c r="S432" i="4"/>
  <c r="S381" i="4"/>
  <c r="Q379" i="4"/>
  <c r="U401" i="4"/>
  <c r="S399" i="4"/>
  <c r="U348" i="4"/>
  <c r="S346" i="4"/>
  <c r="U368" i="4"/>
  <c r="S366" i="4"/>
  <c r="U358" i="4"/>
  <c r="S356" i="4"/>
  <c r="W325" i="4"/>
  <c r="U323" i="4"/>
  <c r="S333" i="4"/>
  <c r="U335" i="4"/>
  <c r="S315" i="4"/>
  <c r="Q313" i="4"/>
  <c r="U302" i="4"/>
  <c r="S300" i="4"/>
  <c r="Q280" i="4"/>
  <c r="S282" i="4"/>
  <c r="S249" i="4"/>
  <c r="Q247" i="4"/>
  <c r="S259" i="4"/>
  <c r="Q257" i="4"/>
  <c r="S267" i="4"/>
  <c r="U269" i="4"/>
  <c r="S234" i="4"/>
  <c r="U236" i="4"/>
  <c r="S216" i="4"/>
  <c r="Q214" i="4"/>
  <c r="Q183" i="4"/>
  <c r="O181" i="4"/>
  <c r="U193" i="4"/>
  <c r="S191" i="4"/>
  <c r="S150" i="4"/>
  <c r="Q148" i="4"/>
  <c r="U170" i="4"/>
  <c r="S168" i="4"/>
  <c r="Q115" i="4"/>
  <c r="S117" i="4"/>
  <c r="W127" i="4"/>
  <c r="U125" i="4"/>
  <c r="S102" i="4"/>
  <c r="U104" i="4"/>
  <c r="U84" i="4"/>
  <c r="S82" i="4"/>
  <c r="U94" i="4"/>
  <c r="S92" i="4"/>
  <c r="Y61" i="4"/>
  <c r="W59" i="4"/>
  <c r="U71" i="4"/>
  <c r="S69" i="4"/>
  <c r="S51" i="4"/>
  <c r="Q49" i="4"/>
  <c r="AI53" i="4"/>
  <c r="AB16" i="4"/>
  <c r="S20" i="4"/>
  <c r="U20" i="4" s="1"/>
  <c r="W20" i="4" s="1"/>
  <c r="Y20" i="4" s="1"/>
  <c r="AA20" i="4" s="1"/>
  <c r="AC20" i="4" s="1"/>
  <c r="AE20" i="4" s="1"/>
  <c r="AG20" i="4" s="1"/>
  <c r="AI20" i="4" s="1"/>
  <c r="I543" i="4"/>
  <c r="I444" i="4"/>
  <c r="I312" i="4"/>
  <c r="I147" i="4"/>
  <c r="Q18" i="4"/>
  <c r="O16" i="4"/>
  <c r="AI86" i="4"/>
  <c r="M16" i="4"/>
  <c r="Q28" i="4"/>
  <c r="AI218" i="4"/>
  <c r="AI317" i="4"/>
  <c r="AI360" i="4"/>
  <c r="AI469" i="4"/>
  <c r="AI449" i="4"/>
  <c r="AI416" i="4"/>
  <c r="AI482" i="4"/>
  <c r="AI515" i="4"/>
  <c r="O18" i="1"/>
  <c r="Q18" i="1" s="1"/>
  <c r="S18" i="1" s="1"/>
  <c r="U18" i="1" s="1"/>
  <c r="W18" i="1" s="1"/>
  <c r="Y18" i="1" s="1"/>
  <c r="AA18" i="1" s="1"/>
  <c r="AC18" i="1" s="1"/>
  <c r="AE18" i="1" s="1"/>
  <c r="AG18" i="1" s="1"/>
  <c r="AI18" i="1" s="1"/>
  <c r="O16" i="1"/>
  <c r="O14" i="1" s="1"/>
  <c r="AH14" i="1"/>
  <c r="AF14" i="1"/>
  <c r="AD14" i="1"/>
  <c r="AB14" i="1"/>
  <c r="Z14" i="1"/>
  <c r="X14" i="1"/>
  <c r="V14" i="1"/>
  <c r="T14" i="1"/>
  <c r="R14" i="1"/>
  <c r="P14" i="1"/>
  <c r="N14" i="1"/>
  <c r="M14" i="1"/>
  <c r="U556" i="4" l="1"/>
  <c r="S554" i="4"/>
  <c r="U523" i="4"/>
  <c r="S521" i="4"/>
  <c r="U490" i="4"/>
  <c r="S488" i="4"/>
  <c r="U424" i="4"/>
  <c r="S422" i="4"/>
  <c r="U391" i="4"/>
  <c r="S389" i="4"/>
  <c r="S290" i="4"/>
  <c r="U292" i="4"/>
  <c r="U226" i="4"/>
  <c r="S224" i="4"/>
  <c r="U203" i="4"/>
  <c r="S201" i="4"/>
  <c r="U160" i="4"/>
  <c r="S158" i="4"/>
  <c r="S135" i="4"/>
  <c r="U564" i="4"/>
  <c r="W566" i="4"/>
  <c r="S544" i="4"/>
  <c r="U546" i="4"/>
  <c r="S511" i="4"/>
  <c r="U513" i="4"/>
  <c r="W531" i="4"/>
  <c r="Y533" i="4"/>
  <c r="U498" i="4"/>
  <c r="W500" i="4"/>
  <c r="U480" i="4"/>
  <c r="S478" i="4"/>
  <c r="U447" i="4"/>
  <c r="S445" i="4"/>
  <c r="U465" i="4"/>
  <c r="W467" i="4"/>
  <c r="S455" i="4"/>
  <c r="U457" i="4"/>
  <c r="U414" i="4"/>
  <c r="S412" i="4"/>
  <c r="W434" i="4"/>
  <c r="U432" i="4"/>
  <c r="U399" i="4"/>
  <c r="W401" i="4"/>
  <c r="U381" i="4"/>
  <c r="S379" i="4"/>
  <c r="W348" i="4"/>
  <c r="U346" i="4"/>
  <c r="U366" i="4"/>
  <c r="W368" i="4"/>
  <c r="U356" i="4"/>
  <c r="W358" i="4"/>
  <c r="Y325" i="4"/>
  <c r="W323" i="4"/>
  <c r="U315" i="4"/>
  <c r="S313" i="4"/>
  <c r="U333" i="4"/>
  <c r="W335" i="4"/>
  <c r="U282" i="4"/>
  <c r="S280" i="4"/>
  <c r="U300" i="4"/>
  <c r="W302" i="4"/>
  <c r="U249" i="4"/>
  <c r="S247" i="4"/>
  <c r="U267" i="4"/>
  <c r="W269" i="4"/>
  <c r="U259" i="4"/>
  <c r="S257" i="4"/>
  <c r="U234" i="4"/>
  <c r="W236" i="4"/>
  <c r="U216" i="4"/>
  <c r="S214" i="4"/>
  <c r="S183" i="4"/>
  <c r="Q181" i="4"/>
  <c r="U191" i="4"/>
  <c r="W193" i="4"/>
  <c r="U168" i="4"/>
  <c r="W170" i="4"/>
  <c r="S148" i="4"/>
  <c r="U150" i="4"/>
  <c r="Y127" i="4"/>
  <c r="W125" i="4"/>
  <c r="U117" i="4"/>
  <c r="S115" i="4"/>
  <c r="U135" i="4"/>
  <c r="W137" i="4"/>
  <c r="W94" i="4"/>
  <c r="U92" i="4"/>
  <c r="W84" i="4"/>
  <c r="U82" i="4"/>
  <c r="U102" i="4"/>
  <c r="W104" i="4"/>
  <c r="S49" i="4"/>
  <c r="U51" i="4"/>
  <c r="U69" i="4"/>
  <c r="W71" i="4"/>
  <c r="AA61" i="4"/>
  <c r="Y59" i="4"/>
  <c r="Q16" i="1"/>
  <c r="Q14" i="1" s="1"/>
  <c r="Q16" i="4"/>
  <c r="S18" i="4"/>
  <c r="Q36" i="4"/>
  <c r="S28" i="4"/>
  <c r="Q26" i="4"/>
  <c r="W556" i="4" l="1"/>
  <c r="U554" i="4"/>
  <c r="W523" i="4"/>
  <c r="U521" i="4"/>
  <c r="W490" i="4"/>
  <c r="U488" i="4"/>
  <c r="W424" i="4"/>
  <c r="U422" i="4"/>
  <c r="W391" i="4"/>
  <c r="U389" i="4"/>
  <c r="U290" i="4"/>
  <c r="W292" i="4"/>
  <c r="W226" i="4"/>
  <c r="U224" i="4"/>
  <c r="W203" i="4"/>
  <c r="U201" i="4"/>
  <c r="W160" i="4"/>
  <c r="U158" i="4"/>
  <c r="W546" i="4"/>
  <c r="U544" i="4"/>
  <c r="W564" i="4"/>
  <c r="Y566" i="4"/>
  <c r="AA533" i="4"/>
  <c r="Y531" i="4"/>
  <c r="W513" i="4"/>
  <c r="U511" i="4"/>
  <c r="W498" i="4"/>
  <c r="Y500" i="4"/>
  <c r="W480" i="4"/>
  <c r="U478" i="4"/>
  <c r="W457" i="4"/>
  <c r="U455" i="4"/>
  <c r="Y467" i="4"/>
  <c r="W465" i="4"/>
  <c r="W447" i="4"/>
  <c r="U445" i="4"/>
  <c r="W414" i="4"/>
  <c r="U412" i="4"/>
  <c r="W432" i="4"/>
  <c r="Y434" i="4"/>
  <c r="W381" i="4"/>
  <c r="U379" i="4"/>
  <c r="W399" i="4"/>
  <c r="Y401" i="4"/>
  <c r="Y348" i="4"/>
  <c r="W346" i="4"/>
  <c r="Y358" i="4"/>
  <c r="W356" i="4"/>
  <c r="Y368" i="4"/>
  <c r="W366" i="4"/>
  <c r="W315" i="4"/>
  <c r="U313" i="4"/>
  <c r="AA325" i="4"/>
  <c r="Y323" i="4"/>
  <c r="Y335" i="4"/>
  <c r="W333" i="4"/>
  <c r="W300" i="4"/>
  <c r="Y302" i="4"/>
  <c r="W282" i="4"/>
  <c r="U280" i="4"/>
  <c r="W249" i="4"/>
  <c r="U247" i="4"/>
  <c r="W259" i="4"/>
  <c r="U257" i="4"/>
  <c r="Y269" i="4"/>
  <c r="W267" i="4"/>
  <c r="Y236" i="4"/>
  <c r="W234" i="4"/>
  <c r="W216" i="4"/>
  <c r="U214" i="4"/>
  <c r="U183" i="4"/>
  <c r="S181" i="4"/>
  <c r="Y193" i="4"/>
  <c r="W191" i="4"/>
  <c r="W150" i="4"/>
  <c r="U148" i="4"/>
  <c r="Y170" i="4"/>
  <c r="W168" i="4"/>
  <c r="Y137" i="4"/>
  <c r="W135" i="4"/>
  <c r="W117" i="4"/>
  <c r="U115" i="4"/>
  <c r="AA127" i="4"/>
  <c r="Y125" i="4"/>
  <c r="W92" i="4"/>
  <c r="Y94" i="4"/>
  <c r="Y104" i="4"/>
  <c r="W102" i="4"/>
  <c r="Y84" i="4"/>
  <c r="W82" i="4"/>
  <c r="W69" i="4"/>
  <c r="Y71" i="4"/>
  <c r="AC61" i="4"/>
  <c r="AA59" i="4"/>
  <c r="W51" i="4"/>
  <c r="U49" i="4"/>
  <c r="S16" i="1"/>
  <c r="U28" i="4"/>
  <c r="S26" i="4"/>
  <c r="U18" i="4"/>
  <c r="S16" i="4"/>
  <c r="S36" i="4"/>
  <c r="U16" i="1"/>
  <c r="S14" i="1"/>
  <c r="Y556" i="4" l="1"/>
  <c r="W554" i="4"/>
  <c r="Y523" i="4"/>
  <c r="W521" i="4"/>
  <c r="Y490" i="4"/>
  <c r="W488" i="4"/>
  <c r="Y424" i="4"/>
  <c r="W422" i="4"/>
  <c r="W389" i="4"/>
  <c r="Y391" i="4"/>
  <c r="Y292" i="4"/>
  <c r="W290" i="4"/>
  <c r="W224" i="4"/>
  <c r="Y226" i="4"/>
  <c r="Y203" i="4"/>
  <c r="W201" i="4"/>
  <c r="W158" i="4"/>
  <c r="Y160" i="4"/>
  <c r="Y546" i="4"/>
  <c r="W544" i="4"/>
  <c r="AA566" i="4"/>
  <c r="Y564" i="4"/>
  <c r="Y513" i="4"/>
  <c r="W511" i="4"/>
  <c r="AA531" i="4"/>
  <c r="AC533" i="4"/>
  <c r="W478" i="4"/>
  <c r="Y480" i="4"/>
  <c r="AA500" i="4"/>
  <c r="Y498" i="4"/>
  <c r="Y447" i="4"/>
  <c r="W445" i="4"/>
  <c r="Y465" i="4"/>
  <c r="AA467" i="4"/>
  <c r="W455" i="4"/>
  <c r="Y457" i="4"/>
  <c r="Y414" i="4"/>
  <c r="W412" i="4"/>
  <c r="AA434" i="4"/>
  <c r="Y432" i="4"/>
  <c r="AA401" i="4"/>
  <c r="Y399" i="4"/>
  <c r="Y381" i="4"/>
  <c r="W379" i="4"/>
  <c r="Y346" i="4"/>
  <c r="AA348" i="4"/>
  <c r="AA358" i="4"/>
  <c r="Y356" i="4"/>
  <c r="AA368" i="4"/>
  <c r="Y366" i="4"/>
  <c r="Y315" i="4"/>
  <c r="W313" i="4"/>
  <c r="AA335" i="4"/>
  <c r="Y333" i="4"/>
  <c r="AA323" i="4"/>
  <c r="AC325" i="4"/>
  <c r="Y282" i="4"/>
  <c r="W280" i="4"/>
  <c r="AA302" i="4"/>
  <c r="Y300" i="4"/>
  <c r="Y249" i="4"/>
  <c r="W247" i="4"/>
  <c r="AA269" i="4"/>
  <c r="Y267" i="4"/>
  <c r="W257" i="4"/>
  <c r="Y259" i="4"/>
  <c r="AA236" i="4"/>
  <c r="Y234" i="4"/>
  <c r="Y216" i="4"/>
  <c r="W214" i="4"/>
  <c r="W183" i="4"/>
  <c r="U181" i="4"/>
  <c r="AA193" i="4"/>
  <c r="Y191" i="4"/>
  <c r="Y150" i="4"/>
  <c r="W148" i="4"/>
  <c r="AA170" i="4"/>
  <c r="Y168" i="4"/>
  <c r="AA125" i="4"/>
  <c r="AC127" i="4"/>
  <c r="AA137" i="4"/>
  <c r="Y135" i="4"/>
  <c r="Y117" i="4"/>
  <c r="W115" i="4"/>
  <c r="AA94" i="4"/>
  <c r="Y92" i="4"/>
  <c r="Y82" i="4"/>
  <c r="AA84" i="4"/>
  <c r="AA104" i="4"/>
  <c r="Y102" i="4"/>
  <c r="Y51" i="4"/>
  <c r="W49" i="4"/>
  <c r="AC59" i="4"/>
  <c r="AE61" i="4"/>
  <c r="AA71" i="4"/>
  <c r="Y69" i="4"/>
  <c r="U36" i="4"/>
  <c r="W18" i="4"/>
  <c r="U16" i="4"/>
  <c r="U26" i="4"/>
  <c r="W28" i="4"/>
  <c r="W16" i="1"/>
  <c r="U14" i="1"/>
  <c r="Y554" i="4" l="1"/>
  <c r="AA556" i="4"/>
  <c r="AA523" i="4"/>
  <c r="Y521" i="4"/>
  <c r="AA490" i="4"/>
  <c r="Y488" i="4"/>
  <c r="Y422" i="4"/>
  <c r="AA424" i="4"/>
  <c r="Y389" i="4"/>
  <c r="AA391" i="4"/>
  <c r="AA292" i="4"/>
  <c r="Y290" i="4"/>
  <c r="AA226" i="4"/>
  <c r="Y224" i="4"/>
  <c r="AA203" i="4"/>
  <c r="Y201" i="4"/>
  <c r="AA160" i="4"/>
  <c r="Y158" i="4"/>
  <c r="AA546" i="4"/>
  <c r="Y544" i="4"/>
  <c r="AA564" i="4"/>
  <c r="AC566" i="4"/>
  <c r="AC531" i="4"/>
  <c r="AE533" i="4"/>
  <c r="AA513" i="4"/>
  <c r="Y511" i="4"/>
  <c r="AA480" i="4"/>
  <c r="Y478" i="4"/>
  <c r="AA498" i="4"/>
  <c r="AC500" i="4"/>
  <c r="AA457" i="4"/>
  <c r="Y455" i="4"/>
  <c r="AA465" i="4"/>
  <c r="AC467" i="4"/>
  <c r="AA447" i="4"/>
  <c r="Y445" i="4"/>
  <c r="AA414" i="4"/>
  <c r="Y412" i="4"/>
  <c r="AA432" i="4"/>
  <c r="AC434" i="4"/>
  <c r="AC401" i="4"/>
  <c r="AA399" i="4"/>
  <c r="AA381" i="4"/>
  <c r="Y379" i="4"/>
  <c r="AC348" i="4"/>
  <c r="AE348" i="4" s="1"/>
  <c r="AA346" i="4"/>
  <c r="AA356" i="4"/>
  <c r="AC358" i="4"/>
  <c r="AA366" i="4"/>
  <c r="AC368" i="4"/>
  <c r="AC335" i="4"/>
  <c r="AA333" i="4"/>
  <c r="AC323" i="4"/>
  <c r="AE325" i="4"/>
  <c r="AA315" i="4"/>
  <c r="Y313" i="4"/>
  <c r="AA300" i="4"/>
  <c r="AC302" i="4"/>
  <c r="AA282" i="4"/>
  <c r="Y280" i="4"/>
  <c r="AA267" i="4"/>
  <c r="AC269" i="4"/>
  <c r="AA249" i="4"/>
  <c r="Y247" i="4"/>
  <c r="AA259" i="4"/>
  <c r="Y257" i="4"/>
  <c r="AA216" i="4"/>
  <c r="Y214" i="4"/>
  <c r="AA234" i="4"/>
  <c r="AC236" i="4"/>
  <c r="Y183" i="4"/>
  <c r="W181" i="4"/>
  <c r="AA191" i="4"/>
  <c r="AC193" i="4"/>
  <c r="AA168" i="4"/>
  <c r="AC170" i="4"/>
  <c r="AA150" i="4"/>
  <c r="Y148" i="4"/>
  <c r="AC125" i="4"/>
  <c r="AE127" i="4"/>
  <c r="AA117" i="4"/>
  <c r="Y115" i="4"/>
  <c r="AA135" i="4"/>
  <c r="AC137" i="4"/>
  <c r="AA92" i="4"/>
  <c r="AC94" i="4"/>
  <c r="AA102" i="4"/>
  <c r="AC104" i="4"/>
  <c r="AC84" i="4"/>
  <c r="AA82" i="4"/>
  <c r="AE59" i="4"/>
  <c r="AG61" i="4"/>
  <c r="AG59" i="4" s="1"/>
  <c r="AA69" i="4"/>
  <c r="AC71" i="4"/>
  <c r="AA51" i="4"/>
  <c r="Y49" i="4"/>
  <c r="W36" i="4"/>
  <c r="W26" i="4"/>
  <c r="Y28" i="4"/>
  <c r="Y18" i="4"/>
  <c r="W16" i="4"/>
  <c r="Y16" i="1"/>
  <c r="W14" i="1"/>
  <c r="AC556" i="4" l="1"/>
  <c r="AA554" i="4"/>
  <c r="AA521" i="4"/>
  <c r="AC523" i="4"/>
  <c r="AC490" i="4"/>
  <c r="AA488" i="4"/>
  <c r="AA422" i="4"/>
  <c r="AC424" i="4"/>
  <c r="AA389" i="4"/>
  <c r="AC391" i="4"/>
  <c r="AC292" i="4"/>
  <c r="AA290" i="4"/>
  <c r="AC226" i="4"/>
  <c r="AA224" i="4"/>
  <c r="AC203" i="4"/>
  <c r="AA201" i="4"/>
  <c r="AA158" i="4"/>
  <c r="AC160" i="4"/>
  <c r="AC564" i="4"/>
  <c r="AE566" i="4"/>
  <c r="AC546" i="4"/>
  <c r="AA544" i="4"/>
  <c r="AC513" i="4"/>
  <c r="AA511" i="4"/>
  <c r="AG533" i="4"/>
  <c r="AG531" i="4" s="1"/>
  <c r="AE531" i="4"/>
  <c r="AA478" i="4"/>
  <c r="AC480" i="4"/>
  <c r="AC498" i="4"/>
  <c r="AE500" i="4"/>
  <c r="AC447" i="4"/>
  <c r="AA445" i="4"/>
  <c r="AC465" i="4"/>
  <c r="AE467" i="4"/>
  <c r="AA455" i="4"/>
  <c r="AC457" i="4"/>
  <c r="AA412" i="4"/>
  <c r="AC414" i="4"/>
  <c r="AE434" i="4"/>
  <c r="AC432" i="4"/>
  <c r="AC399" i="4"/>
  <c r="AE401" i="4"/>
  <c r="AC381" i="4"/>
  <c r="AA379" i="4"/>
  <c r="AC346" i="4"/>
  <c r="AC366" i="4"/>
  <c r="AE368" i="4"/>
  <c r="AC356" i="4"/>
  <c r="AE358" i="4"/>
  <c r="AA313" i="4"/>
  <c r="AC315" i="4"/>
  <c r="AE323" i="4"/>
  <c r="AG325" i="4"/>
  <c r="AG323" i="4" s="1"/>
  <c r="AC333" i="4"/>
  <c r="AE335" i="4"/>
  <c r="AA280" i="4"/>
  <c r="AC282" i="4"/>
  <c r="AC300" i="4"/>
  <c r="AE302" i="4"/>
  <c r="AC267" i="4"/>
  <c r="AE269" i="4"/>
  <c r="AA257" i="4"/>
  <c r="AC259" i="4"/>
  <c r="AC249" i="4"/>
  <c r="AA247" i="4"/>
  <c r="AC216" i="4"/>
  <c r="AA214" i="4"/>
  <c r="AC234" i="4"/>
  <c r="AE236" i="4"/>
  <c r="AC191" i="4"/>
  <c r="AE193" i="4"/>
  <c r="AA183" i="4"/>
  <c r="Y181" i="4"/>
  <c r="AA148" i="4"/>
  <c r="AC150" i="4"/>
  <c r="AC168" i="4"/>
  <c r="AE170" i="4"/>
  <c r="AE137" i="4"/>
  <c r="AC135" i="4"/>
  <c r="AC117" i="4"/>
  <c r="AA115" i="4"/>
  <c r="AG127" i="4"/>
  <c r="AG125" i="4" s="1"/>
  <c r="AE125" i="4"/>
  <c r="AE84" i="4"/>
  <c r="AC82" i="4"/>
  <c r="AC102" i="4"/>
  <c r="AE104" i="4"/>
  <c r="AC92" i="4"/>
  <c r="AE94" i="4"/>
  <c r="AA49" i="4"/>
  <c r="AC51" i="4"/>
  <c r="AC69" i="4"/>
  <c r="AE71" i="4"/>
  <c r="Y36" i="4"/>
  <c r="AA28" i="4"/>
  <c r="Y26" i="4"/>
  <c r="Y16" i="4"/>
  <c r="AA18" i="4"/>
  <c r="Y14" i="1"/>
  <c r="AA16" i="1"/>
  <c r="AE556" i="4" l="1"/>
  <c r="AC554" i="4"/>
  <c r="AC521" i="4"/>
  <c r="AE523" i="4"/>
  <c r="AE490" i="4"/>
  <c r="AC488" i="4"/>
  <c r="AE424" i="4"/>
  <c r="AC422" i="4"/>
  <c r="AC389" i="4"/>
  <c r="AE391" i="4"/>
  <c r="AE292" i="4"/>
  <c r="AC290" i="4"/>
  <c r="AE226" i="4"/>
  <c r="AC224" i="4"/>
  <c r="AE203" i="4"/>
  <c r="AC201" i="4"/>
  <c r="AC158" i="4"/>
  <c r="AE160" i="4"/>
  <c r="AE546" i="4"/>
  <c r="AC544" i="4"/>
  <c r="AE564" i="4"/>
  <c r="AG566" i="4"/>
  <c r="AG564" i="4" s="1"/>
  <c r="AE513" i="4"/>
  <c r="AC511" i="4"/>
  <c r="AE480" i="4"/>
  <c r="AC478" i="4"/>
  <c r="AG500" i="4"/>
  <c r="AG498" i="4" s="1"/>
  <c r="AE498" i="4"/>
  <c r="AE447" i="4"/>
  <c r="AC445" i="4"/>
  <c r="AE457" i="4"/>
  <c r="AC455" i="4"/>
  <c r="AG467" i="4"/>
  <c r="AG465" i="4" s="1"/>
  <c r="AE465" i="4"/>
  <c r="AE414" i="4"/>
  <c r="AC412" i="4"/>
  <c r="AG434" i="4"/>
  <c r="AG432" i="4" s="1"/>
  <c r="AE432" i="4"/>
  <c r="AE381" i="4"/>
  <c r="AC379" i="4"/>
  <c r="AG401" i="4"/>
  <c r="AG399" i="4" s="1"/>
  <c r="AE399" i="4"/>
  <c r="AE346" i="4"/>
  <c r="AG348" i="4"/>
  <c r="AG358" i="4"/>
  <c r="AG356" i="4" s="1"/>
  <c r="AE356" i="4"/>
  <c r="AG368" i="4"/>
  <c r="AG366" i="4" s="1"/>
  <c r="AE366" i="4"/>
  <c r="AG335" i="4"/>
  <c r="AG333" i="4" s="1"/>
  <c r="AE333" i="4"/>
  <c r="AE315" i="4"/>
  <c r="AC313" i="4"/>
  <c r="AE282" i="4"/>
  <c r="AC280" i="4"/>
  <c r="AG302" i="4"/>
  <c r="AG300" i="4" s="1"/>
  <c r="AE300" i="4"/>
  <c r="AC257" i="4"/>
  <c r="AE259" i="4"/>
  <c r="AE249" i="4"/>
  <c r="AC247" i="4"/>
  <c r="AG269" i="4"/>
  <c r="AG267" i="4" s="1"/>
  <c r="AE267" i="4"/>
  <c r="AE216" i="4"/>
  <c r="AC214" i="4"/>
  <c r="AG236" i="4"/>
  <c r="AG234" i="4" s="1"/>
  <c r="AE234" i="4"/>
  <c r="AG193" i="4"/>
  <c r="AG191" i="4" s="1"/>
  <c r="AE191" i="4"/>
  <c r="AC183" i="4"/>
  <c r="AA181" i="4"/>
  <c r="AG170" i="4"/>
  <c r="AG168" i="4" s="1"/>
  <c r="AE168" i="4"/>
  <c r="AE150" i="4"/>
  <c r="AC148" i="4"/>
  <c r="AG137" i="4"/>
  <c r="AG135" i="4" s="1"/>
  <c r="AE135" i="4"/>
  <c r="AE117" i="4"/>
  <c r="AC115" i="4"/>
  <c r="AG84" i="4"/>
  <c r="AG82" i="4" s="1"/>
  <c r="AE82" i="4"/>
  <c r="AG104" i="4"/>
  <c r="AG102" i="4" s="1"/>
  <c r="AE102" i="4"/>
  <c r="AG94" i="4"/>
  <c r="AG92" i="4" s="1"/>
  <c r="AE92" i="4"/>
  <c r="AG71" i="4"/>
  <c r="AG69" i="4" s="1"/>
  <c r="AE69" i="4"/>
  <c r="AE51" i="4"/>
  <c r="AC49" i="4"/>
  <c r="AC18" i="4"/>
  <c r="AA16" i="4"/>
  <c r="AC28" i="4"/>
  <c r="AA26" i="4"/>
  <c r="AA36" i="4"/>
  <c r="AC16" i="1"/>
  <c r="AA14" i="1"/>
  <c r="AG346" i="4" l="1"/>
  <c r="AI348" i="4"/>
  <c r="AG556" i="4"/>
  <c r="AG554" i="4" s="1"/>
  <c r="AE554" i="4"/>
  <c r="AE521" i="4"/>
  <c r="AG523" i="4"/>
  <c r="AG521" i="4" s="1"/>
  <c r="AG490" i="4"/>
  <c r="AE488" i="4"/>
  <c r="AI467" i="4"/>
  <c r="AI465" i="4" s="1"/>
  <c r="AJ467" i="4" s="1"/>
  <c r="AE422" i="4"/>
  <c r="AG424" i="4"/>
  <c r="AG422" i="4" s="1"/>
  <c r="AI401" i="4"/>
  <c r="AI399" i="4" s="1"/>
  <c r="AJ401" i="4" s="1"/>
  <c r="AG391" i="4"/>
  <c r="AE389" i="4"/>
  <c r="AE290" i="4"/>
  <c r="AG292" i="4"/>
  <c r="AG290" i="4" s="1"/>
  <c r="AG226" i="4"/>
  <c r="AG224" i="4" s="1"/>
  <c r="AE224" i="4"/>
  <c r="AE201" i="4"/>
  <c r="AG203" i="4"/>
  <c r="AG201" i="4" s="1"/>
  <c r="AG160" i="4"/>
  <c r="AG158" i="4" s="1"/>
  <c r="AE158" i="4"/>
  <c r="AG546" i="4"/>
  <c r="AG544" i="4" s="1"/>
  <c r="AE544" i="4"/>
  <c r="AG513" i="4"/>
  <c r="AG511" i="4" s="1"/>
  <c r="AE511" i="4"/>
  <c r="AG480" i="4"/>
  <c r="AG478" i="4" s="1"/>
  <c r="AE478" i="4"/>
  <c r="AG447" i="4"/>
  <c r="AG445" i="4" s="1"/>
  <c r="AE445" i="4"/>
  <c r="AE455" i="4"/>
  <c r="AG457" i="4"/>
  <c r="AG455" i="4" s="1"/>
  <c r="AG414" i="4"/>
  <c r="AG412" i="4" s="1"/>
  <c r="AE412" i="4"/>
  <c r="AG381" i="4"/>
  <c r="AG379" i="4" s="1"/>
  <c r="AE379" i="4"/>
  <c r="AG315" i="4"/>
  <c r="AG313" i="4" s="1"/>
  <c r="AE313" i="4"/>
  <c r="AG282" i="4"/>
  <c r="AG280" i="4" s="1"/>
  <c r="AE280" i="4"/>
  <c r="AE257" i="4"/>
  <c r="AG259" i="4"/>
  <c r="AG257" i="4" s="1"/>
  <c r="AE247" i="4"/>
  <c r="AG249" i="4"/>
  <c r="AG247" i="4" s="1"/>
  <c r="AE214" i="4"/>
  <c r="AG216" i="4"/>
  <c r="AG214" i="4" s="1"/>
  <c r="AC181" i="4"/>
  <c r="AE183" i="4"/>
  <c r="AG150" i="4"/>
  <c r="AG148" i="4" s="1"/>
  <c r="AE148" i="4"/>
  <c r="AG117" i="4"/>
  <c r="AG115" i="4" s="1"/>
  <c r="AE115" i="4"/>
  <c r="AG51" i="4"/>
  <c r="AG49" i="4" s="1"/>
  <c r="AE49" i="4"/>
  <c r="AJ40" i="1"/>
  <c r="AI368" i="4"/>
  <c r="AI366" i="4" s="1"/>
  <c r="AJ368" i="4" s="1"/>
  <c r="AC36" i="4"/>
  <c r="AE18" i="4"/>
  <c r="AC16" i="4"/>
  <c r="AI566" i="4"/>
  <c r="AC26" i="4"/>
  <c r="AE28" i="4"/>
  <c r="AI500" i="4"/>
  <c r="AI498" i="4" s="1"/>
  <c r="AJ500" i="4" s="1"/>
  <c r="AI358" i="4"/>
  <c r="AI356" i="4" s="1"/>
  <c r="AJ358" i="4" s="1"/>
  <c r="AC14" i="1"/>
  <c r="AE16" i="1"/>
  <c r="AI523" i="4" l="1"/>
  <c r="AI521" i="4" s="1"/>
  <c r="AJ523" i="4" s="1"/>
  <c r="AG488" i="4"/>
  <c r="AI490" i="4"/>
  <c r="AG389" i="4"/>
  <c r="AI389" i="4"/>
  <c r="AJ391" i="4" s="1"/>
  <c r="AG183" i="4"/>
  <c r="AG181" i="4" s="1"/>
  <c r="AE181" i="4"/>
  <c r="AI150" i="4"/>
  <c r="AI148" i="4" s="1"/>
  <c r="AJ150" i="4" s="1"/>
  <c r="AI203" i="4"/>
  <c r="AI201" i="4" s="1"/>
  <c r="AJ203" i="4" s="1"/>
  <c r="AG18" i="4"/>
  <c r="AE16" i="4"/>
  <c r="AI137" i="4"/>
  <c r="AI135" i="4" s="1"/>
  <c r="AJ137" i="4" s="1"/>
  <c r="AI71" i="4"/>
  <c r="AI69" i="4" s="1"/>
  <c r="AJ71" i="4" s="1"/>
  <c r="AE26" i="4"/>
  <c r="AG28" i="4"/>
  <c r="AI434" i="4"/>
  <c r="AI432" i="4" s="1"/>
  <c r="AJ434" i="4" s="1"/>
  <c r="AE36" i="4"/>
  <c r="AI61" i="4"/>
  <c r="AI59" i="4" s="1"/>
  <c r="AJ61" i="4" s="1"/>
  <c r="AI480" i="4"/>
  <c r="AI478" i="4" s="1"/>
  <c r="AJ480" i="4" s="1"/>
  <c r="AI127" i="4"/>
  <c r="AI125" i="4" s="1"/>
  <c r="AJ127" i="4" s="1"/>
  <c r="AI533" i="4"/>
  <c r="AI531" i="4" s="1"/>
  <c r="AJ533" i="4" s="1"/>
  <c r="AI193" i="4"/>
  <c r="AI191" i="4" s="1"/>
  <c r="AJ193" i="4" s="1"/>
  <c r="AG16" i="1"/>
  <c r="AE14" i="1"/>
  <c r="AI117" i="4" l="1"/>
  <c r="AI115" i="4" s="1"/>
  <c r="AJ117" i="4" s="1"/>
  <c r="AI302" i="4"/>
  <c r="AI300" i="4" s="1"/>
  <c r="AJ302" i="4" s="1"/>
  <c r="AI292" i="4"/>
  <c r="AI290" i="4" s="1"/>
  <c r="AJ292" i="4" s="1"/>
  <c r="AI183" i="4"/>
  <c r="AI181" i="4" s="1"/>
  <c r="AJ183" i="4" s="1"/>
  <c r="AI226" i="4"/>
  <c r="AI224" i="4" s="1"/>
  <c r="AJ226" i="4" s="1"/>
  <c r="AG16" i="4"/>
  <c r="AI18" i="4"/>
  <c r="AI16" i="4" s="1"/>
  <c r="AJ18" i="4" s="1"/>
  <c r="AI325" i="4"/>
  <c r="AI323" i="4" s="1"/>
  <c r="AJ325" i="4" s="1"/>
  <c r="AI424" i="4"/>
  <c r="AI422" i="4" s="1"/>
  <c r="AJ424" i="4" s="1"/>
  <c r="AI216" i="4"/>
  <c r="AI214" i="4" s="1"/>
  <c r="AJ216" i="4" s="1"/>
  <c r="AI28" i="4"/>
  <c r="AI26" i="4" s="1"/>
  <c r="AJ28" i="4" s="1"/>
  <c r="AG26" i="4"/>
  <c r="AI492" i="4"/>
  <c r="AI488" i="4" s="1"/>
  <c r="AJ490" i="4" s="1"/>
  <c r="AI414" i="4"/>
  <c r="AI412" i="4" s="1"/>
  <c r="AJ414" i="4" s="1"/>
  <c r="AI546" i="4"/>
  <c r="AI544" i="4" s="1"/>
  <c r="AJ546" i="4" s="1"/>
  <c r="AI556" i="4"/>
  <c r="AI554" i="4" s="1"/>
  <c r="AJ556" i="4" s="1"/>
  <c r="AI568" i="4"/>
  <c r="AI564" i="4" s="1"/>
  <c r="AJ566" i="4" s="1"/>
  <c r="AI38" i="4"/>
  <c r="AI36" i="4" s="1"/>
  <c r="AJ38" i="4" s="1"/>
  <c r="AG36" i="4"/>
  <c r="AI513" i="4"/>
  <c r="AI511" i="4" s="1"/>
  <c r="AJ513" i="4" s="1"/>
  <c r="AI249" i="4"/>
  <c r="AI247" i="4" s="1"/>
  <c r="AJ249" i="4" s="1"/>
  <c r="AI94" i="4"/>
  <c r="AI92" i="4" s="1"/>
  <c r="AJ94" i="4" s="1"/>
  <c r="AI236" i="4"/>
  <c r="AI234" i="4" s="1"/>
  <c r="AJ236" i="4" s="1"/>
  <c r="AI170" i="4"/>
  <c r="AI168" i="4" s="1"/>
  <c r="AJ170" i="4" s="1"/>
  <c r="AI346" i="4"/>
  <c r="AJ348" i="4" s="1"/>
  <c r="AI259" i="4"/>
  <c r="AI257" i="4" s="1"/>
  <c r="AJ259" i="4" s="1"/>
  <c r="AI269" i="4"/>
  <c r="AJ269" i="4" s="1"/>
  <c r="AI104" i="4"/>
  <c r="AI102" i="4" s="1"/>
  <c r="AJ104" i="4" s="1"/>
  <c r="AI282" i="4"/>
  <c r="AI280" i="4" s="1"/>
  <c r="AJ282" i="4" s="1"/>
  <c r="AI51" i="4"/>
  <c r="AI49" i="4" s="1"/>
  <c r="AJ51" i="4" s="1"/>
  <c r="AI457" i="4"/>
  <c r="AI455" i="4" s="1"/>
  <c r="AJ457" i="4" s="1"/>
  <c r="AI335" i="4"/>
  <c r="AI333" i="4" s="1"/>
  <c r="AJ335" i="4" s="1"/>
  <c r="AI160" i="4"/>
  <c r="AI158" i="4" s="1"/>
  <c r="AJ160" i="4" s="1"/>
  <c r="AI84" i="4"/>
  <c r="AI82" i="4" s="1"/>
  <c r="AJ84" i="4" s="1"/>
  <c r="AI447" i="4"/>
  <c r="AI445" i="4" s="1"/>
  <c r="AJ447" i="4" s="1"/>
  <c r="AG14" i="1"/>
  <c r="AI16" i="1"/>
  <c r="AI14" i="1" s="1"/>
  <c r="AJ16" i="1" s="1"/>
  <c r="AI381" i="4" l="1"/>
  <c r="AI379" i="4" s="1"/>
  <c r="AJ379" i="4" s="1"/>
  <c r="AI315" i="4"/>
  <c r="AI313" i="4" s="1"/>
  <c r="AJ315" i="4" s="1"/>
  <c r="AA30" i="1" l="1"/>
  <c r="AC30" i="1" s="1"/>
  <c r="AE30" i="1" s="1"/>
  <c r="AG30" i="1" s="1"/>
  <c r="AI30" i="1" s="1"/>
  <c r="Q32" i="1"/>
  <c r="O26" i="1"/>
  <c r="O20" i="1" l="1"/>
  <c r="O32" i="1"/>
  <c r="Q26" i="1"/>
  <c r="Q20" i="1"/>
  <c r="AH32" i="1"/>
  <c r="AH26" i="1"/>
  <c r="AH20" i="1"/>
  <c r="AF32" i="1"/>
  <c r="AF26" i="1"/>
  <c r="AF20" i="1"/>
  <c r="AD32" i="1"/>
  <c r="AD26" i="1"/>
  <c r="AD20" i="1"/>
  <c r="AB32" i="1"/>
  <c r="AB26" i="1"/>
  <c r="AB20" i="1"/>
  <c r="Z32" i="1"/>
  <c r="Z26" i="1"/>
  <c r="Z20" i="1"/>
  <c r="X32" i="1"/>
  <c r="X26" i="1"/>
  <c r="X20" i="1"/>
  <c r="V32" i="1"/>
  <c r="V26" i="1"/>
  <c r="V20" i="1"/>
  <c r="T32" i="1"/>
  <c r="T26" i="1"/>
  <c r="T20" i="1"/>
  <c r="R32" i="1"/>
  <c r="R26" i="1"/>
  <c r="R20" i="1"/>
  <c r="P32" i="1"/>
  <c r="P26" i="1"/>
  <c r="P20" i="1"/>
  <c r="S26" i="1" l="1"/>
  <c r="S32" i="1"/>
  <c r="S20" i="1"/>
  <c r="L32" i="1"/>
  <c r="I31" i="1" s="1"/>
  <c r="U26" i="1" l="1"/>
  <c r="U20" i="1"/>
  <c r="U32" i="1"/>
  <c r="N32" i="1"/>
  <c r="M32" i="1"/>
  <c r="N26" i="1"/>
  <c r="M26" i="1"/>
  <c r="L26" i="1"/>
  <c r="I25" i="1" s="1"/>
  <c r="N20" i="1"/>
  <c r="M20" i="1"/>
  <c r="L20" i="1"/>
  <c r="I19" i="1" s="1"/>
  <c r="W32" i="1" l="1"/>
  <c r="W26" i="1"/>
  <c r="Y28" i="1"/>
  <c r="W20" i="1"/>
  <c r="Y20" i="1" l="1"/>
  <c r="Y26" i="1"/>
  <c r="AA28" i="1"/>
  <c r="AC28" i="1" s="1"/>
  <c r="AE28" i="1" s="1"/>
  <c r="Y32" i="1"/>
  <c r="AA32" i="1" l="1"/>
  <c r="AA26" i="1"/>
  <c r="AA20" i="1"/>
  <c r="AC32" i="1" l="1"/>
  <c r="AC20" i="1"/>
  <c r="AC26" i="1"/>
  <c r="AE20" i="1" l="1"/>
  <c r="AE32" i="1"/>
  <c r="AG28" i="1"/>
  <c r="AE26" i="1"/>
  <c r="AG32" i="1" l="1"/>
  <c r="AI34" i="1"/>
  <c r="AI32" i="1" s="1"/>
  <c r="AJ34" i="1" s="1"/>
  <c r="AG26" i="1"/>
  <c r="AI28" i="1"/>
  <c r="AI26" i="1" s="1"/>
  <c r="AJ28" i="1" s="1"/>
  <c r="AG20" i="1"/>
  <c r="AI20" i="1"/>
  <c r="AJ2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tc={1D2CA49C-61D9-4D3A-AAC7-B623C3020694}</author>
  </authors>
  <commentList>
    <comment ref="L61" authorId="0" shapeId="0" xr:uid="{1D2CA49C-61D9-4D3A-AAC7-B623C302069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ajustan operandos de acuerdo lo informado en archivo adjunto desagregación CDC 25 min </t>
      </text>
    </comment>
  </commentList>
</comments>
</file>

<file path=xl/sharedStrings.xml><?xml version="1.0" encoding="utf-8"?>
<sst xmlns="http://schemas.openxmlformats.org/spreadsheetml/2006/main" count="6871" uniqueCount="223">
  <si>
    <t>Plantilla del SIG Compromisos Institucionales</t>
  </si>
  <si>
    <t>DIVISIÓN PLANIFICACIÓN</t>
  </si>
  <si>
    <t>Y DESARROLLO</t>
  </si>
  <si>
    <t xml:space="preserve">Fecha: </t>
  </si>
  <si>
    <t xml:space="preserve">  </t>
  </si>
  <si>
    <t>Elaborado por: Analista de Gestión</t>
  </si>
  <si>
    <t>Revisado por:</t>
  </si>
  <si>
    <t xml:space="preserve">Aprobado por: </t>
  </si>
  <si>
    <t>CONVENIO DE DESEMPEÑO COLECTIVO 2026</t>
  </si>
  <si>
    <t>CENTRO DE RESPONSABILIDAD: SUBDIRECCION SERVICIOS AL CLIENTE</t>
  </si>
  <si>
    <t>NÚMERO</t>
  </si>
  <si>
    <t>PRODUCTO O PROCESO ESPECÍFICO</t>
  </si>
  <si>
    <t xml:space="preserve">INDICADOR </t>
  </si>
  <si>
    <t>FORMULA</t>
  </si>
  <si>
    <t>UNIDAD</t>
  </si>
  <si>
    <t>RESPONSABLE CENTRO DE RESPONSABILIDAD</t>
  </si>
  <si>
    <t>GESTOR</t>
  </si>
  <si>
    <t>SUPERVISORES</t>
  </si>
  <si>
    <t>Meta 2025</t>
  </si>
  <si>
    <t>Ponderador</t>
  </si>
  <si>
    <t>Operandos</t>
  </si>
  <si>
    <t>Operandos  Estimados Meta</t>
  </si>
  <si>
    <t>Ene.</t>
  </si>
  <si>
    <t>Feb.</t>
  </si>
  <si>
    <t>Acum Feb.</t>
  </si>
  <si>
    <t>Mar.</t>
  </si>
  <si>
    <t>Acum Mar.</t>
  </si>
  <si>
    <t>Abr.</t>
  </si>
  <si>
    <t>Acum Abr.</t>
  </si>
  <si>
    <t>May.</t>
  </si>
  <si>
    <t>Acum May.</t>
  </si>
  <si>
    <t>Jun.</t>
  </si>
  <si>
    <t>Acum Jun.</t>
  </si>
  <si>
    <t>Jul.</t>
  </si>
  <si>
    <t>Acum Jul.</t>
  </si>
  <si>
    <t>Ago.</t>
  </si>
  <si>
    <t>Acum Ago</t>
  </si>
  <si>
    <t>Sept.</t>
  </si>
  <si>
    <t>Acum Sept</t>
  </si>
  <si>
    <t>Oct.</t>
  </si>
  <si>
    <t>Acum Oct.</t>
  </si>
  <si>
    <t>Nov.</t>
  </si>
  <si>
    <t>Acum Nov.</t>
  </si>
  <si>
    <t>Dic.</t>
  </si>
  <si>
    <t>Cumplimiento
Proyectado
2026</t>
  </si>
  <si>
    <t>% Cumplimiento de Meta</t>
  </si>
  <si>
    <t>Medios de Verificación</t>
  </si>
  <si>
    <t>Control de Cambios</t>
  </si>
  <si>
    <t>Instrumentos de Gestión Asociados</t>
  </si>
  <si>
    <t>3.5.1.24</t>
  </si>
  <si>
    <t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</si>
  <si>
    <r>
      <rPr>
        <b/>
        <u/>
        <sz val="8"/>
        <color theme="1"/>
        <rFont val="Arial Narrow"/>
        <family val="2"/>
      </rPr>
      <t>1) Calidad/Producto</t>
    </r>
    <r>
      <rPr>
        <b/>
        <sz val="8"/>
        <color theme="1"/>
        <rFont val="Arial Narrow"/>
        <family val="2"/>
      </rPr>
      <t xml:space="preserve">
</t>
    </r>
    <r>
      <rPr>
        <sz val="8"/>
        <color theme="1"/>
        <rFont val="Arial Narrow"/>
        <family val="2"/>
      </rPr>
      <t>Porcentaje de Beneficios Previsionales de las áreas Particulares, Públicos y SSS que se finiquitan en un plazo máximo interno de 14 días en el año t</t>
    </r>
  </si>
  <si>
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</si>
  <si>
    <t>División Beneficios</t>
  </si>
  <si>
    <t>Reinaldo Zuñiga Herrera</t>
  </si>
  <si>
    <t>Carlos Rodriguez Retamal</t>
  </si>
  <si>
    <t>(Sumatoria de Beneficios Previsionales de las áreas Particulares, Públicos y SSS que se finiquitan en un plazo máximo interno de 14 días en el año t</t>
  </si>
  <si>
    <t xml:space="preserve">Valor indicador=   </t>
  </si>
  <si>
    <t>Reportes/Informes
-  Reporte sistema de reparto (Tipo PMG).</t>
  </si>
  <si>
    <t>CDC: Div. Beneficio, Subd. Servicio al Cliente, Div Informática, Subd Sistema de Información y Administración, Div Jurídica, Direcciones Regionales.</t>
  </si>
  <si>
    <t xml:space="preserve">Operando 1=   </t>
  </si>
  <si>
    <t>N° Total de Beneficios Previsionales de las áreas Particulares, Públicos y SSS que se finiquitan en el año t)*100</t>
  </si>
  <si>
    <t xml:space="preserve">Operando 2=    </t>
  </si>
  <si>
    <t>1.3.1.4</t>
  </si>
  <si>
    <t xml:space="preserve">1.-Atención de Público en materias previsionales, sociales y otros trámites
1.3.-­Servicio de información en canales presenciales
1.3.1.-­Servicio de información en canales presenciales
</t>
  </si>
  <si>
    <r>
      <rPr>
        <b/>
        <sz val="8"/>
        <color theme="1"/>
        <rFont val="Arial Narrow"/>
        <family val="2"/>
      </rPr>
      <t xml:space="preserve">2) </t>
    </r>
    <r>
      <rPr>
        <b/>
        <u/>
        <sz val="8"/>
        <color theme="1"/>
        <rFont val="Arial Narrow"/>
        <family val="2"/>
      </rPr>
      <t xml:space="preserve">Calidad/Producto
</t>
    </r>
    <r>
      <rPr>
        <sz val="8"/>
        <color theme="1"/>
        <rFont val="Arial Narrow"/>
        <family val="2"/>
      </rPr>
      <t>Porcentaje de personas atendidas con tiempo de espera menor a 25 minutos en el año t.</t>
    </r>
  </si>
  <si>
    <t>(Número de personas atendidas con tiempo de espera menor a 25 minutos en el año t / Total de personas atendidas en el año t)*100</t>
  </si>
  <si>
    <t>Subdirección de Servicio al Cliente</t>
  </si>
  <si>
    <t>Lenia Solange Pizarro Sierra</t>
  </si>
  <si>
    <t>Jacqueline Saez Saez</t>
  </si>
  <si>
    <t>Jose Antonio Ventura Castro</t>
  </si>
  <si>
    <t xml:space="preserve">(Número de personas atendidas con tiempo de espera menor a 25 minutos en el año t </t>
  </si>
  <si>
    <t>Reportes/Informes
-  Reporte Tiempo Espera.</t>
  </si>
  <si>
    <t>Formulario H
CDC:  Subdir. Servicio al Cliente, Direcciones Regionales.</t>
  </si>
  <si>
    <t>Total de personas atendidas en el año t)*100</t>
  </si>
  <si>
    <t>5.3.1.62</t>
  </si>
  <si>
    <t>5.- Proceso de Apoyo                                               5.3.- Personas                                                          5.3.1.- Gestión de Personas</t>
  </si>
  <si>
    <r>
      <rPr>
        <b/>
        <sz val="8"/>
        <color theme="1"/>
        <rFont val="Arial Narrow"/>
        <family val="2"/>
      </rPr>
      <t xml:space="preserve">3) </t>
    </r>
    <r>
      <rPr>
        <b/>
        <u/>
        <sz val="8"/>
        <color theme="1"/>
        <rFont val="Arial Narrow"/>
        <family val="2"/>
      </rPr>
      <t xml:space="preserve">Calidad/Producto
</t>
    </r>
    <r>
      <rPr>
        <sz val="8"/>
        <color theme="1"/>
        <rFont val="Arial Narrow"/>
        <family val="2"/>
      </rPr>
      <t>Porcentaje de funcionarias/os que participan en el plan Anual de Formación y Capacitación en el año t</t>
    </r>
  </si>
  <si>
    <t>(Número de funcionarias/os que participan en las actividades establecidas en el Plan Anual de Formación y Capacitación en el año t / Nº total de funcionarias/os convocados a participar en las actividades del plan Anual de Formación y Capacitación en el año t) *100</t>
  </si>
  <si>
    <t>(Número de funcionarias/os que participan en las actividades establecidas en el Plan Anual de Formación y Capacitación en el año t</t>
  </si>
  <si>
    <t>Reportes/Informes
-	Plan Anual de Formación y Capacitación año 2026.
-	Informes de avances emitifos en abril, julio y noviembre.</t>
  </si>
  <si>
    <t>CDC: Subdirección Clientes</t>
  </si>
  <si>
    <t>Nº total de funcionarias/os convocados a participar en las actividades del plan Anual de Formación y Capacitación en el año t) *100</t>
  </si>
  <si>
    <t>5.1.3.42</t>
  </si>
  <si>
    <t>5.- Proceso de Apoyo
 5.1.- Administración y Finanzas
 5.1.3.- Programación y Control Presupuestario</t>
  </si>
  <si>
    <r>
      <rPr>
        <b/>
        <sz val="8"/>
        <rFont val="Arial Narrow"/>
        <family val="2"/>
      </rPr>
      <t xml:space="preserve">4) </t>
    </r>
    <r>
      <rPr>
        <b/>
        <u/>
        <sz val="8"/>
        <rFont val="Arial Narrow"/>
        <family val="2"/>
      </rPr>
      <t xml:space="preserve">Eficacia/Proceso
</t>
    </r>
    <r>
      <rPr>
        <sz val="8"/>
        <rFont val="Arial Narrow"/>
        <family val="2"/>
      </rPr>
      <t>Porcentaje de hitos de control cumplidos de ejecución presupuestaria a nivel de los Subtítulos 22 y 29, dentro de los plazos establecidos (Subdirección de Servicios al Cliente)</t>
    </r>
  </si>
  <si>
    <t>(Sumatoria de hitos de control cumplidos de ejecución presupuestaria a nivel de los Subtítulos 22 y 29, dentro de los plazos establecidos / N° total de hitos de control definidos de ejecución presupuestaria a nivel de los Subtítulos 22 y 29) *100</t>
  </si>
  <si>
    <t xml:space="preserve">Subdirección Sistemas de Información y Administración
Departamento Secretaria General y Transparencia </t>
  </si>
  <si>
    <t>Juan Daza Lizana (S)</t>
  </si>
  <si>
    <t>Julio Santistevan Jimenez</t>
  </si>
  <si>
    <t>Manuel Aguila Castillo</t>
  </si>
  <si>
    <t>Gasto ejecutado de los subtítulos 22 y 29 al mes de noviembre del año t</t>
  </si>
  <si>
    <t>Reportes/Informes
-  Informe de ejecución presupuestaria emitido por el Subdepartamento de Presupuesto del Departamento de Finanzas.</t>
  </si>
  <si>
    <t xml:space="preserve"> 
CDC: Div. Beneficio,Subdirección Clientes, División Informática, Subdirección Sistema de información y Administración, División Planificación y Desarrollo, Departamento Comunicaciones</t>
  </si>
  <si>
    <t>(Presupuesto vigente al mes de noviembre de los subtítulos 22 y 29 en el año t) *100</t>
  </si>
  <si>
    <t>5.4.1.91</t>
  </si>
  <si>
    <t xml:space="preserve">5.-Proceso de Apoyo
5.4.-Planificación y Control de Gestión 
5.4.1.-Control de Gestión Institucional
</t>
  </si>
  <si>
    <r>
      <rPr>
        <b/>
        <u/>
        <sz val="8"/>
        <rFont val="Arial Narrow"/>
        <family val="2"/>
      </rPr>
      <t xml:space="preserve">6) Eficacia/Procesos
</t>
    </r>
    <r>
      <rPr>
        <sz val="8"/>
        <rFont val="Arial Narrow"/>
        <family val="2"/>
      </rPr>
      <t>Porcentaje de procesos priorizados con Planes de Continuidad Operacional formalizados en el año t</t>
    </r>
  </si>
  <si>
    <t>(N° de procesos priorizados con Planes de Continuidad Operacional formalizados en el año t / N° total de procesos priorizados en el año t) *100</t>
  </si>
  <si>
    <t>División Planificación y Desarrollo</t>
  </si>
  <si>
    <t>Jorge Farah</t>
  </si>
  <si>
    <t>Olga Veronica Quiroz Miranda</t>
  </si>
  <si>
    <t>Joselyn Loyola</t>
  </si>
  <si>
    <t>N° de procesos priorizados con Planes de Continuidad Operacional formalizados en el año t</t>
  </si>
  <si>
    <t>Reportes/Informes
Resolución del Plan de Continuidad
Operacional (PCO) del Proceso Priorizado Comprometido.</t>
  </si>
  <si>
    <t>5.4.-Planificación y Control de Gestión</t>
  </si>
  <si>
    <t>5.4.1.-Control de Gestión Institucional</t>
  </si>
  <si>
    <t>N° total de procesos priorizados en el año t</t>
  </si>
  <si>
    <t xml:space="preserve"> </t>
  </si>
  <si>
    <t>PLANTILLA SIG COMPROMISOS INSTITUCIONALES</t>
  </si>
  <si>
    <t>DEPARTAMENTO DE PLANIFICACION  Y DESARROLLO</t>
  </si>
  <si>
    <t>SUBDEPARTAMENTO GESTIÓN DE INDICADORES</t>
  </si>
  <si>
    <t>INSTITUCIONALES</t>
  </si>
  <si>
    <t>Revisado por: Jefa Subdepartamento Gestión de Indicadores Institucionales</t>
  </si>
  <si>
    <t>Aprobado por: Jefa Departamento Compromisos Institucionales</t>
  </si>
  <si>
    <t>CONVENIO DE DESEMPEÑO COLECTIVO - AÑO 2025</t>
  </si>
  <si>
    <t>x1</t>
  </si>
  <si>
    <t>TOTAL PAIS</t>
  </si>
  <si>
    <t>Meta 2026</t>
  </si>
  <si>
    <t>Proyectado 2026</t>
  </si>
  <si>
    <t>1.3.1.4-15 INDICADOR HIJO</t>
  </si>
  <si>
    <r>
      <t xml:space="preserve">Calidad/Producto
</t>
    </r>
    <r>
      <rPr>
        <sz val="8"/>
        <color theme="1"/>
        <rFont val="Arial Narrow"/>
        <family val="2"/>
      </rPr>
      <t xml:space="preserve">Porcentaje de personas atendidas con tiempo de espera menor a 25 minutos en el año t
</t>
    </r>
  </si>
  <si>
    <t>(Número de personas atendidas con tiempo de espera menor a 25 minutos en el año t /Total de personas atendidas en el año t)*100</t>
  </si>
  <si>
    <t>Dirección Regional Arica y Parinacota</t>
  </si>
  <si>
    <t>(Número de personas atendidas con tiempo de espera menor a 25 minutos en el año t/</t>
  </si>
  <si>
    <t>Formulario H
CDC:  Subdir. Servicio al Cliente, Depto Comunicaciones, Direcciones Regionales.</t>
  </si>
  <si>
    <t>Operando 2=</t>
  </si>
  <si>
    <t>Mujeres</t>
  </si>
  <si>
    <t>Hombres</t>
  </si>
  <si>
    <t>DIRECCIÓN REGIONAL - REGIÓN ARICA Y PARINACOTA</t>
  </si>
  <si>
    <t>Julio Cesar Contreras Baratella</t>
  </si>
  <si>
    <t>Daniela Patricia Quevedo Ugarte</t>
  </si>
  <si>
    <t>DIRECCIÓN REGIONAL - REGIÓN TARAPACA</t>
  </si>
  <si>
    <t>1.3.1.4-1 INDICADOR HIJO</t>
  </si>
  <si>
    <r>
      <t xml:space="preserve">Calidad/Producto
</t>
    </r>
    <r>
      <rPr>
        <sz val="8"/>
        <rFont val="Arial Narrow"/>
        <family val="2"/>
      </rPr>
      <t xml:space="preserve">Porcentaje de personas atendidas con tiempo de espera menor a 25 minutos en el año t
</t>
    </r>
  </si>
  <si>
    <t>Dirección Regional Tarapaca</t>
  </si>
  <si>
    <t>Luis Mauricio Gibert Galassi</t>
  </si>
  <si>
    <t>Manuel Enrique Robles Torres</t>
  </si>
  <si>
    <t>DIRECCIÓN REGIONAL - REGIÓN ANTOFAGASTA</t>
  </si>
  <si>
    <t>1.3.1.4-2 INDICADOR HIJO</t>
  </si>
  <si>
    <t>Dirección Regional de Antofagasta</t>
  </si>
  <si>
    <t>Rafael Alejandro Carvajal Palacios (S)</t>
  </si>
  <si>
    <t>Rafael Alejandro Carvajal Palacios</t>
  </si>
  <si>
    <t>Proyectado 2025</t>
  </si>
  <si>
    <t>DIRECCIÓN REGIONAL - REGIÓN ATACAMA</t>
  </si>
  <si>
    <t>1.3.1.4-3 INDICADOR HIJO</t>
  </si>
  <si>
    <t>Dirección Regional Atacama</t>
  </si>
  <si>
    <t>Dissa Maria Castellani Martinez</t>
  </si>
  <si>
    <t>Maritza Patricia Rojas Concha</t>
  </si>
  <si>
    <t>DIRECCIÓN REGIONAL - REGIÓN COQUIMBO</t>
  </si>
  <si>
    <t>1.3.1.4-4 INDICADOR HIJO</t>
  </si>
  <si>
    <t>Dirección Regional Coquimbo</t>
  </si>
  <si>
    <t>Juan Garrido Piccioli</t>
  </si>
  <si>
    <t>Francisco Montecinos Soto</t>
  </si>
  <si>
    <t>DIRECCIÓN REGIONAL - REGIÓN VALPARAÍSO</t>
  </si>
  <si>
    <t>1.3.1.4-5 INDICADOR HIJO</t>
  </si>
  <si>
    <t>Dirección Regional Valparaíso</t>
  </si>
  <si>
    <t>Miguel Fernando Toledo Alegria</t>
  </si>
  <si>
    <t>Alejandro Manuel Gazmuri Sanhueza</t>
  </si>
  <si>
    <t>DIRECCIÓN REGIONAL - REGIÓN DEL LIBERTADOR BERNARDO O´HIGGINS</t>
  </si>
  <si>
    <t>1.3.1.4-6 INDICADOR HIJO</t>
  </si>
  <si>
    <r>
      <t xml:space="preserve">Calidad/Producto
</t>
    </r>
    <r>
      <rPr>
        <sz val="8"/>
        <color theme="1"/>
        <rFont val="Arial Narrow"/>
        <family val="2"/>
      </rPr>
      <t xml:space="preserve">Porcentaje de personas atendidas con tiempo de espera menor a 25 minutos en el año t.
</t>
    </r>
  </si>
  <si>
    <t xml:space="preserve"> Dirección Regional Libertador Bernardo O´Higgins</t>
  </si>
  <si>
    <t>Norma Tatiana Ramirez Alvarez</t>
  </si>
  <si>
    <t>Francina Carreño Maldonado</t>
  </si>
  <si>
    <t xml:space="preserve">DIRECCIÓN REGIONAL - REGIÓN DEL MAULE </t>
  </si>
  <si>
    <t>1.3.1.4-7 INDICADOR HIJO</t>
  </si>
  <si>
    <r>
      <t xml:space="preserve">Calidad/Producto
</t>
    </r>
    <r>
      <rPr>
        <sz val="8"/>
        <rFont val="Arial Narrow"/>
        <family val="2"/>
      </rPr>
      <t xml:space="preserve">Porcentaje de personas atendidas con tiempo de espera menor a 25 minutos en el año t.
</t>
    </r>
  </si>
  <si>
    <t xml:space="preserve"> Dirección Regional del Maule</t>
  </si>
  <si>
    <t>Waldo Andres Quevedo Araya</t>
  </si>
  <si>
    <t>Luis Maximiliano Martinez Villa</t>
  </si>
  <si>
    <t>DIRECCIÓN REGIONAL - REGIÓN DE ÑUBLE</t>
  </si>
  <si>
    <t>1.3.1.4-16 INDICADOR HIJO</t>
  </si>
  <si>
    <t xml:space="preserve">.-Atención de Público en materias previsionales, sociales y otros trámites
.-­Servicio de información en canales presenciales
.-­Servicio de información en canales presenciales
</t>
  </si>
  <si>
    <r>
      <rPr>
        <b/>
        <u/>
        <sz val="8"/>
        <rFont val="Arial Narrow"/>
        <family val="2"/>
      </rPr>
      <t>Calidad/Producto</t>
    </r>
    <r>
      <rPr>
        <b/>
        <sz val="8"/>
        <rFont val="Arial Narrow"/>
        <family val="2"/>
      </rPr>
      <t xml:space="preserve">
</t>
    </r>
    <r>
      <rPr>
        <sz val="8"/>
        <rFont val="Arial Narrow"/>
        <family val="2"/>
      </rPr>
      <t xml:space="preserve">Porcentaje de personas atendidas con tiempo de espera menor a 25 minutos en el año t.
</t>
    </r>
  </si>
  <si>
    <t>Dirección Regional de Ñuble</t>
  </si>
  <si>
    <t>Franklin Eduardo Vildósola Saavedra</t>
  </si>
  <si>
    <t>L. Bernardita Martínez Hermosilla</t>
  </si>
  <si>
    <t>DIRECCIÓN REGIONAL - REGIÓN DEL BIOBIO</t>
  </si>
  <si>
    <t>1.3.1.4-8 INDICADOR HIJO</t>
  </si>
  <si>
    <t xml:space="preserve"> Dirección Regional del BioBío</t>
  </si>
  <si>
    <t>Sergio Alfredo Arévalo Soto</t>
  </si>
  <si>
    <t>Carmen Rita Yevenes Sanhueza</t>
  </si>
  <si>
    <t>DIRECCIÓN REGIONAL - REGIÓN DE LA ARAUCANÍA</t>
  </si>
  <si>
    <t>1.3.1.4-9 INDICADOR HIJO</t>
  </si>
  <si>
    <t xml:space="preserve"> Dirección Regional de La Araucanía</t>
  </si>
  <si>
    <t>Joaquín Núñez Leal</t>
  </si>
  <si>
    <t>Alvaro Moscoso Arriagada</t>
  </si>
  <si>
    <t>DIRECCIÓN REGIONAL - REGIÓN DE LOS RÍOS</t>
  </si>
  <si>
    <t>1.3.1.4-14 INDICADOR HIJO</t>
  </si>
  <si>
    <t xml:space="preserve"> Dirección Regional de Los Ríos</t>
  </si>
  <si>
    <t>Eduardo Muñoz Contreras</t>
  </si>
  <si>
    <t>Claudia Valentina Villa Alvarez</t>
  </si>
  <si>
    <t>DIRECCIÓN REGIONAL - REGIÓN DE LOS LAGOS</t>
  </si>
  <si>
    <t>1.3.1.4-10 INDICADOR HIJO</t>
  </si>
  <si>
    <t xml:space="preserve"> Dirección Regional de Los Lagos</t>
  </si>
  <si>
    <t>Marcelo Augusto Fabian Alvarez Curumilla</t>
  </si>
  <si>
    <t>Luis Bravo Recabarren</t>
  </si>
  <si>
    <t>DIRECCIÓN REGIONAL - REGIÓN DE AISÉN DEL GENERAL CARLOS IBAÑEZ DEL CAMPO</t>
  </si>
  <si>
    <t>1.3.1.4-11 INDICADOR HIJO</t>
  </si>
  <si>
    <t xml:space="preserve"> Dirección Regional de Aisén</t>
  </si>
  <si>
    <t>Rodrigo Alfredo Diaz Cordaro</t>
  </si>
  <si>
    <t>Maximiliano Alvarez Gonzalez</t>
  </si>
  <si>
    <t>Claudia Ximena Campos Pascual (S)</t>
  </si>
  <si>
    <t>DIRECCIÓN REGIONAL - REGIÓN DE MAGALLANES Y LA ANTÁRTICA CHILENA</t>
  </si>
  <si>
    <t>1.3.1.4-12 INDICADOR HIJO</t>
  </si>
  <si>
    <r>
      <rPr>
        <b/>
        <u/>
        <sz val="8"/>
        <color theme="1"/>
        <rFont val="Arial Narrow"/>
        <family val="2"/>
      </rPr>
      <t>Calidad/Producto</t>
    </r>
    <r>
      <rPr>
        <b/>
        <sz val="8"/>
        <color theme="1"/>
        <rFont val="Arial Narrow"/>
        <family val="2"/>
      </rPr>
      <t xml:space="preserve">
</t>
    </r>
    <r>
      <rPr>
        <sz val="8"/>
        <color theme="1"/>
        <rFont val="Arial Narrow"/>
        <family val="2"/>
      </rPr>
      <t xml:space="preserve">Porcentaje de personas atendidas con tiempo de espera menor a 25 minutos en el año t
</t>
    </r>
  </si>
  <si>
    <t xml:space="preserve"> Dirección Regional de Magallanes</t>
  </si>
  <si>
    <t>Gloria Alejandra Marin Sepulveda</t>
  </si>
  <si>
    <t>Julio Cesar Farias Salinas</t>
  </si>
  <si>
    <t>DIRECCIÓN REGIONAL - REGIÓN DE METROPOLITANA</t>
  </si>
  <si>
    <t>1.3.1.4-13 INDICADOR HIJO</t>
  </si>
  <si>
    <t>Juan Juvenal Godoy Farias (S)</t>
  </si>
  <si>
    <t>César Munita Rendich</t>
  </si>
  <si>
    <t>PMG - FORMULARIO H 2022</t>
  </si>
  <si>
    <t>CENTRO DE RESPONSABILIDAD: DIVISIÓN BENEFICIOS</t>
  </si>
  <si>
    <t>Cumplimiento
Proyectado
2025</t>
  </si>
  <si>
    <t>1.3.1.116</t>
  </si>
  <si>
    <t>Sistema Calidad de Servicio y Experiencia Usuaria</t>
  </si>
  <si>
    <t xml:space="preserve">Número total de requisitos técnicos cumplidos del Sistema Calidad de Servicio y Experiencia Usuarias, Etapa 1 en el año t / Número total de requisitos técnicos definidos del Sistema Calidad de Servicio y Experiencia Usuarias, Etapa 1 en el año t </t>
  </si>
  <si>
    <t>Número total de requisitos técnicos cumplidos del Sistema Calidad de Servicio y Experiencia Usuarias, Etapa 1 en el año t</t>
  </si>
  <si>
    <t>PMG 2026 Obj 3</t>
  </si>
  <si>
    <t xml:space="preserve">Número total de requisitos técnicos definidos del Sistema Calidad de Servicio y Experiencia Usuarias, Etapa 1 en el año 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</si>
</sst>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43" formatCode="_-* #,##0.00_-;\-* #,##0.00_-;_-* &quot;-&quot;??_-;_-@_-"/>
    <numFmt numFmtId="164" formatCode="0.0%"/>
    <numFmt numFmtId="165" formatCode="#,##0.0"/>
    <numFmt numFmtId="166" formatCode="_-* #,##0_-;\-* #,##0_-;_-* &quot;-&quot;??_-;_-@_-"/>
    <numFmt numFmtId="167" formatCode="#,##0_ ;[Red]\-#,##0\ "/>
  </numFmts>
  <fonts count="28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 Narrow"/>
      <family val="2"/>
    </font>
    <font>
      <b/>
      <sz val="8"/>
      <name val="Arial Narrow"/>
      <family val="2"/>
    </font>
    <font>
      <sz val="8"/>
      <name val="Arial Narrow"/>
      <family val="2"/>
    </font>
    <font>
      <sz val="8"/>
      <name val="Arial"/>
      <family val="2"/>
    </font>
    <font>
      <sz val="10"/>
      <name val="Arial Narrow"/>
      <family val="2"/>
    </font>
    <font>
      <b/>
      <sz val="12"/>
      <color indexed="12"/>
      <name val="Arial Narrow"/>
      <family val="2"/>
    </font>
    <font>
      <sz val="8"/>
      <color rgb="FFFF0000"/>
      <name val="Arial Narrow"/>
      <family val="2"/>
    </font>
    <font>
      <sz val="10"/>
      <name val="Arial"/>
      <family val="2"/>
    </font>
    <font>
      <sz val="12"/>
      <name val="Arial Narrow"/>
      <family val="2"/>
    </font>
    <font>
      <sz val="12"/>
      <name val="Arial"/>
      <family val="2"/>
    </font>
    <font>
      <b/>
      <u/>
      <sz val="8"/>
      <name val="Arial Narrow"/>
      <family val="2"/>
    </font>
    <font>
      <b/>
      <sz val="8"/>
      <color theme="1"/>
      <name val="Arial Narrow"/>
      <family val="2"/>
    </font>
    <font>
      <sz val="8"/>
      <color theme="1"/>
      <name val="Arial Narrow"/>
      <family val="2"/>
    </font>
    <font>
      <b/>
      <u/>
      <sz val="8"/>
      <color theme="1"/>
      <name val="Arial Narrow"/>
      <family val="2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0"/>
      <color theme="1"/>
      <name val="Arial Narrow"/>
      <family val="2"/>
    </font>
    <font>
      <sz val="9"/>
      <color theme="1"/>
      <name val="Arial Narrow"/>
      <family val="2"/>
    </font>
    <font>
      <sz val="9"/>
      <name val="Arial Narrow"/>
      <family val="2"/>
    </font>
    <font>
      <b/>
      <sz val="16"/>
      <name val="Arial Narrow"/>
      <family val="2"/>
    </font>
    <font>
      <u/>
      <sz val="8"/>
      <name val="Arial Narrow"/>
      <family val="2"/>
    </font>
    <font>
      <b/>
      <sz val="10"/>
      <color rgb="FFFF0000"/>
      <name val="Arial Narrow"/>
      <family val="2"/>
    </font>
    <font>
      <sz val="8"/>
      <color rgb="FF000000"/>
      <name val="Arial Narrow"/>
      <family val="2"/>
    </font>
    <font>
      <u/>
      <sz val="10"/>
      <name val="Arial Narrow"/>
      <family val="2"/>
    </font>
  </fonts>
  <fills count="1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</borders>
  <cellStyleXfs count="14">
    <xf numFmtId="0" fontId="0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69">
    <xf numFmtId="0" fontId="0" fillId="0" borderId="0" xfId="0"/>
    <xf numFmtId="0" fontId="8" fillId="0" borderId="0" xfId="0" applyFont="1" applyAlignment="1">
      <alignment horizontal="center"/>
    </xf>
    <xf numFmtId="0" fontId="8" fillId="0" borderId="0" xfId="0" applyFont="1"/>
    <xf numFmtId="0" fontId="4" fillId="0" borderId="0" xfId="0" applyFont="1"/>
    <xf numFmtId="0" fontId="4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12" fillId="0" borderId="0" xfId="0" applyFont="1"/>
    <xf numFmtId="0" fontId="12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3" fillId="0" borderId="0" xfId="0" applyFont="1"/>
    <xf numFmtId="3" fontId="12" fillId="0" borderId="0" xfId="0" applyNumberFormat="1" applyFont="1" applyAlignment="1">
      <alignment horizontal="center"/>
    </xf>
    <xf numFmtId="0" fontId="12" fillId="0" borderId="4" xfId="0" applyFont="1" applyBorder="1" applyAlignment="1">
      <alignment horizontal="center"/>
    </xf>
    <xf numFmtId="3" fontId="12" fillId="0" borderId="4" xfId="0" applyNumberFormat="1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5" fillId="0" borderId="0" xfId="0" applyFont="1"/>
    <xf numFmtId="0" fontId="6" fillId="0" borderId="0" xfId="0" applyFont="1"/>
    <xf numFmtId="0" fontId="16" fillId="0" borderId="5" xfId="0" applyFont="1" applyBorder="1" applyAlignment="1">
      <alignment horizontal="left" vertical="center" wrapText="1"/>
    </xf>
    <xf numFmtId="0" fontId="16" fillId="2" borderId="6" xfId="0" applyFont="1" applyFill="1" applyBorder="1" applyAlignment="1">
      <alignment horizontal="left" vertical="center" wrapText="1"/>
    </xf>
    <xf numFmtId="9" fontId="16" fillId="0" borderId="5" xfId="4" applyFont="1" applyBorder="1" applyAlignment="1">
      <alignment vertical="center"/>
    </xf>
    <xf numFmtId="10" fontId="16" fillId="6" borderId="8" xfId="4" applyNumberFormat="1" applyFont="1" applyFill="1" applyBorder="1" applyAlignment="1" applyProtection="1">
      <alignment horizontal="right" vertical="center"/>
    </xf>
    <xf numFmtId="10" fontId="16" fillId="2" borderId="7" xfId="4" applyNumberFormat="1" applyFont="1" applyFill="1" applyBorder="1" applyAlignment="1" applyProtection="1">
      <alignment vertical="center"/>
    </xf>
    <xf numFmtId="9" fontId="16" fillId="0" borderId="8" xfId="4" applyFont="1" applyBorder="1" applyAlignment="1">
      <alignment vertical="center"/>
    </xf>
    <xf numFmtId="0" fontId="16" fillId="0" borderId="8" xfId="0" applyFont="1" applyBorder="1" applyAlignment="1">
      <alignment horizontal="left" vertical="center" wrapText="1"/>
    </xf>
    <xf numFmtId="0" fontId="16" fillId="2" borderId="7" xfId="0" applyFont="1" applyFill="1" applyBorder="1" applyAlignment="1">
      <alignment horizontal="left" vertical="center" wrapText="1"/>
    </xf>
    <xf numFmtId="3" fontId="16" fillId="7" borderId="8" xfId="0" applyNumberFormat="1" applyFont="1" applyFill="1" applyBorder="1" applyAlignment="1">
      <alignment horizontal="right" vertical="center" wrapText="1"/>
    </xf>
    <xf numFmtId="3" fontId="16" fillId="3" borderId="8" xfId="0" applyNumberFormat="1" applyFont="1" applyFill="1" applyBorder="1" applyAlignment="1">
      <alignment horizontal="right" vertical="center" wrapText="1"/>
    </xf>
    <xf numFmtId="3" fontId="16" fillId="2" borderId="8" xfId="0" applyNumberFormat="1" applyFont="1" applyFill="1" applyBorder="1" applyAlignment="1">
      <alignment horizontal="right" vertical="center" wrapText="1"/>
    </xf>
    <xf numFmtId="10" fontId="16" fillId="0" borderId="8" xfId="4" applyNumberFormat="1" applyFont="1" applyBorder="1" applyAlignment="1">
      <alignment horizontal="center" vertical="center"/>
    </xf>
    <xf numFmtId="3" fontId="16" fillId="0" borderId="8" xfId="0" applyNumberFormat="1" applyFont="1" applyBorder="1" applyAlignment="1">
      <alignment horizontal="left" vertical="center" wrapText="1"/>
    </xf>
    <xf numFmtId="3" fontId="16" fillId="2" borderId="7" xfId="0" applyNumberFormat="1" applyFont="1" applyFill="1" applyBorder="1" applyAlignment="1">
      <alignment horizontal="left" vertical="center" wrapText="1"/>
    </xf>
    <xf numFmtId="3" fontId="16" fillId="3" borderId="10" xfId="0" applyNumberFormat="1" applyFont="1" applyFill="1" applyBorder="1" applyAlignment="1">
      <alignment horizontal="right" vertical="center" wrapText="1"/>
    </xf>
    <xf numFmtId="9" fontId="16" fillId="0" borderId="10" xfId="4" applyFont="1" applyBorder="1" applyAlignment="1">
      <alignment vertical="center"/>
    </xf>
    <xf numFmtId="9" fontId="16" fillId="0" borderId="5" xfId="4" applyFont="1" applyFill="1" applyBorder="1" applyAlignment="1">
      <alignment vertical="center"/>
    </xf>
    <xf numFmtId="9" fontId="16" fillId="0" borderId="8" xfId="4" applyFont="1" applyFill="1" applyBorder="1" applyAlignment="1">
      <alignment vertical="center"/>
    </xf>
    <xf numFmtId="10" fontId="16" fillId="0" borderId="8" xfId="4" applyNumberFormat="1" applyFont="1" applyFill="1" applyBorder="1" applyAlignment="1">
      <alignment horizontal="center" vertical="center"/>
    </xf>
    <xf numFmtId="3" fontId="16" fillId="6" borderId="10" xfId="0" applyNumberFormat="1" applyFont="1" applyFill="1" applyBorder="1" applyAlignment="1">
      <alignment horizontal="right" vertical="center" wrapText="1"/>
    </xf>
    <xf numFmtId="9" fontId="16" fillId="0" borderId="10" xfId="4" applyFont="1" applyFill="1" applyBorder="1" applyAlignment="1">
      <alignment vertical="center"/>
    </xf>
    <xf numFmtId="3" fontId="16" fillId="6" borderId="8" xfId="0" applyNumberFormat="1" applyFont="1" applyFill="1" applyBorder="1" applyAlignment="1">
      <alignment horizontal="right" vertical="center" wrapText="1"/>
    </xf>
    <xf numFmtId="10" fontId="16" fillId="3" borderId="8" xfId="4" applyNumberFormat="1" applyFont="1" applyFill="1" applyBorder="1" applyAlignment="1" applyProtection="1">
      <alignment horizontal="right" vertical="center"/>
    </xf>
    <xf numFmtId="10" fontId="15" fillId="8" borderId="8" xfId="4" applyNumberFormat="1" applyFont="1" applyFill="1" applyBorder="1" applyAlignment="1" applyProtection="1">
      <alignment horizontal="right" vertical="center"/>
    </xf>
    <xf numFmtId="0" fontId="6" fillId="0" borderId="5" xfId="0" applyFont="1" applyBorder="1" applyAlignment="1">
      <alignment horizontal="left" vertical="center" wrapText="1"/>
    </xf>
    <xf numFmtId="10" fontId="5" fillId="8" borderId="8" xfId="4" applyNumberFormat="1" applyFont="1" applyFill="1" applyBorder="1" applyAlignment="1" applyProtection="1">
      <alignment horizontal="right" vertical="center"/>
    </xf>
    <xf numFmtId="0" fontId="6" fillId="0" borderId="8" xfId="0" applyFont="1" applyBorder="1" applyAlignment="1">
      <alignment horizontal="left" vertical="center" wrapText="1"/>
    </xf>
    <xf numFmtId="3" fontId="6" fillId="7" borderId="8" xfId="0" applyNumberFormat="1" applyFont="1" applyFill="1" applyBorder="1" applyAlignment="1">
      <alignment horizontal="right" vertical="center" wrapText="1"/>
    </xf>
    <xf numFmtId="3" fontId="6" fillId="0" borderId="8" xfId="0" applyNumberFormat="1" applyFont="1" applyBorder="1" applyAlignment="1">
      <alignment horizontal="left" vertical="center" wrapText="1"/>
    </xf>
    <xf numFmtId="3" fontId="6" fillId="7" borderId="10" xfId="0" applyNumberFormat="1" applyFont="1" applyFill="1" applyBorder="1" applyAlignment="1">
      <alignment horizontal="right" vertical="center" wrapText="1"/>
    </xf>
    <xf numFmtId="3" fontId="6" fillId="6" borderId="8" xfId="0" applyNumberFormat="1" applyFont="1" applyFill="1" applyBorder="1" applyAlignment="1">
      <alignment horizontal="right" vertical="center" wrapText="1"/>
    </xf>
    <xf numFmtId="3" fontId="6" fillId="2" borderId="8" xfId="0" applyNumberFormat="1" applyFont="1" applyFill="1" applyBorder="1" applyAlignment="1">
      <alignment horizontal="right" vertical="center" wrapText="1"/>
    </xf>
    <xf numFmtId="3" fontId="6" fillId="2" borderId="7" xfId="0" applyNumberFormat="1" applyFont="1" applyFill="1" applyBorder="1" applyAlignment="1">
      <alignment horizontal="left" vertical="center" wrapText="1"/>
    </xf>
    <xf numFmtId="3" fontId="6" fillId="6" borderId="10" xfId="0" applyNumberFormat="1" applyFont="1" applyFill="1" applyBorder="1" applyAlignment="1">
      <alignment horizontal="right" vertical="center" wrapText="1"/>
    </xf>
    <xf numFmtId="3" fontId="6" fillId="2" borderId="9" xfId="0" applyNumberFormat="1" applyFont="1" applyFill="1" applyBorder="1" applyAlignment="1">
      <alignment horizontal="right" vertical="center" wrapText="1"/>
    </xf>
    <xf numFmtId="165" fontId="16" fillId="3" borderId="8" xfId="0" applyNumberFormat="1" applyFont="1" applyFill="1" applyBorder="1" applyAlignment="1">
      <alignment horizontal="right" vertical="center" wrapText="1"/>
    </xf>
    <xf numFmtId="165" fontId="16" fillId="2" borderId="8" xfId="0" applyNumberFormat="1" applyFont="1" applyFill="1" applyBorder="1" applyAlignment="1">
      <alignment horizontal="right" vertical="center" wrapText="1"/>
    </xf>
    <xf numFmtId="10" fontId="6" fillId="0" borderId="8" xfId="4" applyNumberFormat="1" applyFont="1" applyBorder="1" applyAlignment="1">
      <alignment horizontal="center" vertical="center"/>
    </xf>
    <xf numFmtId="0" fontId="6" fillId="2" borderId="7" xfId="0" applyFont="1" applyFill="1" applyBorder="1" applyAlignment="1">
      <alignment horizontal="left" vertical="center" wrapText="1"/>
    </xf>
    <xf numFmtId="10" fontId="6" fillId="2" borderId="7" xfId="4" applyNumberFormat="1" applyFont="1" applyFill="1" applyBorder="1" applyAlignment="1" applyProtection="1">
      <alignment vertical="center"/>
    </xf>
    <xf numFmtId="10" fontId="6" fillId="6" borderId="8" xfId="4" applyNumberFormat="1" applyFont="1" applyFill="1" applyBorder="1" applyAlignment="1" applyProtection="1">
      <alignment horizontal="right" vertical="center"/>
    </xf>
    <xf numFmtId="0" fontId="6" fillId="2" borderId="6" xfId="0" applyFont="1" applyFill="1" applyBorder="1" applyAlignment="1">
      <alignment horizontal="left" vertical="center" wrapText="1"/>
    </xf>
    <xf numFmtId="0" fontId="6" fillId="2" borderId="5" xfId="0" applyFont="1" applyFill="1" applyBorder="1" applyAlignment="1">
      <alignment horizontal="left" vertical="center" wrapText="1"/>
    </xf>
    <xf numFmtId="10" fontId="6" fillId="3" borderId="8" xfId="4" applyNumberFormat="1" applyFont="1" applyFill="1" applyBorder="1" applyAlignment="1" applyProtection="1">
      <alignment horizontal="right" vertical="center"/>
    </xf>
    <xf numFmtId="10" fontId="6" fillId="2" borderId="8" xfId="4" applyNumberFormat="1" applyFont="1" applyFill="1" applyBorder="1" applyAlignment="1">
      <alignment vertical="center"/>
    </xf>
    <xf numFmtId="10" fontId="6" fillId="3" borderId="8" xfId="4" applyNumberFormat="1" applyFont="1" applyFill="1" applyBorder="1" applyAlignment="1">
      <alignment vertical="center"/>
    </xf>
    <xf numFmtId="10" fontId="6" fillId="10" borderId="8" xfId="4" applyNumberFormat="1" applyFont="1" applyFill="1" applyBorder="1" applyAlignment="1">
      <alignment vertical="center"/>
    </xf>
    <xf numFmtId="0" fontId="6" fillId="2" borderId="8" xfId="0" applyFont="1" applyFill="1" applyBorder="1" applyAlignment="1">
      <alignment horizontal="left" vertical="center" wrapText="1"/>
    </xf>
    <xf numFmtId="3" fontId="6" fillId="2" borderId="8" xfId="0" applyNumberFormat="1" applyFont="1" applyFill="1" applyBorder="1" applyAlignment="1">
      <alignment horizontal="left" vertical="center" wrapText="1"/>
    </xf>
    <xf numFmtId="10" fontId="16" fillId="0" borderId="5" xfId="4" applyNumberFormat="1" applyFont="1" applyBorder="1" applyAlignment="1">
      <alignment vertical="center"/>
    </xf>
    <xf numFmtId="10" fontId="16" fillId="0" borderId="8" xfId="4" applyNumberFormat="1" applyFont="1" applyBorder="1" applyAlignment="1">
      <alignment vertical="center"/>
    </xf>
    <xf numFmtId="10" fontId="16" fillId="0" borderId="10" xfId="4" applyNumberFormat="1" applyFont="1" applyBorder="1" applyAlignment="1">
      <alignment vertical="center"/>
    </xf>
    <xf numFmtId="10" fontId="6" fillId="0" borderId="5" xfId="4" applyNumberFormat="1" applyFont="1" applyBorder="1" applyAlignment="1">
      <alignment vertical="center"/>
    </xf>
    <xf numFmtId="10" fontId="6" fillId="0" borderId="8" xfId="4" applyNumberFormat="1" applyFont="1" applyBorder="1" applyAlignment="1">
      <alignment vertical="center"/>
    </xf>
    <xf numFmtId="10" fontId="6" fillId="0" borderId="10" xfId="4" applyNumberFormat="1" applyFont="1" applyBorder="1" applyAlignment="1">
      <alignment vertical="center"/>
    </xf>
    <xf numFmtId="0" fontId="16" fillId="0" borderId="0" xfId="0" applyFont="1" applyProtection="1">
      <protection locked="0"/>
    </xf>
    <xf numFmtId="9" fontId="6" fillId="0" borderId="0" xfId="4" applyFont="1" applyFill="1" applyBorder="1" applyAlignment="1">
      <alignment horizontal="center" vertical="center"/>
    </xf>
    <xf numFmtId="9" fontId="6" fillId="11" borderId="8" xfId="4" applyFont="1" applyFill="1" applyBorder="1" applyAlignment="1">
      <alignment horizontal="center" vertical="center"/>
    </xf>
    <xf numFmtId="10" fontId="16" fillId="0" borderId="5" xfId="4" applyNumberFormat="1" applyFont="1" applyBorder="1" applyAlignment="1">
      <alignment horizontal="center" vertical="center"/>
    </xf>
    <xf numFmtId="10" fontId="16" fillId="0" borderId="10" xfId="4" applyNumberFormat="1" applyFont="1" applyBorder="1" applyAlignment="1">
      <alignment horizontal="center" vertical="center"/>
    </xf>
    <xf numFmtId="10" fontId="16" fillId="5" borderId="5" xfId="4" applyNumberFormat="1" applyFont="1" applyFill="1" applyBorder="1" applyAlignment="1">
      <alignment horizontal="center" vertical="center"/>
    </xf>
    <xf numFmtId="10" fontId="16" fillId="5" borderId="8" xfId="4" applyNumberFormat="1" applyFont="1" applyFill="1" applyBorder="1" applyAlignment="1">
      <alignment horizontal="center" vertical="center"/>
    </xf>
    <xf numFmtId="10" fontId="16" fillId="5" borderId="10" xfId="4" applyNumberFormat="1" applyFont="1" applyFill="1" applyBorder="1" applyAlignment="1">
      <alignment horizontal="center" vertical="center"/>
    </xf>
    <xf numFmtId="9" fontId="21" fillId="0" borderId="0" xfId="4" applyFont="1" applyFill="1" applyBorder="1" applyAlignment="1">
      <alignment horizontal="center" vertical="center"/>
    </xf>
    <xf numFmtId="9" fontId="22" fillId="0" borderId="0" xfId="4" applyFont="1" applyFill="1" applyBorder="1" applyAlignment="1">
      <alignment horizontal="center" vertical="center"/>
    </xf>
    <xf numFmtId="2" fontId="6" fillId="6" borderId="8" xfId="4" applyNumberFormat="1" applyFont="1" applyFill="1" applyBorder="1" applyAlignment="1" applyProtection="1">
      <alignment horizontal="right" vertical="center"/>
    </xf>
    <xf numFmtId="2" fontId="6" fillId="3" borderId="8" xfId="4" applyNumberFormat="1" applyFont="1" applyFill="1" applyBorder="1" applyAlignment="1" applyProtection="1">
      <alignment horizontal="right" vertical="center"/>
    </xf>
    <xf numFmtId="2" fontId="6" fillId="2" borderId="7" xfId="4" applyNumberFormat="1" applyFont="1" applyFill="1" applyBorder="1" applyAlignment="1" applyProtection="1">
      <alignment vertical="center"/>
    </xf>
    <xf numFmtId="2" fontId="6" fillId="2" borderId="8" xfId="4" applyNumberFormat="1" applyFont="1" applyFill="1" applyBorder="1" applyAlignment="1">
      <alignment vertical="center"/>
    </xf>
    <xf numFmtId="2" fontId="6" fillId="3" borderId="8" xfId="4" applyNumberFormat="1" applyFont="1" applyFill="1" applyBorder="1" applyAlignment="1">
      <alignment vertical="center"/>
    </xf>
    <xf numFmtId="2" fontId="6" fillId="10" borderId="8" xfId="4" applyNumberFormat="1" applyFont="1" applyFill="1" applyBorder="1" applyAlignment="1">
      <alignment vertical="center"/>
    </xf>
    <xf numFmtId="0" fontId="18" fillId="0" borderId="0" xfId="2" applyFont="1"/>
    <xf numFmtId="0" fontId="20" fillId="0" borderId="0" xfId="2" applyFont="1"/>
    <xf numFmtId="0" fontId="20" fillId="0" borderId="23" xfId="2" applyFont="1" applyBorder="1"/>
    <xf numFmtId="0" fontId="19" fillId="0" borderId="0" xfId="2" applyFont="1" applyAlignment="1">
      <alignment horizontal="left"/>
    </xf>
    <xf numFmtId="166" fontId="21" fillId="0" borderId="0" xfId="12" applyNumberFormat="1" applyFont="1" applyFill="1" applyBorder="1" applyAlignment="1">
      <alignment horizontal="right"/>
    </xf>
    <xf numFmtId="0" fontId="16" fillId="0" borderId="0" xfId="2" applyFont="1"/>
    <xf numFmtId="0" fontId="16" fillId="0" borderId="5" xfId="2" applyFont="1" applyBorder="1" applyAlignment="1">
      <alignment horizontal="left" vertical="center" wrapText="1"/>
    </xf>
    <xf numFmtId="0" fontId="6" fillId="0" borderId="5" xfId="2" applyFont="1" applyBorder="1" applyAlignment="1">
      <alignment horizontal="left" vertical="center" wrapText="1"/>
    </xf>
    <xf numFmtId="0" fontId="6" fillId="2" borderId="6" xfId="2" applyFont="1" applyFill="1" applyBorder="1" applyAlignment="1">
      <alignment horizontal="left" vertical="center" wrapText="1"/>
    </xf>
    <xf numFmtId="0" fontId="6" fillId="2" borderId="5" xfId="2" applyFont="1" applyFill="1" applyBorder="1" applyAlignment="1">
      <alignment horizontal="left" vertical="center" wrapText="1"/>
    </xf>
    <xf numFmtId="0" fontId="16" fillId="0" borderId="8" xfId="2" applyFont="1" applyBorder="1" applyAlignment="1">
      <alignment horizontal="left" vertical="center" wrapText="1"/>
    </xf>
    <xf numFmtId="10" fontId="16" fillId="0" borderId="0" xfId="2" applyNumberFormat="1" applyFont="1"/>
    <xf numFmtId="0" fontId="6" fillId="0" borderId="8" xfId="2" applyFont="1" applyBorder="1" applyAlignment="1">
      <alignment horizontal="left" vertical="center" wrapText="1"/>
    </xf>
    <xf numFmtId="0" fontId="6" fillId="2" borderId="7" xfId="2" applyFont="1" applyFill="1" applyBorder="1" applyAlignment="1">
      <alignment horizontal="left" vertical="center" wrapText="1"/>
    </xf>
    <xf numFmtId="0" fontId="6" fillId="2" borderId="8" xfId="2" applyFont="1" applyFill="1" applyBorder="1" applyAlignment="1">
      <alignment horizontal="left" vertical="center" wrapText="1"/>
    </xf>
    <xf numFmtId="3" fontId="16" fillId="7" borderId="0" xfId="2" applyNumberFormat="1" applyFont="1" applyFill="1" applyAlignment="1">
      <alignment vertical="center" wrapText="1"/>
    </xf>
    <xf numFmtId="3" fontId="6" fillId="3" borderId="8" xfId="2" applyNumberFormat="1" applyFont="1" applyFill="1" applyBorder="1" applyAlignment="1">
      <alignment horizontal="right" vertical="center" wrapText="1"/>
    </xf>
    <xf numFmtId="3" fontId="6" fillId="2" borderId="8" xfId="2" applyNumberFormat="1" applyFont="1" applyFill="1" applyBorder="1" applyAlignment="1">
      <alignment horizontal="right" vertical="center" wrapText="1"/>
    </xf>
    <xf numFmtId="3" fontId="6" fillId="0" borderId="8" xfId="2" applyNumberFormat="1" applyFont="1" applyBorder="1" applyAlignment="1">
      <alignment horizontal="left" vertical="center" wrapText="1"/>
    </xf>
    <xf numFmtId="3" fontId="6" fillId="2" borderId="7" xfId="2" applyNumberFormat="1" applyFont="1" applyFill="1" applyBorder="1" applyAlignment="1">
      <alignment horizontal="left" vertical="center" wrapText="1"/>
    </xf>
    <xf numFmtId="3" fontId="6" fillId="2" borderId="8" xfId="2" applyNumberFormat="1" applyFont="1" applyFill="1" applyBorder="1" applyAlignment="1">
      <alignment horizontal="left" vertical="center" wrapText="1"/>
    </xf>
    <xf numFmtId="3" fontId="16" fillId="7" borderId="10" xfId="2" applyNumberFormat="1" applyFont="1" applyFill="1" applyBorder="1" applyAlignment="1">
      <alignment horizontal="right" vertical="center" wrapText="1"/>
    </xf>
    <xf numFmtId="3" fontId="6" fillId="3" borderId="10" xfId="2" applyNumberFormat="1" applyFont="1" applyFill="1" applyBorder="1" applyAlignment="1">
      <alignment horizontal="right" vertical="center" wrapText="1"/>
    </xf>
    <xf numFmtId="3" fontId="6" fillId="2" borderId="9" xfId="2" applyNumberFormat="1" applyFont="1" applyFill="1" applyBorder="1" applyAlignment="1">
      <alignment horizontal="right" vertical="center" wrapText="1"/>
    </xf>
    <xf numFmtId="0" fontId="3" fillId="0" borderId="0" xfId="2"/>
    <xf numFmtId="0" fontId="23" fillId="0" borderId="0" xfId="2" applyFont="1" applyAlignment="1">
      <alignment horizontal="center"/>
    </xf>
    <xf numFmtId="167" fontId="16" fillId="0" borderId="0" xfId="2" applyNumberFormat="1" applyFont="1"/>
    <xf numFmtId="0" fontId="8" fillId="0" borderId="0" xfId="2" applyFont="1"/>
    <xf numFmtId="0" fontId="4" fillId="0" borderId="0" xfId="2" applyFont="1" applyAlignment="1">
      <alignment horizontal="left"/>
    </xf>
    <xf numFmtId="166" fontId="22" fillId="0" borderId="0" xfId="12" applyNumberFormat="1" applyFont="1" applyFill="1" applyBorder="1" applyAlignment="1">
      <alignment horizontal="right"/>
    </xf>
    <xf numFmtId="166" fontId="8" fillId="0" borderId="0" xfId="2" applyNumberFormat="1" applyFont="1"/>
    <xf numFmtId="0" fontId="6" fillId="0" borderId="0" xfId="2" applyFont="1"/>
    <xf numFmtId="166" fontId="20" fillId="0" borderId="0" xfId="2" applyNumberFormat="1" applyFont="1"/>
    <xf numFmtId="0" fontId="18" fillId="0" borderId="0" xfId="2" applyFont="1" applyProtection="1">
      <protection locked="0"/>
    </xf>
    <xf numFmtId="0" fontId="19" fillId="0" borderId="0" xfId="2" applyFont="1" applyProtection="1">
      <protection locked="0"/>
    </xf>
    <xf numFmtId="0" fontId="19" fillId="11" borderId="0" xfId="2" applyFont="1" applyFill="1" applyProtection="1">
      <protection locked="0"/>
    </xf>
    <xf numFmtId="0" fontId="16" fillId="0" borderId="0" xfId="2" applyFont="1" applyProtection="1">
      <protection locked="0"/>
    </xf>
    <xf numFmtId="0" fontId="12" fillId="0" borderId="0" xfId="2" applyFont="1"/>
    <xf numFmtId="166" fontId="6" fillId="0" borderId="0" xfId="12" applyNumberFormat="1" applyFont="1" applyFill="1" applyBorder="1" applyAlignment="1">
      <alignment horizontal="right"/>
    </xf>
    <xf numFmtId="166" fontId="6" fillId="0" borderId="0" xfId="2" applyNumberFormat="1" applyFont="1"/>
    <xf numFmtId="0" fontId="8" fillId="0" borderId="0" xfId="2" applyFont="1" applyAlignment="1">
      <alignment vertical="center"/>
    </xf>
    <xf numFmtId="166" fontId="22" fillId="0" borderId="0" xfId="12" applyNumberFormat="1" applyFont="1" applyFill="1" applyBorder="1" applyAlignment="1">
      <alignment horizontal="right" vertical="center"/>
    </xf>
    <xf numFmtId="166" fontId="8" fillId="0" borderId="0" xfId="2" applyNumberFormat="1" applyFont="1" applyAlignment="1">
      <alignment vertical="center"/>
    </xf>
    <xf numFmtId="0" fontId="6" fillId="0" borderId="0" xfId="2" applyFont="1" applyAlignment="1">
      <alignment vertical="center"/>
    </xf>
    <xf numFmtId="0" fontId="20" fillId="0" borderId="0" xfId="2" applyFont="1" applyAlignment="1">
      <alignment horizontal="left" wrapText="1"/>
    </xf>
    <xf numFmtId="3" fontId="3" fillId="0" borderId="0" xfId="2" applyNumberFormat="1"/>
    <xf numFmtId="3" fontId="16" fillId="2" borderId="9" xfId="0" applyNumberFormat="1" applyFont="1" applyFill="1" applyBorder="1" applyAlignment="1">
      <alignment horizontal="right" vertical="center" wrapText="1"/>
    </xf>
    <xf numFmtId="10" fontId="8" fillId="0" borderId="0" xfId="0" applyNumberFormat="1" applyFont="1"/>
    <xf numFmtId="3" fontId="12" fillId="0" borderId="0" xfId="0" applyNumberFormat="1" applyFont="1" applyAlignment="1">
      <alignment horizontal="center" vertical="center" wrapText="1"/>
    </xf>
    <xf numFmtId="9" fontId="6" fillId="0" borderId="5" xfId="4" applyFont="1" applyBorder="1" applyAlignment="1">
      <alignment vertical="center"/>
    </xf>
    <xf numFmtId="0" fontId="10" fillId="0" borderId="0" xfId="0" applyFont="1"/>
    <xf numFmtId="10" fontId="6" fillId="2" borderId="8" xfId="13" applyNumberFormat="1" applyFont="1" applyFill="1" applyBorder="1" applyAlignment="1">
      <alignment vertical="center"/>
    </xf>
    <xf numFmtId="9" fontId="6" fillId="0" borderId="8" xfId="4" applyFont="1" applyBorder="1" applyAlignment="1">
      <alignment vertical="center"/>
    </xf>
    <xf numFmtId="9" fontId="6" fillId="0" borderId="10" xfId="4" applyFont="1" applyBorder="1" applyAlignment="1">
      <alignment vertical="center"/>
    </xf>
    <xf numFmtId="3" fontId="25" fillId="7" borderId="0" xfId="2" applyNumberFormat="1" applyFont="1" applyFill="1" applyAlignment="1">
      <alignment vertical="center" wrapText="1"/>
    </xf>
    <xf numFmtId="3" fontId="25" fillId="7" borderId="10" xfId="2" applyNumberFormat="1" applyFont="1" applyFill="1" applyBorder="1" applyAlignment="1">
      <alignment horizontal="right" vertical="center" wrapText="1"/>
    </xf>
    <xf numFmtId="3" fontId="6" fillId="2" borderId="10" xfId="2" applyNumberFormat="1" applyFont="1" applyFill="1" applyBorder="1" applyAlignment="1">
      <alignment horizontal="right" vertical="center" wrapText="1"/>
    </xf>
    <xf numFmtId="3" fontId="26" fillId="3" borderId="8" xfId="2" applyNumberFormat="1" applyFont="1" applyFill="1" applyBorder="1" applyAlignment="1">
      <alignment horizontal="right" vertical="center" wrapText="1"/>
    </xf>
    <xf numFmtId="0" fontId="16" fillId="9" borderId="5" xfId="0" applyFont="1" applyFill="1" applyBorder="1" applyAlignment="1">
      <alignment horizontal="left" vertical="center" wrapText="1"/>
    </xf>
    <xf numFmtId="0" fontId="16" fillId="9" borderId="8" xfId="0" applyFont="1" applyFill="1" applyBorder="1" applyAlignment="1">
      <alignment horizontal="left" vertical="center"/>
    </xf>
    <xf numFmtId="0" fontId="16" fillId="9" borderId="10" xfId="0" applyFont="1" applyFill="1" applyBorder="1" applyAlignment="1">
      <alignment horizontal="left" vertical="center"/>
    </xf>
    <xf numFmtId="0" fontId="16" fillId="9" borderId="5" xfId="0" applyFont="1" applyFill="1" applyBorder="1" applyAlignment="1">
      <alignment horizontal="center" vertical="center" wrapText="1"/>
    </xf>
    <xf numFmtId="0" fontId="16" fillId="9" borderId="8" xfId="0" applyFont="1" applyFill="1" applyBorder="1" applyAlignment="1">
      <alignment horizontal="center" vertical="center" wrapText="1"/>
    </xf>
    <xf numFmtId="0" fontId="16" fillId="9" borderId="10" xfId="0" applyFont="1" applyFill="1" applyBorder="1" applyAlignment="1">
      <alignment horizontal="center" vertical="center" wrapText="1"/>
    </xf>
    <xf numFmtId="9" fontId="6" fillId="9" borderId="5" xfId="0" applyNumberFormat="1" applyFont="1" applyFill="1" applyBorder="1" applyAlignment="1">
      <alignment horizontal="center" vertical="center" wrapText="1"/>
    </xf>
    <xf numFmtId="9" fontId="6" fillId="9" borderId="8" xfId="0" applyNumberFormat="1" applyFont="1" applyFill="1" applyBorder="1" applyAlignment="1">
      <alignment horizontal="center" vertical="center" wrapText="1"/>
    </xf>
    <xf numFmtId="9" fontId="6" fillId="9" borderId="10" xfId="0" applyNumberFormat="1" applyFont="1" applyFill="1" applyBorder="1" applyAlignment="1">
      <alignment horizontal="center" vertical="center" wrapText="1"/>
    </xf>
    <xf numFmtId="0" fontId="6" fillId="5" borderId="5" xfId="2" applyFont="1" applyFill="1" applyBorder="1" applyAlignment="1">
      <alignment horizontal="center" vertical="center" wrapText="1"/>
    </xf>
    <xf numFmtId="0" fontId="6" fillId="5" borderId="8" xfId="2" applyFont="1" applyFill="1" applyBorder="1" applyAlignment="1">
      <alignment horizontal="center" vertical="center" wrapText="1"/>
    </xf>
    <xf numFmtId="0" fontId="6" fillId="5" borderId="10" xfId="2" applyFont="1" applyFill="1" applyBorder="1" applyAlignment="1">
      <alignment horizontal="center" vertical="center" wrapText="1"/>
    </xf>
    <xf numFmtId="10" fontId="16" fillId="5" borderId="5" xfId="4" applyNumberFormat="1" applyFont="1" applyFill="1" applyBorder="1" applyAlignment="1">
      <alignment horizontal="center" vertical="center" wrapText="1"/>
    </xf>
    <xf numFmtId="10" fontId="16" fillId="5" borderId="8" xfId="4" applyNumberFormat="1" applyFont="1" applyFill="1" applyBorder="1" applyAlignment="1">
      <alignment horizontal="center" vertical="center" wrapText="1"/>
    </xf>
    <xf numFmtId="10" fontId="16" fillId="5" borderId="10" xfId="4" applyNumberFormat="1" applyFont="1" applyFill="1" applyBorder="1" applyAlignment="1">
      <alignment horizontal="center" vertical="center" wrapText="1"/>
    </xf>
    <xf numFmtId="0" fontId="16" fillId="5" borderId="5" xfId="3" applyFont="1" applyFill="1" applyBorder="1" applyAlignment="1">
      <alignment horizontal="center" vertical="center" wrapText="1"/>
    </xf>
    <xf numFmtId="0" fontId="16" fillId="5" borderId="8" xfId="3" applyFont="1" applyFill="1" applyBorder="1" applyAlignment="1">
      <alignment horizontal="center" vertical="center" wrapText="1"/>
    </xf>
    <xf numFmtId="0" fontId="16" fillId="5" borderId="10" xfId="3" applyFont="1" applyFill="1" applyBorder="1" applyAlignment="1">
      <alignment horizontal="center" vertical="center" wrapText="1"/>
    </xf>
    <xf numFmtId="164" fontId="16" fillId="0" borderId="24" xfId="4" applyNumberFormat="1" applyFont="1" applyFill="1" applyBorder="1" applyAlignment="1">
      <alignment horizontal="left" vertical="center" wrapText="1"/>
    </xf>
    <xf numFmtId="0" fontId="16" fillId="0" borderId="8" xfId="2" applyFont="1" applyBorder="1" applyAlignment="1">
      <alignment horizontal="left" vertical="center" wrapText="1"/>
    </xf>
    <xf numFmtId="0" fontId="16" fillId="0" borderId="10" xfId="2" applyFont="1" applyBorder="1" applyAlignment="1">
      <alignment horizontal="left" vertical="center" wrapText="1"/>
    </xf>
    <xf numFmtId="0" fontId="16" fillId="0" borderId="5" xfId="0" applyFont="1" applyBorder="1" applyAlignment="1">
      <alignment vertical="center" wrapText="1"/>
    </xf>
    <xf numFmtId="0" fontId="16" fillId="0" borderId="8" xfId="0" applyFont="1" applyBorder="1" applyAlignment="1">
      <alignment vertical="center" wrapText="1"/>
    </xf>
    <xf numFmtId="0" fontId="16" fillId="0" borderId="10" xfId="0" applyFont="1" applyBorder="1" applyAlignment="1">
      <alignment vertical="center" wrapText="1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8" xfId="4" applyNumberFormat="1" applyFont="1" applyBorder="1" applyAlignment="1">
      <alignment horizontal="left" vertical="center" wrapText="1"/>
    </xf>
    <xf numFmtId="164" fontId="16" fillId="0" borderId="10" xfId="4" applyNumberFormat="1" applyFont="1" applyBorder="1" applyAlignment="1">
      <alignment horizontal="left" vertical="center" wrapText="1"/>
    </xf>
    <xf numFmtId="9" fontId="16" fillId="9" borderId="8" xfId="0" applyNumberFormat="1" applyFont="1" applyFill="1" applyBorder="1" applyAlignment="1">
      <alignment horizontal="left" vertical="center" wrapText="1"/>
    </xf>
    <xf numFmtId="0" fontId="16" fillId="9" borderId="8" xfId="0" applyFont="1" applyFill="1" applyBorder="1" applyAlignment="1">
      <alignment horizontal="left" wrapText="1"/>
    </xf>
    <xf numFmtId="0" fontId="16" fillId="9" borderId="10" xfId="0" applyFont="1" applyFill="1" applyBorder="1" applyAlignment="1">
      <alignment horizontal="left" wrapText="1"/>
    </xf>
    <xf numFmtId="164" fontId="6" fillId="0" borderId="5" xfId="4" applyNumberFormat="1" applyFont="1" applyFill="1" applyBorder="1" applyAlignment="1">
      <alignment horizontal="left" vertical="center" wrapText="1"/>
    </xf>
    <xf numFmtId="164" fontId="6" fillId="0" borderId="8" xfId="4" applyNumberFormat="1" applyFont="1" applyFill="1" applyBorder="1" applyAlignment="1">
      <alignment horizontal="left" vertical="center" wrapText="1"/>
    </xf>
    <xf numFmtId="164" fontId="6" fillId="0" borderId="10" xfId="4" applyNumberFormat="1" applyFont="1" applyFill="1" applyBorder="1" applyAlignment="1">
      <alignment horizontal="left" vertical="center" wrapText="1"/>
    </xf>
    <xf numFmtId="10" fontId="16" fillId="9" borderId="5" xfId="4" applyNumberFormat="1" applyFont="1" applyFill="1" applyBorder="1" applyAlignment="1">
      <alignment horizontal="center" vertical="center" wrapText="1"/>
    </xf>
    <xf numFmtId="10" fontId="16" fillId="9" borderId="8" xfId="4" applyNumberFormat="1" applyFont="1" applyFill="1" applyBorder="1" applyAlignment="1">
      <alignment horizontal="center" vertical="center" wrapText="1"/>
    </xf>
    <xf numFmtId="10" fontId="16" fillId="9" borderId="10" xfId="4" applyNumberFormat="1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 wrapText="1"/>
    </xf>
    <xf numFmtId="0" fontId="6" fillId="5" borderId="10" xfId="0" applyFont="1" applyFill="1" applyBorder="1" applyAlignment="1">
      <alignment horizontal="center" vertical="center" wrapText="1"/>
    </xf>
    <xf numFmtId="9" fontId="16" fillId="5" borderId="5" xfId="0" applyNumberFormat="1" applyFont="1" applyFill="1" applyBorder="1" applyAlignment="1">
      <alignment horizontal="left" vertical="center" wrapText="1"/>
    </xf>
    <xf numFmtId="9" fontId="16" fillId="5" borderId="8" xfId="0" applyNumberFormat="1" applyFont="1" applyFill="1" applyBorder="1" applyAlignment="1">
      <alignment horizontal="left" vertical="center" wrapText="1"/>
    </xf>
    <xf numFmtId="9" fontId="16" fillId="5" borderId="10" xfId="0" applyNumberFormat="1" applyFont="1" applyFill="1" applyBorder="1" applyAlignment="1">
      <alignment horizontal="left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6" fillId="9" borderId="8" xfId="0" applyFont="1" applyFill="1" applyBorder="1" applyAlignment="1">
      <alignment horizontal="center" vertical="center" wrapText="1"/>
    </xf>
    <xf numFmtId="0" fontId="6" fillId="9" borderId="10" xfId="0" applyFont="1" applyFill="1" applyBorder="1" applyAlignment="1">
      <alignment horizontal="center" vertical="center" wrapText="1"/>
    </xf>
    <xf numFmtId="0" fontId="15" fillId="12" borderId="5" xfId="0" applyFont="1" applyFill="1" applyBorder="1" applyAlignment="1">
      <alignment horizontal="center" vertical="center" wrapText="1"/>
    </xf>
    <xf numFmtId="0" fontId="15" fillId="12" borderId="8" xfId="0" applyFont="1" applyFill="1" applyBorder="1" applyAlignment="1">
      <alignment horizontal="center" vertical="center" wrapText="1"/>
    </xf>
    <xf numFmtId="0" fontId="15" fillId="12" borderId="10" xfId="0" applyFont="1" applyFill="1" applyBorder="1" applyAlignment="1">
      <alignment horizontal="center" vertical="center" wrapText="1"/>
    </xf>
    <xf numFmtId="164" fontId="6" fillId="0" borderId="5" xfId="4" applyNumberFormat="1" applyFont="1" applyBorder="1" applyAlignment="1">
      <alignment horizontal="left" vertical="center" wrapText="1"/>
    </xf>
    <xf numFmtId="164" fontId="6" fillId="0" borderId="8" xfId="4" applyNumberFormat="1" applyFont="1" applyBorder="1" applyAlignment="1">
      <alignment horizontal="left" vertical="center" wrapText="1"/>
    </xf>
    <xf numFmtId="164" fontId="6" fillId="0" borderId="10" xfId="4" applyNumberFormat="1" applyFont="1" applyBorder="1" applyAlignment="1">
      <alignment horizontal="left" vertical="center" wrapText="1"/>
    </xf>
    <xf numFmtId="0" fontId="14" fillId="5" borderId="5" xfId="3" applyFont="1" applyFill="1" applyBorder="1" applyAlignment="1">
      <alignment horizontal="left" vertical="center" wrapText="1"/>
    </xf>
    <xf numFmtId="0" fontId="16" fillId="5" borderId="8" xfId="3" applyFont="1" applyFill="1" applyBorder="1" applyAlignment="1">
      <alignment horizontal="left" vertical="center"/>
    </xf>
    <xf numFmtId="0" fontId="16" fillId="5" borderId="10" xfId="3" applyFont="1" applyFill="1" applyBorder="1" applyAlignment="1">
      <alignment horizontal="left" vertical="center"/>
    </xf>
    <xf numFmtId="0" fontId="6" fillId="5" borderId="5" xfId="0" applyFont="1" applyFill="1" applyBorder="1" applyAlignment="1">
      <alignment horizontal="left" vertical="center" wrapText="1"/>
    </xf>
    <xf numFmtId="0" fontId="6" fillId="5" borderId="8" xfId="0" applyFont="1" applyFill="1" applyBorder="1" applyAlignment="1">
      <alignment horizontal="left"/>
    </xf>
    <xf numFmtId="0" fontId="6" fillId="5" borderId="10" xfId="0" applyFont="1" applyFill="1" applyBorder="1" applyAlignment="1">
      <alignment horizontal="left"/>
    </xf>
    <xf numFmtId="10" fontId="6" fillId="5" borderId="5" xfId="0" applyNumberFormat="1" applyFont="1" applyFill="1" applyBorder="1" applyAlignment="1">
      <alignment horizontal="center" vertical="center" wrapText="1"/>
    </xf>
    <xf numFmtId="10" fontId="6" fillId="5" borderId="8" xfId="0" applyNumberFormat="1" applyFont="1" applyFill="1" applyBorder="1" applyAlignment="1">
      <alignment horizontal="center" vertical="center" wrapText="1"/>
    </xf>
    <xf numFmtId="10" fontId="6" fillId="5" borderId="10" xfId="0" applyNumberFormat="1" applyFont="1" applyFill="1" applyBorder="1" applyAlignment="1">
      <alignment horizontal="center" vertical="center" wrapText="1"/>
    </xf>
    <xf numFmtId="9" fontId="6" fillId="5" borderId="5" xfId="0" applyNumberFormat="1" applyFont="1" applyFill="1" applyBorder="1" applyAlignment="1">
      <alignment horizontal="center" vertical="center" wrapText="1"/>
    </xf>
    <xf numFmtId="9" fontId="6" fillId="5" borderId="8" xfId="0" applyNumberFormat="1" applyFont="1" applyFill="1" applyBorder="1" applyAlignment="1">
      <alignment horizontal="center" vertical="center" wrapText="1"/>
    </xf>
    <xf numFmtId="9" fontId="6" fillId="5" borderId="10" xfId="0" applyNumberFormat="1" applyFont="1" applyFill="1" applyBorder="1" applyAlignment="1">
      <alignment horizontal="center" vertical="center" wrapText="1"/>
    </xf>
    <xf numFmtId="0" fontId="6" fillId="5" borderId="5" xfId="2" applyFont="1" applyFill="1" applyBorder="1" applyAlignment="1">
      <alignment horizontal="left" vertical="center" wrapText="1"/>
    </xf>
    <xf numFmtId="0" fontId="6" fillId="5" borderId="8" xfId="2" applyFont="1" applyFill="1" applyBorder="1" applyAlignment="1">
      <alignment horizontal="left" vertical="center" wrapText="1"/>
    </xf>
    <xf numFmtId="0" fontId="6" fillId="5" borderId="10" xfId="2" applyFont="1" applyFill="1" applyBorder="1" applyAlignment="1">
      <alignment horizontal="left" vertical="center" wrapText="1"/>
    </xf>
    <xf numFmtId="0" fontId="16" fillId="9" borderId="8" xfId="0" applyFont="1" applyFill="1" applyBorder="1" applyAlignment="1">
      <alignment horizontal="left" vertical="center" wrapText="1"/>
    </xf>
    <xf numFmtId="0" fontId="16" fillId="9" borderId="10" xfId="0" applyFont="1" applyFill="1" applyBorder="1" applyAlignment="1">
      <alignment horizontal="left" vertical="center" wrapText="1"/>
    </xf>
    <xf numFmtId="0" fontId="17" fillId="9" borderId="5" xfId="3" applyFont="1" applyFill="1" applyBorder="1" applyAlignment="1">
      <alignment horizontal="left" vertical="center" wrapText="1"/>
    </xf>
    <xf numFmtId="0" fontId="16" fillId="9" borderId="8" xfId="3" applyFont="1" applyFill="1" applyBorder="1" applyAlignment="1">
      <alignment horizontal="left" vertical="center"/>
    </xf>
    <xf numFmtId="0" fontId="16" fillId="9" borderId="10" xfId="3" applyFont="1" applyFill="1" applyBorder="1" applyAlignment="1">
      <alignment horizontal="left" vertical="center"/>
    </xf>
    <xf numFmtId="9" fontId="16" fillId="9" borderId="5" xfId="4" applyFont="1" applyFill="1" applyBorder="1" applyAlignment="1">
      <alignment horizontal="center" vertical="center" wrapText="1"/>
    </xf>
    <xf numFmtId="9" fontId="16" fillId="9" borderId="8" xfId="4" applyFont="1" applyFill="1" applyBorder="1" applyAlignment="1">
      <alignment horizontal="center" vertical="center" wrapText="1"/>
    </xf>
    <xf numFmtId="9" fontId="16" fillId="9" borderId="10" xfId="4" applyFont="1" applyFill="1" applyBorder="1" applyAlignment="1">
      <alignment horizontal="center" vertical="center" wrapText="1"/>
    </xf>
    <xf numFmtId="9" fontId="16" fillId="5" borderId="5" xfId="4" applyFont="1" applyFill="1" applyBorder="1" applyAlignment="1">
      <alignment horizontal="center" vertical="center" wrapText="1"/>
    </xf>
    <xf numFmtId="9" fontId="16" fillId="5" borderId="8" xfId="4" applyFont="1" applyFill="1" applyBorder="1" applyAlignment="1">
      <alignment horizontal="center" vertical="center" wrapText="1"/>
    </xf>
    <xf numFmtId="9" fontId="16" fillId="5" borderId="10" xfId="4" applyFont="1" applyFill="1" applyBorder="1" applyAlignment="1">
      <alignment horizontal="center" vertical="center" wrapText="1"/>
    </xf>
    <xf numFmtId="164" fontId="16" fillId="0" borderId="5" xfId="4" applyNumberFormat="1" applyFont="1" applyFill="1" applyBorder="1" applyAlignment="1">
      <alignment horizontal="left" vertical="center" wrapText="1"/>
    </xf>
    <xf numFmtId="164" fontId="16" fillId="0" borderId="8" xfId="4" applyNumberFormat="1" applyFont="1" applyFill="1" applyBorder="1" applyAlignment="1">
      <alignment horizontal="left" vertical="center" wrapText="1"/>
    </xf>
    <xf numFmtId="164" fontId="16" fillId="0" borderId="10" xfId="4" applyNumberFormat="1" applyFont="1" applyFill="1" applyBorder="1" applyAlignment="1">
      <alignment horizontal="left" vertical="center" wrapText="1"/>
    </xf>
    <xf numFmtId="0" fontId="24" fillId="5" borderId="5" xfId="0" applyFont="1" applyFill="1" applyBorder="1" applyAlignment="1">
      <alignment horizontal="left" vertical="top" wrapText="1"/>
    </xf>
    <xf numFmtId="0" fontId="6" fillId="5" borderId="8" xfId="0" applyFont="1" applyFill="1" applyBorder="1" applyAlignment="1">
      <alignment horizontal="left" vertical="top"/>
    </xf>
    <xf numFmtId="0" fontId="6" fillId="5" borderId="10" xfId="0" applyFont="1" applyFill="1" applyBorder="1" applyAlignment="1">
      <alignment horizontal="left" vertical="top"/>
    </xf>
    <xf numFmtId="0" fontId="5" fillId="5" borderId="5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5" fillId="5" borderId="10" xfId="0" applyFont="1" applyFill="1" applyBorder="1" applyAlignment="1">
      <alignment horizontal="center" vertical="center" wrapText="1"/>
    </xf>
    <xf numFmtId="0" fontId="15" fillId="5" borderId="5" xfId="0" applyFont="1" applyFill="1" applyBorder="1" applyAlignment="1">
      <alignment horizontal="left" vertical="center" wrapText="1"/>
    </xf>
    <xf numFmtId="0" fontId="16" fillId="5" borderId="8" xfId="0" applyFont="1" applyFill="1" applyBorder="1" applyAlignment="1">
      <alignment horizontal="left" vertical="center"/>
    </xf>
    <xf numFmtId="0" fontId="16" fillId="5" borderId="10" xfId="0" applyFont="1" applyFill="1" applyBorder="1" applyAlignment="1">
      <alignment horizontal="left" vertical="center"/>
    </xf>
    <xf numFmtId="0" fontId="15" fillId="2" borderId="6" xfId="0" applyFont="1" applyFill="1" applyBorder="1" applyAlignment="1">
      <alignment horizontal="center" vertical="center" wrapText="1"/>
    </xf>
    <xf numFmtId="0" fontId="15" fillId="2" borderId="9" xfId="0" applyFont="1" applyFill="1" applyBorder="1" applyAlignment="1">
      <alignment horizontal="center" vertical="center" wrapText="1"/>
    </xf>
    <xf numFmtId="0" fontId="16" fillId="5" borderId="8" xfId="0" applyFont="1" applyFill="1" applyBorder="1" applyAlignment="1">
      <alignment horizontal="left" vertical="center" wrapText="1"/>
    </xf>
    <xf numFmtId="0" fontId="16" fillId="5" borderId="8" xfId="0" applyFont="1" applyFill="1" applyBorder="1" applyAlignment="1">
      <alignment horizontal="left"/>
    </xf>
    <xf numFmtId="0" fontId="16" fillId="5" borderId="10" xfId="0" applyFont="1" applyFill="1" applyBorder="1" applyAlignment="1">
      <alignment horizontal="left"/>
    </xf>
    <xf numFmtId="0" fontId="15" fillId="2" borderId="5" xfId="2" applyFont="1" applyFill="1" applyBorder="1" applyAlignment="1">
      <alignment horizontal="center" vertical="center" wrapText="1"/>
    </xf>
    <xf numFmtId="0" fontId="15" fillId="2" borderId="10" xfId="2" applyFont="1" applyFill="1" applyBorder="1" applyAlignment="1">
      <alignment horizontal="center" vertical="center" wrapText="1"/>
    </xf>
    <xf numFmtId="0" fontId="16" fillId="5" borderId="5" xfId="0" applyFont="1" applyFill="1" applyBorder="1" applyAlignment="1">
      <alignment horizontal="center" vertical="center" wrapText="1"/>
    </xf>
    <xf numFmtId="0" fontId="8" fillId="0" borderId="16" xfId="0" applyFont="1" applyBorder="1" applyAlignment="1">
      <alignment wrapText="1"/>
    </xf>
    <xf numFmtId="0" fontId="8" fillId="0" borderId="17" xfId="0" applyFont="1" applyBorder="1" applyAlignment="1">
      <alignment wrapText="1"/>
    </xf>
    <xf numFmtId="0" fontId="8" fillId="0" borderId="18" xfId="0" applyFont="1" applyBorder="1" applyAlignment="1">
      <alignment wrapText="1"/>
    </xf>
    <xf numFmtId="0" fontId="8" fillId="0" borderId="16" xfId="0" applyFont="1" applyBorder="1" applyAlignment="1">
      <alignment horizontal="left"/>
    </xf>
    <xf numFmtId="0" fontId="8" fillId="0" borderId="17" xfId="0" applyFont="1" applyBorder="1" applyAlignment="1">
      <alignment horizontal="left"/>
    </xf>
    <xf numFmtId="0" fontId="8" fillId="0" borderId="18" xfId="0" applyFont="1" applyBorder="1" applyAlignment="1">
      <alignment horizontal="left"/>
    </xf>
    <xf numFmtId="9" fontId="16" fillId="5" borderId="5" xfId="0" applyNumberFormat="1" applyFont="1" applyFill="1" applyBorder="1" applyAlignment="1">
      <alignment horizontal="center" vertical="center" wrapText="1"/>
    </xf>
    <xf numFmtId="9" fontId="16" fillId="5" borderId="8" xfId="0" applyNumberFormat="1" applyFont="1" applyFill="1" applyBorder="1" applyAlignment="1">
      <alignment horizontal="center" vertical="center" wrapText="1"/>
    </xf>
    <xf numFmtId="9" fontId="16" fillId="5" borderId="10" xfId="0" applyNumberFormat="1" applyFont="1" applyFill="1" applyBorder="1" applyAlignment="1">
      <alignment horizontal="center" vertical="center" wrapText="1"/>
    </xf>
    <xf numFmtId="10" fontId="16" fillId="5" borderId="5" xfId="0" applyNumberFormat="1" applyFont="1" applyFill="1" applyBorder="1" applyAlignment="1">
      <alignment horizontal="center" vertical="center" wrapText="1"/>
    </xf>
    <xf numFmtId="10" fontId="16" fillId="5" borderId="8" xfId="0" applyNumberFormat="1" applyFont="1" applyFill="1" applyBorder="1" applyAlignment="1">
      <alignment horizontal="center" vertical="center" wrapText="1"/>
    </xf>
    <xf numFmtId="10" fontId="16" fillId="5" borderId="10" xfId="0" applyNumberFormat="1" applyFont="1" applyFill="1" applyBorder="1" applyAlignment="1">
      <alignment horizontal="center" vertical="center" wrapText="1"/>
    </xf>
    <xf numFmtId="0" fontId="17" fillId="9" borderId="8" xfId="0" applyFont="1" applyFill="1" applyBorder="1" applyAlignment="1">
      <alignment horizontal="left" vertical="center" wrapText="1"/>
    </xf>
    <xf numFmtId="0" fontId="17" fillId="9" borderId="10" xfId="0" applyFont="1" applyFill="1" applyBorder="1" applyAlignment="1">
      <alignment horizontal="left" vertical="center" wrapText="1"/>
    </xf>
    <xf numFmtId="0" fontId="4" fillId="0" borderId="19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15" fillId="2" borderId="5" xfId="0" applyFont="1" applyFill="1" applyBorder="1" applyAlignment="1">
      <alignment horizontal="center" vertical="center" wrapText="1"/>
    </xf>
    <xf numFmtId="0" fontId="16" fillId="2" borderId="10" xfId="0" applyFont="1" applyFill="1" applyBorder="1" applyAlignment="1">
      <alignment horizontal="center" vertical="center" wrapText="1"/>
    </xf>
    <xf numFmtId="0" fontId="12" fillId="0" borderId="16" xfId="0" applyFont="1" applyBorder="1" applyAlignment="1">
      <alignment wrapText="1"/>
    </xf>
    <xf numFmtId="0" fontId="12" fillId="0" borderId="17" xfId="0" applyFont="1" applyBorder="1" applyAlignment="1">
      <alignment wrapText="1"/>
    </xf>
    <xf numFmtId="0" fontId="12" fillId="0" borderId="18" xfId="0" applyFont="1" applyBorder="1" applyAlignment="1">
      <alignment wrapText="1"/>
    </xf>
    <xf numFmtId="0" fontId="15" fillId="2" borderId="10" xfId="0" applyFont="1" applyFill="1" applyBorder="1" applyAlignment="1">
      <alignment horizontal="center" vertical="center" wrapText="1"/>
    </xf>
    <xf numFmtId="0" fontId="12" fillId="0" borderId="14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13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5" fillId="2" borderId="6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15" fillId="5" borderId="5" xfId="0" applyFont="1" applyFill="1" applyBorder="1" applyAlignment="1">
      <alignment horizontal="center" vertical="center" wrapText="1"/>
    </xf>
    <xf numFmtId="0" fontId="16" fillId="5" borderId="8" xfId="0" applyFont="1" applyFill="1" applyBorder="1" applyAlignment="1">
      <alignment horizontal="center" vertical="center"/>
    </xf>
    <xf numFmtId="0" fontId="16" fillId="5" borderId="10" xfId="0" applyFont="1" applyFill="1" applyBorder="1" applyAlignment="1">
      <alignment horizontal="center" vertical="center"/>
    </xf>
    <xf numFmtId="0" fontId="15" fillId="9" borderId="5" xfId="0" applyFont="1" applyFill="1" applyBorder="1" applyAlignment="1">
      <alignment horizontal="center" vertical="center" wrapText="1"/>
    </xf>
    <xf numFmtId="0" fontId="16" fillId="9" borderId="8" xfId="0" applyFont="1" applyFill="1" applyBorder="1" applyAlignment="1">
      <alignment horizontal="center" vertical="center"/>
    </xf>
    <xf numFmtId="0" fontId="16" fillId="9" borderId="10" xfId="0" applyFont="1" applyFill="1" applyBorder="1" applyAlignment="1">
      <alignment horizontal="center" vertical="center"/>
    </xf>
    <xf numFmtId="1" fontId="6" fillId="5" borderId="5" xfId="0" applyNumberFormat="1" applyFont="1" applyFill="1" applyBorder="1" applyAlignment="1">
      <alignment horizontal="left" vertical="center" wrapText="1"/>
    </xf>
    <xf numFmtId="1" fontId="10" fillId="5" borderId="8" xfId="0" applyNumberFormat="1" applyFont="1" applyFill="1" applyBorder="1" applyAlignment="1">
      <alignment horizontal="left" vertical="center" wrapText="1"/>
    </xf>
    <xf numFmtId="1" fontId="10" fillId="5" borderId="10" xfId="0" applyNumberFormat="1" applyFont="1" applyFill="1" applyBorder="1" applyAlignment="1">
      <alignment horizontal="left" vertical="center" wrapText="1"/>
    </xf>
    <xf numFmtId="1" fontId="6" fillId="5" borderId="8" xfId="0" applyNumberFormat="1" applyFont="1" applyFill="1" applyBorder="1" applyAlignment="1">
      <alignment horizontal="left" vertical="center" wrapText="1"/>
    </xf>
    <xf numFmtId="1" fontId="6" fillId="5" borderId="10" xfId="0" applyNumberFormat="1" applyFont="1" applyFill="1" applyBorder="1" applyAlignment="1">
      <alignment horizontal="left" vertical="center" wrapText="1"/>
    </xf>
    <xf numFmtId="0" fontId="15" fillId="2" borderId="10" xfId="0" applyFont="1" applyFill="1" applyBorder="1" applyAlignment="1">
      <alignment horizontal="center" vertical="center"/>
    </xf>
    <xf numFmtId="0" fontId="15" fillId="2" borderId="9" xfId="0" applyFont="1" applyFill="1" applyBorder="1" applyAlignment="1">
      <alignment horizontal="center" vertical="center"/>
    </xf>
    <xf numFmtId="9" fontId="16" fillId="9" borderId="5" xfId="0" applyNumberFormat="1" applyFont="1" applyFill="1" applyBorder="1" applyAlignment="1">
      <alignment horizontal="left" vertical="center" wrapText="1"/>
    </xf>
    <xf numFmtId="9" fontId="16" fillId="9" borderId="10" xfId="0" applyNumberFormat="1" applyFont="1" applyFill="1" applyBorder="1" applyAlignment="1">
      <alignment horizontal="left" vertical="center" wrapText="1"/>
    </xf>
    <xf numFmtId="0" fontId="15" fillId="2" borderId="11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5" fillId="2" borderId="5" xfId="2" applyFont="1" applyFill="1" applyBorder="1" applyAlignment="1">
      <alignment horizontal="center" vertical="center" wrapText="1"/>
    </xf>
    <xf numFmtId="0" fontId="5" fillId="2" borderId="10" xfId="2" applyFont="1" applyFill="1" applyBorder="1" applyAlignment="1">
      <alignment horizontal="center" vertical="center" wrapText="1"/>
    </xf>
    <xf numFmtId="0" fontId="15" fillId="2" borderId="10" xfId="2" applyFont="1" applyFill="1" applyBorder="1" applyAlignment="1">
      <alignment horizontal="center" vertical="center"/>
    </xf>
    <xf numFmtId="0" fontId="15" fillId="2" borderId="6" xfId="2" applyFont="1" applyFill="1" applyBorder="1" applyAlignment="1">
      <alignment horizontal="center" vertical="center" wrapText="1"/>
    </xf>
    <xf numFmtId="0" fontId="15" fillId="2" borderId="9" xfId="2" applyFont="1" applyFill="1" applyBorder="1" applyAlignment="1">
      <alignment horizontal="center" vertical="center"/>
    </xf>
    <xf numFmtId="0" fontId="16" fillId="2" borderId="10" xfId="2" applyFont="1" applyFill="1" applyBorder="1" applyAlignment="1">
      <alignment horizontal="center" vertical="center" wrapText="1"/>
    </xf>
    <xf numFmtId="0" fontId="15" fillId="2" borderId="9" xfId="2" applyFont="1" applyFill="1" applyBorder="1" applyAlignment="1">
      <alignment horizontal="center" vertical="center" wrapText="1"/>
    </xf>
    <xf numFmtId="9" fontId="16" fillId="5" borderId="5" xfId="2" applyNumberFormat="1" applyFont="1" applyFill="1" applyBorder="1" applyAlignment="1">
      <alignment horizontal="left" vertical="center" wrapText="1"/>
    </xf>
    <xf numFmtId="9" fontId="16" fillId="5" borderId="8" xfId="2" applyNumberFormat="1" applyFont="1" applyFill="1" applyBorder="1" applyAlignment="1">
      <alignment horizontal="left" vertical="center" wrapText="1"/>
    </xf>
    <xf numFmtId="0" fontId="16" fillId="5" borderId="10" xfId="2" applyFont="1" applyFill="1" applyBorder="1" applyAlignment="1">
      <alignment wrapText="1"/>
    </xf>
    <xf numFmtId="9" fontId="16" fillId="2" borderId="5" xfId="2" applyNumberFormat="1" applyFont="1" applyFill="1" applyBorder="1" applyAlignment="1">
      <alignment horizontal="center" vertical="center" wrapText="1"/>
    </xf>
    <xf numFmtId="9" fontId="16" fillId="2" borderId="8" xfId="2" applyNumberFormat="1" applyFont="1" applyFill="1" applyBorder="1" applyAlignment="1">
      <alignment horizontal="center" vertical="center" wrapText="1"/>
    </xf>
    <xf numFmtId="9" fontId="16" fillId="2" borderId="10" xfId="2" applyNumberFormat="1" applyFont="1" applyFill="1" applyBorder="1" applyAlignment="1">
      <alignment horizontal="center" vertical="center" wrapText="1"/>
    </xf>
    <xf numFmtId="10" fontId="16" fillId="5" borderId="8" xfId="4" applyNumberFormat="1" applyFont="1" applyFill="1" applyBorder="1" applyAlignment="1"/>
    <xf numFmtId="10" fontId="16" fillId="5" borderId="10" xfId="4" applyNumberFormat="1" applyFont="1" applyFill="1" applyBorder="1" applyAlignment="1"/>
    <xf numFmtId="9" fontId="16" fillId="5" borderId="8" xfId="4" applyFont="1" applyFill="1" applyBorder="1" applyAlignment="1"/>
    <xf numFmtId="9" fontId="16" fillId="5" borderId="10" xfId="4" applyFont="1" applyFill="1" applyBorder="1" applyAlignment="1"/>
    <xf numFmtId="0" fontId="16" fillId="0" borderId="5" xfId="2" applyFont="1" applyBorder="1" applyAlignment="1">
      <alignment vertical="center" wrapText="1"/>
    </xf>
    <xf numFmtId="0" fontId="16" fillId="0" borderId="8" xfId="2" applyFont="1" applyBorder="1" applyAlignment="1">
      <alignment vertical="center" wrapText="1"/>
    </xf>
    <xf numFmtId="0" fontId="16" fillId="0" borderId="10" xfId="2" applyFont="1" applyBorder="1" applyAlignment="1">
      <alignment vertical="center" wrapText="1"/>
    </xf>
    <xf numFmtId="0" fontId="15" fillId="0" borderId="10" xfId="2" applyFont="1" applyBorder="1" applyAlignment="1">
      <alignment horizontal="center" vertical="center" wrapText="1"/>
    </xf>
    <xf numFmtId="0" fontId="15" fillId="4" borderId="5" xfId="2" applyFont="1" applyFill="1" applyBorder="1" applyAlignment="1">
      <alignment horizontal="center" vertical="center" wrapText="1"/>
    </xf>
    <xf numFmtId="0" fontId="16" fillId="4" borderId="8" xfId="2" applyFont="1" applyFill="1" applyBorder="1" applyAlignment="1">
      <alignment horizontal="center" vertical="center"/>
    </xf>
    <xf numFmtId="0" fontId="16" fillId="4" borderId="10" xfId="2" applyFont="1" applyFill="1" applyBorder="1" applyAlignment="1">
      <alignment horizontal="center" vertical="center"/>
    </xf>
    <xf numFmtId="0" fontId="16" fillId="4" borderId="5" xfId="2" applyFont="1" applyFill="1" applyBorder="1" applyAlignment="1">
      <alignment horizontal="left" vertical="center" wrapText="1"/>
    </xf>
    <xf numFmtId="0" fontId="17" fillId="4" borderId="8" xfId="2" applyFont="1" applyFill="1" applyBorder="1" applyAlignment="1">
      <alignment horizontal="left" vertical="center" wrapText="1"/>
    </xf>
    <xf numFmtId="0" fontId="17" fillId="4" borderId="10" xfId="2" applyFont="1" applyFill="1" applyBorder="1" applyAlignment="1">
      <alignment horizontal="left" vertical="center" wrapText="1"/>
    </xf>
    <xf numFmtId="0" fontId="15" fillId="5" borderId="5" xfId="2" applyFont="1" applyFill="1" applyBorder="1" applyAlignment="1">
      <alignment horizontal="left" vertical="center" wrapText="1"/>
    </xf>
    <xf numFmtId="0" fontId="16" fillId="5" borderId="8" xfId="2" applyFont="1" applyFill="1" applyBorder="1" applyAlignment="1">
      <alignment horizontal="left" vertical="center"/>
    </xf>
    <xf numFmtId="0" fontId="16" fillId="5" borderId="10" xfId="2" applyFont="1" applyFill="1" applyBorder="1" applyAlignment="1">
      <alignment horizontal="left" vertical="center"/>
    </xf>
    <xf numFmtId="0" fontId="16" fillId="5" borderId="5" xfId="2" applyFont="1" applyFill="1" applyBorder="1" applyAlignment="1">
      <alignment horizontal="center" vertical="center" wrapText="1"/>
    </xf>
    <xf numFmtId="0" fontId="15" fillId="2" borderId="11" xfId="2" applyFont="1" applyFill="1" applyBorder="1" applyAlignment="1">
      <alignment horizontal="center" vertical="center" wrapText="1"/>
    </xf>
    <xf numFmtId="0" fontId="15" fillId="2" borderId="4" xfId="2" applyFont="1" applyFill="1" applyBorder="1" applyAlignment="1">
      <alignment horizontal="center" vertical="center"/>
    </xf>
    <xf numFmtId="0" fontId="16" fillId="5" borderId="8" xfId="2" applyFont="1" applyFill="1" applyBorder="1" applyAlignment="1">
      <alignment horizontal="center" vertical="center" wrapText="1"/>
    </xf>
    <xf numFmtId="0" fontId="16" fillId="5" borderId="10" xfId="2" applyFont="1" applyFill="1" applyBorder="1" applyAlignment="1">
      <alignment horizontal="center" vertical="center" wrapText="1"/>
    </xf>
    <xf numFmtId="0" fontId="19" fillId="0" borderId="0" xfId="2" applyFont="1" applyAlignment="1">
      <alignment horizontal="left"/>
    </xf>
    <xf numFmtId="9" fontId="16" fillId="2" borderId="5" xfId="0" applyNumberFormat="1" applyFont="1" applyFill="1" applyBorder="1" applyAlignment="1">
      <alignment horizontal="center" vertical="center" wrapText="1"/>
    </xf>
    <xf numFmtId="9" fontId="16" fillId="2" borderId="8" xfId="0" applyNumberFormat="1" applyFont="1" applyFill="1" applyBorder="1" applyAlignment="1">
      <alignment horizontal="center" vertical="center" wrapText="1"/>
    </xf>
    <xf numFmtId="9" fontId="16" fillId="2" borderId="10" xfId="0" applyNumberFormat="1" applyFont="1" applyFill="1" applyBorder="1" applyAlignment="1">
      <alignment horizontal="center" vertical="center" wrapText="1"/>
    </xf>
    <xf numFmtId="0" fontId="16" fillId="5" borderId="8" xfId="2" applyFont="1" applyFill="1" applyBorder="1" applyAlignment="1">
      <alignment wrapText="1"/>
    </xf>
    <xf numFmtId="10" fontId="16" fillId="5" borderId="5" xfId="2" applyNumberFormat="1" applyFont="1" applyFill="1" applyBorder="1" applyAlignment="1">
      <alignment horizontal="center" vertical="center" wrapText="1"/>
    </xf>
    <xf numFmtId="10" fontId="16" fillId="5" borderId="8" xfId="2" applyNumberFormat="1" applyFont="1" applyFill="1" applyBorder="1" applyAlignment="1">
      <alignment horizontal="center" vertical="center" wrapText="1"/>
    </xf>
    <xf numFmtId="10" fontId="16" fillId="5" borderId="10" xfId="2" applyNumberFormat="1" applyFont="1" applyFill="1" applyBorder="1" applyAlignment="1">
      <alignment horizontal="center" vertical="center" wrapText="1"/>
    </xf>
    <xf numFmtId="9" fontId="16" fillId="5" borderId="5" xfId="2" applyNumberFormat="1" applyFont="1" applyFill="1" applyBorder="1" applyAlignment="1">
      <alignment horizontal="center" vertical="center" wrapText="1"/>
    </xf>
    <xf numFmtId="9" fontId="16" fillId="5" borderId="8" xfId="2" applyNumberFormat="1" applyFont="1" applyFill="1" applyBorder="1" applyAlignment="1">
      <alignment horizontal="center" vertical="center" wrapText="1"/>
    </xf>
    <xf numFmtId="9" fontId="16" fillId="5" borderId="10" xfId="2" applyNumberFormat="1" applyFont="1" applyFill="1" applyBorder="1" applyAlignment="1">
      <alignment horizontal="center" vertical="center" wrapText="1"/>
    </xf>
    <xf numFmtId="9" fontId="6" fillId="5" borderId="8" xfId="2" applyNumberFormat="1" applyFont="1" applyFill="1" applyBorder="1" applyAlignment="1">
      <alignment horizontal="left" vertical="center" wrapText="1"/>
    </xf>
    <xf numFmtId="0" fontId="6" fillId="5" borderId="8" xfId="2" applyFont="1" applyFill="1" applyBorder="1" applyAlignment="1">
      <alignment vertical="center" wrapText="1"/>
    </xf>
    <xf numFmtId="0" fontId="6" fillId="5" borderId="10" xfId="2" applyFont="1" applyFill="1" applyBorder="1" applyAlignment="1">
      <alignment vertical="center" wrapText="1"/>
    </xf>
    <xf numFmtId="0" fontId="5" fillId="4" borderId="5" xfId="2" applyFont="1" applyFill="1" applyBorder="1" applyAlignment="1">
      <alignment horizontal="center" vertical="center" wrapText="1"/>
    </xf>
    <xf numFmtId="0" fontId="6" fillId="4" borderId="8" xfId="2" applyFont="1" applyFill="1" applyBorder="1" applyAlignment="1">
      <alignment horizontal="center" vertical="center"/>
    </xf>
    <xf numFmtId="0" fontId="6" fillId="4" borderId="10" xfId="2" applyFont="1" applyFill="1" applyBorder="1" applyAlignment="1">
      <alignment horizontal="center" vertical="center"/>
    </xf>
    <xf numFmtId="0" fontId="6" fillId="4" borderId="5" xfId="2" applyFont="1" applyFill="1" applyBorder="1" applyAlignment="1">
      <alignment horizontal="left" vertical="center" wrapText="1"/>
    </xf>
    <xf numFmtId="0" fontId="14" fillId="4" borderId="8" xfId="2" applyFont="1" applyFill="1" applyBorder="1" applyAlignment="1">
      <alignment horizontal="left" vertical="center" wrapText="1"/>
    </xf>
    <xf numFmtId="0" fontId="14" fillId="4" borderId="10" xfId="2" applyFont="1" applyFill="1" applyBorder="1" applyAlignment="1">
      <alignment horizontal="left" vertical="center" wrapText="1"/>
    </xf>
    <xf numFmtId="0" fontId="5" fillId="5" borderId="5" xfId="2" applyFont="1" applyFill="1" applyBorder="1" applyAlignment="1">
      <alignment horizontal="left" vertical="center" wrapText="1"/>
    </xf>
    <xf numFmtId="0" fontId="6" fillId="5" borderId="8" xfId="2" applyFont="1" applyFill="1" applyBorder="1" applyAlignment="1">
      <alignment horizontal="left" vertical="center"/>
    </xf>
    <xf numFmtId="0" fontId="6" fillId="5" borderId="10" xfId="2" applyFont="1" applyFill="1" applyBorder="1" applyAlignment="1">
      <alignment horizontal="left" vertical="center"/>
    </xf>
    <xf numFmtId="0" fontId="6" fillId="5" borderId="8" xfId="2" applyFont="1" applyFill="1" applyBorder="1" applyAlignment="1">
      <alignment vertical="center"/>
    </xf>
    <xf numFmtId="0" fontId="6" fillId="5" borderId="10" xfId="2" applyFont="1" applyFill="1" applyBorder="1" applyAlignment="1">
      <alignment vertical="center"/>
    </xf>
    <xf numFmtId="10" fontId="6" fillId="5" borderId="5" xfId="2" applyNumberFormat="1" applyFont="1" applyFill="1" applyBorder="1" applyAlignment="1">
      <alignment horizontal="center" vertical="center" wrapText="1"/>
    </xf>
    <xf numFmtId="10" fontId="6" fillId="5" borderId="8" xfId="2" applyNumberFormat="1" applyFont="1" applyFill="1" applyBorder="1" applyAlignment="1">
      <alignment horizontal="center" vertical="center" wrapText="1"/>
    </xf>
    <xf numFmtId="10" fontId="6" fillId="5" borderId="10" xfId="2" applyNumberFormat="1" applyFont="1" applyFill="1" applyBorder="1" applyAlignment="1">
      <alignment horizontal="center" vertical="center" wrapText="1"/>
    </xf>
    <xf numFmtId="9" fontId="6" fillId="5" borderId="5" xfId="2" applyNumberFormat="1" applyFont="1" applyFill="1" applyBorder="1" applyAlignment="1">
      <alignment horizontal="center" vertical="center" wrapText="1"/>
    </xf>
    <xf numFmtId="9" fontId="6" fillId="5" borderId="8" xfId="2" applyNumberFormat="1" applyFont="1" applyFill="1" applyBorder="1" applyAlignment="1">
      <alignment horizontal="center" vertical="center" wrapText="1"/>
    </xf>
    <xf numFmtId="9" fontId="6" fillId="5" borderId="10" xfId="2" applyNumberFormat="1" applyFont="1" applyFill="1" applyBorder="1" applyAlignment="1">
      <alignment horizontal="center" vertical="center" wrapText="1"/>
    </xf>
    <xf numFmtId="9" fontId="6" fillId="5" borderId="5" xfId="2" applyNumberFormat="1" applyFont="1" applyFill="1" applyBorder="1" applyAlignment="1">
      <alignment horizontal="left" vertical="center" wrapText="1"/>
    </xf>
    <xf numFmtId="0" fontId="6" fillId="5" borderId="8" xfId="2" applyFont="1" applyFill="1" applyBorder="1" applyAlignment="1">
      <alignment wrapText="1"/>
    </xf>
    <xf numFmtId="0" fontId="6" fillId="5" borderId="10" xfId="2" applyFont="1" applyFill="1" applyBorder="1" applyAlignment="1">
      <alignment wrapText="1"/>
    </xf>
    <xf numFmtId="0" fontId="4" fillId="0" borderId="0" xfId="2" applyFont="1" applyAlignment="1">
      <alignment horizontal="left" vertical="center"/>
    </xf>
    <xf numFmtId="0" fontId="6" fillId="4" borderId="25" xfId="2" applyFont="1" applyFill="1" applyBorder="1" applyAlignment="1">
      <alignment horizontal="left" vertical="center" wrapText="1"/>
    </xf>
    <xf numFmtId="0" fontId="14" fillId="4" borderId="20" xfId="2" applyFont="1" applyFill="1" applyBorder="1" applyAlignment="1">
      <alignment horizontal="left" vertical="center" wrapText="1"/>
    </xf>
    <xf numFmtId="0" fontId="14" fillId="4" borderId="26" xfId="2" applyFont="1" applyFill="1" applyBorder="1" applyAlignment="1">
      <alignment horizontal="left" vertical="center" wrapText="1"/>
    </xf>
    <xf numFmtId="0" fontId="4" fillId="0" borderId="0" xfId="2" applyFont="1" applyAlignment="1">
      <alignment horizontal="left"/>
    </xf>
    <xf numFmtId="0" fontId="17" fillId="5" borderId="5" xfId="2" applyFont="1" applyFill="1" applyBorder="1" applyAlignment="1">
      <alignment horizontal="left" vertical="center" wrapText="1"/>
    </xf>
    <xf numFmtId="0" fontId="15" fillId="5" borderId="8" xfId="2" applyFont="1" applyFill="1" applyBorder="1" applyAlignment="1">
      <alignment horizontal="left" vertical="center" wrapText="1"/>
    </xf>
    <xf numFmtId="0" fontId="15" fillId="5" borderId="10" xfId="2" applyFont="1" applyFill="1" applyBorder="1" applyAlignment="1">
      <alignment horizontal="left" vertical="center" wrapText="1"/>
    </xf>
    <xf numFmtId="9" fontId="16" fillId="5" borderId="8" xfId="2" applyNumberFormat="1" applyFont="1" applyFill="1" applyBorder="1" applyAlignment="1" applyProtection="1">
      <alignment horizontal="left" vertical="center" wrapText="1"/>
      <protection locked="0"/>
    </xf>
    <xf numFmtId="0" fontId="16" fillId="5" borderId="8" xfId="2" applyFont="1" applyFill="1" applyBorder="1" applyAlignment="1" applyProtection="1">
      <alignment wrapText="1"/>
      <protection locked="0"/>
    </xf>
    <xf numFmtId="0" fontId="16" fillId="5" borderId="10" xfId="2" applyFont="1" applyFill="1" applyBorder="1" applyAlignment="1" applyProtection="1">
      <alignment wrapText="1"/>
      <protection locked="0"/>
    </xf>
    <xf numFmtId="9" fontId="16" fillId="5" borderId="5" xfId="2" applyNumberFormat="1" applyFont="1" applyFill="1" applyBorder="1" applyAlignment="1" applyProtection="1">
      <alignment horizontal="center" vertical="center" wrapText="1"/>
      <protection locked="0"/>
    </xf>
    <xf numFmtId="9" fontId="16" fillId="5" borderId="8" xfId="2" applyNumberFormat="1" applyFont="1" applyFill="1" applyBorder="1" applyAlignment="1" applyProtection="1">
      <alignment horizontal="center" vertical="center" wrapText="1"/>
      <protection locked="0"/>
    </xf>
    <xf numFmtId="9" fontId="16" fillId="5" borderId="10" xfId="2" applyNumberFormat="1" applyFont="1" applyFill="1" applyBorder="1" applyAlignment="1" applyProtection="1">
      <alignment horizontal="center" vertical="center" wrapText="1"/>
      <protection locked="0"/>
    </xf>
    <xf numFmtId="9" fontId="16" fillId="5" borderId="5" xfId="2" applyNumberFormat="1" applyFont="1" applyFill="1" applyBorder="1" applyAlignment="1" applyProtection="1">
      <alignment horizontal="left" vertical="center" wrapText="1"/>
      <protection locked="0"/>
    </xf>
    <xf numFmtId="0" fontId="15" fillId="4" borderId="5" xfId="2" applyFont="1" applyFill="1" applyBorder="1" applyAlignment="1" applyProtection="1">
      <alignment horizontal="center" vertical="center" wrapText="1"/>
      <protection locked="0"/>
    </xf>
    <xf numFmtId="0" fontId="16" fillId="4" borderId="8" xfId="2" applyFont="1" applyFill="1" applyBorder="1" applyAlignment="1" applyProtection="1">
      <alignment horizontal="center" vertical="center"/>
      <protection locked="0"/>
    </xf>
    <xf numFmtId="0" fontId="16" fillId="4" borderId="10" xfId="2" applyFont="1" applyFill="1" applyBorder="1" applyAlignment="1" applyProtection="1">
      <alignment horizontal="center" vertical="center"/>
      <protection locked="0"/>
    </xf>
    <xf numFmtId="0" fontId="16" fillId="4" borderId="5" xfId="2" applyFont="1" applyFill="1" applyBorder="1" applyAlignment="1" applyProtection="1">
      <alignment horizontal="left" vertical="center" wrapText="1"/>
      <protection locked="0"/>
    </xf>
    <xf numFmtId="0" fontId="17" fillId="4" borderId="8" xfId="2" applyFont="1" applyFill="1" applyBorder="1" applyAlignment="1" applyProtection="1">
      <alignment horizontal="left" vertical="center" wrapText="1"/>
      <protection locked="0"/>
    </xf>
    <xf numFmtId="0" fontId="17" fillId="4" borderId="10" xfId="2" applyFont="1" applyFill="1" applyBorder="1" applyAlignment="1" applyProtection="1">
      <alignment horizontal="left" vertical="center" wrapText="1"/>
      <protection locked="0"/>
    </xf>
    <xf numFmtId="0" fontId="17" fillId="5" borderId="5" xfId="2" applyFont="1" applyFill="1" applyBorder="1" applyAlignment="1" applyProtection="1">
      <alignment horizontal="left" vertical="center" wrapText="1"/>
      <protection locked="0"/>
    </xf>
    <xf numFmtId="0" fontId="16" fillId="5" borderId="8" xfId="2" applyFont="1" applyFill="1" applyBorder="1" applyAlignment="1" applyProtection="1">
      <alignment horizontal="left" vertical="center"/>
      <protection locked="0"/>
    </xf>
    <xf numFmtId="0" fontId="16" fillId="5" borderId="10" xfId="2" applyFont="1" applyFill="1" applyBorder="1" applyAlignment="1" applyProtection="1">
      <alignment horizontal="left" vertical="center"/>
      <protection locked="0"/>
    </xf>
    <xf numFmtId="0" fontId="16" fillId="5" borderId="5" xfId="2" applyFont="1" applyFill="1" applyBorder="1" applyAlignment="1" applyProtection="1">
      <alignment horizontal="center" vertical="center" wrapText="1"/>
      <protection locked="0"/>
    </xf>
    <xf numFmtId="0" fontId="16" fillId="5" borderId="8" xfId="2" applyFont="1" applyFill="1" applyBorder="1" applyAlignment="1" applyProtection="1">
      <alignment horizontal="center" vertical="center" wrapText="1"/>
      <protection locked="0"/>
    </xf>
    <xf numFmtId="0" fontId="16" fillId="5" borderId="10" xfId="2" applyFont="1" applyFill="1" applyBorder="1" applyAlignment="1" applyProtection="1">
      <alignment horizontal="center" vertical="center" wrapText="1"/>
      <protection locked="0"/>
    </xf>
    <xf numFmtId="0" fontId="14" fillId="4" borderId="5" xfId="2" applyFont="1" applyFill="1" applyBorder="1" applyAlignment="1">
      <alignment horizontal="left" vertical="center" wrapText="1"/>
    </xf>
    <xf numFmtId="0" fontId="6" fillId="4" borderId="8" xfId="2" applyFont="1" applyFill="1" applyBorder="1" applyAlignment="1">
      <alignment horizontal="left" vertical="center"/>
    </xf>
    <xf numFmtId="0" fontId="6" fillId="4" borderId="10" xfId="2" applyFont="1" applyFill="1" applyBorder="1" applyAlignment="1">
      <alignment horizontal="left" vertical="center"/>
    </xf>
    <xf numFmtId="0" fontId="6" fillId="4" borderId="5" xfId="2" applyFont="1" applyFill="1" applyBorder="1" applyAlignment="1">
      <alignment horizontal="center" vertical="center" wrapText="1"/>
    </xf>
    <xf numFmtId="0" fontId="6" fillId="4" borderId="8" xfId="2" applyFont="1" applyFill="1" applyBorder="1" applyAlignment="1">
      <alignment horizontal="center" vertical="center" wrapText="1"/>
    </xf>
    <xf numFmtId="0" fontId="6" fillId="4" borderId="10" xfId="2" applyFont="1" applyFill="1" applyBorder="1" applyAlignment="1">
      <alignment horizontal="center" vertical="center" wrapText="1"/>
    </xf>
    <xf numFmtId="0" fontId="16" fillId="5" borderId="8" xfId="0" applyFont="1" applyFill="1" applyBorder="1" applyAlignment="1">
      <alignment horizontal="center" vertical="center" wrapText="1"/>
    </xf>
    <xf numFmtId="0" fontId="16" fillId="5" borderId="10" xfId="0" applyFont="1" applyFill="1" applyBorder="1" applyAlignment="1">
      <alignment horizontal="center" vertical="center" wrapText="1"/>
    </xf>
    <xf numFmtId="0" fontId="18" fillId="0" borderId="21" xfId="2" applyFont="1" applyBorder="1" applyAlignment="1">
      <alignment horizontal="center"/>
    </xf>
    <xf numFmtId="0" fontId="18" fillId="0" borderId="22" xfId="2" applyFont="1" applyBorder="1" applyAlignment="1">
      <alignment horizontal="center"/>
    </xf>
    <xf numFmtId="0" fontId="18" fillId="0" borderId="23" xfId="2" applyFont="1" applyBorder="1" applyAlignment="1">
      <alignment horizontal="center"/>
    </xf>
    <xf numFmtId="0" fontId="19" fillId="0" borderId="19" xfId="2" applyFont="1" applyBorder="1" applyAlignment="1">
      <alignment horizontal="center" vertical="center" wrapText="1"/>
    </xf>
    <xf numFmtId="0" fontId="19" fillId="0" borderId="14" xfId="2" applyFont="1" applyBorder="1" applyAlignment="1">
      <alignment horizontal="center" vertical="center" wrapText="1"/>
    </xf>
    <xf numFmtId="0" fontId="19" fillId="0" borderId="15" xfId="2" applyFont="1" applyBorder="1" applyAlignment="1">
      <alignment horizontal="center" vertical="center" wrapText="1"/>
    </xf>
    <xf numFmtId="0" fontId="19" fillId="0" borderId="12" xfId="2" applyFont="1" applyBorder="1" applyAlignment="1">
      <alignment horizontal="center" vertical="center" wrapText="1"/>
    </xf>
    <xf numFmtId="0" fontId="19" fillId="0" borderId="0" xfId="2" applyFont="1" applyAlignment="1">
      <alignment horizontal="center" vertical="center" wrapText="1"/>
    </xf>
    <xf numFmtId="0" fontId="19" fillId="0" borderId="13" xfId="2" applyFont="1" applyBorder="1" applyAlignment="1">
      <alignment horizontal="center" vertical="center" wrapText="1"/>
    </xf>
    <xf numFmtId="0" fontId="19" fillId="0" borderId="1" xfId="2" applyFont="1" applyBorder="1" applyAlignment="1">
      <alignment horizontal="center" vertical="center" wrapText="1"/>
    </xf>
    <xf numFmtId="0" fontId="19" fillId="0" borderId="2" xfId="2" applyFont="1" applyBorder="1" applyAlignment="1">
      <alignment horizontal="center" vertical="center" wrapText="1"/>
    </xf>
    <xf numFmtId="0" fontId="19" fillId="0" borderId="3" xfId="2" applyFont="1" applyBorder="1" applyAlignment="1">
      <alignment horizontal="center" vertical="center" wrapText="1"/>
    </xf>
    <xf numFmtId="0" fontId="19" fillId="0" borderId="1" xfId="2" applyFont="1" applyBorder="1" applyAlignment="1">
      <alignment horizontal="center" vertical="center"/>
    </xf>
    <xf numFmtId="0" fontId="19" fillId="0" borderId="2" xfId="2" applyFont="1" applyBorder="1" applyAlignment="1">
      <alignment horizontal="center" vertical="center"/>
    </xf>
    <xf numFmtId="0" fontId="19" fillId="0" borderId="3" xfId="2" applyFont="1" applyBorder="1" applyAlignment="1">
      <alignment horizontal="center" vertical="center"/>
    </xf>
    <xf numFmtId="0" fontId="18" fillId="0" borderId="16" xfId="2" applyFont="1" applyBorder="1" applyAlignment="1">
      <alignment horizontal="left" wrapText="1"/>
    </xf>
    <xf numFmtId="0" fontId="18" fillId="0" borderId="17" xfId="2" applyFont="1" applyBorder="1" applyAlignment="1">
      <alignment horizontal="left" wrapText="1"/>
    </xf>
    <xf numFmtId="0" fontId="18" fillId="0" borderId="18" xfId="2" applyFont="1" applyBorder="1" applyAlignment="1">
      <alignment horizontal="left" wrapText="1"/>
    </xf>
    <xf numFmtId="0" fontId="20" fillId="0" borderId="16" xfId="2" applyFont="1" applyBorder="1" applyAlignment="1">
      <alignment horizontal="left" wrapText="1"/>
    </xf>
    <xf numFmtId="0" fontId="20" fillId="0" borderId="17" xfId="2" applyFont="1" applyBorder="1" applyAlignment="1">
      <alignment horizontal="left" wrapText="1"/>
    </xf>
    <xf numFmtId="0" fontId="20" fillId="0" borderId="18" xfId="2" applyFont="1" applyBorder="1" applyAlignment="1">
      <alignment horizontal="left" wrapText="1"/>
    </xf>
    <xf numFmtId="0" fontId="6" fillId="2" borderId="10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/>
    </xf>
    <xf numFmtId="0" fontId="5" fillId="9" borderId="5" xfId="2" applyFont="1" applyFill="1" applyBorder="1" applyAlignment="1">
      <alignment horizontal="center" vertical="center" wrapText="1"/>
    </xf>
    <xf numFmtId="0" fontId="5" fillId="9" borderId="8" xfId="2" applyFont="1" applyFill="1" applyBorder="1" applyAlignment="1">
      <alignment horizontal="center" vertical="center"/>
    </xf>
    <xf numFmtId="0" fontId="5" fillId="9" borderId="10" xfId="2" applyFont="1" applyFill="1" applyBorder="1" applyAlignment="1">
      <alignment horizontal="center" vertical="center"/>
    </xf>
    <xf numFmtId="0" fontId="6" fillId="9" borderId="5" xfId="0" applyFont="1" applyFill="1" applyBorder="1" applyAlignment="1">
      <alignment horizontal="left" vertical="center" wrapText="1"/>
    </xf>
    <xf numFmtId="0" fontId="6" fillId="9" borderId="8" xfId="0" applyFont="1" applyFill="1" applyBorder="1" applyAlignment="1">
      <alignment horizontal="left"/>
    </xf>
    <xf numFmtId="0" fontId="6" fillId="9" borderId="10" xfId="0" applyFont="1" applyFill="1" applyBorder="1" applyAlignment="1">
      <alignment horizontal="left"/>
    </xf>
    <xf numFmtId="10" fontId="6" fillId="9" borderId="5" xfId="0" applyNumberFormat="1" applyFont="1" applyFill="1" applyBorder="1" applyAlignment="1">
      <alignment horizontal="center" vertical="center" wrapText="1"/>
    </xf>
    <xf numFmtId="10" fontId="6" fillId="9" borderId="8" xfId="0" applyNumberFormat="1" applyFont="1" applyFill="1" applyBorder="1" applyAlignment="1">
      <alignment horizontal="center" vertical="center" wrapText="1"/>
    </xf>
    <xf numFmtId="10" fontId="6" fillId="9" borderId="10" xfId="0" applyNumberFormat="1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1" fontId="6" fillId="9" borderId="5" xfId="0" applyNumberFormat="1" applyFont="1" applyFill="1" applyBorder="1" applyAlignment="1">
      <alignment horizontal="left" vertical="center" wrapText="1"/>
    </xf>
    <xf numFmtId="1" fontId="10" fillId="9" borderId="8" xfId="0" applyNumberFormat="1" applyFont="1" applyFill="1" applyBorder="1" applyAlignment="1">
      <alignment horizontal="left" vertical="center" wrapText="1"/>
    </xf>
    <xf numFmtId="1" fontId="10" fillId="9" borderId="10" xfId="0" applyNumberFormat="1" applyFont="1" applyFill="1" applyBorder="1" applyAlignment="1">
      <alignment horizontal="left" vertical="center" wrapText="1"/>
    </xf>
    <xf numFmtId="1" fontId="6" fillId="9" borderId="8" xfId="0" applyNumberFormat="1" applyFont="1" applyFill="1" applyBorder="1" applyAlignment="1">
      <alignment horizontal="left" vertical="center" wrapText="1"/>
    </xf>
    <xf numFmtId="1" fontId="6" fillId="9" borderId="10" xfId="0" applyNumberFormat="1" applyFont="1" applyFill="1" applyBorder="1" applyAlignment="1">
      <alignment horizontal="left" vertical="center" wrapText="1"/>
    </xf>
    <xf numFmtId="10" fontId="15" fillId="8" borderId="8" xfId="13" applyNumberFormat="1" applyFont="1" applyFill="1" applyBorder="1" applyAlignment="1" applyProtection="1">
      <alignment horizontal="right" vertical="center"/>
    </xf>
    <xf numFmtId="10" fontId="16" fillId="3" borderId="8" xfId="13" applyNumberFormat="1" applyFont="1" applyFill="1" applyBorder="1" applyAlignment="1" applyProtection="1">
      <alignment horizontal="right" vertical="center"/>
    </xf>
    <xf numFmtId="10" fontId="16" fillId="2" borderId="7" xfId="13" applyNumberFormat="1" applyFont="1" applyFill="1" applyBorder="1" applyAlignment="1" applyProtection="1">
      <alignment vertical="center"/>
    </xf>
    <xf numFmtId="0" fontId="27" fillId="0" borderId="0" xfId="0" applyFont="1" applyAlignment="1">
      <alignment horizontal="center"/>
    </xf>
    <xf numFmtId="0" fontId="16" fillId="5" borderId="8" xfId="0" applyFont="1" applyFill="1" applyBorder="1" applyAlignment="1"/>
    <xf numFmtId="0" fontId="16" fillId="5" borderId="10" xfId="0" applyFont="1" applyFill="1" applyBorder="1" applyAlignment="1"/>
    <xf numFmtId="0" fontId="16" fillId="9" borderId="8" xfId="0" applyFont="1" applyFill="1" applyBorder="1" applyAlignment="1"/>
    <xf numFmtId="0" fontId="16" fillId="9" borderId="10" xfId="0" applyFont="1" applyFill="1" applyBorder="1" applyAlignment="1"/>
    <xf numFmtId="0" fontId="16" fillId="5" borderId="8" xfId="3" applyFont="1" applyFill="1" applyBorder="1" applyAlignment="1"/>
    <xf numFmtId="0" fontId="6" fillId="5" borderId="8" xfId="0" applyFont="1" applyFill="1" applyBorder="1" applyAlignment="1"/>
    <xf numFmtId="0" fontId="16" fillId="5" borderId="10" xfId="3" applyFont="1" applyFill="1" applyBorder="1" applyAlignment="1"/>
    <xf numFmtId="0" fontId="6" fillId="5" borderId="10" xfId="0" applyFont="1" applyFill="1" applyBorder="1" applyAlignment="1"/>
    <xf numFmtId="0" fontId="16" fillId="5" borderId="8" xfId="2" applyFont="1" applyFill="1" applyBorder="1" applyAlignment="1"/>
    <xf numFmtId="0" fontId="16" fillId="5" borderId="10" xfId="2" applyFont="1" applyFill="1" applyBorder="1" applyAlignment="1"/>
    <xf numFmtId="0" fontId="6" fillId="5" borderId="8" xfId="2" applyFont="1" applyFill="1" applyBorder="1" applyAlignment="1"/>
    <xf numFmtId="0" fontId="6" fillId="5" borderId="10" xfId="2" applyFont="1" applyFill="1" applyBorder="1" applyAlignment="1"/>
  </cellXfs>
  <cellStyles count="14">
    <cellStyle name="Millares [0] 2" xfId="11" xr:uid="{14613ABE-5718-42DD-9E10-D8E7FF8A5E8C}"/>
    <cellStyle name="Millares 2" xfId="1" xr:uid="{00000000-0005-0000-0000-000000000000}"/>
    <cellStyle name="Millares 2 2" xfId="9" xr:uid="{C20A340A-C0DF-4709-AFFA-572B59DD2557}"/>
    <cellStyle name="Millares 4" xfId="6" xr:uid="{00000000-0005-0000-0000-000001000000}"/>
    <cellStyle name="Millares 4 2" xfId="12" xr:uid="{65C6A2F7-B0A0-46FE-A3E4-9A85B142723A}"/>
    <cellStyle name="Normal" xfId="0" builtinId="0"/>
    <cellStyle name="Normal 2" xfId="2" xr:uid="{00000000-0005-0000-0000-000003000000}"/>
    <cellStyle name="Normal 3" xfId="3" xr:uid="{00000000-0005-0000-0000-000004000000}"/>
    <cellStyle name="Normal 4" xfId="7" xr:uid="{36EEC18C-35B8-4569-BD39-A2F709178EA1}"/>
    <cellStyle name="Porcentaje" xfId="4" builtinId="5"/>
    <cellStyle name="Porcentaje 2" xfId="5" xr:uid="{00000000-0005-0000-0000-000006000000}"/>
    <cellStyle name="Porcentaje 3" xfId="10" xr:uid="{5CB62422-2F55-4342-9C03-59BE9C9E77D2}"/>
    <cellStyle name="Porcentaje 4" xfId="8" xr:uid="{2A9631D1-EA4A-4184-AB38-F89D68AE6D72}"/>
    <cellStyle name="Porcentaje 4 2" xfId="13" xr:uid="{D6E5EF3E-A2A4-45CD-8EC2-6541FE463EA1}"/>
  </cellStyles>
  <dxfs count="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123825</xdr:colOff>
      <xdr:row>0</xdr:row>
      <xdr:rowOff>0</xdr:rowOff>
    </xdr:from>
    <xdr:to>
      <xdr:col>1</xdr:col>
      <xdr:colOff>895350</xdr:colOff>
      <xdr:row>4</xdr:row>
      <xdr:rowOff>161925</xdr:rowOff>
    </xdr:to>
    <xdr:pic>
      <xdr:nvPicPr>
        <xdr:cNvPr id="1488" name="Picture 67" descr="image002">
          <a:extLst>
            <a:ext uri="{FF2B5EF4-FFF2-40B4-BE49-F238E27FC236}">
              <a16:creationId xmlns:a16="http://schemas.microsoft.com/office/drawing/2014/main" id="{00000000-0008-0000-0000-0000D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825" y="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381000</xdr:colOff>
      <xdr:row>0</xdr:row>
      <xdr:rowOff>57150</xdr:rowOff>
    </xdr:from>
    <xdr:to>
      <xdr:col>2</xdr:col>
      <xdr:colOff>1152525</xdr:colOff>
      <xdr:row>4</xdr:row>
      <xdr:rowOff>142875</xdr:rowOff>
    </xdr:to>
    <xdr:pic>
      <xdr:nvPicPr>
        <xdr:cNvPr id="2" name="Picture 67" descr="image002">
          <a:extLst>
            <a:ext uri="{FF2B5EF4-FFF2-40B4-BE49-F238E27FC236}">
              <a16:creationId xmlns:a16="http://schemas.microsoft.com/office/drawing/2014/main" id="{63912B75-86CF-4D44-81FB-F6205892B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0" y="57150"/>
          <a:ext cx="381000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381000</xdr:colOff>
      <xdr:row>0</xdr:row>
      <xdr:rowOff>28575</xdr:rowOff>
    </xdr:from>
    <xdr:to>
      <xdr:col>2</xdr:col>
      <xdr:colOff>1152525</xdr:colOff>
      <xdr:row>4</xdr:row>
      <xdr:rowOff>114300</xdr:rowOff>
    </xdr:to>
    <xdr:pic>
      <xdr:nvPicPr>
        <xdr:cNvPr id="3" name="Picture 67" descr="image002">
          <a:extLst>
            <a:ext uri="{FF2B5EF4-FFF2-40B4-BE49-F238E27FC236}">
              <a16:creationId xmlns:a16="http://schemas.microsoft.com/office/drawing/2014/main" id="{CAF378C5-92A1-4307-91E9-F58EA7B804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0" y="28575"/>
          <a:ext cx="381000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123825</xdr:colOff>
      <xdr:row>0</xdr:row>
      <xdr:rowOff>0</xdr:rowOff>
    </xdr:from>
    <xdr:to>
      <xdr:col>1</xdr:col>
      <xdr:colOff>895350</xdr:colOff>
      <xdr:row>4</xdr:row>
      <xdr:rowOff>161925</xdr:rowOff>
    </xdr:to>
    <xdr:pic>
      <xdr:nvPicPr>
        <xdr:cNvPr id="2" name="Picture 67" descr="image002">
          <a:extLst>
            <a:ext uri="{FF2B5EF4-FFF2-40B4-BE49-F238E27FC236}">
              <a16:creationId xmlns:a16="http://schemas.microsoft.com/office/drawing/2014/main" id="{703A7B7B-FF7B-463D-970A-7AD20C0C45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825" y="0"/>
          <a:ext cx="771525" cy="835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Jacqueline Josette Saez Saez" id="{172317C7-17D1-4EF0-AA90-434FE88D103F}" userId="S::jacqueline.saez@chileatiende.cl::02af9ff3-9b02-470e-8781-d68026dd1e30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61" dT="2026-02-04T19:39:09.93" personId="{172317C7-17D1-4EF0-AA90-434FE88D103F}" id="{1D2CA49C-61D9-4D3A-AAC7-B623C3020694}">
    <text xml:space="preserve">Se ajustan operandos de acuerdo lo informado en archivo adjunto desagregación CDC 25 min 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M332"/>
  <sheetViews>
    <sheetView showGridLines="0" tabSelected="1" topLeftCell="A8" zoomScale="90" zoomScaleNormal="90" workbookViewId="0">
      <pane xSplit="3" ySplit="5" topLeftCell="L30" activePane="bottomRight" state="frozen"/>
      <selection pane="bottomRight" activeCell="N46" sqref="N46"/>
      <selection pane="bottomLeft" activeCell="A13" sqref="A13"/>
      <selection pane="topRight" activeCell="D8" sqref="D8"/>
    </sheetView>
  </sheetViews>
  <sheetFormatPr defaultColWidth="11.42578125" defaultRowHeight="12.95"/>
  <cols>
    <col min="1" max="1" width="11.42578125" style="2"/>
    <col min="2" max="4" width="26.7109375" style="2" customWidth="1"/>
    <col min="5" max="5" width="22.42578125" style="2" customWidth="1"/>
    <col min="6" max="6" width="14.5703125" style="2" customWidth="1"/>
    <col min="7" max="7" width="23.42578125" style="2" customWidth="1"/>
    <col min="8" max="8" width="18" style="2" customWidth="1"/>
    <col min="9" max="10" width="11.140625" style="2" customWidth="1"/>
    <col min="11" max="11" width="28.5703125" style="2" customWidth="1"/>
    <col min="12" max="12" width="17" style="2" customWidth="1"/>
    <col min="13" max="13" width="11.140625" style="2" customWidth="1"/>
    <col min="14" max="14" width="11.7109375" style="1" customWidth="1"/>
    <col min="15" max="35" width="10.7109375" style="1" customWidth="1"/>
    <col min="36" max="36" width="16" style="1" customWidth="1"/>
    <col min="37" max="37" width="36.85546875" style="1" customWidth="1"/>
    <col min="38" max="38" width="27.42578125" style="2" customWidth="1"/>
    <col min="39" max="39" width="28.7109375" style="2" customWidth="1"/>
    <col min="40" max="40" width="2.28515625" style="2" customWidth="1"/>
    <col min="41" max="16384" width="11.42578125" style="2"/>
  </cols>
  <sheetData>
    <row r="1" spans="1:39" s="6" customFormat="1" ht="12.75" customHeight="1">
      <c r="B1" s="280"/>
      <c r="C1" s="280"/>
      <c r="D1" s="281"/>
      <c r="E1" s="258" t="s">
        <v>0</v>
      </c>
      <c r="F1" s="264"/>
      <c r="G1" s="264"/>
      <c r="H1" s="264"/>
      <c r="I1" s="264"/>
      <c r="J1" s="264"/>
      <c r="K1" s="264"/>
      <c r="L1" s="264"/>
      <c r="M1" s="264"/>
      <c r="N1" s="265"/>
      <c r="O1" s="258" t="s">
        <v>1</v>
      </c>
      <c r="P1" s="259"/>
      <c r="Q1" s="259"/>
      <c r="R1" s="260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</row>
    <row r="2" spans="1:39" s="6" customFormat="1" ht="12.75" customHeight="1">
      <c r="B2" s="282"/>
      <c r="C2" s="282"/>
      <c r="D2" s="283"/>
      <c r="E2" s="261"/>
      <c r="F2" s="266"/>
      <c r="G2" s="266"/>
      <c r="H2" s="266"/>
      <c r="I2" s="266"/>
      <c r="J2" s="266"/>
      <c r="K2" s="266"/>
      <c r="L2" s="266"/>
      <c r="M2" s="266"/>
      <c r="N2" s="267"/>
      <c r="O2" s="271" t="s">
        <v>2</v>
      </c>
      <c r="P2" s="272"/>
      <c r="Q2" s="272"/>
      <c r="R2" s="273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</row>
    <row r="3" spans="1:39" s="6" customFormat="1" ht="15.75" customHeight="1">
      <c r="B3" s="282"/>
      <c r="C3" s="282"/>
      <c r="D3" s="283"/>
      <c r="E3" s="261"/>
      <c r="F3" s="266"/>
      <c r="G3" s="266"/>
      <c r="H3" s="266"/>
      <c r="I3" s="266"/>
      <c r="J3" s="266"/>
      <c r="K3" s="266"/>
      <c r="L3" s="266"/>
      <c r="M3" s="266"/>
      <c r="N3" s="267"/>
      <c r="O3" s="261"/>
      <c r="P3" s="262"/>
      <c r="Q3" s="262"/>
      <c r="R3" s="263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</row>
    <row r="4" spans="1:39" s="6" customFormat="1" ht="12.75" customHeight="1">
      <c r="B4" s="282"/>
      <c r="C4" s="282"/>
      <c r="D4" s="283"/>
      <c r="E4" s="261"/>
      <c r="F4" s="266"/>
      <c r="G4" s="266"/>
      <c r="H4" s="266"/>
      <c r="I4" s="266"/>
      <c r="J4" s="266"/>
      <c r="K4" s="266"/>
      <c r="L4" s="266"/>
      <c r="M4" s="266"/>
      <c r="N4" s="267"/>
      <c r="O4" s="8"/>
      <c r="P4" s="9"/>
      <c r="Q4" s="9"/>
      <c r="R4" s="10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</row>
    <row r="5" spans="1:39" s="6" customFormat="1" ht="20.25" customHeight="1">
      <c r="B5" s="284"/>
      <c r="C5" s="284"/>
      <c r="D5" s="285"/>
      <c r="E5" s="268"/>
      <c r="F5" s="269"/>
      <c r="G5" s="269"/>
      <c r="H5" s="269"/>
      <c r="I5" s="269"/>
      <c r="J5" s="269"/>
      <c r="K5" s="269"/>
      <c r="L5" s="269"/>
      <c r="M5" s="269"/>
      <c r="N5" s="270"/>
      <c r="O5" s="276" t="s">
        <v>3</v>
      </c>
      <c r="P5" s="277"/>
      <c r="Q5" s="277"/>
      <c r="R5" s="278"/>
      <c r="S5" s="7"/>
      <c r="T5" s="7"/>
      <c r="U5" s="7"/>
      <c r="V5" s="7" t="s">
        <v>4</v>
      </c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</row>
    <row r="6" spans="1:39" ht="15.75" customHeight="1">
      <c r="B6" s="247" t="s">
        <v>5</v>
      </c>
      <c r="C6" s="248"/>
      <c r="D6" s="249"/>
      <c r="E6" s="244" t="s">
        <v>6</v>
      </c>
      <c r="F6" s="245"/>
      <c r="G6" s="245"/>
      <c r="H6" s="245"/>
      <c r="I6" s="245"/>
      <c r="J6" s="245"/>
      <c r="K6" s="245"/>
      <c r="L6" s="245"/>
      <c r="M6" s="245"/>
      <c r="N6" s="246"/>
      <c r="O6" s="244" t="s">
        <v>7</v>
      </c>
      <c r="P6" s="245"/>
      <c r="Q6" s="245"/>
      <c r="R6" s="246"/>
    </row>
    <row r="7" spans="1:39" s="6" customFormat="1" ht="16.5" customHeight="1">
      <c r="E7" s="4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</row>
    <row r="8" spans="1:39" s="6" customFormat="1" ht="15.6">
      <c r="B8" s="3" t="s">
        <v>8</v>
      </c>
      <c r="C8" s="4"/>
      <c r="D8" s="5"/>
      <c r="E8" s="11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12"/>
      <c r="AB8" s="7"/>
      <c r="AC8" s="7"/>
      <c r="AD8" s="7"/>
      <c r="AE8" s="7"/>
      <c r="AF8" s="12"/>
      <c r="AG8" s="7"/>
      <c r="AH8" s="7"/>
      <c r="AI8" s="7"/>
      <c r="AJ8" s="7"/>
      <c r="AK8" s="12"/>
    </row>
    <row r="9" spans="1:39" s="6" customFormat="1" ht="16.5" customHeight="1">
      <c r="B9" s="3" t="s">
        <v>9</v>
      </c>
      <c r="C9" s="4"/>
      <c r="D9" s="4"/>
      <c r="E9" s="11"/>
      <c r="N9" s="7"/>
      <c r="O9" s="7"/>
      <c r="P9" s="7"/>
      <c r="Q9" s="7"/>
      <c r="R9" s="12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</row>
    <row r="10" spans="1:39" s="6" customFormat="1" ht="15.95" thickBot="1">
      <c r="B10" s="3"/>
      <c r="C10" s="3"/>
      <c r="D10" s="3"/>
      <c r="E10" s="4"/>
      <c r="N10" s="7"/>
      <c r="O10" s="7"/>
      <c r="P10" s="13"/>
      <c r="Q10" s="13"/>
      <c r="R10" s="14"/>
      <c r="S10" s="13"/>
      <c r="T10" s="13"/>
      <c r="U10" s="13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13"/>
      <c r="AJ10" s="13"/>
      <c r="AK10" s="13"/>
      <c r="AL10" s="15"/>
      <c r="AM10" s="15"/>
    </row>
    <row r="11" spans="1:39" s="16" customFormat="1" ht="22.9" customHeight="1" thickTop="1">
      <c r="A11" s="286" t="s">
        <v>10</v>
      </c>
      <c r="B11" s="236" t="s">
        <v>11</v>
      </c>
      <c r="C11" s="236" t="s">
        <v>12</v>
      </c>
      <c r="D11" s="274" t="s">
        <v>13</v>
      </c>
      <c r="E11" s="241" t="s">
        <v>14</v>
      </c>
      <c r="F11" s="241" t="s">
        <v>15</v>
      </c>
      <c r="G11" s="241" t="s">
        <v>16</v>
      </c>
      <c r="H11" s="241" t="s">
        <v>17</v>
      </c>
      <c r="I11" s="241" t="s">
        <v>18</v>
      </c>
      <c r="J11" s="241" t="s">
        <v>19</v>
      </c>
      <c r="K11" s="274" t="s">
        <v>20</v>
      </c>
      <c r="L11" s="274" t="s">
        <v>21</v>
      </c>
      <c r="M11" s="274" t="s">
        <v>22</v>
      </c>
      <c r="N11" s="274" t="s">
        <v>23</v>
      </c>
      <c r="O11" s="236" t="s">
        <v>24</v>
      </c>
      <c r="P11" s="274" t="s">
        <v>25</v>
      </c>
      <c r="Q11" s="274" t="s">
        <v>26</v>
      </c>
      <c r="R11" s="274" t="s">
        <v>27</v>
      </c>
      <c r="S11" s="274" t="s">
        <v>28</v>
      </c>
      <c r="T11" s="274" t="s">
        <v>29</v>
      </c>
      <c r="U11" s="236" t="s">
        <v>30</v>
      </c>
      <c r="V11" s="236" t="s">
        <v>31</v>
      </c>
      <c r="W11" s="274" t="s">
        <v>32</v>
      </c>
      <c r="X11" s="303" t="s">
        <v>33</v>
      </c>
      <c r="Y11" s="274" t="s">
        <v>34</v>
      </c>
      <c r="Z11" s="274" t="s">
        <v>35</v>
      </c>
      <c r="AA11" s="274" t="s">
        <v>36</v>
      </c>
      <c r="AB11" s="274" t="s">
        <v>37</v>
      </c>
      <c r="AC11" s="274" t="s">
        <v>38</v>
      </c>
      <c r="AD11" s="274" t="s">
        <v>39</v>
      </c>
      <c r="AE11" s="274" t="s">
        <v>40</v>
      </c>
      <c r="AF11" s="236" t="s">
        <v>41</v>
      </c>
      <c r="AG11" s="274" t="s">
        <v>42</v>
      </c>
      <c r="AH11" s="274" t="s">
        <v>43</v>
      </c>
      <c r="AI11" s="241" t="s">
        <v>44</v>
      </c>
      <c r="AJ11" s="274" t="s">
        <v>45</v>
      </c>
      <c r="AK11" s="274" t="s">
        <v>46</v>
      </c>
      <c r="AL11" s="308" t="s">
        <v>47</v>
      </c>
      <c r="AM11" s="305" t="s">
        <v>48</v>
      </c>
    </row>
    <row r="12" spans="1:39" s="16" customFormat="1" ht="22.9" customHeight="1" thickBot="1">
      <c r="A12" s="287"/>
      <c r="B12" s="237"/>
      <c r="C12" s="237"/>
      <c r="D12" s="279"/>
      <c r="E12" s="242"/>
      <c r="F12" s="242"/>
      <c r="G12" s="242"/>
      <c r="H12" s="242"/>
      <c r="I12" s="242"/>
      <c r="J12" s="242"/>
      <c r="K12" s="279"/>
      <c r="L12" s="275"/>
      <c r="M12" s="279"/>
      <c r="N12" s="279"/>
      <c r="O12" s="237"/>
      <c r="P12" s="279"/>
      <c r="Q12" s="279"/>
      <c r="R12" s="279"/>
      <c r="S12" s="299"/>
      <c r="T12" s="279"/>
      <c r="U12" s="300"/>
      <c r="V12" s="300"/>
      <c r="W12" s="299"/>
      <c r="X12" s="304"/>
      <c r="Y12" s="279"/>
      <c r="Z12" s="299"/>
      <c r="AA12" s="299"/>
      <c r="AB12" s="299"/>
      <c r="AC12" s="299"/>
      <c r="AD12" s="299"/>
      <c r="AE12" s="299"/>
      <c r="AF12" s="300"/>
      <c r="AG12" s="299"/>
      <c r="AH12" s="279"/>
      <c r="AI12" s="242"/>
      <c r="AJ12" s="279"/>
      <c r="AK12" s="307"/>
      <c r="AL12" s="309"/>
      <c r="AM12" s="306"/>
    </row>
    <row r="13" spans="1:39" s="73" customFormat="1" ht="22.9" customHeight="1" thickTop="1">
      <c r="A13" s="288" t="s">
        <v>49</v>
      </c>
      <c r="B13" s="238" t="s">
        <v>50</v>
      </c>
      <c r="C13" s="233" t="s">
        <v>51</v>
      </c>
      <c r="D13" s="243" t="s">
        <v>52</v>
      </c>
      <c r="E13" s="250" t="s">
        <v>53</v>
      </c>
      <c r="F13" s="250" t="s">
        <v>54</v>
      </c>
      <c r="G13" s="250" t="s">
        <v>55</v>
      </c>
      <c r="H13" s="250" t="s">
        <v>54</v>
      </c>
      <c r="I13" s="159">
        <f>+L14</f>
        <v>0.9</v>
      </c>
      <c r="J13" s="253">
        <v>0.15</v>
      </c>
      <c r="K13" s="294" t="s">
        <v>56</v>
      </c>
      <c r="L13" s="18" t="s">
        <v>57</v>
      </c>
      <c r="M13" s="42" t="s">
        <v>57</v>
      </c>
      <c r="N13" s="42" t="s">
        <v>57</v>
      </c>
      <c r="O13" s="59" t="s">
        <v>57</v>
      </c>
      <c r="P13" s="42" t="s">
        <v>57</v>
      </c>
      <c r="Q13" s="60" t="s">
        <v>57</v>
      </c>
      <c r="R13" s="42" t="s">
        <v>57</v>
      </c>
      <c r="S13" s="60" t="s">
        <v>57</v>
      </c>
      <c r="T13" s="42" t="s">
        <v>57</v>
      </c>
      <c r="U13" s="60" t="s">
        <v>57</v>
      </c>
      <c r="V13" s="42" t="s">
        <v>57</v>
      </c>
      <c r="W13" s="60" t="s">
        <v>57</v>
      </c>
      <c r="X13" s="42" t="s">
        <v>57</v>
      </c>
      <c r="Y13" s="60" t="s">
        <v>57</v>
      </c>
      <c r="Z13" s="42" t="s">
        <v>57</v>
      </c>
      <c r="AA13" s="60" t="s">
        <v>57</v>
      </c>
      <c r="AB13" s="42" t="s">
        <v>57</v>
      </c>
      <c r="AC13" s="60" t="s">
        <v>57</v>
      </c>
      <c r="AD13" s="42" t="s">
        <v>57</v>
      </c>
      <c r="AE13" s="60" t="s">
        <v>57</v>
      </c>
      <c r="AF13" s="42" t="s">
        <v>57</v>
      </c>
      <c r="AG13" s="60" t="s">
        <v>57</v>
      </c>
      <c r="AH13" s="42" t="s">
        <v>57</v>
      </c>
      <c r="AI13" s="60" t="s">
        <v>57</v>
      </c>
      <c r="AJ13" s="20"/>
      <c r="AK13" s="171" t="s">
        <v>58</v>
      </c>
      <c r="AL13" s="171"/>
      <c r="AM13" s="156" t="s">
        <v>59</v>
      </c>
    </row>
    <row r="14" spans="1:39" s="73" customFormat="1" ht="22.9" customHeight="1">
      <c r="A14" s="289"/>
      <c r="B14" s="239"/>
      <c r="C14" s="234"/>
      <c r="D14" s="457"/>
      <c r="E14" s="251"/>
      <c r="F14" s="251"/>
      <c r="G14" s="251"/>
      <c r="H14" s="251"/>
      <c r="I14" s="160"/>
      <c r="J14" s="254"/>
      <c r="K14" s="297"/>
      <c r="L14" s="41">
        <f>IF(L16&lt;&gt;0,+L16/L18,0%)</f>
        <v>0.9</v>
      </c>
      <c r="M14" s="83">
        <f>IF(M16&lt;&gt;0,+M16/M18,0%)</f>
        <v>0</v>
      </c>
      <c r="N14" s="84">
        <f>IF(N16&lt;&gt;0,+N16/N18,0%)</f>
        <v>0</v>
      </c>
      <c r="O14" s="85">
        <f t="shared" ref="O14:AG14" si="0">IF(O16&lt;&gt;0,+O16/O18,0%)</f>
        <v>0</v>
      </c>
      <c r="P14" s="84">
        <f>IF(P16&lt;&gt;0,ROUND(+P16/P18,4),0%)</f>
        <v>0</v>
      </c>
      <c r="Q14" s="86">
        <f t="shared" si="0"/>
        <v>0</v>
      </c>
      <c r="R14" s="87">
        <f>IF(R16&lt;&gt;0,ROUND(+R16/R18,4),0%)</f>
        <v>0</v>
      </c>
      <c r="S14" s="86">
        <f t="shared" si="0"/>
        <v>0</v>
      </c>
      <c r="T14" s="87">
        <f>IF(T16&lt;&gt;0,ROUND(+T16/T18,4),0%)</f>
        <v>0</v>
      </c>
      <c r="U14" s="86">
        <f t="shared" si="0"/>
        <v>0</v>
      </c>
      <c r="V14" s="87">
        <f>IF(V16&lt;&gt;0,ROUND(+V16/V18,4),0%)</f>
        <v>0</v>
      </c>
      <c r="W14" s="86">
        <f t="shared" si="0"/>
        <v>0</v>
      </c>
      <c r="X14" s="87">
        <f>IF(X16&lt;&gt;0,ROUND(+X16/X18,4),0%)</f>
        <v>0</v>
      </c>
      <c r="Y14" s="86">
        <f t="shared" si="0"/>
        <v>0</v>
      </c>
      <c r="Z14" s="88">
        <f>IF(Z16&lt;&gt;0,ROUND(+Z16/Z18,4),0%)</f>
        <v>0</v>
      </c>
      <c r="AA14" s="86">
        <f t="shared" si="0"/>
        <v>0</v>
      </c>
      <c r="AB14" s="87">
        <f>IF(AB16&lt;&gt;0,ROUND(+AB16/AB18,4),0%)</f>
        <v>0</v>
      </c>
      <c r="AC14" s="86">
        <f t="shared" si="0"/>
        <v>0</v>
      </c>
      <c r="AD14" s="87">
        <f>IF(AD16&lt;&gt;0,ROUND(+AD16/AD18,4),0%)</f>
        <v>0</v>
      </c>
      <c r="AE14" s="86">
        <f t="shared" si="0"/>
        <v>0</v>
      </c>
      <c r="AF14" s="87">
        <f>IF(AF16&lt;&gt;0,ROUND(+AF16/AF18,4),0%)</f>
        <v>0</v>
      </c>
      <c r="AG14" s="86">
        <f t="shared" si="0"/>
        <v>0</v>
      </c>
      <c r="AH14" s="87">
        <f>IF(AH16&lt;&gt;0,ROUND(+AH16/AH18,4),0%)</f>
        <v>0</v>
      </c>
      <c r="AI14" s="86">
        <f>IF(AI16&lt;&gt;0,+AI16/AI18,0%)</f>
        <v>0</v>
      </c>
      <c r="AJ14" s="23"/>
      <c r="AK14" s="172"/>
      <c r="AL14" s="172"/>
      <c r="AM14" s="157"/>
    </row>
    <row r="15" spans="1:39" s="73" customFormat="1" ht="22.9" customHeight="1" thickBot="1">
      <c r="A15" s="289"/>
      <c r="B15" s="239"/>
      <c r="C15" s="234"/>
      <c r="D15" s="457"/>
      <c r="E15" s="251"/>
      <c r="F15" s="251"/>
      <c r="G15" s="251"/>
      <c r="H15" s="251"/>
      <c r="I15" s="160"/>
      <c r="J15" s="254"/>
      <c r="K15" s="298"/>
      <c r="L15" s="24" t="s">
        <v>60</v>
      </c>
      <c r="M15" s="44" t="s">
        <v>60</v>
      </c>
      <c r="N15" s="44" t="s">
        <v>60</v>
      </c>
      <c r="O15" s="56" t="s">
        <v>60</v>
      </c>
      <c r="P15" s="44" t="s">
        <v>60</v>
      </c>
      <c r="Q15" s="65" t="s">
        <v>60</v>
      </c>
      <c r="R15" s="44" t="s">
        <v>60</v>
      </c>
      <c r="S15" s="65" t="s">
        <v>60</v>
      </c>
      <c r="T15" s="44" t="s">
        <v>60</v>
      </c>
      <c r="U15" s="65" t="s">
        <v>60</v>
      </c>
      <c r="V15" s="44" t="s">
        <v>60</v>
      </c>
      <c r="W15" s="65" t="s">
        <v>60</v>
      </c>
      <c r="X15" s="44" t="s">
        <v>60</v>
      </c>
      <c r="Y15" s="65" t="s">
        <v>60</v>
      </c>
      <c r="Z15" s="44" t="s">
        <v>60</v>
      </c>
      <c r="AA15" s="65" t="s">
        <v>60</v>
      </c>
      <c r="AB15" s="44" t="s">
        <v>60</v>
      </c>
      <c r="AC15" s="65" t="s">
        <v>60</v>
      </c>
      <c r="AD15" s="44" t="s">
        <v>60</v>
      </c>
      <c r="AE15" s="65" t="s">
        <v>60</v>
      </c>
      <c r="AF15" s="44" t="s">
        <v>60</v>
      </c>
      <c r="AG15" s="65" t="s">
        <v>60</v>
      </c>
      <c r="AH15" s="44" t="s">
        <v>60</v>
      </c>
      <c r="AI15" s="65" t="s">
        <v>60</v>
      </c>
      <c r="AJ15" s="23"/>
      <c r="AK15" s="172"/>
      <c r="AL15" s="172"/>
      <c r="AM15" s="157"/>
    </row>
    <row r="16" spans="1:39" s="73" customFormat="1" ht="22.9" customHeight="1" thickTop="1">
      <c r="A16" s="289"/>
      <c r="B16" s="239"/>
      <c r="C16" s="234"/>
      <c r="D16" s="457"/>
      <c r="E16" s="251"/>
      <c r="F16" s="251"/>
      <c r="G16" s="251"/>
      <c r="H16" s="251"/>
      <c r="I16" s="160"/>
      <c r="J16" s="254"/>
      <c r="K16" s="294" t="s">
        <v>61</v>
      </c>
      <c r="L16" s="45">
        <v>24300</v>
      </c>
      <c r="M16" s="48"/>
      <c r="N16" s="48"/>
      <c r="O16" s="49">
        <f>+M16+N16</f>
        <v>0</v>
      </c>
      <c r="P16" s="48"/>
      <c r="Q16" s="49">
        <f>+O16+P16</f>
        <v>0</v>
      </c>
      <c r="R16" s="48"/>
      <c r="S16" s="49">
        <f>+Q16+R16</f>
        <v>0</v>
      </c>
      <c r="T16" s="48"/>
      <c r="U16" s="49">
        <f>+S16+T16</f>
        <v>0</v>
      </c>
      <c r="V16" s="48"/>
      <c r="W16" s="49">
        <f>+U16+V16</f>
        <v>0</v>
      </c>
      <c r="X16" s="48"/>
      <c r="Y16" s="49">
        <f>+W16+X16</f>
        <v>0</v>
      </c>
      <c r="Z16" s="48"/>
      <c r="AA16" s="49">
        <f>+Y16+Z16</f>
        <v>0</v>
      </c>
      <c r="AB16" s="48"/>
      <c r="AC16" s="49">
        <f>+AA16+AB16</f>
        <v>0</v>
      </c>
      <c r="AD16" s="48"/>
      <c r="AE16" s="49">
        <f>+AC16+AD16</f>
        <v>0</v>
      </c>
      <c r="AF16" s="48"/>
      <c r="AG16" s="49">
        <f>+AE16+AF16</f>
        <v>0</v>
      </c>
      <c r="AH16" s="48"/>
      <c r="AI16" s="49">
        <f>+AG16+AH16</f>
        <v>0</v>
      </c>
      <c r="AJ16" s="29">
        <f>+AI14/L14</f>
        <v>0</v>
      </c>
      <c r="AK16" s="172"/>
      <c r="AL16" s="172"/>
      <c r="AM16" s="157"/>
    </row>
    <row r="17" spans="1:39" s="73" customFormat="1" ht="22.9" customHeight="1">
      <c r="A17" s="289"/>
      <c r="B17" s="239"/>
      <c r="C17" s="234"/>
      <c r="D17" s="457"/>
      <c r="E17" s="251"/>
      <c r="F17" s="251"/>
      <c r="G17" s="251"/>
      <c r="H17" s="251"/>
      <c r="I17" s="160"/>
      <c r="J17" s="254"/>
      <c r="K17" s="297"/>
      <c r="L17" s="46" t="s">
        <v>62</v>
      </c>
      <c r="M17" s="46" t="s">
        <v>62</v>
      </c>
      <c r="N17" s="46" t="s">
        <v>62</v>
      </c>
      <c r="O17" s="50" t="s">
        <v>62</v>
      </c>
      <c r="P17" s="46" t="s">
        <v>62</v>
      </c>
      <c r="Q17" s="50" t="s">
        <v>62</v>
      </c>
      <c r="R17" s="46" t="s">
        <v>62</v>
      </c>
      <c r="S17" s="50" t="s">
        <v>62</v>
      </c>
      <c r="T17" s="46" t="s">
        <v>62</v>
      </c>
      <c r="U17" s="50" t="s">
        <v>62</v>
      </c>
      <c r="V17" s="46" t="s">
        <v>62</v>
      </c>
      <c r="W17" s="50" t="s">
        <v>62</v>
      </c>
      <c r="X17" s="46" t="s">
        <v>62</v>
      </c>
      <c r="Y17" s="50" t="s">
        <v>62</v>
      </c>
      <c r="Z17" s="46" t="s">
        <v>62</v>
      </c>
      <c r="AA17" s="50" t="s">
        <v>62</v>
      </c>
      <c r="AB17" s="46" t="s">
        <v>62</v>
      </c>
      <c r="AC17" s="50" t="s">
        <v>62</v>
      </c>
      <c r="AD17" s="46" t="s">
        <v>62</v>
      </c>
      <c r="AE17" s="50" t="s">
        <v>62</v>
      </c>
      <c r="AF17" s="46" t="s">
        <v>62</v>
      </c>
      <c r="AG17" s="50" t="s">
        <v>62</v>
      </c>
      <c r="AH17" s="46" t="s">
        <v>62</v>
      </c>
      <c r="AI17" s="66" t="s">
        <v>62</v>
      </c>
      <c r="AJ17" s="23"/>
      <c r="AK17" s="172"/>
      <c r="AL17" s="172"/>
      <c r="AM17" s="157"/>
    </row>
    <row r="18" spans="1:39" s="73" customFormat="1" ht="22.9" customHeight="1" thickBot="1">
      <c r="A18" s="290"/>
      <c r="B18" s="240"/>
      <c r="C18" s="235"/>
      <c r="D18" s="458"/>
      <c r="E18" s="251"/>
      <c r="F18" s="252"/>
      <c r="G18" s="252"/>
      <c r="H18" s="252"/>
      <c r="I18" s="161"/>
      <c r="J18" s="255"/>
      <c r="K18" s="298"/>
      <c r="L18" s="45">
        <v>27000</v>
      </c>
      <c r="M18" s="51"/>
      <c r="N18" s="51"/>
      <c r="O18" s="52">
        <f>+M18+N18</f>
        <v>0</v>
      </c>
      <c r="P18" s="51"/>
      <c r="Q18" s="52">
        <f>+O18+P18</f>
        <v>0</v>
      </c>
      <c r="R18" s="51"/>
      <c r="S18" s="52">
        <f>+Q18+R18</f>
        <v>0</v>
      </c>
      <c r="T18" s="51"/>
      <c r="U18" s="52">
        <f>+S18+T18</f>
        <v>0</v>
      </c>
      <c r="V18" s="51"/>
      <c r="W18" s="52">
        <f>+U18+V18</f>
        <v>0</v>
      </c>
      <c r="X18" s="51"/>
      <c r="Y18" s="52">
        <f>+W18+X18</f>
        <v>0</v>
      </c>
      <c r="Z18" s="51"/>
      <c r="AA18" s="52">
        <f>+Y18+Z18</f>
        <v>0</v>
      </c>
      <c r="AB18" s="51"/>
      <c r="AC18" s="52">
        <f>+AA18+AB18</f>
        <v>0</v>
      </c>
      <c r="AD18" s="51"/>
      <c r="AE18" s="52">
        <f>+AC18+AD18</f>
        <v>0</v>
      </c>
      <c r="AF18" s="51"/>
      <c r="AG18" s="52">
        <f>+AE18+AF18</f>
        <v>0</v>
      </c>
      <c r="AH18" s="51"/>
      <c r="AI18" s="52">
        <f>+AG18+AH18</f>
        <v>0</v>
      </c>
      <c r="AJ18" s="33"/>
      <c r="AK18" s="173"/>
      <c r="AL18" s="173"/>
      <c r="AM18" s="158"/>
    </row>
    <row r="19" spans="1:39" s="17" customFormat="1" ht="22.9" customHeight="1" thickTop="1">
      <c r="A19" s="291" t="s">
        <v>63</v>
      </c>
      <c r="B19" s="147" t="s">
        <v>64</v>
      </c>
      <c r="C19" s="147" t="s">
        <v>65</v>
      </c>
      <c r="D19" s="150" t="s">
        <v>66</v>
      </c>
      <c r="E19" s="150" t="s">
        <v>67</v>
      </c>
      <c r="F19" s="150" t="s">
        <v>68</v>
      </c>
      <c r="G19" s="189" t="s">
        <v>69</v>
      </c>
      <c r="H19" s="153" t="s">
        <v>70</v>
      </c>
      <c r="I19" s="180">
        <f>L20</f>
        <v>0.94424623879945524</v>
      </c>
      <c r="J19" s="218">
        <v>0.2</v>
      </c>
      <c r="K19" s="301" t="s">
        <v>71</v>
      </c>
      <c r="L19" s="18" t="s">
        <v>57</v>
      </c>
      <c r="M19" s="18" t="s">
        <v>57</v>
      </c>
      <c r="N19" s="18" t="s">
        <v>57</v>
      </c>
      <c r="O19" s="19" t="s">
        <v>57</v>
      </c>
      <c r="P19" s="18" t="s">
        <v>57</v>
      </c>
      <c r="Q19" s="19" t="s">
        <v>57</v>
      </c>
      <c r="R19" s="18" t="s">
        <v>57</v>
      </c>
      <c r="S19" s="19" t="s">
        <v>57</v>
      </c>
      <c r="T19" s="18" t="s">
        <v>57</v>
      </c>
      <c r="U19" s="19" t="s">
        <v>57</v>
      </c>
      <c r="V19" s="18" t="s">
        <v>57</v>
      </c>
      <c r="W19" s="19" t="s">
        <v>57</v>
      </c>
      <c r="X19" s="18" t="s">
        <v>57</v>
      </c>
      <c r="Y19" s="19" t="s">
        <v>57</v>
      </c>
      <c r="Z19" s="18" t="s">
        <v>57</v>
      </c>
      <c r="AA19" s="19" t="s">
        <v>57</v>
      </c>
      <c r="AB19" s="18" t="s">
        <v>57</v>
      </c>
      <c r="AC19" s="19" t="s">
        <v>57</v>
      </c>
      <c r="AD19" s="18" t="s">
        <v>57</v>
      </c>
      <c r="AE19" s="19" t="s">
        <v>57</v>
      </c>
      <c r="AF19" s="18" t="s">
        <v>57</v>
      </c>
      <c r="AG19" s="19" t="s">
        <v>57</v>
      </c>
      <c r="AH19" s="18" t="s">
        <v>57</v>
      </c>
      <c r="AI19" s="19" t="s">
        <v>57</v>
      </c>
      <c r="AJ19" s="20"/>
      <c r="AK19" s="165" t="s">
        <v>72</v>
      </c>
      <c r="AL19" s="168"/>
      <c r="AM19" s="156" t="s">
        <v>73</v>
      </c>
    </row>
    <row r="20" spans="1:39" s="17" customFormat="1" ht="22.9" customHeight="1">
      <c r="A20" s="292"/>
      <c r="B20" s="256"/>
      <c r="C20" s="148"/>
      <c r="D20" s="459"/>
      <c r="E20" s="151"/>
      <c r="F20" s="151"/>
      <c r="G20" s="190"/>
      <c r="H20" s="154"/>
      <c r="I20" s="181"/>
      <c r="J20" s="219"/>
      <c r="K20" s="174"/>
      <c r="L20" s="41">
        <f>IF(L22&lt;&gt;0,+L22/L24,0%)</f>
        <v>0.94424623879945524</v>
      </c>
      <c r="M20" s="40">
        <f>IF(M22&lt;&gt;0,+M22/M24,0%)</f>
        <v>0.9416689869789534</v>
      </c>
      <c r="N20" s="40">
        <f>IF(N22&lt;&gt;0,+N22/N24,0%)</f>
        <v>0.94356699009529854</v>
      </c>
      <c r="O20" s="22">
        <f t="shared" ref="O20:Q20" si="1">IF(O22&lt;&gt;0,+O22/O24,0%)</f>
        <v>0.94257266366808012</v>
      </c>
      <c r="P20" s="40">
        <f>IF(P22&lt;&gt;0,+P22/P24,0%)</f>
        <v>0.94267519902059072</v>
      </c>
      <c r="Q20" s="22">
        <f t="shared" si="1"/>
        <v>0.94260902502126453</v>
      </c>
      <c r="R20" s="40">
        <f>IF(R22&lt;&gt;0,+R22/R24,0%)</f>
        <v>0.95308571684461707</v>
      </c>
      <c r="S20" s="22">
        <f t="shared" ref="S20" si="2">IF(S22&lt;&gt;0,+S22/S24,0%)</f>
        <v>0.94530359196607949</v>
      </c>
      <c r="T20" s="40">
        <f>IF(T22&lt;&gt;0,+T22/T24,0%)</f>
        <v>0.95421384136355103</v>
      </c>
      <c r="U20" s="22">
        <f t="shared" ref="U20" si="3">IF(U22&lt;&gt;0,+U22/U24,0%)</f>
        <v>0.94710935491149906</v>
      </c>
      <c r="V20" s="40">
        <f>IF(V22&lt;&gt;0,+V22/V24,0%)</f>
        <v>0.9471073285167606</v>
      </c>
      <c r="W20" s="22">
        <f t="shared" ref="W20" si="4">IF(W22&lt;&gt;0,+W22/W24,0%)</f>
        <v>0.94710906295933228</v>
      </c>
      <c r="X20" s="40">
        <f>IF(X22&lt;&gt;0,+X22/X24,0%)</f>
        <v>0.92311748037348451</v>
      </c>
      <c r="Y20" s="22">
        <f t="shared" ref="Y20" si="5">IF(Y22&lt;&gt;0,+Y22/Y24,0%)</f>
        <v>0.94243865914169367</v>
      </c>
      <c r="Z20" s="40">
        <f>IF(Z22&lt;&gt;0,+Z22/Z24,0%)</f>
        <v>0.95254300449644402</v>
      </c>
      <c r="AA20" s="22">
        <f t="shared" ref="AA20" si="6">IF(AA22&lt;&gt;0,+AA22/AA24,0%)</f>
        <v>0.94359011339667198</v>
      </c>
      <c r="AB20" s="40">
        <f>IF(AB22&lt;&gt;0,+AB22/AB24,0%)</f>
        <v>0.94530749719323048</v>
      </c>
      <c r="AC20" s="22">
        <f t="shared" ref="AC20" si="7">IF(AC22&lt;&gt;0,+AC22/AC24,0%)</f>
        <v>0.94374103584929447</v>
      </c>
      <c r="AD20" s="40">
        <f>IF(AD22&lt;&gt;0,+AD22/AD24,0%)</f>
        <v>0.9337202064547403</v>
      </c>
      <c r="AE20" s="22">
        <f t="shared" ref="AE20" si="8">IF(AE22&lt;&gt;0,+AE22/AE24,0%)</f>
        <v>0.94256724168356898</v>
      </c>
      <c r="AF20" s="40">
        <f>IF(AF22&lt;&gt;0,+AF22/AF24,0%)</f>
        <v>0.94905499692573259</v>
      </c>
      <c r="AG20" s="22">
        <f t="shared" ref="AG20" si="9">IF(AG22&lt;&gt;0,+AG22/AG24,0%)</f>
        <v>0.94307261459669534</v>
      </c>
      <c r="AH20" s="40">
        <f>IF(AH22&lt;&gt;0,+AH22/AH24,0%)</f>
        <v>0.9603861967394195</v>
      </c>
      <c r="AI20" s="22">
        <f t="shared" ref="AI20" si="10">IF(AI22&lt;&gt;0,+AI22/AI24,0%)</f>
        <v>0.94424623879945524</v>
      </c>
      <c r="AJ20" s="23"/>
      <c r="AK20" s="166"/>
      <c r="AL20" s="169"/>
      <c r="AM20" s="157"/>
    </row>
    <row r="21" spans="1:39" s="17" customFormat="1" ht="22.9" customHeight="1" thickBot="1">
      <c r="A21" s="292"/>
      <c r="B21" s="256"/>
      <c r="C21" s="148"/>
      <c r="D21" s="459"/>
      <c r="E21" s="151"/>
      <c r="F21" s="151"/>
      <c r="G21" s="190"/>
      <c r="H21" s="154"/>
      <c r="I21" s="181"/>
      <c r="J21" s="219"/>
      <c r="K21" s="176"/>
      <c r="L21" s="24" t="s">
        <v>60</v>
      </c>
      <c r="M21" s="24" t="s">
        <v>60</v>
      </c>
      <c r="N21" s="24" t="s">
        <v>60</v>
      </c>
      <c r="O21" s="25" t="s">
        <v>60</v>
      </c>
      <c r="P21" s="24" t="s">
        <v>60</v>
      </c>
      <c r="Q21" s="25" t="s">
        <v>60</v>
      </c>
      <c r="R21" s="24" t="s">
        <v>60</v>
      </c>
      <c r="S21" s="25" t="s">
        <v>60</v>
      </c>
      <c r="T21" s="24" t="s">
        <v>60</v>
      </c>
      <c r="U21" s="25" t="s">
        <v>60</v>
      </c>
      <c r="V21" s="24" t="s">
        <v>60</v>
      </c>
      <c r="W21" s="25" t="s">
        <v>60</v>
      </c>
      <c r="X21" s="24" t="s">
        <v>60</v>
      </c>
      <c r="Y21" s="25" t="s">
        <v>60</v>
      </c>
      <c r="Z21" s="24" t="s">
        <v>60</v>
      </c>
      <c r="AA21" s="25" t="s">
        <v>60</v>
      </c>
      <c r="AB21" s="24" t="s">
        <v>60</v>
      </c>
      <c r="AC21" s="25" t="s">
        <v>60</v>
      </c>
      <c r="AD21" s="24" t="s">
        <v>60</v>
      </c>
      <c r="AE21" s="25" t="s">
        <v>60</v>
      </c>
      <c r="AF21" s="24" t="s">
        <v>60</v>
      </c>
      <c r="AG21" s="25" t="s">
        <v>60</v>
      </c>
      <c r="AH21" s="24" t="s">
        <v>60</v>
      </c>
      <c r="AI21" s="25" t="s">
        <v>60</v>
      </c>
      <c r="AJ21" s="23"/>
      <c r="AK21" s="166"/>
      <c r="AL21" s="169"/>
      <c r="AM21" s="157"/>
    </row>
    <row r="22" spans="1:39" s="17" customFormat="1" ht="22.9" customHeight="1" thickTop="1">
      <c r="A22" s="292"/>
      <c r="B22" s="256"/>
      <c r="C22" s="148"/>
      <c r="D22" s="459"/>
      <c r="E22" s="151"/>
      <c r="F22" s="151"/>
      <c r="G22" s="190"/>
      <c r="H22" s="154"/>
      <c r="I22" s="181"/>
      <c r="J22" s="219"/>
      <c r="K22" s="174" t="s">
        <v>74</v>
      </c>
      <c r="L22" s="26">
        <v>3404917</v>
      </c>
      <c r="M22" s="27">
        <v>287468</v>
      </c>
      <c r="N22" s="27">
        <v>261787</v>
      </c>
      <c r="O22" s="49">
        <f>+M22+N22</f>
        <v>549255</v>
      </c>
      <c r="P22" s="27">
        <v>301838</v>
      </c>
      <c r="Q22" s="49">
        <f>+O22+P22</f>
        <v>851093</v>
      </c>
      <c r="R22" s="27">
        <v>297967</v>
      </c>
      <c r="S22" s="49">
        <f>+Q22+R22</f>
        <v>1149060</v>
      </c>
      <c r="T22" s="27">
        <v>294812</v>
      </c>
      <c r="U22" s="49">
        <f>+S22+T22</f>
        <v>1443872</v>
      </c>
      <c r="V22" s="27">
        <v>243041</v>
      </c>
      <c r="W22" s="49">
        <f>+U22+V22</f>
        <v>1686913</v>
      </c>
      <c r="X22" s="27">
        <v>397439</v>
      </c>
      <c r="Y22" s="49">
        <f>+W22+X22</f>
        <v>2084352</v>
      </c>
      <c r="Z22" s="27">
        <v>270948</v>
      </c>
      <c r="AA22" s="49">
        <f>+Y22+Z22</f>
        <v>2355300</v>
      </c>
      <c r="AB22" s="27">
        <v>227337</v>
      </c>
      <c r="AC22" s="49">
        <f>+AA22+AB22</f>
        <v>2582637</v>
      </c>
      <c r="AD22" s="27">
        <v>339017</v>
      </c>
      <c r="AE22" s="49">
        <f>+AC22+AD22</f>
        <v>2921654</v>
      </c>
      <c r="AF22" s="27">
        <v>248511</v>
      </c>
      <c r="AG22" s="49">
        <f>+AE22+AF22</f>
        <v>3170165</v>
      </c>
      <c r="AH22" s="27">
        <v>234752</v>
      </c>
      <c r="AI22" s="49">
        <f>+AG22+AH22</f>
        <v>3404917</v>
      </c>
      <c r="AJ22" s="29">
        <f>+AI20/L20</f>
        <v>1</v>
      </c>
      <c r="AK22" s="166"/>
      <c r="AL22" s="169"/>
      <c r="AM22" s="157"/>
    </row>
    <row r="23" spans="1:39" s="17" customFormat="1" ht="22.9" customHeight="1">
      <c r="A23" s="292"/>
      <c r="B23" s="256"/>
      <c r="C23" s="148"/>
      <c r="D23" s="459"/>
      <c r="E23" s="151"/>
      <c r="F23" s="151"/>
      <c r="G23" s="190"/>
      <c r="H23" s="154"/>
      <c r="I23" s="181"/>
      <c r="J23" s="219"/>
      <c r="K23" s="175"/>
      <c r="L23" s="30" t="s">
        <v>62</v>
      </c>
      <c r="M23" s="30" t="s">
        <v>62</v>
      </c>
      <c r="N23" s="30" t="s">
        <v>62</v>
      </c>
      <c r="O23" s="50" t="s">
        <v>62</v>
      </c>
      <c r="P23" s="30" t="s">
        <v>62</v>
      </c>
      <c r="Q23" s="50" t="s">
        <v>62</v>
      </c>
      <c r="R23" s="30" t="s">
        <v>62</v>
      </c>
      <c r="S23" s="50" t="s">
        <v>62</v>
      </c>
      <c r="T23" s="30" t="s">
        <v>62</v>
      </c>
      <c r="U23" s="50" t="s">
        <v>62</v>
      </c>
      <c r="V23" s="30" t="s">
        <v>62</v>
      </c>
      <c r="W23" s="50" t="s">
        <v>62</v>
      </c>
      <c r="X23" s="30" t="s">
        <v>62</v>
      </c>
      <c r="Y23" s="50" t="s">
        <v>62</v>
      </c>
      <c r="Z23" s="30" t="s">
        <v>62</v>
      </c>
      <c r="AA23" s="50" t="s">
        <v>62</v>
      </c>
      <c r="AB23" s="30" t="s">
        <v>62</v>
      </c>
      <c r="AC23" s="50" t="s">
        <v>62</v>
      </c>
      <c r="AD23" s="30" t="s">
        <v>62</v>
      </c>
      <c r="AE23" s="50" t="s">
        <v>62</v>
      </c>
      <c r="AF23" s="30" t="s">
        <v>62</v>
      </c>
      <c r="AG23" s="50" t="s">
        <v>62</v>
      </c>
      <c r="AH23" s="30" t="s">
        <v>62</v>
      </c>
      <c r="AI23" s="50" t="s">
        <v>62</v>
      </c>
      <c r="AJ23" s="23"/>
      <c r="AK23" s="166"/>
      <c r="AL23" s="169"/>
      <c r="AM23" s="157"/>
    </row>
    <row r="24" spans="1:39" s="17" customFormat="1" ht="22.9" customHeight="1" thickBot="1">
      <c r="A24" s="293"/>
      <c r="B24" s="257"/>
      <c r="C24" s="149"/>
      <c r="D24" s="460"/>
      <c r="E24" s="152"/>
      <c r="F24" s="152"/>
      <c r="G24" s="191"/>
      <c r="H24" s="155"/>
      <c r="I24" s="182"/>
      <c r="J24" s="220"/>
      <c r="K24" s="176"/>
      <c r="L24" s="26">
        <v>3605963</v>
      </c>
      <c r="M24" s="32">
        <f>187467+117808</f>
        <v>305275</v>
      </c>
      <c r="N24" s="32">
        <v>277444</v>
      </c>
      <c r="O24" s="52">
        <f>+M24+N24</f>
        <v>582719</v>
      </c>
      <c r="P24" s="51">
        <v>320193</v>
      </c>
      <c r="Q24" s="52">
        <f>+O24+P24</f>
        <v>902912</v>
      </c>
      <c r="R24" s="51">
        <v>312634</v>
      </c>
      <c r="S24" s="52">
        <f>+Q24+R24</f>
        <v>1215546</v>
      </c>
      <c r="T24" s="51">
        <v>308958</v>
      </c>
      <c r="U24" s="52">
        <f>+S24+T24</f>
        <v>1524504</v>
      </c>
      <c r="V24" s="51">
        <v>256614</v>
      </c>
      <c r="W24" s="52">
        <f>+U24+V24</f>
        <v>1781118</v>
      </c>
      <c r="X24" s="51">
        <v>430540</v>
      </c>
      <c r="Y24" s="52">
        <f>+W24+X24</f>
        <v>2211658</v>
      </c>
      <c r="Z24" s="51">
        <v>284447</v>
      </c>
      <c r="AA24" s="52">
        <f>+Y24+Z24</f>
        <v>2496105</v>
      </c>
      <c r="AB24" s="51">
        <v>240490</v>
      </c>
      <c r="AC24" s="52">
        <f>+AA24+AB24</f>
        <v>2736595</v>
      </c>
      <c r="AD24" s="51">
        <v>363082</v>
      </c>
      <c r="AE24" s="52">
        <f>+AC24+AD24</f>
        <v>3099677</v>
      </c>
      <c r="AF24" s="51">
        <v>261851</v>
      </c>
      <c r="AG24" s="52">
        <f>+AE24+AF24</f>
        <v>3361528</v>
      </c>
      <c r="AH24" s="51">
        <v>244435</v>
      </c>
      <c r="AI24" s="52">
        <f>+AG24+AH24</f>
        <v>3605963</v>
      </c>
      <c r="AJ24" s="33"/>
      <c r="AK24" s="167"/>
      <c r="AL24" s="170"/>
      <c r="AM24" s="158"/>
    </row>
    <row r="25" spans="1:39" s="17" customFormat="1" ht="22.9" customHeight="1" thickTop="1">
      <c r="A25" s="291" t="s">
        <v>75</v>
      </c>
      <c r="B25" s="147" t="s">
        <v>76</v>
      </c>
      <c r="C25" s="215" t="s">
        <v>77</v>
      </c>
      <c r="D25" s="150" t="s">
        <v>78</v>
      </c>
      <c r="E25" s="150" t="s">
        <v>67</v>
      </c>
      <c r="F25" s="150" t="s">
        <v>68</v>
      </c>
      <c r="G25" s="189" t="s">
        <v>69</v>
      </c>
      <c r="H25" s="153" t="s">
        <v>70</v>
      </c>
      <c r="I25" s="180">
        <f>L26</f>
        <v>0.60135992747053491</v>
      </c>
      <c r="J25" s="218">
        <v>0.25</v>
      </c>
      <c r="K25" s="301" t="s">
        <v>79</v>
      </c>
      <c r="L25" s="18" t="s">
        <v>57</v>
      </c>
      <c r="M25" s="18" t="s">
        <v>57</v>
      </c>
      <c r="N25" s="18" t="s">
        <v>57</v>
      </c>
      <c r="O25" s="19" t="s">
        <v>57</v>
      </c>
      <c r="P25" s="18" t="s">
        <v>57</v>
      </c>
      <c r="Q25" s="19" t="s">
        <v>57</v>
      </c>
      <c r="R25" s="18" t="s">
        <v>57</v>
      </c>
      <c r="S25" s="19" t="s">
        <v>57</v>
      </c>
      <c r="T25" s="18" t="s">
        <v>57</v>
      </c>
      <c r="U25" s="19" t="s">
        <v>57</v>
      </c>
      <c r="V25" s="18" t="s">
        <v>57</v>
      </c>
      <c r="W25" s="19" t="s">
        <v>57</v>
      </c>
      <c r="X25" s="18" t="s">
        <v>57</v>
      </c>
      <c r="Y25" s="19" t="s">
        <v>57</v>
      </c>
      <c r="Z25" s="18" t="s">
        <v>57</v>
      </c>
      <c r="AA25" s="19" t="s">
        <v>57</v>
      </c>
      <c r="AB25" s="18" t="s">
        <v>57</v>
      </c>
      <c r="AC25" s="19" t="s">
        <v>57</v>
      </c>
      <c r="AD25" s="18" t="s">
        <v>57</v>
      </c>
      <c r="AE25" s="19" t="s">
        <v>57</v>
      </c>
      <c r="AF25" s="18" t="s">
        <v>57</v>
      </c>
      <c r="AG25" s="19" t="s">
        <v>57</v>
      </c>
      <c r="AH25" s="18" t="s">
        <v>57</v>
      </c>
      <c r="AI25" s="19" t="s">
        <v>57</v>
      </c>
      <c r="AJ25" s="34"/>
      <c r="AK25" s="224" t="s">
        <v>80</v>
      </c>
      <c r="AL25" s="195"/>
      <c r="AM25" s="156" t="s">
        <v>81</v>
      </c>
    </row>
    <row r="26" spans="1:39" s="17" customFormat="1" ht="22.9" customHeight="1">
      <c r="A26" s="292"/>
      <c r="B26" s="213"/>
      <c r="C26" s="216"/>
      <c r="D26" s="151"/>
      <c r="E26" s="151"/>
      <c r="F26" s="151"/>
      <c r="G26" s="190"/>
      <c r="H26" s="154"/>
      <c r="I26" s="181"/>
      <c r="J26" s="219"/>
      <c r="K26" s="174"/>
      <c r="L26" s="41">
        <f>IF(L28&lt;&gt;0,+L28/L30,0%)</f>
        <v>0.60135992747053491</v>
      </c>
      <c r="M26" s="21">
        <f>IF(M28&lt;&gt;0,+M28/M30,0%)</f>
        <v>0</v>
      </c>
      <c r="N26" s="21">
        <f>IF(N28&lt;&gt;0,+N28/N30,0%)</f>
        <v>0.45425867507886436</v>
      </c>
      <c r="O26" s="22">
        <f t="shared" ref="O26:Q26" si="11">IF(O28&lt;&gt;0,+O28/O30,0%)</f>
        <v>0.45425867507886436</v>
      </c>
      <c r="P26" s="21">
        <f>IF(P28&lt;&gt;0,+P28/P30,0%)</f>
        <v>0.71816037735849059</v>
      </c>
      <c r="Q26" s="22">
        <f t="shared" si="11"/>
        <v>0.56001890359168238</v>
      </c>
      <c r="R26" s="21">
        <f>IF(R28&lt;&gt;0,+R28/R30,0%)</f>
        <v>0.58841698841698842</v>
      </c>
      <c r="S26" s="22">
        <f t="shared" ref="S26" si="12">IF(S28&lt;&gt;0,+S28/S30,0%)</f>
        <v>0.57080035180299038</v>
      </c>
      <c r="T26" s="21">
        <f>IF(T28&lt;&gt;0,+T28/T30,0%)</f>
        <v>1.1555042340261741</v>
      </c>
      <c r="U26" s="22">
        <f t="shared" ref="U26" si="13">IF(U28&lt;&gt;0,+U28/U30,0%)</f>
        <v>0.73205944798301481</v>
      </c>
      <c r="V26" s="21">
        <f>IF(V28&lt;&gt;0,+V28/V30,0%)</f>
        <v>0.64037854889589907</v>
      </c>
      <c r="W26" s="22">
        <f t="shared" ref="W26" si="14">IF(W28&lt;&gt;0,+W28/W30,0%)</f>
        <v>0.71261291401806626</v>
      </c>
      <c r="X26" s="21">
        <f>IF(X28&lt;&gt;0,+X28/X30,0%)</f>
        <v>0.5985804416403786</v>
      </c>
      <c r="Y26" s="22">
        <f t="shared" ref="Y26" si="15">IF(Y28&lt;&gt;0,+Y28/Y30,0%)</f>
        <v>0.69265801821694728</v>
      </c>
      <c r="Z26" s="21">
        <f>IF(Z28&lt;&gt;0,+Z28/Z30,0%)</f>
        <v>0.39274447949526814</v>
      </c>
      <c r="AA26" s="22">
        <f t="shared" ref="AA26" si="16">IF(AA28&lt;&gt;0,+AA28/AA30,0%)</f>
        <v>0.64799154334038056</v>
      </c>
      <c r="AB26" s="21">
        <f>IF(AB28&lt;&gt;0,+AB28/AB30,0%)</f>
        <v>5.9148264984227129E-2</v>
      </c>
      <c r="AC26" s="22">
        <f t="shared" ref="AC26" si="17">IF(AC28&lt;&gt;0,+AC28/AC30,0%)</f>
        <v>0.57166223676139849</v>
      </c>
      <c r="AD26" s="21">
        <f>IF(AD28&lt;&gt;0,+AD28/AD30,0%)</f>
        <v>0.83413461538461542</v>
      </c>
      <c r="AE26" s="22">
        <f t="shared" ref="AE26" si="18">IF(AE28&lt;&gt;0,+AE28/AE30,0%)</f>
        <v>0.60135992747053491</v>
      </c>
      <c r="AF26" s="21">
        <f>IF(AF28&lt;&gt;0,+AF28/AF30,0%)</f>
        <v>0</v>
      </c>
      <c r="AG26" s="22">
        <f t="shared" ref="AG26" si="19">IF(AG28&lt;&gt;0,+AG28/AG30,0%)</f>
        <v>0.60135992747053491</v>
      </c>
      <c r="AH26" s="21">
        <f>IF(AH28&lt;&gt;0,+AH28/AH30,0%)</f>
        <v>0</v>
      </c>
      <c r="AI26" s="22">
        <f t="shared" ref="AI26" si="20">IF(AI28&lt;&gt;0,+AI28/AI30,0%)</f>
        <v>0.60135992747053491</v>
      </c>
      <c r="AJ26" s="35"/>
      <c r="AK26" s="225"/>
      <c r="AL26" s="196"/>
      <c r="AM26" s="157"/>
    </row>
    <row r="27" spans="1:39" s="17" customFormat="1" ht="22.9" customHeight="1" thickBot="1">
      <c r="A27" s="292"/>
      <c r="B27" s="213"/>
      <c r="C27" s="216"/>
      <c r="D27" s="151"/>
      <c r="E27" s="151"/>
      <c r="F27" s="151"/>
      <c r="G27" s="190"/>
      <c r="H27" s="154"/>
      <c r="I27" s="181"/>
      <c r="J27" s="219"/>
      <c r="K27" s="302"/>
      <c r="L27" s="24" t="s">
        <v>60</v>
      </c>
      <c r="M27" s="24" t="s">
        <v>60</v>
      </c>
      <c r="N27" s="24" t="s">
        <v>60</v>
      </c>
      <c r="O27" s="25" t="s">
        <v>60</v>
      </c>
      <c r="P27" s="24" t="s">
        <v>60</v>
      </c>
      <c r="Q27" s="25" t="s">
        <v>60</v>
      </c>
      <c r="R27" s="24" t="s">
        <v>60</v>
      </c>
      <c r="S27" s="25" t="s">
        <v>60</v>
      </c>
      <c r="T27" s="24" t="s">
        <v>60</v>
      </c>
      <c r="U27" s="25" t="s">
        <v>60</v>
      </c>
      <c r="V27" s="24" t="s">
        <v>60</v>
      </c>
      <c r="W27" s="25" t="s">
        <v>60</v>
      </c>
      <c r="X27" s="24" t="s">
        <v>60</v>
      </c>
      <c r="Y27" s="25" t="s">
        <v>60</v>
      </c>
      <c r="Z27" s="24" t="s">
        <v>60</v>
      </c>
      <c r="AA27" s="25" t="s">
        <v>60</v>
      </c>
      <c r="AB27" s="24" t="s">
        <v>60</v>
      </c>
      <c r="AC27" s="25" t="s">
        <v>60</v>
      </c>
      <c r="AD27" s="24" t="s">
        <v>60</v>
      </c>
      <c r="AE27" s="25" t="s">
        <v>60</v>
      </c>
      <c r="AF27" s="24" t="s">
        <v>60</v>
      </c>
      <c r="AG27" s="25" t="s">
        <v>60</v>
      </c>
      <c r="AH27" s="24" t="s">
        <v>60</v>
      </c>
      <c r="AI27" s="25" t="s">
        <v>60</v>
      </c>
      <c r="AJ27" s="35"/>
      <c r="AK27" s="225"/>
      <c r="AL27" s="196"/>
      <c r="AM27" s="157"/>
    </row>
    <row r="28" spans="1:39" s="17" customFormat="1" ht="22.9" customHeight="1" thickTop="1">
      <c r="A28" s="292"/>
      <c r="B28" s="213"/>
      <c r="C28" s="216"/>
      <c r="D28" s="151"/>
      <c r="E28" s="151"/>
      <c r="F28" s="151"/>
      <c r="G28" s="190"/>
      <c r="H28" s="154"/>
      <c r="I28" s="181"/>
      <c r="J28" s="219"/>
      <c r="K28" s="301" t="s">
        <v>82</v>
      </c>
      <c r="L28" s="26">
        <v>6633</v>
      </c>
      <c r="M28" s="39">
        <v>0</v>
      </c>
      <c r="N28" s="39">
        <v>576</v>
      </c>
      <c r="O28" s="28">
        <f>+M28+N28</f>
        <v>576</v>
      </c>
      <c r="P28" s="39">
        <v>609</v>
      </c>
      <c r="Q28" s="28">
        <f>+O28+P28</f>
        <v>1185</v>
      </c>
      <c r="R28" s="39">
        <v>762</v>
      </c>
      <c r="S28" s="28">
        <f>+Q28+R28</f>
        <v>1947</v>
      </c>
      <c r="T28" s="39">
        <v>1501</v>
      </c>
      <c r="U28" s="28">
        <f>+S28+T28</f>
        <v>3448</v>
      </c>
      <c r="V28" s="39">
        <v>812</v>
      </c>
      <c r="W28" s="28">
        <f>+U28+V28</f>
        <v>4260</v>
      </c>
      <c r="X28" s="39">
        <v>759</v>
      </c>
      <c r="Y28" s="28">
        <f t="shared" ref="Y28:AG28" si="21">+W28+X28</f>
        <v>5019</v>
      </c>
      <c r="Z28" s="39">
        <v>498</v>
      </c>
      <c r="AA28" s="28">
        <f t="shared" si="21"/>
        <v>5517</v>
      </c>
      <c r="AB28" s="39">
        <v>75</v>
      </c>
      <c r="AC28" s="28">
        <f>+AA28+AB28</f>
        <v>5592</v>
      </c>
      <c r="AD28" s="39">
        <v>1041</v>
      </c>
      <c r="AE28" s="28">
        <f>+AC28+AD28</f>
        <v>6633</v>
      </c>
      <c r="AF28" s="39">
        <v>0</v>
      </c>
      <c r="AG28" s="28">
        <f t="shared" si="21"/>
        <v>6633</v>
      </c>
      <c r="AH28" s="39">
        <v>0</v>
      </c>
      <c r="AI28" s="28">
        <f>+AG28+AH28</f>
        <v>6633</v>
      </c>
      <c r="AJ28" s="36">
        <f>AI26/L26</f>
        <v>1</v>
      </c>
      <c r="AK28" s="225"/>
      <c r="AL28" s="196"/>
      <c r="AM28" s="157"/>
    </row>
    <row r="29" spans="1:39" s="17" customFormat="1" ht="22.9" customHeight="1">
      <c r="A29" s="292"/>
      <c r="B29" s="213"/>
      <c r="C29" s="216"/>
      <c r="D29" s="151"/>
      <c r="E29" s="151"/>
      <c r="F29" s="151"/>
      <c r="G29" s="190"/>
      <c r="H29" s="154"/>
      <c r="I29" s="181"/>
      <c r="J29" s="219"/>
      <c r="K29" s="174"/>
      <c r="L29" s="30" t="s">
        <v>62</v>
      </c>
      <c r="M29" s="30" t="s">
        <v>62</v>
      </c>
      <c r="N29" s="30" t="s">
        <v>62</v>
      </c>
      <c r="O29" s="31" t="s">
        <v>62</v>
      </c>
      <c r="P29" s="30" t="s">
        <v>62</v>
      </c>
      <c r="Q29" s="31" t="s">
        <v>62</v>
      </c>
      <c r="R29" s="30" t="s">
        <v>62</v>
      </c>
      <c r="S29" s="31" t="s">
        <v>62</v>
      </c>
      <c r="T29" s="30" t="s">
        <v>62</v>
      </c>
      <c r="U29" s="31" t="s">
        <v>62</v>
      </c>
      <c r="V29" s="30" t="s">
        <v>62</v>
      </c>
      <c r="W29" s="31" t="s">
        <v>62</v>
      </c>
      <c r="X29" s="30" t="s">
        <v>62</v>
      </c>
      <c r="Y29" s="31" t="s">
        <v>62</v>
      </c>
      <c r="Z29" s="30" t="s">
        <v>62</v>
      </c>
      <c r="AA29" s="31" t="s">
        <v>62</v>
      </c>
      <c r="AB29" s="30" t="s">
        <v>62</v>
      </c>
      <c r="AC29" s="31" t="s">
        <v>62</v>
      </c>
      <c r="AD29" s="30" t="s">
        <v>62</v>
      </c>
      <c r="AE29" s="31" t="s">
        <v>62</v>
      </c>
      <c r="AF29" s="30" t="s">
        <v>62</v>
      </c>
      <c r="AG29" s="31" t="s">
        <v>62</v>
      </c>
      <c r="AH29" s="30" t="s">
        <v>62</v>
      </c>
      <c r="AI29" s="31" t="s">
        <v>62</v>
      </c>
      <c r="AJ29" s="35"/>
      <c r="AK29" s="225"/>
      <c r="AL29" s="196"/>
      <c r="AM29" s="157"/>
    </row>
    <row r="30" spans="1:39" s="17" customFormat="1" ht="22.9" customHeight="1" thickBot="1">
      <c r="A30" s="293"/>
      <c r="B30" s="214"/>
      <c r="C30" s="217"/>
      <c r="D30" s="152"/>
      <c r="E30" s="152"/>
      <c r="F30" s="152"/>
      <c r="G30" s="191"/>
      <c r="H30" s="155"/>
      <c r="I30" s="182"/>
      <c r="J30" s="220"/>
      <c r="K30" s="302"/>
      <c r="L30" s="26">
        <v>11030</v>
      </c>
      <c r="M30" s="37">
        <v>0</v>
      </c>
      <c r="N30" s="37">
        <v>1268</v>
      </c>
      <c r="O30" s="52">
        <f>+M30+N30</f>
        <v>1268</v>
      </c>
      <c r="P30" s="51">
        <v>848</v>
      </c>
      <c r="Q30" s="52">
        <f>+O30+P30</f>
        <v>2116</v>
      </c>
      <c r="R30" s="51">
        <v>1295</v>
      </c>
      <c r="S30" s="52">
        <f>+Q30+R30</f>
        <v>3411</v>
      </c>
      <c r="T30" s="51">
        <v>1299</v>
      </c>
      <c r="U30" s="52">
        <f>+S30+T30</f>
        <v>4710</v>
      </c>
      <c r="V30" s="51">
        <v>1268</v>
      </c>
      <c r="W30" s="52">
        <f>+U30+V30</f>
        <v>5978</v>
      </c>
      <c r="X30" s="51">
        <v>1268</v>
      </c>
      <c r="Y30" s="52">
        <f>+W30+X30</f>
        <v>7246</v>
      </c>
      <c r="Z30" s="51">
        <v>1268</v>
      </c>
      <c r="AA30" s="52">
        <f>+Y30+Z30</f>
        <v>8514</v>
      </c>
      <c r="AB30" s="51">
        <v>1268</v>
      </c>
      <c r="AC30" s="52">
        <f>+AA30+AB30</f>
        <v>9782</v>
      </c>
      <c r="AD30" s="51">
        <v>1248</v>
      </c>
      <c r="AE30" s="52">
        <f>+AC30+AD30</f>
        <v>11030</v>
      </c>
      <c r="AF30" s="51">
        <v>0</v>
      </c>
      <c r="AG30" s="52">
        <f>+AE30+AF30</f>
        <v>11030</v>
      </c>
      <c r="AH30" s="51">
        <v>0</v>
      </c>
      <c r="AI30" s="52">
        <f>+AG30+AH30</f>
        <v>11030</v>
      </c>
      <c r="AJ30" s="38"/>
      <c r="AK30" s="226"/>
      <c r="AL30" s="197"/>
      <c r="AM30" s="158"/>
    </row>
    <row r="31" spans="1:39" s="17" customFormat="1" ht="22.9" customHeight="1" thickTop="1">
      <c r="A31" s="230" t="s">
        <v>83</v>
      </c>
      <c r="B31" s="210" t="s">
        <v>84</v>
      </c>
      <c r="C31" s="198" t="s">
        <v>85</v>
      </c>
      <c r="D31" s="201" t="s">
        <v>86</v>
      </c>
      <c r="E31" s="183" t="s">
        <v>87</v>
      </c>
      <c r="F31" s="183" t="s">
        <v>88</v>
      </c>
      <c r="G31" s="183" t="s">
        <v>89</v>
      </c>
      <c r="H31" s="183" t="s">
        <v>90</v>
      </c>
      <c r="I31" s="204">
        <f>L32</f>
        <v>0.66666666666666663</v>
      </c>
      <c r="J31" s="207">
        <v>0.1</v>
      </c>
      <c r="K31" s="294" t="s">
        <v>91</v>
      </c>
      <c r="L31" s="42" t="s">
        <v>57</v>
      </c>
      <c r="M31" s="18" t="s">
        <v>57</v>
      </c>
      <c r="N31" s="18" t="s">
        <v>57</v>
      </c>
      <c r="O31" s="19" t="s">
        <v>57</v>
      </c>
      <c r="P31" s="18" t="s">
        <v>57</v>
      </c>
      <c r="Q31" s="19" t="s">
        <v>57</v>
      </c>
      <c r="R31" s="18" t="s">
        <v>57</v>
      </c>
      <c r="S31" s="19" t="s">
        <v>57</v>
      </c>
      <c r="T31" s="18" t="s">
        <v>57</v>
      </c>
      <c r="U31" s="19" t="s">
        <v>57</v>
      </c>
      <c r="V31" s="18" t="s">
        <v>57</v>
      </c>
      <c r="W31" s="19" t="s">
        <v>57</v>
      </c>
      <c r="X31" s="18" t="s">
        <v>57</v>
      </c>
      <c r="Y31" s="19" t="s">
        <v>57</v>
      </c>
      <c r="Z31" s="18" t="s">
        <v>57</v>
      </c>
      <c r="AA31" s="19" t="s">
        <v>57</v>
      </c>
      <c r="AB31" s="18" t="s">
        <v>57</v>
      </c>
      <c r="AC31" s="19" t="s">
        <v>57</v>
      </c>
      <c r="AD31" s="18" t="s">
        <v>57</v>
      </c>
      <c r="AE31" s="19" t="s">
        <v>57</v>
      </c>
      <c r="AF31" s="18" t="s">
        <v>57</v>
      </c>
      <c r="AG31" s="19" t="s">
        <v>57</v>
      </c>
      <c r="AH31" s="18" t="s">
        <v>57</v>
      </c>
      <c r="AI31" s="19" t="s">
        <v>57</v>
      </c>
      <c r="AJ31" s="20"/>
      <c r="AK31" s="177" t="s">
        <v>92</v>
      </c>
      <c r="AL31" s="177"/>
      <c r="AM31" s="156" t="s">
        <v>93</v>
      </c>
    </row>
    <row r="32" spans="1:39" s="17" customFormat="1" ht="22.9" customHeight="1">
      <c r="A32" s="231"/>
      <c r="B32" s="211"/>
      <c r="C32" s="199"/>
      <c r="D32" s="202"/>
      <c r="E32" s="184"/>
      <c r="F32" s="184"/>
      <c r="G32" s="184"/>
      <c r="H32" s="184"/>
      <c r="I32" s="205"/>
      <c r="J32" s="208"/>
      <c r="K32" s="295"/>
      <c r="L32" s="43">
        <f>IF(L34&lt;&gt;0,+L34/L36,0%)</f>
        <v>0.66666666666666663</v>
      </c>
      <c r="M32" s="40">
        <f>IF(M34&lt;&gt;0,+M34/M36,0%)</f>
        <v>0</v>
      </c>
      <c r="N32" s="40">
        <f>IF(N34&lt;&gt;0,+N34/N36,0%)</f>
        <v>0</v>
      </c>
      <c r="O32" s="22">
        <f t="shared" ref="O32:Q32" si="22">IF(O34&lt;&gt;0,+O34/O36,0%)</f>
        <v>0</v>
      </c>
      <c r="P32" s="40">
        <f>IF(P34&lt;&gt;0,+P34/P36,0%)</f>
        <v>0</v>
      </c>
      <c r="Q32" s="22">
        <f t="shared" si="22"/>
        <v>0</v>
      </c>
      <c r="R32" s="40">
        <f>IF(R34&lt;&gt;0,+R34/R36,0%)</f>
        <v>0.33333333333333331</v>
      </c>
      <c r="S32" s="22">
        <f t="shared" ref="S32" si="23">IF(S34&lt;&gt;0,+S34/S36,0%)</f>
        <v>0.33333333333333331</v>
      </c>
      <c r="T32" s="40">
        <f>IF(T34&lt;&gt;0,+T34/T36,0%)</f>
        <v>0</v>
      </c>
      <c r="U32" s="22">
        <f t="shared" ref="U32" si="24">IF(U34&lt;&gt;0,+U34/U36,0%)</f>
        <v>0.33333333333333331</v>
      </c>
      <c r="V32" s="40">
        <f>IF(V34&lt;&gt;0,+V34/V36,0%)</f>
        <v>0.33333333333333331</v>
      </c>
      <c r="W32" s="22">
        <f t="shared" ref="W32" si="25">IF(W34&lt;&gt;0,+W34/W36,0%)</f>
        <v>0.66666666666666663</v>
      </c>
      <c r="X32" s="40">
        <f>IF(X34&lt;&gt;0,+X34/X36,0%)</f>
        <v>0</v>
      </c>
      <c r="Y32" s="22">
        <f t="shared" ref="Y32" si="26">IF(Y34&lt;&gt;0,+Y34/Y36,0%)</f>
        <v>0.66666666666666663</v>
      </c>
      <c r="Z32" s="40">
        <f>IF(Z34&lt;&gt;0,+Z34/Z36,0%)</f>
        <v>0</v>
      </c>
      <c r="AA32" s="22">
        <f t="shared" ref="AA32" si="27">IF(AA34&lt;&gt;0,+AA34/AA36,0%)</f>
        <v>0.66666666666666663</v>
      </c>
      <c r="AB32" s="40">
        <f>IF(AB34&lt;&gt;0,+AB34/AB36,0%)</f>
        <v>0</v>
      </c>
      <c r="AC32" s="22">
        <f t="shared" ref="AC32" si="28">IF(AC34&lt;&gt;0,+AC34/AC36,0%)</f>
        <v>0.66666666666666663</v>
      </c>
      <c r="AD32" s="40">
        <f>IF(AD34&lt;&gt;0,+AD34/AD36,0%)</f>
        <v>0</v>
      </c>
      <c r="AE32" s="22">
        <f t="shared" ref="AE32" si="29">IF(AE34&lt;&gt;0,+AE34/AE36,0%)</f>
        <v>0.66666666666666663</v>
      </c>
      <c r="AF32" s="40">
        <f>IF(AF34&lt;&gt;0,+AF34/AF36,0%)</f>
        <v>0</v>
      </c>
      <c r="AG32" s="22">
        <f t="shared" ref="AG32" si="30">IF(AG34&lt;&gt;0,+AG34/AG36,0%)</f>
        <v>0.66666666666666663</v>
      </c>
      <c r="AH32" s="40">
        <f>IF(AH34&lt;&gt;0,+AH34/AH36,0%)</f>
        <v>0</v>
      </c>
      <c r="AI32" s="22">
        <f t="shared" ref="AI32" si="31">IF(AI34&lt;&gt;0,+AI34/AI36,0%)</f>
        <v>0.66666666666666663</v>
      </c>
      <c r="AJ32" s="23"/>
      <c r="AK32" s="178"/>
      <c r="AL32" s="178"/>
      <c r="AM32" s="157"/>
    </row>
    <row r="33" spans="1:39" s="17" customFormat="1" ht="22.9" customHeight="1" thickBot="1">
      <c r="A33" s="231"/>
      <c r="B33" s="211"/>
      <c r="C33" s="199"/>
      <c r="D33" s="202"/>
      <c r="E33" s="184"/>
      <c r="F33" s="184"/>
      <c r="G33" s="184"/>
      <c r="H33" s="184"/>
      <c r="I33" s="205"/>
      <c r="J33" s="208"/>
      <c r="K33" s="296"/>
      <c r="L33" s="44" t="s">
        <v>60</v>
      </c>
      <c r="M33" s="24" t="s">
        <v>60</v>
      </c>
      <c r="N33" s="24" t="s">
        <v>60</v>
      </c>
      <c r="O33" s="25" t="s">
        <v>60</v>
      </c>
      <c r="P33" s="24" t="s">
        <v>60</v>
      </c>
      <c r="Q33" s="25" t="s">
        <v>60</v>
      </c>
      <c r="R33" s="24" t="s">
        <v>60</v>
      </c>
      <c r="S33" s="25" t="s">
        <v>60</v>
      </c>
      <c r="T33" s="24" t="s">
        <v>60</v>
      </c>
      <c r="U33" s="25" t="s">
        <v>60</v>
      </c>
      <c r="V33" s="24" t="s">
        <v>60</v>
      </c>
      <c r="W33" s="25" t="s">
        <v>60</v>
      </c>
      <c r="X33" s="24" t="s">
        <v>60</v>
      </c>
      <c r="Y33" s="25" t="s">
        <v>60</v>
      </c>
      <c r="Z33" s="24" t="s">
        <v>60</v>
      </c>
      <c r="AA33" s="25" t="s">
        <v>60</v>
      </c>
      <c r="AB33" s="24" t="s">
        <v>60</v>
      </c>
      <c r="AC33" s="25" t="s">
        <v>60</v>
      </c>
      <c r="AD33" s="24" t="s">
        <v>60</v>
      </c>
      <c r="AE33" s="25" t="s">
        <v>60</v>
      </c>
      <c r="AF33" s="24" t="s">
        <v>60</v>
      </c>
      <c r="AG33" s="25" t="s">
        <v>60</v>
      </c>
      <c r="AH33" s="24" t="s">
        <v>60</v>
      </c>
      <c r="AI33" s="25" t="s">
        <v>60</v>
      </c>
      <c r="AJ33" s="23"/>
      <c r="AK33" s="178"/>
      <c r="AL33" s="178"/>
      <c r="AM33" s="157"/>
    </row>
    <row r="34" spans="1:39" s="17" customFormat="1" ht="22.9" customHeight="1" thickTop="1">
      <c r="A34" s="231"/>
      <c r="B34" s="211"/>
      <c r="C34" s="199"/>
      <c r="D34" s="202"/>
      <c r="E34" s="184"/>
      <c r="F34" s="184"/>
      <c r="G34" s="184"/>
      <c r="H34" s="184"/>
      <c r="I34" s="205"/>
      <c r="J34" s="208"/>
      <c r="K34" s="294" t="s">
        <v>94</v>
      </c>
      <c r="L34" s="45">
        <v>2</v>
      </c>
      <c r="M34" s="27"/>
      <c r="N34" s="27"/>
      <c r="O34" s="28">
        <f>+M34+N34</f>
        <v>0</v>
      </c>
      <c r="P34" s="27"/>
      <c r="Q34" s="28">
        <f t="shared" ref="Q34:AG34" si="32">+O34+P34</f>
        <v>0</v>
      </c>
      <c r="R34" s="27">
        <v>1</v>
      </c>
      <c r="S34" s="28">
        <f t="shared" si="32"/>
        <v>1</v>
      </c>
      <c r="T34" s="27"/>
      <c r="U34" s="28">
        <f t="shared" si="32"/>
        <v>1</v>
      </c>
      <c r="V34" s="27">
        <v>1</v>
      </c>
      <c r="W34" s="28">
        <f t="shared" si="32"/>
        <v>2</v>
      </c>
      <c r="X34" s="27"/>
      <c r="Y34" s="28">
        <f t="shared" si="32"/>
        <v>2</v>
      </c>
      <c r="Z34" s="27"/>
      <c r="AA34" s="28">
        <f t="shared" si="32"/>
        <v>2</v>
      </c>
      <c r="AB34" s="27">
        <v>0</v>
      </c>
      <c r="AC34" s="28">
        <f t="shared" si="32"/>
        <v>2</v>
      </c>
      <c r="AD34" s="27"/>
      <c r="AE34" s="28">
        <f t="shared" si="32"/>
        <v>2</v>
      </c>
      <c r="AF34" s="27"/>
      <c r="AG34" s="28">
        <f t="shared" si="32"/>
        <v>2</v>
      </c>
      <c r="AH34" s="27"/>
      <c r="AI34" s="28">
        <f t="shared" ref="AI34" si="33">+AG34+AH34</f>
        <v>2</v>
      </c>
      <c r="AJ34" s="29">
        <f>AI32/L32</f>
        <v>1</v>
      </c>
      <c r="AK34" s="178"/>
      <c r="AL34" s="178"/>
      <c r="AM34" s="157"/>
    </row>
    <row r="35" spans="1:39" s="17" customFormat="1" ht="22.9" customHeight="1">
      <c r="A35" s="231"/>
      <c r="B35" s="211"/>
      <c r="C35" s="199"/>
      <c r="D35" s="202"/>
      <c r="E35" s="184"/>
      <c r="F35" s="184"/>
      <c r="G35" s="184"/>
      <c r="H35" s="184"/>
      <c r="I35" s="205"/>
      <c r="J35" s="208"/>
      <c r="K35" s="297"/>
      <c r="L35" s="46" t="s">
        <v>62</v>
      </c>
      <c r="M35" s="30" t="s">
        <v>62</v>
      </c>
      <c r="N35" s="30" t="s">
        <v>62</v>
      </c>
      <c r="O35" s="31" t="s">
        <v>62</v>
      </c>
      <c r="P35" s="30" t="s">
        <v>62</v>
      </c>
      <c r="Q35" s="31" t="s">
        <v>62</v>
      </c>
      <c r="R35" s="30" t="s">
        <v>62</v>
      </c>
      <c r="S35" s="31" t="s">
        <v>62</v>
      </c>
      <c r="T35" s="30" t="s">
        <v>62</v>
      </c>
      <c r="U35" s="31" t="s">
        <v>62</v>
      </c>
      <c r="V35" s="30" t="s">
        <v>62</v>
      </c>
      <c r="W35" s="31" t="s">
        <v>62</v>
      </c>
      <c r="X35" s="30" t="s">
        <v>62</v>
      </c>
      <c r="Y35" s="31" t="s">
        <v>62</v>
      </c>
      <c r="Z35" s="30" t="s">
        <v>62</v>
      </c>
      <c r="AA35" s="31" t="s">
        <v>62</v>
      </c>
      <c r="AB35" s="30" t="s">
        <v>62</v>
      </c>
      <c r="AC35" s="31" t="s">
        <v>62</v>
      </c>
      <c r="AD35" s="30" t="s">
        <v>62</v>
      </c>
      <c r="AE35" s="31" t="s">
        <v>62</v>
      </c>
      <c r="AF35" s="30" t="s">
        <v>62</v>
      </c>
      <c r="AG35" s="31" t="s">
        <v>62</v>
      </c>
      <c r="AH35" s="30" t="s">
        <v>62</v>
      </c>
      <c r="AI35" s="31" t="s">
        <v>62</v>
      </c>
      <c r="AJ35" s="23"/>
      <c r="AK35" s="178"/>
      <c r="AL35" s="178"/>
      <c r="AM35" s="157"/>
    </row>
    <row r="36" spans="1:39" s="17" customFormat="1" ht="22.9" customHeight="1" thickBot="1">
      <c r="A36" s="232"/>
      <c r="B36" s="212"/>
      <c r="C36" s="200"/>
      <c r="D36" s="203"/>
      <c r="E36" s="185"/>
      <c r="F36" s="185"/>
      <c r="G36" s="185"/>
      <c r="H36" s="185"/>
      <c r="I36" s="206"/>
      <c r="J36" s="209"/>
      <c r="K36" s="298"/>
      <c r="L36" s="47">
        <v>3</v>
      </c>
      <c r="M36" s="32">
        <v>3</v>
      </c>
      <c r="N36" s="32">
        <v>3</v>
      </c>
      <c r="O36" s="135">
        <v>3</v>
      </c>
      <c r="P36" s="32">
        <v>3</v>
      </c>
      <c r="Q36" s="135">
        <v>3</v>
      </c>
      <c r="R36" s="32">
        <v>3</v>
      </c>
      <c r="S36" s="135">
        <v>3</v>
      </c>
      <c r="T36" s="32">
        <v>3</v>
      </c>
      <c r="U36" s="135">
        <v>3</v>
      </c>
      <c r="V36" s="32">
        <v>3</v>
      </c>
      <c r="W36" s="135">
        <v>3</v>
      </c>
      <c r="X36" s="32">
        <v>3</v>
      </c>
      <c r="Y36" s="135">
        <v>3</v>
      </c>
      <c r="Z36" s="32">
        <v>3</v>
      </c>
      <c r="AA36" s="135">
        <v>3</v>
      </c>
      <c r="AB36" s="32">
        <v>3</v>
      </c>
      <c r="AC36" s="135">
        <v>3</v>
      </c>
      <c r="AD36" s="32">
        <v>3</v>
      </c>
      <c r="AE36" s="135">
        <v>3</v>
      </c>
      <c r="AF36" s="32">
        <v>3</v>
      </c>
      <c r="AG36" s="135">
        <v>3</v>
      </c>
      <c r="AH36" s="32">
        <v>3</v>
      </c>
      <c r="AI36" s="52">
        <v>3</v>
      </c>
      <c r="AJ36" s="33"/>
      <c r="AK36" s="179"/>
      <c r="AL36" s="179"/>
      <c r="AM36" s="158"/>
    </row>
    <row r="37" spans="1:39" s="17" customFormat="1" ht="22.9" customHeight="1" thickTop="1">
      <c r="A37" s="192" t="s">
        <v>95</v>
      </c>
      <c r="B37" s="201" t="s">
        <v>96</v>
      </c>
      <c r="C37" s="227" t="s">
        <v>97</v>
      </c>
      <c r="D37" s="162" t="s">
        <v>98</v>
      </c>
      <c r="E37" s="183" t="s">
        <v>99</v>
      </c>
      <c r="F37" s="183" t="s">
        <v>100</v>
      </c>
      <c r="G37" s="162" t="s">
        <v>101</v>
      </c>
      <c r="H37" s="162" t="s">
        <v>102</v>
      </c>
      <c r="I37" s="159">
        <f>+L38</f>
        <v>1</v>
      </c>
      <c r="J37" s="221">
        <v>0.3</v>
      </c>
      <c r="K37" s="186" t="s">
        <v>103</v>
      </c>
      <c r="L37" s="18" t="s">
        <v>57</v>
      </c>
      <c r="M37" s="18" t="s">
        <v>57</v>
      </c>
      <c r="N37" s="18" t="s">
        <v>57</v>
      </c>
      <c r="O37" s="19" t="s">
        <v>57</v>
      </c>
      <c r="P37" s="18" t="s">
        <v>57</v>
      </c>
      <c r="Q37" s="19" t="s">
        <v>57</v>
      </c>
      <c r="R37" s="18" t="s">
        <v>57</v>
      </c>
      <c r="S37" s="19" t="s">
        <v>57</v>
      </c>
      <c r="T37" s="18" t="s">
        <v>57</v>
      </c>
      <c r="U37" s="19" t="s">
        <v>57</v>
      </c>
      <c r="V37" s="18" t="s">
        <v>57</v>
      </c>
      <c r="W37" s="19" t="s">
        <v>57</v>
      </c>
      <c r="X37" s="18" t="s">
        <v>57</v>
      </c>
      <c r="Y37" s="19" t="s">
        <v>57</v>
      </c>
      <c r="Z37" s="18" t="s">
        <v>57</v>
      </c>
      <c r="AA37" s="19" t="s">
        <v>57</v>
      </c>
      <c r="AB37" s="18" t="s">
        <v>57</v>
      </c>
      <c r="AC37" s="19" t="s">
        <v>57</v>
      </c>
      <c r="AD37" s="18" t="s">
        <v>57</v>
      </c>
      <c r="AE37" s="19" t="s">
        <v>57</v>
      </c>
      <c r="AF37" s="18" t="s">
        <v>57</v>
      </c>
      <c r="AG37" s="19" t="s">
        <v>57</v>
      </c>
      <c r="AH37" s="18" t="s">
        <v>57</v>
      </c>
      <c r="AI37" s="19" t="s">
        <v>57</v>
      </c>
      <c r="AJ37" s="20"/>
      <c r="AK37" s="224" t="s">
        <v>104</v>
      </c>
      <c r="AL37" s="195"/>
      <c r="AM37" s="156" t="s">
        <v>81</v>
      </c>
    </row>
    <row r="38" spans="1:39" s="17" customFormat="1" ht="22.9" customHeight="1">
      <c r="A38" s="193"/>
      <c r="B38" s="202" t="s">
        <v>105</v>
      </c>
      <c r="C38" s="228"/>
      <c r="D38" s="461"/>
      <c r="E38" s="462"/>
      <c r="F38" s="184"/>
      <c r="G38" s="163"/>
      <c r="H38" s="163"/>
      <c r="I38" s="160"/>
      <c r="J38" s="222"/>
      <c r="K38" s="187"/>
      <c r="L38" s="453">
        <f>IF(L40&lt;&gt;0,+L40/L42,0%)</f>
        <v>1</v>
      </c>
      <c r="M38" s="454">
        <f>IF(M40&lt;&gt;0,+M40/M42,0%)</f>
        <v>0</v>
      </c>
      <c r="N38" s="454">
        <f>IF(N40&lt;&gt;0,+N40/N42,0%)</f>
        <v>0</v>
      </c>
      <c r="O38" s="455">
        <f t="shared" ref="O38" si="34">IF(O40&lt;&gt;0,+O40/O42,0%)</f>
        <v>0</v>
      </c>
      <c r="P38" s="454">
        <f>IF(P40&lt;&gt;0,+P40/P42,0%)</f>
        <v>0</v>
      </c>
      <c r="Q38" s="455">
        <f t="shared" ref="Q38" si="35">IF(Q40&lt;&gt;0,+Q40/Q42,0%)</f>
        <v>0</v>
      </c>
      <c r="R38" s="454">
        <f>IF(R40&lt;&gt;0,+R40/R42,0%)</f>
        <v>0</v>
      </c>
      <c r="S38" s="455">
        <f t="shared" ref="S38" si="36">IF(S40&lt;&gt;0,+S40/S42,0%)</f>
        <v>0</v>
      </c>
      <c r="T38" s="454">
        <f>IF(T40&lt;&gt;0,+T40/T42,0%)</f>
        <v>0</v>
      </c>
      <c r="U38" s="455">
        <f t="shared" ref="U38" si="37">IF(U40&lt;&gt;0,+U40/U42,0%)</f>
        <v>0</v>
      </c>
      <c r="V38" s="454">
        <f>IF(V40&lt;&gt;0,+V40/V42,0%)</f>
        <v>0</v>
      </c>
      <c r="W38" s="455">
        <f t="shared" ref="W38" si="38">IF(W40&lt;&gt;0,+W40/W42,0%)</f>
        <v>0</v>
      </c>
      <c r="X38" s="454">
        <f>IF(X40&lt;&gt;0,+X40/X42,0%)</f>
        <v>0</v>
      </c>
      <c r="Y38" s="455">
        <f t="shared" ref="Y38" si="39">IF(Y40&lt;&gt;0,+Y40/Y42,0%)</f>
        <v>0</v>
      </c>
      <c r="Z38" s="454">
        <f>IF(Z40&lt;&gt;0,+Z40/Z42,0%)</f>
        <v>0.33333333333333331</v>
      </c>
      <c r="AA38" s="455">
        <f t="shared" ref="AA38" si="40">IF(AA40&lt;&gt;0,+AA40/AA42,0%)</f>
        <v>0.33333333333333331</v>
      </c>
      <c r="AB38" s="454">
        <f>IF(AB40&lt;&gt;0,+AB40/AB42,0%)</f>
        <v>0</v>
      </c>
      <c r="AC38" s="455">
        <f t="shared" ref="AC38" si="41">IF(AC40&lt;&gt;0,+AC40/AC42,0%)</f>
        <v>0.33333333333333331</v>
      </c>
      <c r="AD38" s="454">
        <f>IF(AD40&lt;&gt;0,+AD40/AD42,0%)</f>
        <v>0.33333333333333331</v>
      </c>
      <c r="AE38" s="455">
        <f t="shared" ref="AE38" si="42">IF(AE40&lt;&gt;0,+AE40/AE42,0%)</f>
        <v>0.66666666666666663</v>
      </c>
      <c r="AF38" s="454">
        <f>IF(AF40&lt;&gt;0,+AF40/AF42,0%)</f>
        <v>0</v>
      </c>
      <c r="AG38" s="455">
        <f t="shared" ref="AG38" si="43">IF(AG40&lt;&gt;0,+AG40/AG42,0%)</f>
        <v>0.66666666666666663</v>
      </c>
      <c r="AH38" s="454">
        <f>IF(AH40&lt;&gt;0,+AH40/AH42,0%)</f>
        <v>0.33333333333333331</v>
      </c>
      <c r="AI38" s="455">
        <f t="shared" ref="AI38" si="44">IF(AI40&lt;&gt;0,+AI40/AI42,0%)</f>
        <v>1</v>
      </c>
      <c r="AJ38" s="23"/>
      <c r="AK38" s="225"/>
      <c r="AL38" s="196"/>
      <c r="AM38" s="157"/>
    </row>
    <row r="39" spans="1:39" s="17" customFormat="1" ht="22.9" customHeight="1" thickBot="1">
      <c r="A39" s="193"/>
      <c r="B39" s="202" t="s">
        <v>106</v>
      </c>
      <c r="C39" s="228"/>
      <c r="D39" s="461"/>
      <c r="E39" s="462"/>
      <c r="F39" s="184"/>
      <c r="G39" s="163"/>
      <c r="H39" s="163"/>
      <c r="I39" s="160"/>
      <c r="J39" s="222"/>
      <c r="K39" s="188"/>
      <c r="L39" s="24" t="s">
        <v>60</v>
      </c>
      <c r="M39" s="24" t="s">
        <v>60</v>
      </c>
      <c r="N39" s="24" t="s">
        <v>60</v>
      </c>
      <c r="O39" s="25" t="s">
        <v>60</v>
      </c>
      <c r="P39" s="24" t="s">
        <v>60</v>
      </c>
      <c r="Q39" s="25" t="s">
        <v>60</v>
      </c>
      <c r="R39" s="24" t="s">
        <v>60</v>
      </c>
      <c r="S39" s="25" t="s">
        <v>60</v>
      </c>
      <c r="T39" s="24" t="s">
        <v>60</v>
      </c>
      <c r="U39" s="25" t="s">
        <v>60</v>
      </c>
      <c r="V39" s="24" t="s">
        <v>60</v>
      </c>
      <c r="W39" s="25" t="s">
        <v>60</v>
      </c>
      <c r="X39" s="24" t="s">
        <v>60</v>
      </c>
      <c r="Y39" s="25" t="s">
        <v>60</v>
      </c>
      <c r="Z39" s="24" t="s">
        <v>60</v>
      </c>
      <c r="AA39" s="25" t="s">
        <v>60</v>
      </c>
      <c r="AB39" s="24" t="s">
        <v>60</v>
      </c>
      <c r="AC39" s="25" t="s">
        <v>60</v>
      </c>
      <c r="AD39" s="24" t="s">
        <v>60</v>
      </c>
      <c r="AE39" s="25" t="s">
        <v>60</v>
      </c>
      <c r="AF39" s="24" t="s">
        <v>60</v>
      </c>
      <c r="AG39" s="25" t="s">
        <v>60</v>
      </c>
      <c r="AH39" s="24" t="s">
        <v>60</v>
      </c>
      <c r="AI39" s="25" t="s">
        <v>60</v>
      </c>
      <c r="AJ39" s="23"/>
      <c r="AK39" s="225"/>
      <c r="AL39" s="196"/>
      <c r="AM39" s="157"/>
    </row>
    <row r="40" spans="1:39" s="17" customFormat="1" ht="22.9" customHeight="1" thickTop="1">
      <c r="A40" s="193"/>
      <c r="B40" s="202"/>
      <c r="C40" s="228"/>
      <c r="D40" s="461"/>
      <c r="E40" s="462"/>
      <c r="F40" s="184"/>
      <c r="G40" s="163"/>
      <c r="H40" s="163"/>
      <c r="I40" s="160"/>
      <c r="J40" s="222"/>
      <c r="K40" s="186" t="s">
        <v>107</v>
      </c>
      <c r="L40" s="26">
        <v>3</v>
      </c>
      <c r="M40" s="27">
        <v>0</v>
      </c>
      <c r="N40" s="27">
        <v>0</v>
      </c>
      <c r="O40" s="28">
        <f t="shared" ref="O40" si="45">+M40+N40</f>
        <v>0</v>
      </c>
      <c r="P40" s="27">
        <v>0</v>
      </c>
      <c r="Q40" s="28">
        <f t="shared" ref="Q40" si="46">+O40+P40</f>
        <v>0</v>
      </c>
      <c r="R40" s="27">
        <v>0</v>
      </c>
      <c r="S40" s="28">
        <f t="shared" ref="S40" si="47">+Q40+R40</f>
        <v>0</v>
      </c>
      <c r="T40" s="27">
        <v>0</v>
      </c>
      <c r="U40" s="28">
        <f t="shared" ref="U40" si="48">+S40+T40</f>
        <v>0</v>
      </c>
      <c r="V40" s="27">
        <v>0</v>
      </c>
      <c r="W40" s="28">
        <f t="shared" ref="W40" si="49">+U40+V40</f>
        <v>0</v>
      </c>
      <c r="X40" s="27">
        <v>0</v>
      </c>
      <c r="Y40" s="28">
        <f t="shared" ref="Y40" si="50">+W40+X40</f>
        <v>0</v>
      </c>
      <c r="Z40" s="27">
        <v>1</v>
      </c>
      <c r="AA40" s="28">
        <f t="shared" ref="AA40" si="51">+Y40+Z40</f>
        <v>1</v>
      </c>
      <c r="AB40" s="27">
        <v>0</v>
      </c>
      <c r="AC40" s="28">
        <f t="shared" ref="AC40" si="52">+AA40+AB40</f>
        <v>1</v>
      </c>
      <c r="AD40" s="27">
        <v>1</v>
      </c>
      <c r="AE40" s="28">
        <f t="shared" ref="AE40" si="53">+AC40+AD40</f>
        <v>2</v>
      </c>
      <c r="AF40" s="27">
        <v>0</v>
      </c>
      <c r="AG40" s="28">
        <f t="shared" ref="AG40" si="54">+AE40+AF40</f>
        <v>2</v>
      </c>
      <c r="AH40" s="53">
        <v>1</v>
      </c>
      <c r="AI40" s="54">
        <f>+AG40+AH40</f>
        <v>3</v>
      </c>
      <c r="AJ40" s="29">
        <f>+AI38/L38</f>
        <v>1</v>
      </c>
      <c r="AK40" s="225"/>
      <c r="AL40" s="196"/>
      <c r="AM40" s="157"/>
    </row>
    <row r="41" spans="1:39" s="17" customFormat="1" ht="22.9" customHeight="1">
      <c r="A41" s="193"/>
      <c r="B41" s="202"/>
      <c r="C41" s="228"/>
      <c r="D41" s="461"/>
      <c r="E41" s="462"/>
      <c r="F41" s="184"/>
      <c r="G41" s="163"/>
      <c r="H41" s="163"/>
      <c r="I41" s="160"/>
      <c r="J41" s="222"/>
      <c r="K41" s="187"/>
      <c r="L41" s="30" t="s">
        <v>62</v>
      </c>
      <c r="M41" s="30" t="s">
        <v>62</v>
      </c>
      <c r="N41" s="30" t="s">
        <v>62</v>
      </c>
      <c r="O41" s="31" t="s">
        <v>62</v>
      </c>
      <c r="P41" s="30" t="s">
        <v>62</v>
      </c>
      <c r="Q41" s="31" t="s">
        <v>62</v>
      </c>
      <c r="R41" s="30" t="s">
        <v>62</v>
      </c>
      <c r="S41" s="31" t="s">
        <v>62</v>
      </c>
      <c r="T41" s="30" t="s">
        <v>62</v>
      </c>
      <c r="U41" s="31" t="s">
        <v>62</v>
      </c>
      <c r="V41" s="30" t="s">
        <v>62</v>
      </c>
      <c r="W41" s="31" t="s">
        <v>62</v>
      </c>
      <c r="X41" s="30" t="s">
        <v>62</v>
      </c>
      <c r="Y41" s="31" t="s">
        <v>62</v>
      </c>
      <c r="Z41" s="30" t="s">
        <v>62</v>
      </c>
      <c r="AA41" s="31" t="s">
        <v>62</v>
      </c>
      <c r="AB41" s="30" t="s">
        <v>62</v>
      </c>
      <c r="AC41" s="31" t="s">
        <v>62</v>
      </c>
      <c r="AD41" s="30" t="s">
        <v>62</v>
      </c>
      <c r="AE41" s="31" t="s">
        <v>62</v>
      </c>
      <c r="AF41" s="30" t="s">
        <v>62</v>
      </c>
      <c r="AG41" s="31" t="s">
        <v>62</v>
      </c>
      <c r="AH41" s="30" t="s">
        <v>62</v>
      </c>
      <c r="AI41" s="31" t="s">
        <v>62</v>
      </c>
      <c r="AJ41" s="23"/>
      <c r="AK41" s="225"/>
      <c r="AL41" s="196"/>
      <c r="AM41" s="157"/>
    </row>
    <row r="42" spans="1:39" s="17" customFormat="1" ht="22.9" customHeight="1" thickBot="1">
      <c r="A42" s="194"/>
      <c r="B42" s="203"/>
      <c r="C42" s="229"/>
      <c r="D42" s="463"/>
      <c r="E42" s="464"/>
      <c r="F42" s="185"/>
      <c r="G42" s="164"/>
      <c r="H42" s="164"/>
      <c r="I42" s="161"/>
      <c r="J42" s="223"/>
      <c r="K42" s="188"/>
      <c r="L42" s="26">
        <v>3</v>
      </c>
      <c r="M42" s="32">
        <v>3</v>
      </c>
      <c r="N42" s="32">
        <v>3</v>
      </c>
      <c r="O42" s="52">
        <v>3</v>
      </c>
      <c r="P42" s="51">
        <v>3</v>
      </c>
      <c r="Q42" s="52">
        <v>3</v>
      </c>
      <c r="R42" s="51">
        <v>3</v>
      </c>
      <c r="S42" s="52">
        <v>3</v>
      </c>
      <c r="T42" s="51">
        <v>3</v>
      </c>
      <c r="U42" s="52">
        <v>3</v>
      </c>
      <c r="V42" s="51">
        <v>3</v>
      </c>
      <c r="W42" s="52">
        <v>3</v>
      </c>
      <c r="X42" s="51">
        <v>3</v>
      </c>
      <c r="Y42" s="52">
        <v>3</v>
      </c>
      <c r="Z42" s="51">
        <v>3</v>
      </c>
      <c r="AA42" s="52">
        <v>3</v>
      </c>
      <c r="AB42" s="51">
        <v>3</v>
      </c>
      <c r="AC42" s="52">
        <v>3</v>
      </c>
      <c r="AD42" s="51">
        <v>3</v>
      </c>
      <c r="AE42" s="52">
        <v>3</v>
      </c>
      <c r="AF42" s="51">
        <v>3</v>
      </c>
      <c r="AG42" s="52">
        <v>3</v>
      </c>
      <c r="AH42" s="51">
        <v>3</v>
      </c>
      <c r="AI42" s="52">
        <v>3</v>
      </c>
      <c r="AJ42" s="33"/>
      <c r="AK42" s="226"/>
      <c r="AL42" s="197"/>
      <c r="AM42" s="158"/>
    </row>
    <row r="43" spans="1:39" ht="13.5" thickTop="1">
      <c r="J43" s="136">
        <f>SUM(J13:J42)</f>
        <v>1</v>
      </c>
    </row>
    <row r="46" spans="1:39" ht="12.75">
      <c r="N46" s="456"/>
    </row>
    <row r="48" spans="1:39" ht="12.75">
      <c r="AH48" s="456"/>
    </row>
    <row r="332" spans="5:5">
      <c r="E332" s="2" t="s">
        <v>108</v>
      </c>
    </row>
  </sheetData>
  <mergeCells count="123">
    <mergeCell ref="AM11:AM12"/>
    <mergeCell ref="K13:K15"/>
    <mergeCell ref="AK13:AK18"/>
    <mergeCell ref="K16:K18"/>
    <mergeCell ref="AI11:AI12"/>
    <mergeCell ref="AJ11:AJ12"/>
    <mergeCell ref="AK11:AK12"/>
    <mergeCell ref="AM25:AM30"/>
    <mergeCell ref="AL11:AL12"/>
    <mergeCell ref="AB11:AB12"/>
    <mergeCell ref="AA11:AA12"/>
    <mergeCell ref="W11:W12"/>
    <mergeCell ref="N11:N12"/>
    <mergeCell ref="V11:V12"/>
    <mergeCell ref="S11:S12"/>
    <mergeCell ref="K25:K27"/>
    <mergeCell ref="Y11:Y12"/>
    <mergeCell ref="A11:A12"/>
    <mergeCell ref="A13:A18"/>
    <mergeCell ref="A19:A24"/>
    <mergeCell ref="AK25:AK30"/>
    <mergeCell ref="AK31:AK36"/>
    <mergeCell ref="K31:K33"/>
    <mergeCell ref="K34:K36"/>
    <mergeCell ref="D11:D12"/>
    <mergeCell ref="J19:J24"/>
    <mergeCell ref="F19:F24"/>
    <mergeCell ref="AH11:AH12"/>
    <mergeCell ref="Z11:Z12"/>
    <mergeCell ref="T11:T12"/>
    <mergeCell ref="U11:U12"/>
    <mergeCell ref="K19:K21"/>
    <mergeCell ref="AG11:AG12"/>
    <mergeCell ref="P11:P12"/>
    <mergeCell ref="K28:K30"/>
    <mergeCell ref="AD11:AD12"/>
    <mergeCell ref="AE11:AE12"/>
    <mergeCell ref="AF11:AF12"/>
    <mergeCell ref="X11:X12"/>
    <mergeCell ref="AC11:AC12"/>
    <mergeCell ref="A25:A30"/>
    <mergeCell ref="G25:G30"/>
    <mergeCell ref="H25:H30"/>
    <mergeCell ref="B19:B24"/>
    <mergeCell ref="O1:R1"/>
    <mergeCell ref="O3:R3"/>
    <mergeCell ref="E1:N5"/>
    <mergeCell ref="O2:R2"/>
    <mergeCell ref="L11:L12"/>
    <mergeCell ref="O5:R5"/>
    <mergeCell ref="I11:I12"/>
    <mergeCell ref="E11:E12"/>
    <mergeCell ref="O6:R6"/>
    <mergeCell ref="O11:O12"/>
    <mergeCell ref="Q11:Q12"/>
    <mergeCell ref="R11:R12"/>
    <mergeCell ref="K11:K12"/>
    <mergeCell ref="M11:M12"/>
    <mergeCell ref="J11:J12"/>
    <mergeCell ref="B1:D5"/>
    <mergeCell ref="E13:E18"/>
    <mergeCell ref="G13:G18"/>
    <mergeCell ref="G11:G12"/>
    <mergeCell ref="F13:F18"/>
    <mergeCell ref="C11:C12"/>
    <mergeCell ref="C13:C18"/>
    <mergeCell ref="B11:B12"/>
    <mergeCell ref="B13:B18"/>
    <mergeCell ref="F11:F12"/>
    <mergeCell ref="D13:D18"/>
    <mergeCell ref="E6:N6"/>
    <mergeCell ref="B6:D6"/>
    <mergeCell ref="H13:H18"/>
    <mergeCell ref="J13:J18"/>
    <mergeCell ref="H11:H12"/>
    <mergeCell ref="A37:A42"/>
    <mergeCell ref="AL25:AL30"/>
    <mergeCell ref="C31:C36"/>
    <mergeCell ref="D31:D36"/>
    <mergeCell ref="I31:I36"/>
    <mergeCell ref="J31:J36"/>
    <mergeCell ref="G31:G36"/>
    <mergeCell ref="H31:H36"/>
    <mergeCell ref="B31:B36"/>
    <mergeCell ref="B25:B30"/>
    <mergeCell ref="E31:E36"/>
    <mergeCell ref="C25:C30"/>
    <mergeCell ref="D25:D30"/>
    <mergeCell ref="J25:J30"/>
    <mergeCell ref="E25:E30"/>
    <mergeCell ref="AL37:AL42"/>
    <mergeCell ref="J37:J42"/>
    <mergeCell ref="K37:K39"/>
    <mergeCell ref="AK37:AK42"/>
    <mergeCell ref="B37:B42"/>
    <mergeCell ref="C37:C42"/>
    <mergeCell ref="D37:D42"/>
    <mergeCell ref="E37:E42"/>
    <mergeCell ref="A31:A36"/>
    <mergeCell ref="C19:C24"/>
    <mergeCell ref="E19:E24"/>
    <mergeCell ref="D19:D24"/>
    <mergeCell ref="H19:H24"/>
    <mergeCell ref="AM37:AM42"/>
    <mergeCell ref="I37:I42"/>
    <mergeCell ref="H37:H42"/>
    <mergeCell ref="G37:G42"/>
    <mergeCell ref="AM13:AM18"/>
    <mergeCell ref="AM19:AM24"/>
    <mergeCell ref="AK19:AK24"/>
    <mergeCell ref="AL19:AL24"/>
    <mergeCell ref="AL13:AL18"/>
    <mergeCell ref="K22:K24"/>
    <mergeCell ref="AM31:AM36"/>
    <mergeCell ref="AL31:AL36"/>
    <mergeCell ref="I13:I18"/>
    <mergeCell ref="I19:I24"/>
    <mergeCell ref="I25:I30"/>
    <mergeCell ref="F37:F42"/>
    <mergeCell ref="K40:K42"/>
    <mergeCell ref="F31:F36"/>
    <mergeCell ref="G19:G24"/>
    <mergeCell ref="F25:F30"/>
  </mergeCells>
  <phoneticPr fontId="7" type="noConversion"/>
  <pageMargins left="0.56999999999999995" right="0.37" top="0.41" bottom="0.47" header="0" footer="0"/>
  <pageSetup scale="59" orientation="landscape" r:id="rId1"/>
  <headerFooter alignWithMargins="0"/>
  <colBreaks count="1" manualBreakCount="1">
    <brk id="38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ADC21-8394-4EFF-BE38-4B49040A9617}">
  <dimension ref="A1:BY575"/>
  <sheetViews>
    <sheetView topLeftCell="A11" zoomScaleNormal="100" workbookViewId="0">
      <pane xSplit="3" ySplit="1" topLeftCell="AF558" activePane="bottomRight" state="frozen"/>
      <selection pane="bottomRight" activeCell="R401" sqref="R401"/>
      <selection pane="bottomLeft" activeCell="A12" sqref="A12"/>
      <selection pane="topRight" activeCell="D11" sqref="D11"/>
    </sheetView>
  </sheetViews>
  <sheetFormatPr defaultColWidth="11.42578125" defaultRowHeight="12.6"/>
  <cols>
    <col min="1" max="1" width="11.42578125" style="113"/>
    <col min="2" max="2" width="19.85546875" style="113" customWidth="1"/>
    <col min="3" max="3" width="45.28515625" style="113" customWidth="1"/>
    <col min="4" max="4" width="19.85546875" style="113" customWidth="1"/>
    <col min="5" max="5" width="11.42578125" style="113"/>
    <col min="6" max="6" width="22.42578125" style="113" customWidth="1"/>
    <col min="7" max="10" width="14.42578125" style="113" customWidth="1"/>
    <col min="11" max="11" width="11.42578125" style="113"/>
    <col min="12" max="12" width="10.85546875" style="113"/>
    <col min="13" max="16384" width="11.42578125" style="113"/>
  </cols>
  <sheetData>
    <row r="1" spans="1:77" s="89" customFormat="1" ht="15.75" customHeight="1">
      <c r="C1" s="412"/>
      <c r="D1" s="415" t="s">
        <v>109</v>
      </c>
      <c r="E1" s="416"/>
      <c r="F1" s="416"/>
      <c r="G1" s="416"/>
      <c r="H1" s="416"/>
      <c r="I1" s="416"/>
      <c r="J1" s="416"/>
      <c r="K1" s="417"/>
      <c r="L1" s="415" t="s">
        <v>110</v>
      </c>
      <c r="M1" s="416"/>
      <c r="N1" s="416"/>
      <c r="O1" s="416"/>
      <c r="P1" s="416"/>
      <c r="Q1" s="417"/>
    </row>
    <row r="2" spans="1:77" s="89" customFormat="1" ht="15.75" customHeight="1">
      <c r="C2" s="413"/>
      <c r="D2" s="418"/>
      <c r="E2" s="419"/>
      <c r="F2" s="419"/>
      <c r="G2" s="419"/>
      <c r="H2" s="419"/>
      <c r="I2" s="419"/>
      <c r="J2" s="419"/>
      <c r="K2" s="420"/>
      <c r="L2" s="418" t="s">
        <v>111</v>
      </c>
      <c r="M2" s="419"/>
      <c r="N2" s="419"/>
      <c r="O2" s="419"/>
      <c r="P2" s="419"/>
      <c r="Q2" s="420"/>
    </row>
    <row r="3" spans="1:77" s="89" customFormat="1" ht="15.75" customHeight="1">
      <c r="C3" s="413"/>
      <c r="D3" s="418"/>
      <c r="E3" s="419"/>
      <c r="F3" s="419"/>
      <c r="G3" s="419"/>
      <c r="H3" s="419"/>
      <c r="I3" s="419"/>
      <c r="J3" s="419"/>
      <c r="K3" s="420"/>
      <c r="L3" s="418" t="s">
        <v>112</v>
      </c>
      <c r="M3" s="419"/>
      <c r="N3" s="419"/>
      <c r="O3" s="419"/>
      <c r="P3" s="419"/>
      <c r="Q3" s="420"/>
    </row>
    <row r="4" spans="1:77" s="89" customFormat="1" ht="12.75" customHeight="1">
      <c r="C4" s="413"/>
      <c r="D4" s="418"/>
      <c r="E4" s="419"/>
      <c r="F4" s="419"/>
      <c r="G4" s="419"/>
      <c r="H4" s="419"/>
      <c r="I4" s="419"/>
      <c r="J4" s="419"/>
      <c r="K4" s="420"/>
      <c r="L4" s="424"/>
      <c r="M4" s="425"/>
      <c r="N4" s="425"/>
      <c r="O4" s="425"/>
      <c r="P4" s="425"/>
      <c r="Q4" s="426"/>
    </row>
    <row r="5" spans="1:77" s="89" customFormat="1" ht="13.5" customHeight="1">
      <c r="C5" s="414"/>
      <c r="D5" s="421"/>
      <c r="E5" s="422"/>
      <c r="F5" s="422"/>
      <c r="G5" s="422"/>
      <c r="H5" s="422"/>
      <c r="I5" s="422"/>
      <c r="J5" s="422"/>
      <c r="K5" s="423"/>
      <c r="L5" s="427" t="s">
        <v>3</v>
      </c>
      <c r="M5" s="428"/>
      <c r="N5" s="428"/>
      <c r="O5" s="428"/>
      <c r="P5" s="428"/>
      <c r="Q5" s="429"/>
    </row>
    <row r="6" spans="1:77" s="90" customFormat="1" ht="13.5" customHeight="1">
      <c r="C6" s="91" t="s">
        <v>5</v>
      </c>
      <c r="D6" s="430" t="s">
        <v>113</v>
      </c>
      <c r="E6" s="431"/>
      <c r="F6" s="431"/>
      <c r="G6" s="431"/>
      <c r="H6" s="431"/>
      <c r="I6" s="431"/>
      <c r="J6" s="431"/>
      <c r="K6" s="432"/>
      <c r="L6" s="430" t="s">
        <v>114</v>
      </c>
      <c r="M6" s="431"/>
      <c r="N6" s="431"/>
      <c r="O6" s="431"/>
      <c r="P6" s="431"/>
      <c r="Q6" s="432"/>
    </row>
    <row r="7" spans="1:77" s="89" customFormat="1" ht="15.6">
      <c r="L7" s="93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  <c r="AC7" s="90"/>
      <c r="AD7" s="90"/>
      <c r="AE7" s="90"/>
      <c r="AF7" s="90"/>
      <c r="AG7" s="90"/>
      <c r="AH7" s="90"/>
      <c r="AI7" s="90"/>
      <c r="AJ7" s="90"/>
      <c r="AK7" s="90"/>
      <c r="AL7" s="90"/>
      <c r="AM7" s="90"/>
      <c r="AN7" s="90"/>
      <c r="AO7" s="90"/>
      <c r="AP7" s="90"/>
      <c r="AQ7" s="90"/>
      <c r="AR7" s="90"/>
      <c r="AS7" s="90"/>
      <c r="AT7" s="90"/>
      <c r="AU7" s="90"/>
      <c r="AV7" s="90"/>
      <c r="AW7" s="90"/>
      <c r="AX7" s="90"/>
      <c r="AY7" s="90"/>
      <c r="AZ7" s="90"/>
      <c r="BA7" s="90"/>
      <c r="BB7" s="90"/>
      <c r="BC7" s="90"/>
      <c r="BD7" s="90"/>
      <c r="BE7" s="90"/>
      <c r="BF7" s="90"/>
      <c r="BG7" s="90"/>
      <c r="BH7" s="90"/>
      <c r="BI7" s="90"/>
      <c r="BJ7" s="90"/>
      <c r="BK7" s="90"/>
      <c r="BL7" s="90"/>
      <c r="BM7" s="90"/>
      <c r="BN7" s="90"/>
      <c r="BO7" s="90"/>
      <c r="BP7" s="90"/>
      <c r="BQ7" s="90"/>
      <c r="BR7" s="90"/>
      <c r="BS7" s="90"/>
      <c r="BT7" s="90"/>
      <c r="BU7" s="90"/>
      <c r="BV7" s="90"/>
      <c r="BW7" s="90"/>
      <c r="BX7" s="90"/>
      <c r="BY7" s="90"/>
    </row>
    <row r="8" spans="1:77" s="89" customFormat="1" ht="15.6">
      <c r="C8" s="343" t="s">
        <v>115</v>
      </c>
      <c r="D8" s="343"/>
      <c r="E8" s="343"/>
      <c r="F8" s="343"/>
      <c r="G8" s="343"/>
      <c r="H8" s="343"/>
      <c r="I8" s="343"/>
      <c r="J8" s="343"/>
      <c r="K8" s="343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  <c r="AA8" s="93"/>
      <c r="AB8" s="93"/>
      <c r="AC8" s="93"/>
      <c r="AD8" s="93"/>
      <c r="AE8" s="93"/>
      <c r="AF8" s="93"/>
      <c r="AG8" s="93"/>
      <c r="AH8" s="93"/>
      <c r="AI8" s="93"/>
      <c r="AJ8" s="93"/>
      <c r="AK8" s="93"/>
      <c r="AL8" s="93"/>
      <c r="AM8" s="93"/>
      <c r="AN8" s="93"/>
      <c r="AO8" s="93"/>
      <c r="AP8" s="93"/>
      <c r="AQ8" s="93"/>
      <c r="AR8" s="93"/>
      <c r="AS8" s="93"/>
      <c r="AT8" s="93"/>
      <c r="AU8" s="93"/>
      <c r="AV8" s="93"/>
      <c r="AW8" s="93"/>
      <c r="AX8" s="93"/>
      <c r="AY8" s="93"/>
      <c r="AZ8" s="93"/>
      <c r="BA8" s="93"/>
      <c r="BB8" s="93"/>
      <c r="BC8" s="93"/>
      <c r="BD8" s="93"/>
      <c r="BE8" s="93"/>
      <c r="BF8" s="93"/>
      <c r="BG8" s="93"/>
      <c r="BH8" s="93"/>
      <c r="BI8" s="93"/>
      <c r="BJ8" s="93"/>
      <c r="BK8" s="93"/>
      <c r="BL8" s="93"/>
      <c r="BM8" s="93"/>
      <c r="BN8" s="93"/>
      <c r="BO8" s="93"/>
      <c r="BP8" s="93"/>
      <c r="BQ8" s="93"/>
      <c r="BR8" s="93"/>
      <c r="BS8" s="93"/>
      <c r="BT8" s="93"/>
      <c r="BU8" s="93"/>
      <c r="BV8" s="93"/>
      <c r="BW8" s="93"/>
      <c r="BX8" s="93"/>
      <c r="BY8" s="93"/>
    </row>
    <row r="9" spans="1:77" s="89" customFormat="1" ht="15.6">
      <c r="C9" s="92"/>
      <c r="D9" s="92"/>
      <c r="E9" s="92"/>
      <c r="F9" s="92"/>
      <c r="G9" s="92"/>
      <c r="H9" s="92"/>
      <c r="I9" s="92"/>
      <c r="J9" s="92"/>
      <c r="K9" s="92"/>
      <c r="L9" s="93" t="s">
        <v>116</v>
      </c>
      <c r="M9" s="93"/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  <c r="AA9" s="93"/>
      <c r="AB9" s="93"/>
      <c r="AC9" s="93"/>
      <c r="AD9" s="93"/>
      <c r="AE9" s="93"/>
      <c r="AF9" s="93"/>
      <c r="AG9" s="93"/>
      <c r="AH9" s="93"/>
      <c r="AI9" s="93"/>
      <c r="AJ9" s="93"/>
      <c r="AK9" s="93"/>
      <c r="AL9" s="93"/>
      <c r="AM9" s="93"/>
      <c r="AN9" s="93"/>
      <c r="AO9" s="93"/>
      <c r="AP9" s="93"/>
      <c r="AQ9" s="93"/>
      <c r="AR9" s="93"/>
      <c r="AS9" s="93"/>
      <c r="AT9" s="93"/>
      <c r="AU9" s="93"/>
      <c r="AV9" s="93"/>
      <c r="AW9" s="93"/>
      <c r="AX9" s="93"/>
      <c r="AY9" s="93"/>
      <c r="AZ9" s="93"/>
      <c r="BA9" s="93"/>
      <c r="BB9" s="93"/>
      <c r="BC9" s="93"/>
      <c r="BD9" s="93"/>
      <c r="BE9" s="93"/>
      <c r="BF9" s="93"/>
      <c r="BG9" s="93"/>
      <c r="BH9" s="93"/>
      <c r="BI9" s="93"/>
      <c r="BJ9" s="93"/>
      <c r="BK9" s="93"/>
      <c r="BL9" s="93"/>
      <c r="BM9" s="93"/>
      <c r="BN9" s="93"/>
      <c r="BO9" s="93"/>
      <c r="BP9" s="93"/>
      <c r="BQ9" s="93"/>
      <c r="BR9" s="93"/>
      <c r="BS9" s="93"/>
      <c r="BT9" s="93"/>
      <c r="BU9" s="93"/>
      <c r="BV9" s="93"/>
      <c r="BW9" s="93"/>
      <c r="BX9" s="93"/>
      <c r="BY9" s="93"/>
    </row>
    <row r="10" spans="1:77" s="89" customFormat="1" ht="15.6">
      <c r="C10" s="92"/>
      <c r="D10" s="92"/>
      <c r="E10" s="92"/>
      <c r="F10" s="92"/>
      <c r="G10" s="92"/>
      <c r="H10" s="92"/>
      <c r="I10" s="92"/>
      <c r="J10" s="92"/>
      <c r="K10" s="92"/>
      <c r="L10" s="90"/>
      <c r="M10" s="93"/>
      <c r="N10" s="93"/>
      <c r="O10" s="93"/>
      <c r="P10" s="93"/>
      <c r="Q10" s="93"/>
      <c r="R10" s="93"/>
      <c r="S10" s="93"/>
      <c r="T10" s="93"/>
      <c r="U10" s="93"/>
      <c r="V10" s="93"/>
      <c r="W10" s="93"/>
      <c r="X10" s="93"/>
      <c r="Y10" s="93"/>
      <c r="Z10" s="93"/>
      <c r="AA10" s="93"/>
      <c r="AB10" s="93"/>
      <c r="AC10" s="93"/>
      <c r="AD10" s="93"/>
      <c r="AE10" s="93"/>
      <c r="AF10" s="93"/>
      <c r="AG10" s="93"/>
      <c r="AH10" s="93"/>
      <c r="AI10" s="93"/>
      <c r="AJ10" s="93"/>
      <c r="AK10" s="93"/>
      <c r="AL10" s="93"/>
      <c r="AM10" s="93"/>
      <c r="AN10" s="93"/>
      <c r="AO10" s="93"/>
      <c r="AP10" s="93"/>
      <c r="AQ10" s="93"/>
      <c r="AR10" s="93"/>
      <c r="AS10" s="93"/>
      <c r="AT10" s="93"/>
      <c r="AU10" s="93"/>
      <c r="AV10" s="93"/>
      <c r="AW10" s="93"/>
      <c r="AX10" s="93"/>
      <c r="AY10" s="93"/>
      <c r="AZ10" s="93"/>
      <c r="BA10" s="93"/>
      <c r="BB10" s="93"/>
      <c r="BC10" s="93"/>
      <c r="BD10" s="93"/>
      <c r="BE10" s="93"/>
      <c r="BF10" s="93"/>
      <c r="BG10" s="93"/>
      <c r="BH10" s="93"/>
      <c r="BI10" s="93"/>
      <c r="BJ10" s="93"/>
      <c r="BK10" s="93"/>
      <c r="BL10" s="93"/>
      <c r="BM10" s="93"/>
      <c r="BN10" s="93"/>
      <c r="BO10" s="93"/>
      <c r="BP10" s="93"/>
      <c r="BQ10" s="93"/>
      <c r="BR10" s="93"/>
      <c r="BS10" s="93"/>
      <c r="BT10" s="93"/>
      <c r="BU10" s="93"/>
      <c r="BV10" s="93"/>
      <c r="BW10" s="93"/>
      <c r="BX10" s="93"/>
      <c r="BY10" s="93"/>
    </row>
    <row r="11" spans="1:77" s="89" customFormat="1" ht="15.6">
      <c r="C11" s="343" t="s">
        <v>117</v>
      </c>
      <c r="D11" s="343"/>
      <c r="E11" s="343"/>
      <c r="F11" s="343"/>
      <c r="G11" s="343"/>
      <c r="H11" s="343"/>
      <c r="I11" s="343"/>
      <c r="J11" s="343"/>
      <c r="K11" s="343"/>
      <c r="L11" s="90"/>
      <c r="M11" s="93"/>
      <c r="N11" s="93"/>
      <c r="O11" s="93"/>
      <c r="P11" s="93"/>
      <c r="Q11" s="93"/>
      <c r="R11" s="93"/>
      <c r="S11" s="93"/>
      <c r="T11" s="93"/>
      <c r="U11" s="93"/>
      <c r="V11" s="93"/>
      <c r="W11" s="93"/>
      <c r="X11" s="93"/>
      <c r="Y11" s="93"/>
      <c r="Z11" s="93"/>
      <c r="AA11" s="93"/>
      <c r="AB11" s="93"/>
      <c r="AC11" s="93"/>
      <c r="AD11" s="93"/>
      <c r="AE11" s="93"/>
      <c r="AF11" s="93"/>
      <c r="AG11" s="93"/>
      <c r="AH11" s="93"/>
      <c r="AI11" s="93"/>
      <c r="AJ11" s="93"/>
      <c r="AK11" s="93"/>
      <c r="AL11" s="93"/>
      <c r="AM11" s="93"/>
      <c r="AN11" s="93"/>
      <c r="AO11" s="93"/>
      <c r="AP11" s="93"/>
      <c r="AQ11" s="93"/>
      <c r="AR11" s="93"/>
      <c r="AS11" s="93"/>
      <c r="AT11" s="93"/>
      <c r="AU11" s="93"/>
      <c r="AV11" s="93"/>
      <c r="AW11" s="93"/>
      <c r="AX11" s="93"/>
      <c r="AY11" s="93"/>
      <c r="AZ11" s="93"/>
      <c r="BA11" s="93"/>
      <c r="BB11" s="93"/>
      <c r="BC11" s="93"/>
      <c r="BD11" s="93"/>
      <c r="BE11" s="93"/>
      <c r="BF11" s="93"/>
      <c r="BG11" s="93"/>
      <c r="BH11" s="93"/>
      <c r="BI11" s="93"/>
      <c r="BJ11" s="93"/>
      <c r="BK11" s="93"/>
      <c r="BL11" s="93"/>
      <c r="BM11" s="93"/>
      <c r="BN11" s="93"/>
      <c r="BO11" s="93"/>
      <c r="BP11" s="93"/>
      <c r="BQ11" s="93"/>
      <c r="BR11" s="93"/>
      <c r="BS11" s="93"/>
      <c r="BT11" s="93"/>
      <c r="BU11" s="93"/>
      <c r="BV11" s="93"/>
      <c r="BW11" s="93"/>
      <c r="BX11" s="93"/>
      <c r="BY11" s="93"/>
    </row>
    <row r="12" spans="1:77" s="89" customFormat="1" ht="15.95" thickBot="1"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  <c r="AJ12" s="90"/>
      <c r="AK12" s="90"/>
      <c r="AL12" s="90"/>
      <c r="AM12" s="90"/>
      <c r="AN12" s="90"/>
      <c r="AO12" s="90"/>
      <c r="AP12" s="90"/>
      <c r="AQ12" s="90"/>
      <c r="AR12" s="90"/>
      <c r="AS12" s="90"/>
      <c r="AT12" s="90"/>
      <c r="AU12" s="90"/>
      <c r="AV12" s="90"/>
      <c r="AW12" s="90"/>
      <c r="AX12" s="90"/>
      <c r="AY12" s="90"/>
      <c r="AZ12" s="90"/>
      <c r="BA12" s="90"/>
      <c r="BB12" s="90"/>
      <c r="BC12" s="90"/>
      <c r="BD12" s="90"/>
      <c r="BE12" s="90"/>
      <c r="BF12" s="90"/>
      <c r="BG12" s="90"/>
      <c r="BH12" s="90"/>
      <c r="BI12" s="90"/>
      <c r="BJ12" s="90"/>
      <c r="BK12" s="90"/>
      <c r="BL12" s="90"/>
      <c r="BM12" s="90"/>
      <c r="BN12" s="90"/>
      <c r="BO12" s="90"/>
      <c r="BP12" s="90"/>
      <c r="BQ12" s="90"/>
      <c r="BR12" s="90"/>
      <c r="BS12" s="90"/>
      <c r="BT12" s="90"/>
      <c r="BU12" s="90"/>
      <c r="BV12" s="90"/>
      <c r="BW12" s="90"/>
      <c r="BX12" s="90"/>
      <c r="BY12" s="90"/>
    </row>
    <row r="13" spans="1:77" s="94" customFormat="1" ht="22.9" customHeight="1" thickTop="1">
      <c r="A13" s="311" t="s">
        <v>10</v>
      </c>
      <c r="B13" s="311" t="s">
        <v>11</v>
      </c>
      <c r="C13" s="311" t="s">
        <v>12</v>
      </c>
      <c r="D13" s="241" t="s">
        <v>13</v>
      </c>
      <c r="E13" s="241" t="s">
        <v>14</v>
      </c>
      <c r="F13" s="241" t="s">
        <v>15</v>
      </c>
      <c r="G13" s="241" t="s">
        <v>16</v>
      </c>
      <c r="H13" s="241" t="s">
        <v>17</v>
      </c>
      <c r="I13" s="241" t="s">
        <v>118</v>
      </c>
      <c r="J13" s="241" t="s">
        <v>19</v>
      </c>
      <c r="K13" s="241" t="s">
        <v>20</v>
      </c>
      <c r="L13" s="241" t="s">
        <v>21</v>
      </c>
      <c r="M13" s="241" t="s">
        <v>22</v>
      </c>
      <c r="N13" s="241" t="s">
        <v>23</v>
      </c>
      <c r="O13" s="311" t="s">
        <v>24</v>
      </c>
      <c r="P13" s="241" t="s">
        <v>25</v>
      </c>
      <c r="Q13" s="241" t="s">
        <v>26</v>
      </c>
      <c r="R13" s="241" t="s">
        <v>27</v>
      </c>
      <c r="S13" s="241" t="s">
        <v>28</v>
      </c>
      <c r="T13" s="241" t="s">
        <v>29</v>
      </c>
      <c r="U13" s="311" t="s">
        <v>30</v>
      </c>
      <c r="V13" s="311" t="s">
        <v>31</v>
      </c>
      <c r="W13" s="241" t="s">
        <v>32</v>
      </c>
      <c r="X13" s="339" t="s">
        <v>33</v>
      </c>
      <c r="Y13" s="241" t="s">
        <v>34</v>
      </c>
      <c r="Z13" s="241" t="s">
        <v>35</v>
      </c>
      <c r="AA13" s="241" t="s">
        <v>36</v>
      </c>
      <c r="AB13" s="241" t="s">
        <v>37</v>
      </c>
      <c r="AC13" s="241" t="s">
        <v>38</v>
      </c>
      <c r="AD13" s="241" t="s">
        <v>39</v>
      </c>
      <c r="AE13" s="241" t="s">
        <v>40</v>
      </c>
      <c r="AF13" s="311" t="s">
        <v>41</v>
      </c>
      <c r="AG13" s="241" t="s">
        <v>42</v>
      </c>
      <c r="AH13" s="241" t="s">
        <v>43</v>
      </c>
      <c r="AI13" s="241" t="s">
        <v>119</v>
      </c>
      <c r="AJ13" s="241" t="s">
        <v>45</v>
      </c>
      <c r="AK13" s="241" t="s">
        <v>46</v>
      </c>
      <c r="AL13" s="241" t="s">
        <v>47</v>
      </c>
      <c r="AM13" s="241" t="s">
        <v>48</v>
      </c>
    </row>
    <row r="14" spans="1:77" s="94" customFormat="1" ht="22.9" customHeight="1" thickBot="1">
      <c r="A14" s="314"/>
      <c r="B14" s="314"/>
      <c r="C14" s="314"/>
      <c r="D14" s="242"/>
      <c r="E14" s="242"/>
      <c r="F14" s="242"/>
      <c r="G14" s="242"/>
      <c r="H14" s="242"/>
      <c r="I14" s="242"/>
      <c r="J14" s="242"/>
      <c r="K14" s="242"/>
      <c r="L14" s="313"/>
      <c r="M14" s="242"/>
      <c r="N14" s="242"/>
      <c r="O14" s="314"/>
      <c r="P14" s="242"/>
      <c r="Q14" s="242"/>
      <c r="R14" s="242"/>
      <c r="S14" s="310"/>
      <c r="T14" s="242"/>
      <c r="U14" s="312"/>
      <c r="V14" s="312"/>
      <c r="W14" s="310"/>
      <c r="X14" s="340"/>
      <c r="Y14" s="242"/>
      <c r="Z14" s="310"/>
      <c r="AA14" s="310"/>
      <c r="AB14" s="310"/>
      <c r="AC14" s="310"/>
      <c r="AD14" s="310"/>
      <c r="AE14" s="310"/>
      <c r="AF14" s="312"/>
      <c r="AG14" s="310"/>
      <c r="AH14" s="242"/>
      <c r="AI14" s="242">
        <v>2018</v>
      </c>
      <c r="AJ14" s="242"/>
      <c r="AK14" s="328"/>
      <c r="AL14" s="242"/>
      <c r="AM14" s="242"/>
    </row>
    <row r="15" spans="1:77" s="94" customFormat="1" ht="22.9" customHeight="1" thickTop="1">
      <c r="A15" s="329" t="s">
        <v>120</v>
      </c>
      <c r="B15" s="332" t="s">
        <v>64</v>
      </c>
      <c r="C15" s="335" t="s">
        <v>121</v>
      </c>
      <c r="D15" s="338" t="s">
        <v>122</v>
      </c>
      <c r="E15" s="338" t="s">
        <v>123</v>
      </c>
      <c r="F15" s="243" t="s">
        <v>68</v>
      </c>
      <c r="G15" s="183" t="s">
        <v>69</v>
      </c>
      <c r="H15" s="207" t="s">
        <v>70</v>
      </c>
      <c r="I15" s="348">
        <f>+L16</f>
        <v>0.94424623879945524</v>
      </c>
      <c r="J15" s="351">
        <v>0.1</v>
      </c>
      <c r="K15" s="315" t="s">
        <v>124</v>
      </c>
      <c r="L15" s="95" t="s">
        <v>57</v>
      </c>
      <c r="M15" s="96" t="s">
        <v>57</v>
      </c>
      <c r="N15" s="96" t="s">
        <v>57</v>
      </c>
      <c r="O15" s="97" t="s">
        <v>57</v>
      </c>
      <c r="P15" s="96" t="s">
        <v>57</v>
      </c>
      <c r="Q15" s="98" t="s">
        <v>57</v>
      </c>
      <c r="R15" s="96" t="s">
        <v>57</v>
      </c>
      <c r="S15" s="98" t="s">
        <v>57</v>
      </c>
      <c r="T15" s="96" t="s">
        <v>57</v>
      </c>
      <c r="U15" s="98" t="s">
        <v>57</v>
      </c>
      <c r="V15" s="96" t="s">
        <v>57</v>
      </c>
      <c r="W15" s="98" t="s">
        <v>57</v>
      </c>
      <c r="X15" s="96" t="s">
        <v>57</v>
      </c>
      <c r="Y15" s="98" t="s">
        <v>57</v>
      </c>
      <c r="Z15" s="96" t="s">
        <v>57</v>
      </c>
      <c r="AA15" s="98" t="s">
        <v>57</v>
      </c>
      <c r="AB15" s="96" t="s">
        <v>57</v>
      </c>
      <c r="AC15" s="98" t="s">
        <v>57</v>
      </c>
      <c r="AD15" s="96" t="s">
        <v>57</v>
      </c>
      <c r="AE15" s="98" t="s">
        <v>57</v>
      </c>
      <c r="AF15" s="96" t="s">
        <v>57</v>
      </c>
      <c r="AG15" s="98" t="s">
        <v>57</v>
      </c>
      <c r="AH15" s="96" t="s">
        <v>57</v>
      </c>
      <c r="AI15" s="98" t="s">
        <v>57</v>
      </c>
      <c r="AJ15" s="67"/>
      <c r="AK15" s="165" t="s">
        <v>72</v>
      </c>
      <c r="AL15" s="325"/>
      <c r="AM15" s="156" t="s">
        <v>125</v>
      </c>
    </row>
    <row r="16" spans="1:77" s="94" customFormat="1" ht="22.9" customHeight="1">
      <c r="A16" s="330"/>
      <c r="B16" s="333"/>
      <c r="C16" s="336"/>
      <c r="D16" s="465"/>
      <c r="E16" s="341"/>
      <c r="F16" s="410"/>
      <c r="G16" s="184"/>
      <c r="H16" s="208"/>
      <c r="I16" s="349"/>
      <c r="J16" s="352"/>
      <c r="K16" s="316"/>
      <c r="L16" s="41">
        <f>IF(L18&lt;&gt;0,+L18/L20,0%)</f>
        <v>0.94424623879945524</v>
      </c>
      <c r="M16" s="58">
        <f>IF(M18&lt;&gt;0,+M18/M20,0%)</f>
        <v>0.9416689869789534</v>
      </c>
      <c r="N16" s="61">
        <f>IF(N18&lt;&gt;0,+N18/N20,0%)</f>
        <v>0.94356699009529854</v>
      </c>
      <c r="O16" s="57">
        <f t="shared" ref="O16" si="0">IF(O18&lt;&gt;0,+O18/O20,0%)</f>
        <v>0.94257266366808012</v>
      </c>
      <c r="P16" s="61">
        <f>IF(P18&lt;&gt;0,ROUND(+P18/P20,4),0%)</f>
        <v>0.94269999999999998</v>
      </c>
      <c r="Q16" s="62">
        <f t="shared" ref="Q16" si="1">IF(Q18&lt;&gt;0,+Q18/Q20,0%)</f>
        <v>0.94260902502126453</v>
      </c>
      <c r="R16" s="63">
        <f>IF(R18&lt;&gt;0,ROUND(+R18/R20,4),0%)</f>
        <v>0.95309999999999995</v>
      </c>
      <c r="S16" s="62">
        <f t="shared" ref="S16" si="2">IF(S18&lt;&gt;0,+S18/S20,0%)</f>
        <v>0.94530359196607949</v>
      </c>
      <c r="T16" s="63">
        <f>IF(T18&lt;&gt;0,ROUND(+T18/T20,4),0%)</f>
        <v>0.95420000000000005</v>
      </c>
      <c r="U16" s="62">
        <f t="shared" ref="U16" si="3">IF(U18&lt;&gt;0,+U18/U20,0%)</f>
        <v>0.94710935491149906</v>
      </c>
      <c r="V16" s="63">
        <f>IF(V18&lt;&gt;0,ROUND(+V18/V20,4),0%)</f>
        <v>0.94710000000000005</v>
      </c>
      <c r="W16" s="62">
        <f t="shared" ref="W16" si="4">IF(W18&lt;&gt;0,+W18/W20,0%)</f>
        <v>0.94710906295933228</v>
      </c>
      <c r="X16" s="63">
        <f>IF(X18&lt;&gt;0,ROUND(+X18/X20,4),0%)</f>
        <v>0.92310000000000003</v>
      </c>
      <c r="Y16" s="62">
        <f t="shared" ref="Y16" si="5">IF(Y18&lt;&gt;0,+Y18/Y20,0%)</f>
        <v>0.94243865914169367</v>
      </c>
      <c r="Z16" s="64">
        <f>IF(Z18&lt;&gt;0,ROUND(+Z18/Z20,4),0%)</f>
        <v>0.95250000000000001</v>
      </c>
      <c r="AA16" s="62">
        <f t="shared" ref="AA16" si="6">IF(AA18&lt;&gt;0,+AA18/AA20,0%)</f>
        <v>0.94359011339667198</v>
      </c>
      <c r="AB16" s="63">
        <f>IF(AB18&lt;&gt;0,ROUND(+AB18/AB20,4),0%)</f>
        <v>0.94530000000000003</v>
      </c>
      <c r="AC16" s="62">
        <f t="shared" ref="AC16" si="7">IF(AC18&lt;&gt;0,+AC18/AC20,0%)</f>
        <v>0.94374103584929447</v>
      </c>
      <c r="AD16" s="63">
        <f>IF(AD18&lt;&gt;0,ROUND(+AD18/AD20,4),0%)</f>
        <v>0.93369999999999997</v>
      </c>
      <c r="AE16" s="62">
        <f t="shared" ref="AE16" si="8">IF(AE18&lt;&gt;0,+AE18/AE20,0%)</f>
        <v>0.94256724168356898</v>
      </c>
      <c r="AF16" s="63">
        <f>IF(AF18&lt;&gt;0,ROUND(+AF18/AF20,4),0%)</f>
        <v>0.94910000000000005</v>
      </c>
      <c r="AG16" s="62">
        <f t="shared" ref="AG16" si="9">IF(AG18&lt;&gt;0,+AG18/AG20,0%)</f>
        <v>0.94307261459669534</v>
      </c>
      <c r="AH16" s="63">
        <f>IF(AH18&lt;&gt;0,ROUND(+AH18/AH20,4),0%)</f>
        <v>0.96040000000000003</v>
      </c>
      <c r="AI16" s="62">
        <f>IF(AI18&lt;&gt;0,+AI18/AI20,0%)</f>
        <v>0.94424623879945524</v>
      </c>
      <c r="AJ16" s="68"/>
      <c r="AK16" s="166"/>
      <c r="AL16" s="326"/>
      <c r="AM16" s="157"/>
      <c r="AO16" s="100"/>
    </row>
    <row r="17" spans="1:41" s="94" customFormat="1" ht="22.9" customHeight="1" thickBot="1">
      <c r="A17" s="330"/>
      <c r="B17" s="333"/>
      <c r="C17" s="336"/>
      <c r="D17" s="465"/>
      <c r="E17" s="341"/>
      <c r="F17" s="410"/>
      <c r="G17" s="184"/>
      <c r="H17" s="208"/>
      <c r="I17" s="349"/>
      <c r="J17" s="352"/>
      <c r="K17" s="317"/>
      <c r="L17" s="99" t="s">
        <v>60</v>
      </c>
      <c r="M17" s="101" t="s">
        <v>60</v>
      </c>
      <c r="N17" s="101" t="s">
        <v>60</v>
      </c>
      <c r="O17" s="102" t="s">
        <v>60</v>
      </c>
      <c r="P17" s="101" t="s">
        <v>60</v>
      </c>
      <c r="Q17" s="103" t="s">
        <v>60</v>
      </c>
      <c r="R17" s="101" t="s">
        <v>60</v>
      </c>
      <c r="S17" s="103" t="s">
        <v>60</v>
      </c>
      <c r="T17" s="101" t="s">
        <v>60</v>
      </c>
      <c r="U17" s="103" t="s">
        <v>60</v>
      </c>
      <c r="V17" s="101" t="s">
        <v>60</v>
      </c>
      <c r="W17" s="103" t="s">
        <v>60</v>
      </c>
      <c r="X17" s="101" t="s">
        <v>60</v>
      </c>
      <c r="Y17" s="103" t="s">
        <v>60</v>
      </c>
      <c r="Z17" s="101" t="s">
        <v>60</v>
      </c>
      <c r="AA17" s="103" t="s">
        <v>60</v>
      </c>
      <c r="AB17" s="101" t="s">
        <v>60</v>
      </c>
      <c r="AC17" s="103" t="s">
        <v>60</v>
      </c>
      <c r="AD17" s="101" t="s">
        <v>60</v>
      </c>
      <c r="AE17" s="103" t="s">
        <v>60</v>
      </c>
      <c r="AF17" s="101" t="s">
        <v>60</v>
      </c>
      <c r="AG17" s="103" t="s">
        <v>60</v>
      </c>
      <c r="AH17" s="101" t="s">
        <v>60</v>
      </c>
      <c r="AI17" s="103" t="s">
        <v>60</v>
      </c>
      <c r="AJ17" s="68"/>
      <c r="AK17" s="166"/>
      <c r="AL17" s="326"/>
      <c r="AM17" s="157"/>
    </row>
    <row r="18" spans="1:41" s="94" customFormat="1" ht="22.9" customHeight="1" thickTop="1">
      <c r="A18" s="330"/>
      <c r="B18" s="333"/>
      <c r="C18" s="336"/>
      <c r="D18" s="465"/>
      <c r="E18" s="341"/>
      <c r="F18" s="410"/>
      <c r="G18" s="184"/>
      <c r="H18" s="208"/>
      <c r="I18" s="349"/>
      <c r="J18" s="352"/>
      <c r="K18" s="316" t="s">
        <v>74</v>
      </c>
      <c r="L18" s="104">
        <v>3404917</v>
      </c>
      <c r="M18" s="105">
        <v>287468</v>
      </c>
      <c r="N18" s="105">
        <v>261787</v>
      </c>
      <c r="O18" s="106">
        <f>+M18+N18</f>
        <v>549255</v>
      </c>
      <c r="P18" s="105">
        <v>301838</v>
      </c>
      <c r="Q18" s="106">
        <f>+O18+P18</f>
        <v>851093</v>
      </c>
      <c r="R18" s="105">
        <v>297967</v>
      </c>
      <c r="S18" s="106">
        <f>+Q18+R18</f>
        <v>1149060</v>
      </c>
      <c r="T18" s="105">
        <v>294812</v>
      </c>
      <c r="U18" s="106">
        <f>+S18+T18</f>
        <v>1443872</v>
      </c>
      <c r="V18" s="105">
        <v>243041</v>
      </c>
      <c r="W18" s="106">
        <f>+U18+V18</f>
        <v>1686913</v>
      </c>
      <c r="X18" s="105">
        <v>397439</v>
      </c>
      <c r="Y18" s="106">
        <f>+W18+X18</f>
        <v>2084352</v>
      </c>
      <c r="Z18" s="105">
        <v>270948</v>
      </c>
      <c r="AA18" s="106">
        <f>+Y18+Z18</f>
        <v>2355300</v>
      </c>
      <c r="AB18" s="105">
        <v>227337</v>
      </c>
      <c r="AC18" s="106">
        <f>+AA18+AB18</f>
        <v>2582637</v>
      </c>
      <c r="AD18" s="105">
        <v>339017</v>
      </c>
      <c r="AE18" s="106">
        <f>+AC18+AD18</f>
        <v>2921654</v>
      </c>
      <c r="AF18" s="105">
        <v>248511</v>
      </c>
      <c r="AG18" s="106">
        <f>+AE18+AF18</f>
        <v>3170165</v>
      </c>
      <c r="AH18" s="105">
        <v>234752</v>
      </c>
      <c r="AI18" s="106">
        <f>+AG18+AH18</f>
        <v>3404917</v>
      </c>
      <c r="AJ18" s="29">
        <f>AI16/L16</f>
        <v>1</v>
      </c>
      <c r="AK18" s="166"/>
      <c r="AL18" s="326"/>
      <c r="AM18" s="157"/>
    </row>
    <row r="19" spans="1:41" s="94" customFormat="1" ht="22.9" customHeight="1">
      <c r="A19" s="330"/>
      <c r="B19" s="333"/>
      <c r="C19" s="336"/>
      <c r="D19" s="465"/>
      <c r="E19" s="341"/>
      <c r="F19" s="410"/>
      <c r="G19" s="184"/>
      <c r="H19" s="208"/>
      <c r="I19" s="349"/>
      <c r="J19" s="352"/>
      <c r="K19" s="347"/>
      <c r="L19" s="99" t="s">
        <v>126</v>
      </c>
      <c r="M19" s="107" t="s">
        <v>62</v>
      </c>
      <c r="N19" s="107" t="s">
        <v>62</v>
      </c>
      <c r="O19" s="108" t="s">
        <v>62</v>
      </c>
      <c r="P19" s="107" t="s">
        <v>62</v>
      </c>
      <c r="Q19" s="109" t="s">
        <v>62</v>
      </c>
      <c r="R19" s="107" t="s">
        <v>62</v>
      </c>
      <c r="S19" s="109" t="s">
        <v>62</v>
      </c>
      <c r="T19" s="107" t="s">
        <v>62</v>
      </c>
      <c r="U19" s="109" t="s">
        <v>62</v>
      </c>
      <c r="V19" s="107" t="s">
        <v>62</v>
      </c>
      <c r="W19" s="109" t="s">
        <v>62</v>
      </c>
      <c r="X19" s="107" t="s">
        <v>62</v>
      </c>
      <c r="Y19" s="109" t="s">
        <v>62</v>
      </c>
      <c r="Z19" s="107" t="s">
        <v>62</v>
      </c>
      <c r="AA19" s="109" t="s">
        <v>62</v>
      </c>
      <c r="AB19" s="107" t="s">
        <v>62</v>
      </c>
      <c r="AC19" s="109" t="s">
        <v>62</v>
      </c>
      <c r="AD19" s="107" t="s">
        <v>62</v>
      </c>
      <c r="AE19" s="109" t="s">
        <v>62</v>
      </c>
      <c r="AF19" s="107" t="s">
        <v>62</v>
      </c>
      <c r="AG19" s="109" t="s">
        <v>62</v>
      </c>
      <c r="AH19" s="107" t="s">
        <v>62</v>
      </c>
      <c r="AI19" s="109" t="s">
        <v>62</v>
      </c>
      <c r="AJ19" s="68"/>
      <c r="AK19" s="166"/>
      <c r="AL19" s="326"/>
      <c r="AM19" s="157"/>
    </row>
    <row r="20" spans="1:41" s="94" customFormat="1" ht="22.9" customHeight="1" thickBot="1">
      <c r="A20" s="331"/>
      <c r="B20" s="334"/>
      <c r="C20" s="337"/>
      <c r="D20" s="466"/>
      <c r="E20" s="342"/>
      <c r="F20" s="411"/>
      <c r="G20" s="185"/>
      <c r="H20" s="209"/>
      <c r="I20" s="350"/>
      <c r="J20" s="353"/>
      <c r="K20" s="317"/>
      <c r="L20" s="110">
        <v>3605963</v>
      </c>
      <c r="M20" s="111">
        <v>305275</v>
      </c>
      <c r="N20" s="111">
        <v>277444</v>
      </c>
      <c r="O20" s="112">
        <f>+M20+N20</f>
        <v>582719</v>
      </c>
      <c r="P20" s="111">
        <v>320193</v>
      </c>
      <c r="Q20" s="112">
        <f>+O20+P20</f>
        <v>902912</v>
      </c>
      <c r="R20" s="111">
        <v>312634</v>
      </c>
      <c r="S20" s="112">
        <f>+Q20+R20</f>
        <v>1215546</v>
      </c>
      <c r="T20" s="111">
        <v>308958</v>
      </c>
      <c r="U20" s="112">
        <f>+S20+T20</f>
        <v>1524504</v>
      </c>
      <c r="V20" s="111">
        <v>256614</v>
      </c>
      <c r="W20" s="112">
        <f>+U20+V20</f>
        <v>1781118</v>
      </c>
      <c r="X20" s="111">
        <v>430540</v>
      </c>
      <c r="Y20" s="112">
        <f>+W20+X20</f>
        <v>2211658</v>
      </c>
      <c r="Z20" s="111">
        <v>284447</v>
      </c>
      <c r="AA20" s="112">
        <f>+Y20+Z20</f>
        <v>2496105</v>
      </c>
      <c r="AB20" s="111">
        <v>240490</v>
      </c>
      <c r="AC20" s="112">
        <f>+AA20+AB20</f>
        <v>2736595</v>
      </c>
      <c r="AD20" s="111">
        <v>363082</v>
      </c>
      <c r="AE20" s="112">
        <f>+AC20+AD20</f>
        <v>3099677</v>
      </c>
      <c r="AF20" s="111">
        <v>261851</v>
      </c>
      <c r="AG20" s="112">
        <f>+AE20+AF20</f>
        <v>3361528</v>
      </c>
      <c r="AH20" s="111">
        <v>244435</v>
      </c>
      <c r="AI20" s="112">
        <f>+AG20+AH20</f>
        <v>3605963</v>
      </c>
      <c r="AJ20" s="69"/>
      <c r="AK20" s="167"/>
      <c r="AL20" s="327"/>
      <c r="AM20" s="158"/>
    </row>
    <row r="21" spans="1:41" ht="12.95" thickTop="1"/>
    <row r="22" spans="1:41" s="89" customFormat="1" ht="20.45" thickBot="1">
      <c r="A22" s="114" t="s">
        <v>127</v>
      </c>
      <c r="L22" s="90"/>
      <c r="M22" s="90"/>
      <c r="N22" s="90"/>
      <c r="O22" s="90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  <c r="AA22" s="90"/>
      <c r="AB22" s="90"/>
      <c r="AC22" s="90"/>
      <c r="AD22" s="90"/>
      <c r="AE22" s="90"/>
      <c r="AF22" s="90"/>
      <c r="AG22" s="90"/>
      <c r="AH22" s="90"/>
      <c r="AI22" s="90"/>
      <c r="AJ22" s="90"/>
      <c r="AK22" s="90"/>
      <c r="AL22" s="90"/>
      <c r="AM22" s="90"/>
    </row>
    <row r="23" spans="1:41" s="94" customFormat="1" ht="22.9" customHeight="1" thickTop="1">
      <c r="A23" s="311" t="s">
        <v>10</v>
      </c>
      <c r="B23" s="311" t="s">
        <v>11</v>
      </c>
      <c r="C23" s="311" t="s">
        <v>12</v>
      </c>
      <c r="D23" s="241" t="s">
        <v>13</v>
      </c>
      <c r="E23" s="241" t="s">
        <v>14</v>
      </c>
      <c r="F23" s="241" t="s">
        <v>15</v>
      </c>
      <c r="G23" s="241" t="s">
        <v>16</v>
      </c>
      <c r="H23" s="241" t="s">
        <v>17</v>
      </c>
      <c r="I23" s="241" t="s">
        <v>118</v>
      </c>
      <c r="J23" s="241" t="s">
        <v>19</v>
      </c>
      <c r="K23" s="241" t="s">
        <v>20</v>
      </c>
      <c r="L23" s="241" t="s">
        <v>21</v>
      </c>
      <c r="M23" s="241" t="s">
        <v>22</v>
      </c>
      <c r="N23" s="241" t="s">
        <v>23</v>
      </c>
      <c r="O23" s="311" t="s">
        <v>24</v>
      </c>
      <c r="P23" s="241" t="s">
        <v>25</v>
      </c>
      <c r="Q23" s="241" t="s">
        <v>26</v>
      </c>
      <c r="R23" s="241" t="s">
        <v>27</v>
      </c>
      <c r="S23" s="241" t="s">
        <v>28</v>
      </c>
      <c r="T23" s="241" t="s">
        <v>29</v>
      </c>
      <c r="U23" s="311" t="s">
        <v>30</v>
      </c>
      <c r="V23" s="311" t="s">
        <v>31</v>
      </c>
      <c r="W23" s="241" t="s">
        <v>32</v>
      </c>
      <c r="X23" s="339" t="s">
        <v>33</v>
      </c>
      <c r="Y23" s="241" t="s">
        <v>34</v>
      </c>
      <c r="Z23" s="241" t="s">
        <v>35</v>
      </c>
      <c r="AA23" s="241" t="s">
        <v>36</v>
      </c>
      <c r="AB23" s="241" t="s">
        <v>37</v>
      </c>
      <c r="AC23" s="241" t="s">
        <v>38</v>
      </c>
      <c r="AD23" s="241" t="s">
        <v>39</v>
      </c>
      <c r="AE23" s="241" t="s">
        <v>40</v>
      </c>
      <c r="AF23" s="311" t="s">
        <v>41</v>
      </c>
      <c r="AG23" s="241" t="s">
        <v>42</v>
      </c>
      <c r="AH23" s="241" t="s">
        <v>43</v>
      </c>
      <c r="AI23" s="241" t="s">
        <v>119</v>
      </c>
      <c r="AJ23" s="241" t="s">
        <v>45</v>
      </c>
      <c r="AK23" s="241" t="s">
        <v>46</v>
      </c>
      <c r="AL23" s="241" t="s">
        <v>47</v>
      </c>
      <c r="AM23" s="241" t="s">
        <v>48</v>
      </c>
    </row>
    <row r="24" spans="1:41" s="94" customFormat="1" ht="22.9" customHeight="1" thickBot="1">
      <c r="A24" s="314"/>
      <c r="B24" s="314"/>
      <c r="C24" s="314"/>
      <c r="D24" s="242"/>
      <c r="E24" s="242"/>
      <c r="F24" s="242"/>
      <c r="G24" s="242"/>
      <c r="H24" s="242"/>
      <c r="I24" s="242"/>
      <c r="J24" s="242"/>
      <c r="K24" s="242"/>
      <c r="L24" s="313"/>
      <c r="M24" s="242"/>
      <c r="N24" s="242"/>
      <c r="O24" s="314"/>
      <c r="P24" s="242"/>
      <c r="Q24" s="242"/>
      <c r="R24" s="242"/>
      <c r="S24" s="310"/>
      <c r="T24" s="242"/>
      <c r="U24" s="312"/>
      <c r="V24" s="312"/>
      <c r="W24" s="310"/>
      <c r="X24" s="340"/>
      <c r="Y24" s="242"/>
      <c r="Z24" s="310"/>
      <c r="AA24" s="310"/>
      <c r="AB24" s="310"/>
      <c r="AC24" s="310"/>
      <c r="AD24" s="310"/>
      <c r="AE24" s="310"/>
      <c r="AF24" s="312"/>
      <c r="AG24" s="310"/>
      <c r="AH24" s="242"/>
      <c r="AI24" s="242">
        <v>2018</v>
      </c>
      <c r="AJ24" s="242"/>
      <c r="AK24" s="328"/>
      <c r="AL24" s="242"/>
      <c r="AM24" s="242"/>
    </row>
    <row r="25" spans="1:41" s="94" customFormat="1" ht="22.9" customHeight="1" thickTop="1">
      <c r="A25" s="329" t="s">
        <v>120</v>
      </c>
      <c r="B25" s="332" t="s">
        <v>64</v>
      </c>
      <c r="C25" s="335" t="s">
        <v>121</v>
      </c>
      <c r="D25" s="338" t="s">
        <v>122</v>
      </c>
      <c r="E25" s="338" t="s">
        <v>123</v>
      </c>
      <c r="F25" s="243" t="s">
        <v>68</v>
      </c>
      <c r="G25" s="338" t="s">
        <v>69</v>
      </c>
      <c r="H25" s="338" t="s">
        <v>70</v>
      </c>
      <c r="I25" s="348">
        <f>+L26</f>
        <v>0.94263047038720127</v>
      </c>
      <c r="J25" s="351">
        <v>0.1</v>
      </c>
      <c r="K25" s="315" t="s">
        <v>124</v>
      </c>
      <c r="L25" s="95" t="s">
        <v>57</v>
      </c>
      <c r="M25" s="96" t="s">
        <v>57</v>
      </c>
      <c r="N25" s="96" t="s">
        <v>57</v>
      </c>
      <c r="O25" s="97" t="s">
        <v>57</v>
      </c>
      <c r="P25" s="96" t="s">
        <v>57</v>
      </c>
      <c r="Q25" s="98" t="s">
        <v>57</v>
      </c>
      <c r="R25" s="96" t="s">
        <v>57</v>
      </c>
      <c r="S25" s="98" t="s">
        <v>57</v>
      </c>
      <c r="T25" s="96" t="s">
        <v>57</v>
      </c>
      <c r="U25" s="98" t="s">
        <v>57</v>
      </c>
      <c r="V25" s="96" t="s">
        <v>57</v>
      </c>
      <c r="W25" s="98" t="s">
        <v>57</v>
      </c>
      <c r="X25" s="96" t="s">
        <v>57</v>
      </c>
      <c r="Y25" s="98" t="s">
        <v>57</v>
      </c>
      <c r="Z25" s="96" t="s">
        <v>57</v>
      </c>
      <c r="AA25" s="98" t="s">
        <v>57</v>
      </c>
      <c r="AB25" s="96" t="s">
        <v>57</v>
      </c>
      <c r="AC25" s="98" t="s">
        <v>57</v>
      </c>
      <c r="AD25" s="96" t="s">
        <v>57</v>
      </c>
      <c r="AE25" s="98" t="s">
        <v>57</v>
      </c>
      <c r="AF25" s="96" t="s">
        <v>57</v>
      </c>
      <c r="AG25" s="98" t="s">
        <v>57</v>
      </c>
      <c r="AH25" s="96" t="s">
        <v>57</v>
      </c>
      <c r="AI25" s="98" t="s">
        <v>57</v>
      </c>
      <c r="AJ25" s="67"/>
      <c r="AK25" s="165" t="s">
        <v>72</v>
      </c>
      <c r="AL25" s="325"/>
      <c r="AM25" s="156" t="s">
        <v>125</v>
      </c>
    </row>
    <row r="26" spans="1:41" s="94" customFormat="1" ht="22.9" customHeight="1">
      <c r="A26" s="330"/>
      <c r="B26" s="333"/>
      <c r="C26" s="336"/>
      <c r="D26" s="465"/>
      <c r="E26" s="341"/>
      <c r="F26" s="410"/>
      <c r="G26" s="341"/>
      <c r="H26" s="341"/>
      <c r="I26" s="349"/>
      <c r="J26" s="352"/>
      <c r="K26" s="316"/>
      <c r="L26" s="41">
        <f>IF(L28&lt;&gt;0,+L28/L30,0%)</f>
        <v>0.94263047038720127</v>
      </c>
      <c r="M26" s="58">
        <f>IF(M28&lt;&gt;0,+M28/M30,0%)</f>
        <v>0.9400747864957566</v>
      </c>
      <c r="N26" s="61">
        <f>IF(N28&lt;&gt;0,+N28/N30,0%)</f>
        <v>0.9422416591215812</v>
      </c>
      <c r="O26" s="57">
        <f t="shared" ref="O26" si="10">IF(O28&lt;&gt;0,+O28/O30,0%)</f>
        <v>0.9411228441271573</v>
      </c>
      <c r="P26" s="61">
        <f>IF(P28&lt;&gt;0,ROUND(+P28/P30,4),0%)</f>
        <v>0.94169999999999998</v>
      </c>
      <c r="Q26" s="62">
        <f t="shared" ref="Q26" si="11">IF(Q28&lt;&gt;0,+Q28/Q30,0%)</f>
        <v>0.94132568519471727</v>
      </c>
      <c r="R26" s="63">
        <f>IF(R28&lt;&gt;0,ROUND(+R28/R30,4),0%)</f>
        <v>0.95199999999999996</v>
      </c>
      <c r="S26" s="62">
        <f t="shared" ref="S26" si="12">IF(S28&lt;&gt;0,+S28/S30,0%)</f>
        <v>0.94406067479072575</v>
      </c>
      <c r="T26" s="63">
        <f>IF(T28&lt;&gt;0,ROUND(+T28/T30,4),0%)</f>
        <v>0.95320000000000005</v>
      </c>
      <c r="U26" s="62">
        <f t="shared" ref="U26" si="13">IF(U28&lt;&gt;0,+U28/U30,0%)</f>
        <v>0.94585793865709922</v>
      </c>
      <c r="V26" s="63">
        <f>IF(V28&lt;&gt;0,ROUND(+V28/V30,4),0%)</f>
        <v>0.94569999999999999</v>
      </c>
      <c r="W26" s="62">
        <f t="shared" ref="W26" si="14">IF(W28&lt;&gt;0,+W28/W30,0%)</f>
        <v>0.94583536402870672</v>
      </c>
      <c r="X26" s="63">
        <f>IF(X28&lt;&gt;0,ROUND(+X28/X30,4),0%)</f>
        <v>0.92079999999999995</v>
      </c>
      <c r="Y26" s="62">
        <f t="shared" ref="Y26" si="15">IF(Y28&lt;&gt;0,+Y28/Y30,0%)</f>
        <v>0.94086554775390885</v>
      </c>
      <c r="Z26" s="64">
        <f>IF(Z28&lt;&gt;0,ROUND(+Z28/Z30,4),0%)</f>
        <v>0.95140000000000002</v>
      </c>
      <c r="AA26" s="62">
        <f t="shared" ref="AA26" si="16">IF(AA28&lt;&gt;0,+AA28/AA30,0%)</f>
        <v>0.94206268939040805</v>
      </c>
      <c r="AB26" s="63">
        <f>IF(AB28&lt;&gt;0,ROUND(+AB28/AB30,4),0%)</f>
        <v>0.94389999999999996</v>
      </c>
      <c r="AC26" s="62">
        <f t="shared" ref="AC26" si="17">IF(AC28&lt;&gt;0,+AC28/AC30,0%)</f>
        <v>0.94222489224258044</v>
      </c>
      <c r="AD26" s="63">
        <f>IF(AD28&lt;&gt;0,ROUND(+AD28/AD30,4),0%)</f>
        <v>0.93100000000000005</v>
      </c>
      <c r="AE26" s="62">
        <f t="shared" ref="AE26" si="18">IF(AE28&lt;&gt;0,+AE28/AE30,0%)</f>
        <v>0.94086833570280393</v>
      </c>
      <c r="AF26" s="63">
        <f>IF(AF28&lt;&gt;0,ROUND(+AF28/AF30,4),0%)</f>
        <v>0.94820000000000004</v>
      </c>
      <c r="AG26" s="62">
        <f t="shared" ref="AG26" si="19">IF(AG28&lt;&gt;0,+AG28/AG30,0%)</f>
        <v>0.94144215282131583</v>
      </c>
      <c r="AH26" s="63">
        <f>IF(AH28&lt;&gt;0,ROUND(+AH28/AH30,4),0%)</f>
        <v>0.95909999999999995</v>
      </c>
      <c r="AI26" s="62">
        <f>IF(AI28&lt;&gt;0,+AI28/AI30,0%)</f>
        <v>0.94263047038720127</v>
      </c>
      <c r="AJ26" s="68"/>
      <c r="AK26" s="166"/>
      <c r="AL26" s="326"/>
      <c r="AM26" s="157"/>
    </row>
    <row r="27" spans="1:41" s="94" customFormat="1" ht="22.9" customHeight="1" thickBot="1">
      <c r="A27" s="330"/>
      <c r="B27" s="333"/>
      <c r="C27" s="336"/>
      <c r="D27" s="465"/>
      <c r="E27" s="341"/>
      <c r="F27" s="410"/>
      <c r="G27" s="341"/>
      <c r="H27" s="341"/>
      <c r="I27" s="349"/>
      <c r="J27" s="352"/>
      <c r="K27" s="317"/>
      <c r="L27" s="99"/>
      <c r="M27" s="101" t="s">
        <v>60</v>
      </c>
      <c r="N27" s="101" t="s">
        <v>60</v>
      </c>
      <c r="O27" s="102" t="s">
        <v>60</v>
      </c>
      <c r="P27" s="101" t="s">
        <v>60</v>
      </c>
      <c r="Q27" s="103" t="s">
        <v>60</v>
      </c>
      <c r="R27" s="101" t="s">
        <v>60</v>
      </c>
      <c r="S27" s="103" t="s">
        <v>60</v>
      </c>
      <c r="T27" s="101" t="s">
        <v>60</v>
      </c>
      <c r="U27" s="103" t="s">
        <v>60</v>
      </c>
      <c r="V27" s="101" t="s">
        <v>60</v>
      </c>
      <c r="W27" s="103" t="s">
        <v>60</v>
      </c>
      <c r="X27" s="101" t="s">
        <v>60</v>
      </c>
      <c r="Y27" s="103" t="s">
        <v>60</v>
      </c>
      <c r="Z27" s="101" t="s">
        <v>60</v>
      </c>
      <c r="AA27" s="103" t="s">
        <v>60</v>
      </c>
      <c r="AB27" s="101" t="s">
        <v>60</v>
      </c>
      <c r="AC27" s="103" t="s">
        <v>60</v>
      </c>
      <c r="AD27" s="101" t="s">
        <v>60</v>
      </c>
      <c r="AE27" s="103" t="s">
        <v>60</v>
      </c>
      <c r="AF27" s="101" t="s">
        <v>60</v>
      </c>
      <c r="AG27" s="103" t="s">
        <v>60</v>
      </c>
      <c r="AH27" s="101" t="s">
        <v>60</v>
      </c>
      <c r="AI27" s="103" t="s">
        <v>60</v>
      </c>
      <c r="AJ27" s="68"/>
      <c r="AK27" s="166"/>
      <c r="AL27" s="326"/>
      <c r="AM27" s="157"/>
    </row>
    <row r="28" spans="1:41" s="94" customFormat="1" ht="22.9" customHeight="1" thickTop="1">
      <c r="A28" s="330"/>
      <c r="B28" s="333"/>
      <c r="C28" s="336"/>
      <c r="D28" s="465"/>
      <c r="E28" s="341"/>
      <c r="F28" s="410"/>
      <c r="G28" s="341"/>
      <c r="H28" s="341"/>
      <c r="I28" s="349"/>
      <c r="J28" s="352"/>
      <c r="K28" s="316" t="s">
        <v>74</v>
      </c>
      <c r="L28" s="104">
        <v>2124904</v>
      </c>
      <c r="M28" s="105">
        <v>176233</v>
      </c>
      <c r="N28" s="105">
        <v>165468</v>
      </c>
      <c r="O28" s="106">
        <f>+M28+N28</f>
        <v>341701</v>
      </c>
      <c r="P28" s="105">
        <v>192298</v>
      </c>
      <c r="Q28" s="106">
        <f>+O28+P28</f>
        <v>533999</v>
      </c>
      <c r="R28" s="105">
        <v>186088</v>
      </c>
      <c r="S28" s="106">
        <f>+Q28+R28</f>
        <v>720087</v>
      </c>
      <c r="T28" s="105">
        <v>178636</v>
      </c>
      <c r="U28" s="106">
        <f>+S28+T28</f>
        <v>898723</v>
      </c>
      <c r="V28" s="105">
        <v>147317</v>
      </c>
      <c r="W28" s="106">
        <f>+U28+V28</f>
        <v>1046040</v>
      </c>
      <c r="X28" s="105">
        <v>251598</v>
      </c>
      <c r="Y28" s="106">
        <f>+W28+X28</f>
        <v>1297638</v>
      </c>
      <c r="Z28" s="105">
        <v>167570</v>
      </c>
      <c r="AA28" s="106">
        <f>+Y28+Z28</f>
        <v>1465208</v>
      </c>
      <c r="AB28" s="105">
        <v>140836</v>
      </c>
      <c r="AC28" s="106">
        <f>+AA28+AB28</f>
        <v>1606044</v>
      </c>
      <c r="AD28" s="105">
        <v>217213</v>
      </c>
      <c r="AE28" s="106">
        <f>+AC28+AD28</f>
        <v>1823257</v>
      </c>
      <c r="AF28" s="105">
        <v>155886</v>
      </c>
      <c r="AG28" s="106">
        <f>+AE28+AF28</f>
        <v>1979143</v>
      </c>
      <c r="AH28" s="105">
        <v>145761</v>
      </c>
      <c r="AI28" s="106">
        <f>SUM(AG28:AH28)</f>
        <v>2124904</v>
      </c>
      <c r="AJ28" s="29">
        <f>+AI26/L26</f>
        <v>1</v>
      </c>
      <c r="AK28" s="166"/>
      <c r="AL28" s="326"/>
      <c r="AM28" s="157"/>
    </row>
    <row r="29" spans="1:41" s="94" customFormat="1" ht="22.9" customHeight="1">
      <c r="A29" s="330"/>
      <c r="B29" s="333"/>
      <c r="C29" s="336"/>
      <c r="D29" s="465"/>
      <c r="E29" s="341"/>
      <c r="F29" s="410"/>
      <c r="G29" s="341"/>
      <c r="H29" s="341"/>
      <c r="I29" s="349"/>
      <c r="J29" s="352"/>
      <c r="K29" s="347"/>
      <c r="L29" s="99" t="s">
        <v>126</v>
      </c>
      <c r="M29" s="107" t="s">
        <v>62</v>
      </c>
      <c r="N29" s="107" t="s">
        <v>62</v>
      </c>
      <c r="O29" s="108" t="s">
        <v>62</v>
      </c>
      <c r="P29" s="107" t="s">
        <v>62</v>
      </c>
      <c r="Q29" s="109" t="s">
        <v>62</v>
      </c>
      <c r="R29" s="107"/>
      <c r="S29" s="109" t="s">
        <v>62</v>
      </c>
      <c r="T29" s="107" t="s">
        <v>62</v>
      </c>
      <c r="U29" s="109" t="s">
        <v>62</v>
      </c>
      <c r="V29" s="107" t="s">
        <v>62</v>
      </c>
      <c r="W29" s="109" t="s">
        <v>62</v>
      </c>
      <c r="X29" s="107" t="s">
        <v>62</v>
      </c>
      <c r="Y29" s="109" t="s">
        <v>62</v>
      </c>
      <c r="Z29" s="107" t="s">
        <v>62</v>
      </c>
      <c r="AA29" s="109" t="s">
        <v>62</v>
      </c>
      <c r="AB29" s="107" t="s">
        <v>62</v>
      </c>
      <c r="AC29" s="109" t="s">
        <v>62</v>
      </c>
      <c r="AD29" s="107" t="s">
        <v>62</v>
      </c>
      <c r="AE29" s="109" t="s">
        <v>62</v>
      </c>
      <c r="AF29" s="107" t="s">
        <v>62</v>
      </c>
      <c r="AG29" s="109" t="s">
        <v>62</v>
      </c>
      <c r="AH29" s="107" t="s">
        <v>62</v>
      </c>
      <c r="AI29" s="108" t="s">
        <v>62</v>
      </c>
      <c r="AJ29" s="68"/>
      <c r="AK29" s="166"/>
      <c r="AL29" s="326"/>
      <c r="AM29" s="157"/>
    </row>
    <row r="30" spans="1:41" s="94" customFormat="1" ht="22.9" customHeight="1" thickBot="1">
      <c r="A30" s="331"/>
      <c r="B30" s="334"/>
      <c r="C30" s="337"/>
      <c r="D30" s="466"/>
      <c r="E30" s="342"/>
      <c r="F30" s="411"/>
      <c r="G30" s="342"/>
      <c r="H30" s="342"/>
      <c r="I30" s="350"/>
      <c r="J30" s="353"/>
      <c r="K30" s="317"/>
      <c r="L30" s="110">
        <v>2254228</v>
      </c>
      <c r="M30" s="111">
        <v>187467</v>
      </c>
      <c r="N30" s="111">
        <v>175611</v>
      </c>
      <c r="O30" s="112">
        <f t="shared" ref="O30" si="20">+M30+N30</f>
        <v>363078</v>
      </c>
      <c r="P30" s="111">
        <v>204206</v>
      </c>
      <c r="Q30" s="112">
        <f t="shared" ref="Q30" si="21">+O30+P30</f>
        <v>567284</v>
      </c>
      <c r="R30" s="111">
        <v>195471</v>
      </c>
      <c r="S30" s="112">
        <f t="shared" ref="S30" si="22">+Q30+R30</f>
        <v>762755</v>
      </c>
      <c r="T30" s="111">
        <v>187412</v>
      </c>
      <c r="U30" s="112">
        <f t="shared" ref="U30" si="23">+S30+T30</f>
        <v>950167</v>
      </c>
      <c r="V30" s="111">
        <v>155776</v>
      </c>
      <c r="W30" s="112">
        <f t="shared" ref="W30" si="24">+U30+V30</f>
        <v>1105943</v>
      </c>
      <c r="X30" s="111">
        <v>273253</v>
      </c>
      <c r="Y30" s="112">
        <f t="shared" ref="Y30" si="25">+W30+X30</f>
        <v>1379196</v>
      </c>
      <c r="Z30" s="111">
        <v>176123</v>
      </c>
      <c r="AA30" s="112">
        <f t="shared" ref="AA30" si="26">+Y30+Z30</f>
        <v>1555319</v>
      </c>
      <c r="AB30" s="111">
        <v>149204</v>
      </c>
      <c r="AC30" s="112">
        <f t="shared" ref="AC30" si="27">+AA30+AB30</f>
        <v>1704523</v>
      </c>
      <c r="AD30" s="111">
        <v>233322</v>
      </c>
      <c r="AE30" s="112">
        <f t="shared" ref="AE30" si="28">+AC30+AD30</f>
        <v>1937845</v>
      </c>
      <c r="AF30" s="111">
        <v>164401</v>
      </c>
      <c r="AG30" s="112">
        <f t="shared" ref="AG30" si="29">+AE30+AF30</f>
        <v>2102246</v>
      </c>
      <c r="AH30" s="111">
        <v>151982</v>
      </c>
      <c r="AI30" s="112">
        <f>SUM(AG30:AH30)</f>
        <v>2254228</v>
      </c>
      <c r="AJ30" s="69"/>
      <c r="AK30" s="167"/>
      <c r="AL30" s="327"/>
      <c r="AM30" s="158"/>
      <c r="AO30" s="115"/>
    </row>
    <row r="31" spans="1:41" ht="12.95" thickTop="1"/>
    <row r="32" spans="1:41" s="89" customFormat="1" ht="20.45" thickBot="1">
      <c r="A32" s="114" t="s">
        <v>128</v>
      </c>
      <c r="L32" s="90"/>
      <c r="M32" s="90"/>
      <c r="N32" s="90"/>
      <c r="O32" s="90"/>
      <c r="P32" s="90"/>
      <c r="Q32" s="90"/>
      <c r="R32" s="90"/>
      <c r="S32" s="90"/>
      <c r="T32" s="90"/>
      <c r="U32" s="90"/>
      <c r="V32" s="90"/>
      <c r="W32" s="90"/>
      <c r="X32" s="90"/>
      <c r="Y32" s="90"/>
      <c r="Z32" s="90"/>
      <c r="AA32" s="90"/>
      <c r="AB32" s="90"/>
      <c r="AC32" s="90"/>
      <c r="AD32" s="90"/>
      <c r="AE32" s="90"/>
      <c r="AF32" s="90"/>
      <c r="AG32" s="90"/>
      <c r="AH32" s="90"/>
      <c r="AI32" s="90"/>
      <c r="AJ32" s="90"/>
      <c r="AK32" s="90"/>
      <c r="AL32" s="90"/>
      <c r="AM32" s="90"/>
    </row>
    <row r="33" spans="1:77" s="94" customFormat="1" ht="22.9" customHeight="1" thickTop="1">
      <c r="A33" s="311" t="s">
        <v>10</v>
      </c>
      <c r="B33" s="311" t="s">
        <v>11</v>
      </c>
      <c r="C33" s="311" t="s">
        <v>12</v>
      </c>
      <c r="D33" s="241" t="s">
        <v>13</v>
      </c>
      <c r="E33" s="241" t="s">
        <v>14</v>
      </c>
      <c r="F33" s="241" t="s">
        <v>15</v>
      </c>
      <c r="G33" s="241" t="s">
        <v>16</v>
      </c>
      <c r="H33" s="241" t="s">
        <v>17</v>
      </c>
      <c r="I33" s="241" t="s">
        <v>118</v>
      </c>
      <c r="J33" s="241" t="s">
        <v>19</v>
      </c>
      <c r="K33" s="241" t="s">
        <v>20</v>
      </c>
      <c r="L33" s="241" t="s">
        <v>21</v>
      </c>
      <c r="M33" s="241" t="s">
        <v>22</v>
      </c>
      <c r="N33" s="241" t="s">
        <v>23</v>
      </c>
      <c r="O33" s="311" t="s">
        <v>24</v>
      </c>
      <c r="P33" s="241" t="s">
        <v>25</v>
      </c>
      <c r="Q33" s="241" t="s">
        <v>26</v>
      </c>
      <c r="R33" s="241" t="s">
        <v>27</v>
      </c>
      <c r="S33" s="241" t="s">
        <v>28</v>
      </c>
      <c r="T33" s="241" t="s">
        <v>29</v>
      </c>
      <c r="U33" s="311" t="s">
        <v>30</v>
      </c>
      <c r="V33" s="311" t="s">
        <v>31</v>
      </c>
      <c r="W33" s="241" t="s">
        <v>32</v>
      </c>
      <c r="X33" s="339" t="s">
        <v>33</v>
      </c>
      <c r="Y33" s="241" t="s">
        <v>34</v>
      </c>
      <c r="Z33" s="241" t="s">
        <v>35</v>
      </c>
      <c r="AA33" s="241" t="s">
        <v>36</v>
      </c>
      <c r="AB33" s="241" t="s">
        <v>37</v>
      </c>
      <c r="AC33" s="241" t="s">
        <v>38</v>
      </c>
      <c r="AD33" s="241" t="s">
        <v>39</v>
      </c>
      <c r="AE33" s="241" t="s">
        <v>40</v>
      </c>
      <c r="AF33" s="311" t="s">
        <v>41</v>
      </c>
      <c r="AG33" s="241" t="s">
        <v>42</v>
      </c>
      <c r="AH33" s="241" t="s">
        <v>43</v>
      </c>
      <c r="AI33" s="241" t="s">
        <v>119</v>
      </c>
      <c r="AJ33" s="241" t="s">
        <v>45</v>
      </c>
      <c r="AK33" s="241" t="s">
        <v>46</v>
      </c>
      <c r="AL33" s="241" t="s">
        <v>47</v>
      </c>
      <c r="AM33" s="241" t="s">
        <v>48</v>
      </c>
    </row>
    <row r="34" spans="1:77" s="94" customFormat="1" ht="22.9" customHeight="1" thickBot="1">
      <c r="A34" s="314"/>
      <c r="B34" s="314"/>
      <c r="C34" s="314"/>
      <c r="D34" s="242"/>
      <c r="E34" s="242"/>
      <c r="F34" s="242"/>
      <c r="G34" s="242"/>
      <c r="H34" s="242"/>
      <c r="I34" s="242"/>
      <c r="J34" s="242"/>
      <c r="K34" s="242"/>
      <c r="L34" s="313"/>
      <c r="M34" s="242"/>
      <c r="N34" s="242"/>
      <c r="O34" s="314"/>
      <c r="P34" s="242"/>
      <c r="Q34" s="242"/>
      <c r="R34" s="242"/>
      <c r="S34" s="310"/>
      <c r="T34" s="242"/>
      <c r="U34" s="312"/>
      <c r="V34" s="312"/>
      <c r="W34" s="310"/>
      <c r="X34" s="340"/>
      <c r="Y34" s="242"/>
      <c r="Z34" s="310"/>
      <c r="AA34" s="310"/>
      <c r="AB34" s="310"/>
      <c r="AC34" s="310"/>
      <c r="AD34" s="310"/>
      <c r="AE34" s="310"/>
      <c r="AF34" s="312"/>
      <c r="AG34" s="310"/>
      <c r="AH34" s="242"/>
      <c r="AI34" s="242">
        <v>2018</v>
      </c>
      <c r="AJ34" s="242"/>
      <c r="AK34" s="328"/>
      <c r="AL34" s="242"/>
      <c r="AM34" s="242"/>
    </row>
    <row r="35" spans="1:77" s="94" customFormat="1" ht="22.9" customHeight="1" thickTop="1">
      <c r="A35" s="329" t="s">
        <v>120</v>
      </c>
      <c r="B35" s="332" t="s">
        <v>64</v>
      </c>
      <c r="C35" s="335" t="s">
        <v>121</v>
      </c>
      <c r="D35" s="338" t="s">
        <v>122</v>
      </c>
      <c r="E35" s="338" t="s">
        <v>123</v>
      </c>
      <c r="F35" s="243" t="s">
        <v>68</v>
      </c>
      <c r="G35" s="338" t="s">
        <v>69</v>
      </c>
      <c r="H35" s="338" t="s">
        <v>70</v>
      </c>
      <c r="I35" s="348">
        <f>+L36</f>
        <v>0.94694078351156108</v>
      </c>
      <c r="J35" s="351">
        <v>0.1</v>
      </c>
      <c r="K35" s="315" t="s">
        <v>124</v>
      </c>
      <c r="L35" s="95" t="s">
        <v>57</v>
      </c>
      <c r="M35" s="96" t="s">
        <v>57</v>
      </c>
      <c r="N35" s="96" t="s">
        <v>57</v>
      </c>
      <c r="O35" s="97" t="s">
        <v>57</v>
      </c>
      <c r="P35" s="96" t="s">
        <v>57</v>
      </c>
      <c r="Q35" s="98" t="s">
        <v>57</v>
      </c>
      <c r="R35" s="96" t="s">
        <v>57</v>
      </c>
      <c r="S35" s="98" t="s">
        <v>57</v>
      </c>
      <c r="T35" s="96" t="s">
        <v>57</v>
      </c>
      <c r="U35" s="98" t="s">
        <v>57</v>
      </c>
      <c r="V35" s="96" t="s">
        <v>57</v>
      </c>
      <c r="W35" s="98" t="s">
        <v>57</v>
      </c>
      <c r="X35" s="96" t="s">
        <v>57</v>
      </c>
      <c r="Y35" s="98" t="s">
        <v>57</v>
      </c>
      <c r="Z35" s="96" t="s">
        <v>57</v>
      </c>
      <c r="AA35" s="98" t="s">
        <v>57</v>
      </c>
      <c r="AB35" s="96" t="s">
        <v>57</v>
      </c>
      <c r="AC35" s="98" t="s">
        <v>57</v>
      </c>
      <c r="AD35" s="96" t="s">
        <v>57</v>
      </c>
      <c r="AE35" s="98" t="s">
        <v>57</v>
      </c>
      <c r="AF35" s="96" t="s">
        <v>57</v>
      </c>
      <c r="AG35" s="98" t="s">
        <v>57</v>
      </c>
      <c r="AH35" s="96" t="s">
        <v>57</v>
      </c>
      <c r="AI35" s="98" t="s">
        <v>57</v>
      </c>
      <c r="AJ35" s="67"/>
      <c r="AK35" s="165" t="s">
        <v>72</v>
      </c>
      <c r="AL35" s="325"/>
      <c r="AM35" s="156" t="s">
        <v>125</v>
      </c>
    </row>
    <row r="36" spans="1:77" s="94" customFormat="1" ht="22.9" customHeight="1">
      <c r="A36" s="330"/>
      <c r="B36" s="333"/>
      <c r="C36" s="336"/>
      <c r="D36" s="465"/>
      <c r="E36" s="341"/>
      <c r="F36" s="410"/>
      <c r="G36" s="341"/>
      <c r="H36" s="341"/>
      <c r="I36" s="349"/>
      <c r="J36" s="352"/>
      <c r="K36" s="316"/>
      <c r="L36" s="41">
        <f>IF(L38&lt;&gt;0,+L38/L40,0%)</f>
        <v>0.94694078351156108</v>
      </c>
      <c r="M36" s="58">
        <f>IF(M38&lt;&gt;0,+M38/M40,0%)</f>
        <v>0.94420582642944451</v>
      </c>
      <c r="N36" s="61">
        <f>IF(N38&lt;&gt;0,+N38/N40,0%)</f>
        <v>0.94585252324884861</v>
      </c>
      <c r="O36" s="57">
        <f t="shared" ref="O36" si="30">IF(O38&lt;&gt;0,+O38/O40,0%)</f>
        <v>0.94496929079725556</v>
      </c>
      <c r="P36" s="61">
        <f>IF(P38&lt;&gt;0,ROUND(+P38/P40,4),0%)</f>
        <v>0.94440000000000002</v>
      </c>
      <c r="Q36" s="62">
        <f t="shared" ref="Q36" si="31">IF(Q38&lt;&gt;0,+Q38/Q40,0%)</f>
        <v>0.94477814723443809</v>
      </c>
      <c r="R36" s="63">
        <f>IF(R38&lt;&gt;0,ROUND(+R38/R40,4),0%)</f>
        <v>0.95489999999999997</v>
      </c>
      <c r="S36" s="62">
        <f t="shared" ref="S36" si="32">IF(S38&lt;&gt;0,+S38/S40,0%)</f>
        <v>0.94739736434690613</v>
      </c>
      <c r="T36" s="63">
        <f>IF(T38&lt;&gt;0,ROUND(+T38/T40,4),0%)</f>
        <v>0.95579999999999998</v>
      </c>
      <c r="U36" s="62">
        <f t="shared" ref="U36" si="33">IF(U38&lt;&gt;0,+U38/U40,0%)</f>
        <v>0.94917966281120669</v>
      </c>
      <c r="V36" s="63">
        <f>IF(V38&lt;&gt;0,ROUND(+V38/V40,4),0%)</f>
        <v>0.94930000000000003</v>
      </c>
      <c r="W36" s="62">
        <f t="shared" ref="W36" si="34">IF(W38&lt;&gt;0,+W38/W40,0%)</f>
        <v>0.94919539378679607</v>
      </c>
      <c r="X36" s="63">
        <f>IF(X38&lt;&gt;0,ROUND(+X38/X40,4),0%)</f>
        <v>0.92720000000000002</v>
      </c>
      <c r="Y36" s="62">
        <f t="shared" ref="Y36" si="35">IF(Y38&lt;&gt;0,+Y38/Y40,0%)</f>
        <v>0.94504493898820607</v>
      </c>
      <c r="Z36" s="64">
        <f>IF(Z38&lt;&gt;0,ROUND(+Z38/Z40,4),0%)</f>
        <v>0.95430000000000004</v>
      </c>
      <c r="AA36" s="62">
        <f t="shared" ref="AA36" si="36">IF(AA38&lt;&gt;0,+AA38/AA40,0%)</f>
        <v>0.94611526957246384</v>
      </c>
      <c r="AB36" s="63">
        <f>IF(AB38&lt;&gt;0,ROUND(+AB38/AB40,4),0%)</f>
        <v>0.9476</v>
      </c>
      <c r="AC36" s="62">
        <f t="shared" ref="AC36" si="37">IF(AC38&lt;&gt;0,+AC38/AC40,0%)</f>
        <v>0.94624502941655231</v>
      </c>
      <c r="AD36" s="63">
        <f>IF(AD38&lt;&gt;0,ROUND(+AD38/AD40,4),0%)</f>
        <v>0.93869999999999998</v>
      </c>
      <c r="AE36" s="62">
        <f t="shared" ref="AE36" si="38">IF(AE38&lt;&gt;0,+AE38/AE40,0%)</f>
        <v>0.94540088412094003</v>
      </c>
      <c r="AF36" s="63">
        <f>IF(AF38&lt;&gt;0,ROUND(+AF38/AF40,4),0%)</f>
        <v>0.95050000000000001</v>
      </c>
      <c r="AG36" s="62">
        <f t="shared" ref="AG36" si="39">IF(AG38&lt;&gt;0,+AG38/AG40,0%)</f>
        <v>0.94579450829917366</v>
      </c>
      <c r="AH36" s="63">
        <f>IF(AH38&lt;&gt;0,ROUND(+AH38/AH40,4),0%)</f>
        <v>0.96260000000000001</v>
      </c>
      <c r="AI36" s="62">
        <f>IF(AI38&lt;&gt;0,+AI38/AI40,0%)</f>
        <v>0.94694078351156108</v>
      </c>
      <c r="AJ36" s="68"/>
      <c r="AK36" s="166"/>
      <c r="AL36" s="326"/>
      <c r="AM36" s="157"/>
    </row>
    <row r="37" spans="1:77" s="94" customFormat="1" ht="22.9" customHeight="1" thickBot="1">
      <c r="A37" s="330"/>
      <c r="B37" s="333"/>
      <c r="C37" s="336"/>
      <c r="D37" s="465"/>
      <c r="E37" s="341"/>
      <c r="F37" s="410"/>
      <c r="G37" s="341"/>
      <c r="H37" s="341"/>
      <c r="I37" s="349"/>
      <c r="J37" s="352"/>
      <c r="K37" s="317"/>
      <c r="L37" s="99"/>
      <c r="M37" s="101" t="s">
        <v>60</v>
      </c>
      <c r="N37" s="101" t="s">
        <v>60</v>
      </c>
      <c r="O37" s="102" t="s">
        <v>60</v>
      </c>
      <c r="P37" s="101" t="s">
        <v>60</v>
      </c>
      <c r="Q37" s="103" t="s">
        <v>60</v>
      </c>
      <c r="R37" s="101" t="s">
        <v>60</v>
      </c>
      <c r="S37" s="103" t="s">
        <v>60</v>
      </c>
      <c r="T37" s="101" t="s">
        <v>60</v>
      </c>
      <c r="U37" s="103" t="s">
        <v>60</v>
      </c>
      <c r="V37" s="101" t="s">
        <v>60</v>
      </c>
      <c r="W37" s="103" t="s">
        <v>60</v>
      </c>
      <c r="X37" s="101" t="s">
        <v>60</v>
      </c>
      <c r="Y37" s="103" t="s">
        <v>60</v>
      </c>
      <c r="Z37" s="101" t="s">
        <v>60</v>
      </c>
      <c r="AA37" s="103" t="s">
        <v>60</v>
      </c>
      <c r="AB37" s="101" t="s">
        <v>60</v>
      </c>
      <c r="AC37" s="103" t="s">
        <v>60</v>
      </c>
      <c r="AD37" s="101" t="s">
        <v>60</v>
      </c>
      <c r="AE37" s="103" t="s">
        <v>60</v>
      </c>
      <c r="AF37" s="101" t="s">
        <v>60</v>
      </c>
      <c r="AG37" s="103" t="s">
        <v>60</v>
      </c>
      <c r="AH37" s="101" t="s">
        <v>60</v>
      </c>
      <c r="AI37" s="103" t="s">
        <v>60</v>
      </c>
      <c r="AJ37" s="68"/>
      <c r="AK37" s="166"/>
      <c r="AL37" s="326"/>
      <c r="AM37" s="157"/>
    </row>
    <row r="38" spans="1:77" s="94" customFormat="1" ht="22.9" customHeight="1" thickTop="1">
      <c r="A38" s="330"/>
      <c r="B38" s="333"/>
      <c r="C38" s="336"/>
      <c r="D38" s="465"/>
      <c r="E38" s="341"/>
      <c r="F38" s="410"/>
      <c r="G38" s="341"/>
      <c r="H38" s="341"/>
      <c r="I38" s="349"/>
      <c r="J38" s="352"/>
      <c r="K38" s="316" t="s">
        <v>74</v>
      </c>
      <c r="L38" s="104">
        <v>1280013</v>
      </c>
      <c r="M38" s="105">
        <v>111235</v>
      </c>
      <c r="N38" s="105">
        <v>96319</v>
      </c>
      <c r="O38" s="106">
        <f>+M38+N38</f>
        <v>207554</v>
      </c>
      <c r="P38" s="105">
        <v>109540</v>
      </c>
      <c r="Q38" s="106">
        <f>+O38+P38</f>
        <v>317094</v>
      </c>
      <c r="R38" s="105">
        <v>111879</v>
      </c>
      <c r="S38" s="106">
        <f>+Q38+R38</f>
        <v>428973</v>
      </c>
      <c r="T38" s="105">
        <v>116176</v>
      </c>
      <c r="U38" s="106">
        <f>+S38+T38</f>
        <v>545149</v>
      </c>
      <c r="V38" s="105">
        <v>95724</v>
      </c>
      <c r="W38" s="106">
        <f>+U38+V38</f>
        <v>640873</v>
      </c>
      <c r="X38" s="105">
        <v>145841</v>
      </c>
      <c r="Y38" s="106">
        <f>+W38+X38</f>
        <v>786714</v>
      </c>
      <c r="Z38" s="105">
        <v>103378</v>
      </c>
      <c r="AA38" s="106">
        <f>+Y38+Z38</f>
        <v>890092</v>
      </c>
      <c r="AB38" s="105">
        <v>86501</v>
      </c>
      <c r="AC38" s="106">
        <f>+AA38+AB38</f>
        <v>976593</v>
      </c>
      <c r="AD38" s="105">
        <v>121804</v>
      </c>
      <c r="AE38" s="106">
        <f>+AC38+AD38</f>
        <v>1098397</v>
      </c>
      <c r="AF38" s="105">
        <v>92625</v>
      </c>
      <c r="AG38" s="106">
        <f>+AE38+AF38</f>
        <v>1191022</v>
      </c>
      <c r="AH38" s="105">
        <v>88991</v>
      </c>
      <c r="AI38" s="106">
        <f>SUM(AG38:AH38)</f>
        <v>1280013</v>
      </c>
      <c r="AJ38" s="29">
        <f>+AI36/L36</f>
        <v>1</v>
      </c>
      <c r="AK38" s="166"/>
      <c r="AL38" s="326"/>
      <c r="AM38" s="157"/>
    </row>
    <row r="39" spans="1:77" s="94" customFormat="1" ht="22.9" customHeight="1">
      <c r="A39" s="330"/>
      <c r="B39" s="333"/>
      <c r="C39" s="336"/>
      <c r="D39" s="465"/>
      <c r="E39" s="341"/>
      <c r="F39" s="410"/>
      <c r="G39" s="341"/>
      <c r="H39" s="341"/>
      <c r="I39" s="349"/>
      <c r="J39" s="352"/>
      <c r="K39" s="347"/>
      <c r="L39" s="99" t="s">
        <v>126</v>
      </c>
      <c r="M39" s="107" t="s">
        <v>62</v>
      </c>
      <c r="N39" s="107" t="s">
        <v>62</v>
      </c>
      <c r="O39" s="108" t="s">
        <v>62</v>
      </c>
      <c r="P39" s="107" t="s">
        <v>62</v>
      </c>
      <c r="Q39" s="109" t="s">
        <v>62</v>
      </c>
      <c r="R39" s="107"/>
      <c r="S39" s="109" t="s">
        <v>62</v>
      </c>
      <c r="T39" s="107" t="s">
        <v>62</v>
      </c>
      <c r="U39" s="109" t="s">
        <v>62</v>
      </c>
      <c r="V39" s="107" t="s">
        <v>62</v>
      </c>
      <c r="W39" s="109" t="s">
        <v>62</v>
      </c>
      <c r="X39" s="107" t="s">
        <v>62</v>
      </c>
      <c r="Y39" s="109" t="s">
        <v>62</v>
      </c>
      <c r="Z39" s="107" t="s">
        <v>62</v>
      </c>
      <c r="AA39" s="109" t="s">
        <v>62</v>
      </c>
      <c r="AB39" s="107" t="s">
        <v>62</v>
      </c>
      <c r="AC39" s="109" t="s">
        <v>62</v>
      </c>
      <c r="AD39" s="107" t="s">
        <v>62</v>
      </c>
      <c r="AE39" s="109" t="s">
        <v>62</v>
      </c>
      <c r="AF39" s="107" t="s">
        <v>62</v>
      </c>
      <c r="AG39" s="109" t="s">
        <v>62</v>
      </c>
      <c r="AH39" s="107" t="s">
        <v>62</v>
      </c>
      <c r="AI39" s="108" t="s">
        <v>62</v>
      </c>
      <c r="AJ39" s="68"/>
      <c r="AK39" s="166"/>
      <c r="AL39" s="326"/>
      <c r="AM39" s="157"/>
    </row>
    <row r="40" spans="1:77" s="94" customFormat="1" ht="22.9" customHeight="1" thickBot="1">
      <c r="A40" s="331"/>
      <c r="B40" s="334"/>
      <c r="C40" s="337"/>
      <c r="D40" s="466"/>
      <c r="E40" s="342"/>
      <c r="F40" s="411"/>
      <c r="G40" s="342"/>
      <c r="H40" s="342"/>
      <c r="I40" s="350"/>
      <c r="J40" s="353"/>
      <c r="K40" s="317"/>
      <c r="L40" s="110">
        <v>1351735</v>
      </c>
      <c r="M40" s="111">
        <v>117808</v>
      </c>
      <c r="N40" s="111">
        <v>101833</v>
      </c>
      <c r="O40" s="112">
        <f t="shared" ref="O40" si="40">+M40+N40</f>
        <v>219641</v>
      </c>
      <c r="P40" s="111">
        <v>115987</v>
      </c>
      <c r="Q40" s="112">
        <f t="shared" ref="Q40" si="41">+O40+P40</f>
        <v>335628</v>
      </c>
      <c r="R40" s="111">
        <v>117163</v>
      </c>
      <c r="S40" s="112">
        <f t="shared" ref="S40" si="42">+Q40+R40</f>
        <v>452791</v>
      </c>
      <c r="T40" s="111">
        <v>121546</v>
      </c>
      <c r="U40" s="112">
        <f t="shared" ref="U40" si="43">+S40+T40</f>
        <v>574337</v>
      </c>
      <c r="V40" s="111">
        <v>100838</v>
      </c>
      <c r="W40" s="112">
        <f t="shared" ref="W40" si="44">+U40+V40</f>
        <v>675175</v>
      </c>
      <c r="X40" s="111">
        <v>157287</v>
      </c>
      <c r="Y40" s="112">
        <f t="shared" ref="Y40" si="45">+W40+X40</f>
        <v>832462</v>
      </c>
      <c r="Z40" s="111">
        <v>108324</v>
      </c>
      <c r="AA40" s="112">
        <f t="shared" ref="AA40" si="46">+Y40+Z40</f>
        <v>940786</v>
      </c>
      <c r="AB40" s="111">
        <v>91286</v>
      </c>
      <c r="AC40" s="112">
        <f t="shared" ref="AC40" si="47">+AA40+AB40</f>
        <v>1032072</v>
      </c>
      <c r="AD40" s="111">
        <v>129760</v>
      </c>
      <c r="AE40" s="112">
        <f t="shared" ref="AE40" si="48">+AC40+AD40</f>
        <v>1161832</v>
      </c>
      <c r="AF40" s="111">
        <v>97450</v>
      </c>
      <c r="AG40" s="112">
        <f t="shared" ref="AG40" si="49">+AE40+AF40</f>
        <v>1259282</v>
      </c>
      <c r="AH40" s="111">
        <v>92453</v>
      </c>
      <c r="AI40" s="112">
        <f>SUM(AG40:AH40)</f>
        <v>1351735</v>
      </c>
      <c r="AJ40" s="69"/>
      <c r="AK40" s="167"/>
      <c r="AL40" s="327"/>
      <c r="AM40" s="158"/>
    </row>
    <row r="41" spans="1:77" ht="12.95" thickTop="1"/>
    <row r="44" spans="1:77" s="89" customFormat="1" ht="15.6">
      <c r="C44" s="343" t="s">
        <v>129</v>
      </c>
      <c r="D44" s="343"/>
      <c r="E44" s="343"/>
      <c r="F44" s="343"/>
      <c r="G44" s="343"/>
      <c r="H44" s="343"/>
      <c r="I44" s="343"/>
      <c r="J44" s="343"/>
      <c r="K44" s="343"/>
      <c r="L44" s="93"/>
      <c r="M44" s="93"/>
      <c r="N44" s="93"/>
      <c r="O44" s="93"/>
      <c r="P44" s="93"/>
      <c r="Q44" s="93"/>
      <c r="R44" s="93"/>
      <c r="S44" s="93"/>
      <c r="T44" s="93"/>
      <c r="U44" s="93"/>
      <c r="V44" s="93"/>
      <c r="W44" s="93"/>
      <c r="X44" s="93"/>
      <c r="Y44" s="93"/>
      <c r="Z44" s="93"/>
      <c r="AA44" s="93"/>
      <c r="AB44" s="93"/>
      <c r="AC44" s="93"/>
      <c r="AD44" s="93"/>
      <c r="AE44" s="93"/>
      <c r="AF44" s="93"/>
      <c r="AG44" s="93"/>
      <c r="AH44" s="93"/>
      <c r="AI44" s="93"/>
      <c r="AJ44" s="93"/>
      <c r="AK44" s="93"/>
      <c r="AL44" s="93"/>
      <c r="AM44" s="93"/>
      <c r="AN44" s="93"/>
      <c r="AO44" s="93"/>
      <c r="AP44" s="93"/>
      <c r="AQ44" s="93"/>
      <c r="AR44" s="93"/>
      <c r="AS44" s="93"/>
      <c r="AT44" s="93"/>
      <c r="AU44" s="93"/>
      <c r="AV44" s="93"/>
      <c r="AW44" s="93"/>
      <c r="AX44" s="93"/>
      <c r="AY44" s="93"/>
      <c r="AZ44" s="93"/>
      <c r="BA44" s="93"/>
      <c r="BB44" s="93"/>
      <c r="BC44" s="93"/>
      <c r="BD44" s="93"/>
      <c r="BE44" s="93"/>
      <c r="BF44" s="93"/>
      <c r="BG44" s="93"/>
      <c r="BH44" s="93"/>
      <c r="BI44" s="93"/>
      <c r="BJ44" s="93"/>
      <c r="BK44" s="93"/>
      <c r="BL44" s="93"/>
      <c r="BM44" s="93"/>
      <c r="BN44" s="93"/>
      <c r="BO44" s="93"/>
      <c r="BP44" s="93"/>
      <c r="BQ44" s="93"/>
      <c r="BR44" s="93"/>
      <c r="BS44" s="93"/>
      <c r="BT44" s="93"/>
      <c r="BU44" s="93"/>
      <c r="BV44" s="93"/>
      <c r="BW44" s="93"/>
      <c r="BX44" s="93"/>
      <c r="BY44" s="93"/>
    </row>
    <row r="45" spans="1:77" s="89" customFormat="1" ht="15.95" thickBot="1">
      <c r="L45" s="90"/>
      <c r="M45" s="90"/>
      <c r="N45" s="90"/>
      <c r="O45" s="90"/>
      <c r="P45" s="90"/>
      <c r="Q45" s="90"/>
      <c r="R45" s="90"/>
      <c r="S45" s="90"/>
      <c r="T45" s="90"/>
      <c r="U45" s="90"/>
      <c r="V45" s="90"/>
      <c r="W45" s="90"/>
      <c r="X45" s="90"/>
      <c r="Y45" s="90"/>
      <c r="Z45" s="90"/>
      <c r="AA45" s="90"/>
      <c r="AB45" s="90"/>
      <c r="AC45" s="90"/>
      <c r="AD45" s="90"/>
      <c r="AE45" s="90"/>
      <c r="AF45" s="90"/>
      <c r="AG45" s="90"/>
      <c r="AH45" s="90"/>
      <c r="AI45" s="90"/>
      <c r="AJ45" s="90"/>
      <c r="AK45" s="90"/>
      <c r="AL45" s="90"/>
      <c r="AM45" s="90"/>
      <c r="AN45" s="90"/>
      <c r="AO45" s="90"/>
      <c r="AP45" s="90"/>
      <c r="AQ45" s="90"/>
      <c r="AR45" s="90"/>
      <c r="AS45" s="90"/>
      <c r="AT45" s="90"/>
      <c r="AU45" s="90"/>
      <c r="AV45" s="90"/>
      <c r="AW45" s="90"/>
      <c r="AX45" s="90"/>
      <c r="AY45" s="90"/>
      <c r="AZ45" s="90"/>
      <c r="BA45" s="90"/>
      <c r="BB45" s="90"/>
      <c r="BC45" s="90"/>
      <c r="BD45" s="90"/>
      <c r="BE45" s="90"/>
      <c r="BF45" s="90"/>
      <c r="BG45" s="90"/>
      <c r="BH45" s="90"/>
      <c r="BI45" s="90"/>
      <c r="BJ45" s="90"/>
      <c r="BK45" s="90"/>
      <c r="BL45" s="90"/>
      <c r="BM45" s="90"/>
      <c r="BN45" s="90"/>
      <c r="BO45" s="90"/>
      <c r="BP45" s="90"/>
      <c r="BQ45" s="90"/>
      <c r="BR45" s="90"/>
      <c r="BS45" s="90"/>
      <c r="BT45" s="90"/>
      <c r="BU45" s="90"/>
      <c r="BV45" s="90"/>
      <c r="BW45" s="90"/>
      <c r="BX45" s="90"/>
      <c r="BY45" s="90"/>
    </row>
    <row r="46" spans="1:77" s="94" customFormat="1" ht="22.9" customHeight="1" thickTop="1">
      <c r="A46" s="311" t="s">
        <v>10</v>
      </c>
      <c r="B46" s="311" t="s">
        <v>11</v>
      </c>
      <c r="C46" s="311" t="s">
        <v>12</v>
      </c>
      <c r="D46" s="241" t="s">
        <v>13</v>
      </c>
      <c r="E46" s="241" t="s">
        <v>14</v>
      </c>
      <c r="F46" s="241" t="s">
        <v>15</v>
      </c>
      <c r="G46" s="241" t="s">
        <v>16</v>
      </c>
      <c r="H46" s="241" t="s">
        <v>17</v>
      </c>
      <c r="I46" s="241" t="s">
        <v>118</v>
      </c>
      <c r="J46" s="241" t="s">
        <v>19</v>
      </c>
      <c r="K46" s="241" t="s">
        <v>20</v>
      </c>
      <c r="L46" s="241" t="s">
        <v>21</v>
      </c>
      <c r="M46" s="241" t="s">
        <v>22</v>
      </c>
      <c r="N46" s="241" t="s">
        <v>23</v>
      </c>
      <c r="O46" s="311" t="s">
        <v>24</v>
      </c>
      <c r="P46" s="241" t="s">
        <v>25</v>
      </c>
      <c r="Q46" s="241" t="s">
        <v>26</v>
      </c>
      <c r="R46" s="241" t="s">
        <v>27</v>
      </c>
      <c r="S46" s="241" t="s">
        <v>28</v>
      </c>
      <c r="T46" s="241" t="s">
        <v>29</v>
      </c>
      <c r="U46" s="311" t="s">
        <v>30</v>
      </c>
      <c r="V46" s="311" t="s">
        <v>31</v>
      </c>
      <c r="W46" s="241" t="s">
        <v>32</v>
      </c>
      <c r="X46" s="339" t="s">
        <v>33</v>
      </c>
      <c r="Y46" s="241" t="s">
        <v>34</v>
      </c>
      <c r="Z46" s="241" t="s">
        <v>35</v>
      </c>
      <c r="AA46" s="241" t="s">
        <v>36</v>
      </c>
      <c r="AB46" s="241" t="s">
        <v>37</v>
      </c>
      <c r="AC46" s="241" t="s">
        <v>38</v>
      </c>
      <c r="AD46" s="241" t="s">
        <v>39</v>
      </c>
      <c r="AE46" s="241" t="s">
        <v>40</v>
      </c>
      <c r="AF46" s="311" t="s">
        <v>41</v>
      </c>
      <c r="AG46" s="241" t="s">
        <v>42</v>
      </c>
      <c r="AH46" s="241" t="s">
        <v>43</v>
      </c>
      <c r="AI46" s="241" t="s">
        <v>119</v>
      </c>
      <c r="AJ46" s="241" t="s">
        <v>45</v>
      </c>
      <c r="AK46" s="241" t="s">
        <v>46</v>
      </c>
      <c r="AL46" s="241" t="s">
        <v>47</v>
      </c>
      <c r="AM46" s="241" t="s">
        <v>48</v>
      </c>
    </row>
    <row r="47" spans="1:77" s="94" customFormat="1" ht="22.9" customHeight="1" thickBot="1">
      <c r="A47" s="314"/>
      <c r="B47" s="314"/>
      <c r="C47" s="314"/>
      <c r="D47" s="242"/>
      <c r="E47" s="242"/>
      <c r="F47" s="242"/>
      <c r="G47" s="242"/>
      <c r="H47" s="242"/>
      <c r="I47" s="242"/>
      <c r="J47" s="242"/>
      <c r="K47" s="242"/>
      <c r="L47" s="313"/>
      <c r="M47" s="242"/>
      <c r="N47" s="242"/>
      <c r="O47" s="314"/>
      <c r="P47" s="242"/>
      <c r="Q47" s="242"/>
      <c r="R47" s="242"/>
      <c r="S47" s="310"/>
      <c r="T47" s="242"/>
      <c r="U47" s="312"/>
      <c r="V47" s="312"/>
      <c r="W47" s="310"/>
      <c r="X47" s="340"/>
      <c r="Y47" s="242"/>
      <c r="Z47" s="310"/>
      <c r="AA47" s="310"/>
      <c r="AB47" s="310"/>
      <c r="AC47" s="310"/>
      <c r="AD47" s="310"/>
      <c r="AE47" s="310"/>
      <c r="AF47" s="312"/>
      <c r="AG47" s="310"/>
      <c r="AH47" s="242"/>
      <c r="AI47" s="242">
        <v>2018</v>
      </c>
      <c r="AJ47" s="242"/>
      <c r="AK47" s="328"/>
      <c r="AL47" s="242"/>
      <c r="AM47" s="242"/>
    </row>
    <row r="48" spans="1:77" s="94" customFormat="1" ht="22.9" customHeight="1" thickTop="1">
      <c r="A48" s="329" t="s">
        <v>120</v>
      </c>
      <c r="B48" s="332" t="s">
        <v>64</v>
      </c>
      <c r="C48" s="335" t="s">
        <v>121</v>
      </c>
      <c r="D48" s="338" t="s">
        <v>122</v>
      </c>
      <c r="E48" s="338" t="s">
        <v>123</v>
      </c>
      <c r="F48" s="318" t="s">
        <v>130</v>
      </c>
      <c r="G48" s="318" t="s">
        <v>131</v>
      </c>
      <c r="H48" s="338" t="s">
        <v>130</v>
      </c>
      <c r="I48" s="348">
        <f>+L49</f>
        <v>0.91541066673560667</v>
      </c>
      <c r="J48" s="351">
        <v>0.1</v>
      </c>
      <c r="K48" s="315" t="s">
        <v>124</v>
      </c>
      <c r="L48" s="95" t="s">
        <v>57</v>
      </c>
      <c r="M48" s="96" t="s">
        <v>57</v>
      </c>
      <c r="N48" s="96" t="s">
        <v>57</v>
      </c>
      <c r="O48" s="97" t="s">
        <v>57</v>
      </c>
      <c r="P48" s="96" t="s">
        <v>57</v>
      </c>
      <c r="Q48" s="98" t="s">
        <v>57</v>
      </c>
      <c r="R48" s="96" t="s">
        <v>57</v>
      </c>
      <c r="S48" s="98" t="s">
        <v>57</v>
      </c>
      <c r="T48" s="96" t="s">
        <v>57</v>
      </c>
      <c r="U48" s="98" t="s">
        <v>57</v>
      </c>
      <c r="V48" s="96" t="s">
        <v>57</v>
      </c>
      <c r="W48" s="98" t="s">
        <v>57</v>
      </c>
      <c r="X48" s="96" t="s">
        <v>57</v>
      </c>
      <c r="Y48" s="98" t="s">
        <v>57</v>
      </c>
      <c r="Z48" s="96" t="s">
        <v>57</v>
      </c>
      <c r="AA48" s="98" t="s">
        <v>57</v>
      </c>
      <c r="AB48" s="96" t="s">
        <v>57</v>
      </c>
      <c r="AC48" s="98" t="s">
        <v>57</v>
      </c>
      <c r="AD48" s="96" t="s">
        <v>57</v>
      </c>
      <c r="AE48" s="98" t="s">
        <v>57</v>
      </c>
      <c r="AF48" s="96" t="s">
        <v>57</v>
      </c>
      <c r="AG48" s="98" t="s">
        <v>57</v>
      </c>
      <c r="AH48" s="96" t="s">
        <v>57</v>
      </c>
      <c r="AI48" s="98" t="s">
        <v>57</v>
      </c>
      <c r="AJ48" s="67"/>
      <c r="AK48" s="165" t="s">
        <v>72</v>
      </c>
      <c r="AL48" s="325"/>
      <c r="AM48" s="156" t="s">
        <v>125</v>
      </c>
    </row>
    <row r="49" spans="1:41" s="94" customFormat="1" ht="22.9" customHeight="1">
      <c r="A49" s="330"/>
      <c r="B49" s="333"/>
      <c r="C49" s="336"/>
      <c r="D49" s="465"/>
      <c r="E49" s="341"/>
      <c r="F49" s="319"/>
      <c r="G49" s="319"/>
      <c r="H49" s="341"/>
      <c r="I49" s="349"/>
      <c r="J49" s="352"/>
      <c r="K49" s="316"/>
      <c r="L49" s="41">
        <f>IF(L51&lt;&gt;0,+L51/L53,0%)</f>
        <v>0.91541066673560667</v>
      </c>
      <c r="M49" s="58">
        <f>IF(M51&lt;&gt;0,+M51/M53,0%)</f>
        <v>0.92571428571428571</v>
      </c>
      <c r="N49" s="61">
        <f>IF(N51&lt;&gt;0,+N51/N53,0%)</f>
        <v>0.93982236722856627</v>
      </c>
      <c r="O49" s="57">
        <f t="shared" ref="O49" si="50">IF(O51&lt;&gt;0,+O51/O53,0%)</f>
        <v>0.93220480320213472</v>
      </c>
      <c r="P49" s="61">
        <f>IF(P51&lt;&gt;0,ROUND(+P51/P53,4),0%)</f>
        <v>0.86240000000000006</v>
      </c>
      <c r="Q49" s="62">
        <f t="shared" ref="Q49" si="51">IF(Q51&lt;&gt;0,+Q51/Q53,0%)</f>
        <v>0.90523729073874981</v>
      </c>
      <c r="R49" s="63">
        <f>IF(R51&lt;&gt;0,ROUND(+R51/R53,4),0%)</f>
        <v>0.94630000000000003</v>
      </c>
      <c r="S49" s="62">
        <f t="shared" ref="S49" si="52">IF(S51&lt;&gt;0,+S51/S53,0%)</f>
        <v>0.91724312773894467</v>
      </c>
      <c r="T49" s="63">
        <f>IF(T51&lt;&gt;0,ROUND(+T51/T53,4),0%)</f>
        <v>0.96789999999999998</v>
      </c>
      <c r="U49" s="62">
        <f t="shared" ref="U49" si="53">IF(U51&lt;&gt;0,+U51/U53,0%)</f>
        <v>0.9279885877318117</v>
      </c>
      <c r="V49" s="63">
        <f>IF(V51&lt;&gt;0,ROUND(+V51/V53,4),0%)</f>
        <v>0.96450000000000002</v>
      </c>
      <c r="W49" s="62">
        <f t="shared" ref="W49" si="54">IF(W51&lt;&gt;0,+W51/W53,0%)</f>
        <v>0.93329757667365543</v>
      </c>
      <c r="X49" s="63">
        <f>IF(X51&lt;&gt;0,ROUND(+X51/X53,4),0%)</f>
        <v>0.88729999999999998</v>
      </c>
      <c r="Y49" s="62">
        <f t="shared" ref="Y49" si="55">IF(Y51&lt;&gt;0,+Y51/Y53,0%)</f>
        <v>0.92635610766045551</v>
      </c>
      <c r="Z49" s="64">
        <f>IF(Z51&lt;&gt;0,ROUND(+Z51/Z53,4),0%)</f>
        <v>0.92349999999999999</v>
      </c>
      <c r="AA49" s="62">
        <f t="shared" ref="AA49" si="56">IF(AA51&lt;&gt;0,+AA51/AA53,0%)</f>
        <v>0.9260286044761048</v>
      </c>
      <c r="AB49" s="63">
        <f>IF(AB51&lt;&gt;0,ROUND(+AB51/AB53,4),0%)</f>
        <v>0.90539999999999998</v>
      </c>
      <c r="AC49" s="62">
        <f t="shared" ref="AC49" si="57">IF(AC51&lt;&gt;0,+AC51/AC53,0%)</f>
        <v>0.92418440546460878</v>
      </c>
      <c r="AD49" s="63">
        <f>IF(AD51&lt;&gt;0,ROUND(+AD51/AD53,4),0%)</f>
        <v>0.80649999999999999</v>
      </c>
      <c r="AE49" s="62">
        <f t="shared" ref="AE49" si="58">IF(AE51&lt;&gt;0,+AE51/AE53,0%)</f>
        <v>0.91184659601221485</v>
      </c>
      <c r="AF49" s="63">
        <f>IF(AF51&lt;&gt;0,ROUND(+AF51/AF53,4),0%)</f>
        <v>0.92410000000000003</v>
      </c>
      <c r="AG49" s="62">
        <f t="shared" ref="AG49" si="59">IF(AG51&lt;&gt;0,+AG51/AG53,0%)</f>
        <v>0.91274749043314296</v>
      </c>
      <c r="AH49" s="63">
        <f>IF(AH51&lt;&gt;0,ROUND(+AH51/AH53,4),0%)</f>
        <v>0.95209999999999995</v>
      </c>
      <c r="AI49" s="62">
        <f>IF(AI51&lt;&gt;0,+AI51/AI53,0%)</f>
        <v>0.91541066673560667</v>
      </c>
      <c r="AJ49" s="68"/>
      <c r="AK49" s="166"/>
      <c r="AL49" s="326"/>
      <c r="AM49" s="157"/>
      <c r="AO49" s="100"/>
    </row>
    <row r="50" spans="1:41" s="94" customFormat="1" ht="22.9" customHeight="1" thickBot="1">
      <c r="A50" s="330"/>
      <c r="B50" s="333"/>
      <c r="C50" s="336"/>
      <c r="D50" s="465"/>
      <c r="E50" s="341"/>
      <c r="F50" s="319"/>
      <c r="G50" s="319"/>
      <c r="H50" s="341"/>
      <c r="I50" s="349"/>
      <c r="J50" s="352"/>
      <c r="K50" s="317"/>
      <c r="L50" s="99" t="s">
        <v>60</v>
      </c>
      <c r="M50" s="101" t="s">
        <v>60</v>
      </c>
      <c r="N50" s="101" t="s">
        <v>60</v>
      </c>
      <c r="O50" s="102" t="s">
        <v>60</v>
      </c>
      <c r="P50" s="101" t="s">
        <v>60</v>
      </c>
      <c r="Q50" s="103" t="s">
        <v>60</v>
      </c>
      <c r="R50" s="101" t="s">
        <v>60</v>
      </c>
      <c r="S50" s="103" t="s">
        <v>60</v>
      </c>
      <c r="T50" s="101" t="s">
        <v>60</v>
      </c>
      <c r="U50" s="103" t="s">
        <v>60</v>
      </c>
      <c r="V50" s="101" t="s">
        <v>60</v>
      </c>
      <c r="W50" s="103" t="s">
        <v>60</v>
      </c>
      <c r="X50" s="101" t="s">
        <v>60</v>
      </c>
      <c r="Y50" s="103" t="s">
        <v>60</v>
      </c>
      <c r="Z50" s="101" t="s">
        <v>60</v>
      </c>
      <c r="AA50" s="103" t="s">
        <v>60</v>
      </c>
      <c r="AB50" s="101" t="s">
        <v>60</v>
      </c>
      <c r="AC50" s="103" t="s">
        <v>60</v>
      </c>
      <c r="AD50" s="101" t="s">
        <v>60</v>
      </c>
      <c r="AE50" s="103" t="s">
        <v>60</v>
      </c>
      <c r="AF50" s="101" t="s">
        <v>60</v>
      </c>
      <c r="AG50" s="103" t="s">
        <v>60</v>
      </c>
      <c r="AH50" s="101" t="s">
        <v>60</v>
      </c>
      <c r="AI50" s="103" t="s">
        <v>60</v>
      </c>
      <c r="AJ50" s="68"/>
      <c r="AK50" s="166"/>
      <c r="AL50" s="326"/>
      <c r="AM50" s="157"/>
    </row>
    <row r="51" spans="1:41" s="94" customFormat="1" ht="22.9" customHeight="1" thickTop="1">
      <c r="A51" s="330"/>
      <c r="B51" s="333"/>
      <c r="C51" s="336"/>
      <c r="D51" s="465"/>
      <c r="E51" s="341"/>
      <c r="F51" s="319"/>
      <c r="G51" s="319"/>
      <c r="H51" s="341"/>
      <c r="I51" s="349"/>
      <c r="J51" s="352"/>
      <c r="K51" s="316" t="s">
        <v>74</v>
      </c>
      <c r="L51" s="104">
        <v>70818</v>
      </c>
      <c r="M51" s="105">
        <v>5994</v>
      </c>
      <c r="N51" s="105">
        <v>5185</v>
      </c>
      <c r="O51" s="106">
        <f>+M51+N51</f>
        <v>11179</v>
      </c>
      <c r="P51" s="105">
        <v>6503</v>
      </c>
      <c r="Q51" s="106">
        <f>+O51+P51</f>
        <v>17682</v>
      </c>
      <c r="R51" s="105">
        <v>7644</v>
      </c>
      <c r="S51" s="106">
        <f>+Q51+R51</f>
        <v>25326</v>
      </c>
      <c r="T51" s="105">
        <v>7200</v>
      </c>
      <c r="U51" s="106">
        <f>+S51+T51</f>
        <v>32526</v>
      </c>
      <c r="V51" s="105">
        <v>5756</v>
      </c>
      <c r="W51" s="106">
        <f>+U51+V51</f>
        <v>38282</v>
      </c>
      <c r="X51" s="105">
        <v>6461</v>
      </c>
      <c r="Y51" s="106">
        <f>+W51+X51</f>
        <v>44743</v>
      </c>
      <c r="Z51" s="105">
        <v>5695</v>
      </c>
      <c r="AA51" s="106">
        <f>+Y51+Z51</f>
        <v>50438</v>
      </c>
      <c r="AB51" s="105">
        <v>4831</v>
      </c>
      <c r="AC51" s="106">
        <f>+AA51+AB51</f>
        <v>55269</v>
      </c>
      <c r="AD51" s="105">
        <v>5646</v>
      </c>
      <c r="AE51" s="106">
        <f>+AC51+AD51</f>
        <v>60915</v>
      </c>
      <c r="AF51" s="105">
        <v>4916</v>
      </c>
      <c r="AG51" s="106">
        <f>+AE51+AF51</f>
        <v>65831</v>
      </c>
      <c r="AH51" s="105">
        <v>4987</v>
      </c>
      <c r="AI51" s="106">
        <f>+AG51+AH51</f>
        <v>70818</v>
      </c>
      <c r="AJ51" s="29">
        <f>AI49/L49</f>
        <v>1</v>
      </c>
      <c r="AK51" s="166"/>
      <c r="AL51" s="326"/>
      <c r="AM51" s="157"/>
    </row>
    <row r="52" spans="1:41" s="94" customFormat="1" ht="22.9" customHeight="1">
      <c r="A52" s="330"/>
      <c r="B52" s="333"/>
      <c r="C52" s="336"/>
      <c r="D52" s="465"/>
      <c r="E52" s="341"/>
      <c r="F52" s="319"/>
      <c r="G52" s="319"/>
      <c r="H52" s="341"/>
      <c r="I52" s="349"/>
      <c r="J52" s="352"/>
      <c r="K52" s="347"/>
      <c r="L52" s="99" t="s">
        <v>126</v>
      </c>
      <c r="M52" s="107" t="s">
        <v>62</v>
      </c>
      <c r="N52" s="107" t="s">
        <v>62</v>
      </c>
      <c r="O52" s="108" t="s">
        <v>62</v>
      </c>
      <c r="P52" s="107" t="s">
        <v>62</v>
      </c>
      <c r="Q52" s="109" t="s">
        <v>62</v>
      </c>
      <c r="R52" s="107" t="s">
        <v>62</v>
      </c>
      <c r="S52" s="109" t="s">
        <v>62</v>
      </c>
      <c r="T52" s="107" t="s">
        <v>62</v>
      </c>
      <c r="U52" s="109" t="s">
        <v>62</v>
      </c>
      <c r="V52" s="107" t="s">
        <v>62</v>
      </c>
      <c r="W52" s="109" t="s">
        <v>62</v>
      </c>
      <c r="X52" s="107" t="s">
        <v>62</v>
      </c>
      <c r="Y52" s="109" t="s">
        <v>62</v>
      </c>
      <c r="Z52" s="107" t="s">
        <v>62</v>
      </c>
      <c r="AA52" s="109" t="s">
        <v>62</v>
      </c>
      <c r="AB52" s="107" t="s">
        <v>62</v>
      </c>
      <c r="AC52" s="109" t="s">
        <v>62</v>
      </c>
      <c r="AD52" s="107" t="s">
        <v>62</v>
      </c>
      <c r="AE52" s="109" t="s">
        <v>62</v>
      </c>
      <c r="AF52" s="107" t="s">
        <v>62</v>
      </c>
      <c r="AG52" s="109" t="s">
        <v>62</v>
      </c>
      <c r="AH52" s="107" t="s">
        <v>62</v>
      </c>
      <c r="AI52" s="109" t="s">
        <v>62</v>
      </c>
      <c r="AJ52" s="68"/>
      <c r="AK52" s="166"/>
      <c r="AL52" s="326"/>
      <c r="AM52" s="157"/>
    </row>
    <row r="53" spans="1:41" s="94" customFormat="1" ht="22.9" customHeight="1" thickBot="1">
      <c r="A53" s="331"/>
      <c r="B53" s="334"/>
      <c r="C53" s="337"/>
      <c r="D53" s="466"/>
      <c r="E53" s="342"/>
      <c r="F53" s="320"/>
      <c r="G53" s="320"/>
      <c r="H53" s="342"/>
      <c r="I53" s="350"/>
      <c r="J53" s="353"/>
      <c r="K53" s="317"/>
      <c r="L53" s="110">
        <v>77362</v>
      </c>
      <c r="M53" s="111">
        <v>6475</v>
      </c>
      <c r="N53" s="111">
        <v>5517</v>
      </c>
      <c r="O53" s="112">
        <f>+M53+N53</f>
        <v>11992</v>
      </c>
      <c r="P53" s="111">
        <v>7541</v>
      </c>
      <c r="Q53" s="112">
        <f>+O53+P53</f>
        <v>19533</v>
      </c>
      <c r="R53" s="111">
        <v>8078</v>
      </c>
      <c r="S53" s="112">
        <f>+Q53+R53</f>
        <v>27611</v>
      </c>
      <c r="T53" s="111">
        <v>7439</v>
      </c>
      <c r="U53" s="112">
        <f>+S53+T53</f>
        <v>35050</v>
      </c>
      <c r="V53" s="111">
        <v>5968</v>
      </c>
      <c r="W53" s="112">
        <f>+U53+V53</f>
        <v>41018</v>
      </c>
      <c r="X53" s="111">
        <v>7282</v>
      </c>
      <c r="Y53" s="112">
        <f>+W53+X53</f>
        <v>48300</v>
      </c>
      <c r="Z53" s="111">
        <v>6167</v>
      </c>
      <c r="AA53" s="112">
        <f>+Y53+Z53</f>
        <v>54467</v>
      </c>
      <c r="AB53" s="111">
        <v>5336</v>
      </c>
      <c r="AC53" s="112">
        <f>+AA53+AB53</f>
        <v>59803</v>
      </c>
      <c r="AD53" s="111">
        <v>7001</v>
      </c>
      <c r="AE53" s="112">
        <f>+AC53+AD53</f>
        <v>66804</v>
      </c>
      <c r="AF53" s="111">
        <v>5320</v>
      </c>
      <c r="AG53" s="112">
        <f>+AE53+AF53</f>
        <v>72124</v>
      </c>
      <c r="AH53" s="111">
        <v>5238</v>
      </c>
      <c r="AI53" s="112">
        <f>+AG53+AH53</f>
        <v>77362</v>
      </c>
      <c r="AJ53" s="69"/>
      <c r="AK53" s="167"/>
      <c r="AL53" s="327"/>
      <c r="AM53" s="158"/>
    </row>
    <row r="54" spans="1:41" ht="12.95" thickTop="1"/>
    <row r="55" spans="1:41" s="89" customFormat="1" ht="20.45" thickBot="1">
      <c r="A55" s="114" t="s">
        <v>127</v>
      </c>
      <c r="L55" s="90"/>
      <c r="M55" s="90"/>
      <c r="N55" s="90"/>
      <c r="O55" s="90"/>
      <c r="P55" s="90"/>
      <c r="Q55" s="90"/>
      <c r="R55" s="90"/>
      <c r="S55" s="90"/>
      <c r="T55" s="90"/>
      <c r="U55" s="90"/>
      <c r="V55" s="90"/>
      <c r="W55" s="90"/>
      <c r="X55" s="90"/>
      <c r="Y55" s="90"/>
      <c r="Z55" s="90"/>
      <c r="AA55" s="90"/>
      <c r="AB55" s="90"/>
      <c r="AC55" s="90"/>
      <c r="AD55" s="90"/>
      <c r="AE55" s="90"/>
      <c r="AF55" s="90"/>
      <c r="AG55" s="90"/>
      <c r="AH55" s="90"/>
      <c r="AI55" s="90"/>
      <c r="AJ55" s="90"/>
      <c r="AK55" s="90"/>
      <c r="AL55" s="90"/>
      <c r="AM55" s="90"/>
    </row>
    <row r="56" spans="1:41" s="94" customFormat="1" ht="22.9" customHeight="1" thickTop="1">
      <c r="A56" s="311" t="s">
        <v>10</v>
      </c>
      <c r="B56" s="311" t="s">
        <v>11</v>
      </c>
      <c r="C56" s="311" t="s">
        <v>12</v>
      </c>
      <c r="D56" s="241" t="s">
        <v>13</v>
      </c>
      <c r="E56" s="241" t="s">
        <v>14</v>
      </c>
      <c r="F56" s="241" t="s">
        <v>15</v>
      </c>
      <c r="G56" s="241" t="s">
        <v>16</v>
      </c>
      <c r="H56" s="241" t="s">
        <v>17</v>
      </c>
      <c r="I56" s="241" t="s">
        <v>118</v>
      </c>
      <c r="J56" s="241" t="s">
        <v>19</v>
      </c>
      <c r="K56" s="241" t="s">
        <v>20</v>
      </c>
      <c r="L56" s="241" t="s">
        <v>21</v>
      </c>
      <c r="M56" s="241" t="s">
        <v>22</v>
      </c>
      <c r="N56" s="241" t="s">
        <v>23</v>
      </c>
      <c r="O56" s="311" t="s">
        <v>24</v>
      </c>
      <c r="P56" s="241" t="s">
        <v>25</v>
      </c>
      <c r="Q56" s="241" t="s">
        <v>26</v>
      </c>
      <c r="R56" s="241" t="s">
        <v>27</v>
      </c>
      <c r="S56" s="241" t="s">
        <v>28</v>
      </c>
      <c r="T56" s="241" t="s">
        <v>29</v>
      </c>
      <c r="U56" s="311" t="s">
        <v>30</v>
      </c>
      <c r="V56" s="311" t="s">
        <v>31</v>
      </c>
      <c r="W56" s="241" t="s">
        <v>32</v>
      </c>
      <c r="X56" s="339" t="s">
        <v>33</v>
      </c>
      <c r="Y56" s="241" t="s">
        <v>34</v>
      </c>
      <c r="Z56" s="241" t="s">
        <v>35</v>
      </c>
      <c r="AA56" s="241" t="s">
        <v>36</v>
      </c>
      <c r="AB56" s="241" t="s">
        <v>37</v>
      </c>
      <c r="AC56" s="241" t="s">
        <v>38</v>
      </c>
      <c r="AD56" s="241" t="s">
        <v>39</v>
      </c>
      <c r="AE56" s="241" t="s">
        <v>40</v>
      </c>
      <c r="AF56" s="311" t="s">
        <v>41</v>
      </c>
      <c r="AG56" s="241" t="s">
        <v>42</v>
      </c>
      <c r="AH56" s="241" t="s">
        <v>43</v>
      </c>
      <c r="AI56" s="241" t="s">
        <v>119</v>
      </c>
      <c r="AJ56" s="241" t="s">
        <v>45</v>
      </c>
      <c r="AK56" s="241" t="s">
        <v>46</v>
      </c>
      <c r="AL56" s="241" t="s">
        <v>47</v>
      </c>
      <c r="AM56" s="241" t="s">
        <v>48</v>
      </c>
    </row>
    <row r="57" spans="1:41" s="94" customFormat="1" ht="22.9" customHeight="1" thickBot="1">
      <c r="A57" s="314"/>
      <c r="B57" s="314"/>
      <c r="C57" s="314"/>
      <c r="D57" s="242"/>
      <c r="E57" s="242"/>
      <c r="F57" s="242"/>
      <c r="G57" s="242"/>
      <c r="H57" s="242"/>
      <c r="I57" s="242"/>
      <c r="J57" s="242"/>
      <c r="K57" s="242"/>
      <c r="L57" s="313"/>
      <c r="M57" s="242"/>
      <c r="N57" s="242"/>
      <c r="O57" s="314"/>
      <c r="P57" s="242"/>
      <c r="Q57" s="242"/>
      <c r="R57" s="242"/>
      <c r="S57" s="310"/>
      <c r="T57" s="242"/>
      <c r="U57" s="312"/>
      <c r="V57" s="312"/>
      <c r="W57" s="310"/>
      <c r="X57" s="340"/>
      <c r="Y57" s="242"/>
      <c r="Z57" s="310"/>
      <c r="AA57" s="310"/>
      <c r="AB57" s="310"/>
      <c r="AC57" s="310"/>
      <c r="AD57" s="310"/>
      <c r="AE57" s="310"/>
      <c r="AF57" s="312"/>
      <c r="AG57" s="310"/>
      <c r="AH57" s="242"/>
      <c r="AI57" s="242">
        <v>2018</v>
      </c>
      <c r="AJ57" s="242"/>
      <c r="AK57" s="328"/>
      <c r="AL57" s="242"/>
      <c r="AM57" s="242"/>
    </row>
    <row r="58" spans="1:41" s="94" customFormat="1" ht="22.9" customHeight="1" thickTop="1">
      <c r="A58" s="329" t="s">
        <v>120</v>
      </c>
      <c r="B58" s="332" t="s">
        <v>64</v>
      </c>
      <c r="C58" s="335" t="s">
        <v>121</v>
      </c>
      <c r="D58" s="338" t="s">
        <v>122</v>
      </c>
      <c r="E58" s="338" t="s">
        <v>123</v>
      </c>
      <c r="F58" s="318" t="s">
        <v>130</v>
      </c>
      <c r="G58" s="318" t="s">
        <v>131</v>
      </c>
      <c r="H58" s="338" t="s">
        <v>130</v>
      </c>
      <c r="I58" s="348">
        <f>+L59</f>
        <v>0.91119791666666672</v>
      </c>
      <c r="J58" s="351">
        <v>0.1</v>
      </c>
      <c r="K58" s="315" t="s">
        <v>124</v>
      </c>
      <c r="L58" s="95" t="s">
        <v>57</v>
      </c>
      <c r="M58" s="96" t="s">
        <v>57</v>
      </c>
      <c r="N58" s="96" t="s">
        <v>57</v>
      </c>
      <c r="O58" s="97" t="s">
        <v>57</v>
      </c>
      <c r="P58" s="96" t="s">
        <v>57</v>
      </c>
      <c r="Q58" s="98" t="s">
        <v>57</v>
      </c>
      <c r="R58" s="96" t="s">
        <v>57</v>
      </c>
      <c r="S58" s="98" t="s">
        <v>57</v>
      </c>
      <c r="T58" s="96" t="s">
        <v>57</v>
      </c>
      <c r="U58" s="98" t="s">
        <v>57</v>
      </c>
      <c r="V58" s="96" t="s">
        <v>57</v>
      </c>
      <c r="W58" s="98" t="s">
        <v>57</v>
      </c>
      <c r="X58" s="96" t="s">
        <v>57</v>
      </c>
      <c r="Y58" s="98" t="s">
        <v>57</v>
      </c>
      <c r="Z58" s="96" t="s">
        <v>57</v>
      </c>
      <c r="AA58" s="98" t="s">
        <v>57</v>
      </c>
      <c r="AB58" s="96" t="s">
        <v>57</v>
      </c>
      <c r="AC58" s="98" t="s">
        <v>57</v>
      </c>
      <c r="AD58" s="96" t="s">
        <v>57</v>
      </c>
      <c r="AE58" s="98" t="s">
        <v>57</v>
      </c>
      <c r="AF58" s="96" t="s">
        <v>57</v>
      </c>
      <c r="AG58" s="98" t="s">
        <v>57</v>
      </c>
      <c r="AH58" s="96" t="s">
        <v>57</v>
      </c>
      <c r="AI58" s="98" t="s">
        <v>57</v>
      </c>
      <c r="AJ58" s="67"/>
      <c r="AK58" s="165" t="s">
        <v>72</v>
      </c>
      <c r="AL58" s="325"/>
      <c r="AM58" s="156" t="s">
        <v>125</v>
      </c>
    </row>
    <row r="59" spans="1:41" s="94" customFormat="1" ht="22.9" customHeight="1">
      <c r="A59" s="330"/>
      <c r="B59" s="333"/>
      <c r="C59" s="336"/>
      <c r="D59" s="465"/>
      <c r="E59" s="341"/>
      <c r="F59" s="319"/>
      <c r="G59" s="319"/>
      <c r="H59" s="341"/>
      <c r="I59" s="349"/>
      <c r="J59" s="352"/>
      <c r="K59" s="316"/>
      <c r="L59" s="41">
        <f>IF(L61&lt;&gt;0,+L61/L63,0%)</f>
        <v>0.91119791666666672</v>
      </c>
      <c r="M59" s="58">
        <f>IF(M61&lt;&gt;0,+M61/M63,0%)</f>
        <v>0.91991495393338063</v>
      </c>
      <c r="N59" s="61">
        <f>IF(N61&lt;&gt;0,+N61/N63,0%)</f>
        <v>0.93744833287407003</v>
      </c>
      <c r="O59" s="57">
        <f t="shared" ref="O59" si="60">IF(O61&lt;&gt;0,+O61/O63,0%)</f>
        <v>0.92800814042228441</v>
      </c>
      <c r="P59" s="61">
        <f>IF(P61&lt;&gt;0,ROUND(+P61/P63,4),0%)</f>
        <v>0.86229999999999996</v>
      </c>
      <c r="Q59" s="62">
        <f t="shared" ref="Q59" si="61">IF(Q61&lt;&gt;0,+Q61/Q63,0%)</f>
        <v>0.90239739312592138</v>
      </c>
      <c r="R59" s="63">
        <f>IF(R61&lt;&gt;0,ROUND(+R61/R63,4),0%)</f>
        <v>0.9425</v>
      </c>
      <c r="S59" s="62">
        <f t="shared" ref="S59" si="62">IF(S61&lt;&gt;0,+S61/S63,0%)</f>
        <v>0.91396722035207767</v>
      </c>
      <c r="T59" s="63">
        <f>IF(T61&lt;&gt;0,ROUND(+T61/T63,4),0%)</f>
        <v>0.96699999999999997</v>
      </c>
      <c r="U59" s="62">
        <f t="shared" ref="U59" si="63">IF(U61&lt;&gt;0,+U61/U63,0%)</f>
        <v>0.92479353364962225</v>
      </c>
      <c r="V59" s="63">
        <f>IF(V61&lt;&gt;0,ROUND(+V61/V63,4),0%)</f>
        <v>0.96350000000000002</v>
      </c>
      <c r="W59" s="62">
        <f t="shared" ref="W59" si="64">IF(W61&lt;&gt;0,+W61/W63,0%)</f>
        <v>0.93024572528592453</v>
      </c>
      <c r="X59" s="63">
        <f>IF(X61&lt;&gt;0,ROUND(+X61/X63,4),0%)</f>
        <v>0.88239999999999996</v>
      </c>
      <c r="Y59" s="62">
        <f t="shared" ref="Y59" si="65">IF(Y61&lt;&gt;0,+Y61/Y63,0%)</f>
        <v>0.92299807815502888</v>
      </c>
      <c r="Z59" s="64">
        <f>IF(Z61&lt;&gt;0,ROUND(+Z61/Z63,4),0%)</f>
        <v>0.91469999999999996</v>
      </c>
      <c r="AA59" s="62">
        <f t="shared" ref="AA59" si="66">IF(AA61&lt;&gt;0,+AA61/AA63,0%)</f>
        <v>0.92206831821155322</v>
      </c>
      <c r="AB59" s="63">
        <f>IF(AB61&lt;&gt;0,ROUND(+AB61/AB63,4),0%)</f>
        <v>0.90149999999999997</v>
      </c>
      <c r="AC59" s="62">
        <f t="shared" ref="AC59" si="67">IF(AC61&lt;&gt;0,+AC61/AC63,0%)</f>
        <v>0.92028891371560706</v>
      </c>
      <c r="AD59" s="63">
        <f>IF(AD61&lt;&gt;0,ROUND(+AD61/AD63,4),0%)</f>
        <v>0.79790000000000005</v>
      </c>
      <c r="AE59" s="62">
        <f t="shared" ref="AE59" si="68">IF(AE61&lt;&gt;0,+AE61/AE63,0%)</f>
        <v>0.9074836578500477</v>
      </c>
      <c r="AF59" s="63">
        <f>IF(AF61&lt;&gt;0,ROUND(+AF61/AF63,4),0%)</f>
        <v>0.91790000000000005</v>
      </c>
      <c r="AG59" s="62">
        <f t="shared" ref="AG59" si="69">IF(AG61&lt;&gt;0,+AG61/AG63,0%)</f>
        <v>0.90824204261192099</v>
      </c>
      <c r="AH59" s="63">
        <f>IF(AH61&lt;&gt;0,ROUND(+AH61/AH63,4),0%)</f>
        <v>0.94979999999999998</v>
      </c>
      <c r="AI59" s="62">
        <f>IF(AI61&lt;&gt;0,+AI61/AI63,0%)</f>
        <v>0.91119791666666672</v>
      </c>
      <c r="AJ59" s="68"/>
      <c r="AK59" s="166"/>
      <c r="AL59" s="326"/>
      <c r="AM59" s="157"/>
    </row>
    <row r="60" spans="1:41" s="94" customFormat="1" ht="22.9" customHeight="1" thickBot="1">
      <c r="A60" s="330"/>
      <c r="B60" s="333"/>
      <c r="C60" s="336"/>
      <c r="D60" s="465"/>
      <c r="E60" s="341"/>
      <c r="F60" s="319"/>
      <c r="G60" s="319"/>
      <c r="H60" s="341"/>
      <c r="I60" s="349"/>
      <c r="J60" s="352"/>
      <c r="K60" s="317"/>
      <c r="L60" s="99"/>
      <c r="M60" s="101" t="s">
        <v>60</v>
      </c>
      <c r="N60" s="101" t="s">
        <v>60</v>
      </c>
      <c r="O60" s="102" t="s">
        <v>60</v>
      </c>
      <c r="P60" s="101" t="s">
        <v>60</v>
      </c>
      <c r="Q60" s="103" t="s">
        <v>60</v>
      </c>
      <c r="R60" s="101" t="s">
        <v>60</v>
      </c>
      <c r="S60" s="103" t="s">
        <v>60</v>
      </c>
      <c r="T60" s="101" t="s">
        <v>60</v>
      </c>
      <c r="U60" s="103" t="s">
        <v>60</v>
      </c>
      <c r="V60" s="101" t="s">
        <v>60</v>
      </c>
      <c r="W60" s="103" t="s">
        <v>60</v>
      </c>
      <c r="X60" s="101" t="s">
        <v>60</v>
      </c>
      <c r="Y60" s="103" t="s">
        <v>60</v>
      </c>
      <c r="Z60" s="101" t="s">
        <v>60</v>
      </c>
      <c r="AA60" s="103" t="s">
        <v>60</v>
      </c>
      <c r="AB60" s="101" t="s">
        <v>60</v>
      </c>
      <c r="AC60" s="103" t="s">
        <v>60</v>
      </c>
      <c r="AD60" s="101" t="s">
        <v>60</v>
      </c>
      <c r="AE60" s="103" t="s">
        <v>60</v>
      </c>
      <c r="AF60" s="101" t="s">
        <v>60</v>
      </c>
      <c r="AG60" s="103" t="s">
        <v>60</v>
      </c>
      <c r="AH60" s="101" t="s">
        <v>60</v>
      </c>
      <c r="AI60" s="103" t="s">
        <v>60</v>
      </c>
      <c r="AJ60" s="68"/>
      <c r="AK60" s="166"/>
      <c r="AL60" s="326"/>
      <c r="AM60" s="157"/>
    </row>
    <row r="61" spans="1:41" s="94" customFormat="1" ht="22.9" customHeight="1" thickTop="1">
      <c r="A61" s="330"/>
      <c r="B61" s="333"/>
      <c r="C61" s="336"/>
      <c r="D61" s="465"/>
      <c r="E61" s="341"/>
      <c r="F61" s="319"/>
      <c r="G61" s="319"/>
      <c r="H61" s="341"/>
      <c r="I61" s="349"/>
      <c r="J61" s="352"/>
      <c r="K61" s="316" t="s">
        <v>74</v>
      </c>
      <c r="L61" s="143">
        <v>45487</v>
      </c>
      <c r="M61" s="105">
        <v>3894</v>
      </c>
      <c r="N61" s="105">
        <v>3402</v>
      </c>
      <c r="O61" s="106">
        <f>+M61+N61</f>
        <v>7296</v>
      </c>
      <c r="P61" s="105">
        <v>4335</v>
      </c>
      <c r="Q61" s="106">
        <f>+O61+P61</f>
        <v>11631</v>
      </c>
      <c r="R61" s="105">
        <v>4931</v>
      </c>
      <c r="S61" s="106">
        <f>+Q61+R61</f>
        <v>16562</v>
      </c>
      <c r="T61" s="105">
        <v>4490</v>
      </c>
      <c r="U61" s="106">
        <f>+S61+T61</f>
        <v>21052</v>
      </c>
      <c r="V61" s="105">
        <v>3593</v>
      </c>
      <c r="W61" s="106">
        <f>+U61+V61</f>
        <v>24645</v>
      </c>
      <c r="X61" s="105">
        <v>4171</v>
      </c>
      <c r="Y61" s="106">
        <f>+W61+X61</f>
        <v>28816</v>
      </c>
      <c r="Z61" s="105">
        <v>3603</v>
      </c>
      <c r="AA61" s="106">
        <f>+Y61+Z61</f>
        <v>32419</v>
      </c>
      <c r="AB61" s="105">
        <v>3002</v>
      </c>
      <c r="AC61" s="106">
        <f>+AA61+AB61</f>
        <v>35421</v>
      </c>
      <c r="AD61" s="105">
        <v>3589</v>
      </c>
      <c r="AE61" s="106">
        <f>+AC61+AD61</f>
        <v>39010</v>
      </c>
      <c r="AF61" s="105">
        <v>3107</v>
      </c>
      <c r="AG61" s="106">
        <f>+AE61+AF61</f>
        <v>42117</v>
      </c>
      <c r="AH61" s="105">
        <v>3370</v>
      </c>
      <c r="AI61" s="106">
        <f>SUM(AG61:AH61)</f>
        <v>45487</v>
      </c>
      <c r="AJ61" s="29">
        <f>+AI59/L59</f>
        <v>1</v>
      </c>
      <c r="AK61" s="166"/>
      <c r="AL61" s="326"/>
      <c r="AM61" s="157"/>
    </row>
    <row r="62" spans="1:41" s="94" customFormat="1" ht="22.9" customHeight="1">
      <c r="A62" s="330"/>
      <c r="B62" s="333"/>
      <c r="C62" s="336"/>
      <c r="D62" s="465"/>
      <c r="E62" s="341"/>
      <c r="F62" s="319"/>
      <c r="G62" s="319"/>
      <c r="H62" s="341"/>
      <c r="I62" s="349"/>
      <c r="J62" s="352"/>
      <c r="K62" s="347"/>
      <c r="L62" s="99" t="s">
        <v>126</v>
      </c>
      <c r="M62" s="107" t="s">
        <v>62</v>
      </c>
      <c r="N62" s="107" t="s">
        <v>62</v>
      </c>
      <c r="O62" s="108" t="s">
        <v>62</v>
      </c>
      <c r="P62" s="107" t="s">
        <v>62</v>
      </c>
      <c r="Q62" s="109" t="s">
        <v>62</v>
      </c>
      <c r="R62" s="107"/>
      <c r="S62" s="109" t="s">
        <v>62</v>
      </c>
      <c r="T62" s="107" t="s">
        <v>62</v>
      </c>
      <c r="U62" s="109" t="s">
        <v>62</v>
      </c>
      <c r="V62" s="107" t="s">
        <v>62</v>
      </c>
      <c r="W62" s="109" t="s">
        <v>62</v>
      </c>
      <c r="X62" s="107" t="s">
        <v>62</v>
      </c>
      <c r="Y62" s="109" t="s">
        <v>62</v>
      </c>
      <c r="Z62" s="107" t="s">
        <v>62</v>
      </c>
      <c r="AA62" s="109" t="s">
        <v>62</v>
      </c>
      <c r="AB62" s="107" t="s">
        <v>62</v>
      </c>
      <c r="AC62" s="109" t="s">
        <v>62</v>
      </c>
      <c r="AD62" s="107" t="s">
        <v>62</v>
      </c>
      <c r="AE62" s="109" t="s">
        <v>62</v>
      </c>
      <c r="AF62" s="107" t="s">
        <v>62</v>
      </c>
      <c r="AG62" s="109" t="s">
        <v>62</v>
      </c>
      <c r="AH62" s="107" t="s">
        <v>62</v>
      </c>
      <c r="AI62" s="108" t="s">
        <v>62</v>
      </c>
      <c r="AJ62" s="68"/>
      <c r="AK62" s="166"/>
      <c r="AL62" s="326"/>
      <c r="AM62" s="157"/>
    </row>
    <row r="63" spans="1:41" s="94" customFormat="1" ht="22.9" customHeight="1" thickBot="1">
      <c r="A63" s="331"/>
      <c r="B63" s="334"/>
      <c r="C63" s="337"/>
      <c r="D63" s="466"/>
      <c r="E63" s="342"/>
      <c r="F63" s="320"/>
      <c r="G63" s="320"/>
      <c r="H63" s="342"/>
      <c r="I63" s="350"/>
      <c r="J63" s="353"/>
      <c r="K63" s="317"/>
      <c r="L63" s="144">
        <v>49920</v>
      </c>
      <c r="M63" s="111">
        <v>4233</v>
      </c>
      <c r="N63" s="111">
        <v>3629</v>
      </c>
      <c r="O63" s="112">
        <f t="shared" ref="O63" si="70">+M63+N63</f>
        <v>7862</v>
      </c>
      <c r="P63" s="111">
        <v>5027</v>
      </c>
      <c r="Q63" s="112">
        <f t="shared" ref="Q63" si="71">+O63+P63</f>
        <v>12889</v>
      </c>
      <c r="R63" s="111">
        <v>5232</v>
      </c>
      <c r="S63" s="112">
        <f t="shared" ref="S63" si="72">+Q63+R63</f>
        <v>18121</v>
      </c>
      <c r="T63" s="111">
        <v>4643</v>
      </c>
      <c r="U63" s="112">
        <f t="shared" ref="U63" si="73">+S63+T63</f>
        <v>22764</v>
      </c>
      <c r="V63" s="111">
        <v>3729</v>
      </c>
      <c r="W63" s="112">
        <f t="shared" ref="W63" si="74">+U63+V63</f>
        <v>26493</v>
      </c>
      <c r="X63" s="111">
        <v>4727</v>
      </c>
      <c r="Y63" s="112">
        <f t="shared" ref="Y63" si="75">+W63+X63</f>
        <v>31220</v>
      </c>
      <c r="Z63" s="111">
        <v>3939</v>
      </c>
      <c r="AA63" s="112">
        <f t="shared" ref="AA63" si="76">+Y63+Z63</f>
        <v>35159</v>
      </c>
      <c r="AB63" s="111">
        <v>3330</v>
      </c>
      <c r="AC63" s="112">
        <f t="shared" ref="AC63" si="77">+AA63+AB63</f>
        <v>38489</v>
      </c>
      <c r="AD63" s="111">
        <v>4498</v>
      </c>
      <c r="AE63" s="112">
        <f t="shared" ref="AE63" si="78">+AC63+AD63</f>
        <v>42987</v>
      </c>
      <c r="AF63" s="111">
        <v>3385</v>
      </c>
      <c r="AG63" s="112">
        <f t="shared" ref="AG63" si="79">+AE63+AF63</f>
        <v>46372</v>
      </c>
      <c r="AH63" s="111">
        <v>3548</v>
      </c>
      <c r="AI63" s="112">
        <f>SUM(AG63:AH63)</f>
        <v>49920</v>
      </c>
      <c r="AJ63" s="69"/>
      <c r="AK63" s="167"/>
      <c r="AL63" s="327"/>
      <c r="AM63" s="158"/>
      <c r="AO63" s="115"/>
    </row>
    <row r="64" spans="1:41" ht="12.95" thickTop="1"/>
    <row r="65" spans="1:39" s="89" customFormat="1" ht="20.45" thickBot="1">
      <c r="A65" s="114" t="s">
        <v>128</v>
      </c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  <c r="AA65" s="90"/>
      <c r="AB65" s="90"/>
      <c r="AC65" s="90"/>
      <c r="AD65" s="90"/>
      <c r="AE65" s="90"/>
      <c r="AF65" s="90"/>
      <c r="AG65" s="90"/>
      <c r="AH65" s="90"/>
      <c r="AI65" s="90"/>
      <c r="AJ65" s="90"/>
      <c r="AK65" s="90"/>
      <c r="AL65" s="90"/>
      <c r="AM65" s="90"/>
    </row>
    <row r="66" spans="1:39" s="94" customFormat="1" ht="22.9" customHeight="1" thickTop="1">
      <c r="A66" s="311" t="s">
        <v>10</v>
      </c>
      <c r="B66" s="311" t="s">
        <v>11</v>
      </c>
      <c r="C66" s="311" t="s">
        <v>12</v>
      </c>
      <c r="D66" s="241" t="s">
        <v>13</v>
      </c>
      <c r="E66" s="241" t="s">
        <v>14</v>
      </c>
      <c r="F66" s="241" t="s">
        <v>15</v>
      </c>
      <c r="G66" s="241" t="s">
        <v>16</v>
      </c>
      <c r="H66" s="241" t="s">
        <v>17</v>
      </c>
      <c r="I66" s="241" t="s">
        <v>118</v>
      </c>
      <c r="J66" s="241" t="s">
        <v>19</v>
      </c>
      <c r="K66" s="241" t="s">
        <v>20</v>
      </c>
      <c r="L66" s="241" t="s">
        <v>21</v>
      </c>
      <c r="M66" s="241" t="s">
        <v>22</v>
      </c>
      <c r="N66" s="241" t="s">
        <v>23</v>
      </c>
      <c r="O66" s="311" t="s">
        <v>24</v>
      </c>
      <c r="P66" s="241" t="s">
        <v>25</v>
      </c>
      <c r="Q66" s="241" t="s">
        <v>26</v>
      </c>
      <c r="R66" s="241" t="s">
        <v>27</v>
      </c>
      <c r="S66" s="241" t="s">
        <v>28</v>
      </c>
      <c r="T66" s="241" t="s">
        <v>29</v>
      </c>
      <c r="U66" s="311" t="s">
        <v>30</v>
      </c>
      <c r="V66" s="311" t="s">
        <v>31</v>
      </c>
      <c r="W66" s="241" t="s">
        <v>32</v>
      </c>
      <c r="X66" s="339" t="s">
        <v>33</v>
      </c>
      <c r="Y66" s="241" t="s">
        <v>34</v>
      </c>
      <c r="Z66" s="241" t="s">
        <v>35</v>
      </c>
      <c r="AA66" s="241" t="s">
        <v>36</v>
      </c>
      <c r="AB66" s="241" t="s">
        <v>37</v>
      </c>
      <c r="AC66" s="241" t="s">
        <v>38</v>
      </c>
      <c r="AD66" s="241" t="s">
        <v>39</v>
      </c>
      <c r="AE66" s="241" t="s">
        <v>40</v>
      </c>
      <c r="AF66" s="311" t="s">
        <v>41</v>
      </c>
      <c r="AG66" s="241" t="s">
        <v>42</v>
      </c>
      <c r="AH66" s="241" t="s">
        <v>43</v>
      </c>
      <c r="AI66" s="241" t="s">
        <v>119</v>
      </c>
      <c r="AJ66" s="241" t="s">
        <v>45</v>
      </c>
      <c r="AK66" s="241" t="s">
        <v>46</v>
      </c>
      <c r="AL66" s="241" t="s">
        <v>47</v>
      </c>
      <c r="AM66" s="241" t="s">
        <v>48</v>
      </c>
    </row>
    <row r="67" spans="1:39" s="94" customFormat="1" ht="22.9" customHeight="1" thickBot="1">
      <c r="A67" s="314"/>
      <c r="B67" s="314"/>
      <c r="C67" s="314"/>
      <c r="D67" s="242"/>
      <c r="E67" s="242"/>
      <c r="F67" s="242"/>
      <c r="G67" s="242"/>
      <c r="H67" s="242"/>
      <c r="I67" s="242"/>
      <c r="J67" s="242"/>
      <c r="K67" s="242"/>
      <c r="L67" s="313"/>
      <c r="M67" s="242"/>
      <c r="N67" s="242"/>
      <c r="O67" s="314"/>
      <c r="P67" s="242"/>
      <c r="Q67" s="242"/>
      <c r="R67" s="242"/>
      <c r="S67" s="310"/>
      <c r="T67" s="242"/>
      <c r="U67" s="312"/>
      <c r="V67" s="312"/>
      <c r="W67" s="310"/>
      <c r="X67" s="340"/>
      <c r="Y67" s="242"/>
      <c r="Z67" s="310"/>
      <c r="AA67" s="310"/>
      <c r="AB67" s="310"/>
      <c r="AC67" s="310"/>
      <c r="AD67" s="310"/>
      <c r="AE67" s="310"/>
      <c r="AF67" s="312"/>
      <c r="AG67" s="310"/>
      <c r="AH67" s="242"/>
      <c r="AI67" s="242">
        <v>2018</v>
      </c>
      <c r="AJ67" s="242"/>
      <c r="AK67" s="328"/>
      <c r="AL67" s="242"/>
      <c r="AM67" s="242"/>
    </row>
    <row r="68" spans="1:39" s="94" customFormat="1" ht="22.9" customHeight="1" thickTop="1">
      <c r="A68" s="329" t="s">
        <v>120</v>
      </c>
      <c r="B68" s="332" t="s">
        <v>64</v>
      </c>
      <c r="C68" s="335" t="s">
        <v>121</v>
      </c>
      <c r="D68" s="338" t="s">
        <v>122</v>
      </c>
      <c r="E68" s="338" t="s">
        <v>123</v>
      </c>
      <c r="F68" s="318" t="s">
        <v>130</v>
      </c>
      <c r="G68" s="318" t="s">
        <v>131</v>
      </c>
      <c r="H68" s="338" t="s">
        <v>130</v>
      </c>
      <c r="I68" s="348">
        <f>+L69</f>
        <v>0.92307411996210187</v>
      </c>
      <c r="J68" s="351">
        <v>0.1</v>
      </c>
      <c r="K68" s="315" t="s">
        <v>124</v>
      </c>
      <c r="L68" s="95" t="s">
        <v>57</v>
      </c>
      <c r="M68" s="96" t="s">
        <v>57</v>
      </c>
      <c r="N68" s="96" t="s">
        <v>57</v>
      </c>
      <c r="O68" s="97" t="s">
        <v>57</v>
      </c>
      <c r="P68" s="96" t="s">
        <v>57</v>
      </c>
      <c r="Q68" s="98" t="s">
        <v>57</v>
      </c>
      <c r="R68" s="96" t="s">
        <v>57</v>
      </c>
      <c r="S68" s="98" t="s">
        <v>57</v>
      </c>
      <c r="T68" s="96" t="s">
        <v>57</v>
      </c>
      <c r="U68" s="98" t="s">
        <v>57</v>
      </c>
      <c r="V68" s="96" t="s">
        <v>57</v>
      </c>
      <c r="W68" s="98" t="s">
        <v>57</v>
      </c>
      <c r="X68" s="96" t="s">
        <v>57</v>
      </c>
      <c r="Y68" s="98" t="s">
        <v>57</v>
      </c>
      <c r="Z68" s="96" t="s">
        <v>57</v>
      </c>
      <c r="AA68" s="98" t="s">
        <v>57</v>
      </c>
      <c r="AB68" s="96" t="s">
        <v>57</v>
      </c>
      <c r="AC68" s="98" t="s">
        <v>57</v>
      </c>
      <c r="AD68" s="96" t="s">
        <v>57</v>
      </c>
      <c r="AE68" s="98" t="s">
        <v>57</v>
      </c>
      <c r="AF68" s="96" t="s">
        <v>57</v>
      </c>
      <c r="AG68" s="98" t="s">
        <v>57</v>
      </c>
      <c r="AH68" s="96" t="s">
        <v>57</v>
      </c>
      <c r="AI68" s="98" t="s">
        <v>57</v>
      </c>
      <c r="AJ68" s="67"/>
      <c r="AK68" s="165" t="s">
        <v>72</v>
      </c>
      <c r="AL68" s="325"/>
      <c r="AM68" s="156" t="s">
        <v>125</v>
      </c>
    </row>
    <row r="69" spans="1:39" s="94" customFormat="1" ht="22.9" customHeight="1">
      <c r="A69" s="330"/>
      <c r="B69" s="333"/>
      <c r="C69" s="336"/>
      <c r="D69" s="465"/>
      <c r="E69" s="341"/>
      <c r="F69" s="319"/>
      <c r="G69" s="319"/>
      <c r="H69" s="341"/>
      <c r="I69" s="349"/>
      <c r="J69" s="352"/>
      <c r="K69" s="316"/>
      <c r="L69" s="41">
        <f>IF(L71&lt;&gt;0,+L71/L73,0%)</f>
        <v>0.92307411996210187</v>
      </c>
      <c r="M69" s="58">
        <f>IF(M71&lt;&gt;0,+M71/M73,0%)</f>
        <v>0.93666369313113296</v>
      </c>
      <c r="N69" s="61">
        <f>IF(N71&lt;&gt;0,+N71/N73,0%)</f>
        <v>0.94438559322033899</v>
      </c>
      <c r="O69" s="57">
        <f t="shared" ref="O69" si="80">IF(O71&lt;&gt;0,+O71/O73,0%)</f>
        <v>0.94019370460048424</v>
      </c>
      <c r="P69" s="61">
        <f>IF(P71&lt;&gt;0,ROUND(+P71/P73,4),0%)</f>
        <v>0.86240000000000006</v>
      </c>
      <c r="Q69" s="62">
        <f t="shared" ref="Q69" si="81">IF(Q71&lt;&gt;0,+Q71/Q73,0%)</f>
        <v>0.91074653822998197</v>
      </c>
      <c r="R69" s="63">
        <f>IF(R71&lt;&gt;0,ROUND(+R71/R73,4),0%)</f>
        <v>0.95330000000000004</v>
      </c>
      <c r="S69" s="62">
        <f t="shared" ref="S69" si="82">IF(S71&lt;&gt;0,+S71/S73,0%)</f>
        <v>0.92349841938883037</v>
      </c>
      <c r="T69" s="63">
        <f>IF(T71&lt;&gt;0,ROUND(+T71/T73,4),0%)</f>
        <v>0.96919999999999995</v>
      </c>
      <c r="U69" s="62">
        <f t="shared" ref="U69" si="83">IF(U71&lt;&gt;0,+U71/U73,0%)</f>
        <v>0.93390851375549411</v>
      </c>
      <c r="V69" s="63">
        <f>IF(V71&lt;&gt;0,ROUND(+V71/V73,4),0%)</f>
        <v>0.96609999999999996</v>
      </c>
      <c r="W69" s="62">
        <f t="shared" ref="W69" si="84">IF(W71&lt;&gt;0,+W71/W73,0%)</f>
        <v>0.93886402753872633</v>
      </c>
      <c r="X69" s="63">
        <f>IF(X71&lt;&gt;0,ROUND(+X71/X73,4),0%)</f>
        <v>0.89629999999999999</v>
      </c>
      <c r="Y69" s="62">
        <f t="shared" ref="Y69" si="85">IF(Y71&lt;&gt;0,+Y71/Y73,0%)</f>
        <v>0.93249414519906326</v>
      </c>
      <c r="Z69" s="64">
        <f>IF(Z71&lt;&gt;0,ROUND(+Z71/Z73,4),0%)</f>
        <v>0.93899999999999995</v>
      </c>
      <c r="AA69" s="62">
        <f t="shared" ref="AA69" si="86">IF(AA71&lt;&gt;0,+AA71/AA73,0%)</f>
        <v>0.93324010772736687</v>
      </c>
      <c r="AB69" s="63">
        <f>IF(AB71&lt;&gt;0,ROUND(+AB71/AB73,4),0%)</f>
        <v>0.91180000000000005</v>
      </c>
      <c r="AC69" s="62">
        <f t="shared" ref="AC69" si="87">IF(AC71&lt;&gt;0,+AC71/AC73,0%)</f>
        <v>0.93121891714366145</v>
      </c>
      <c r="AD69" s="63">
        <f>IF(AD71&lt;&gt;0,ROUND(+AD71/AD73,4),0%)</f>
        <v>0.82179999999999997</v>
      </c>
      <c r="AE69" s="62">
        <f t="shared" ref="AE69" si="88">IF(AE71&lt;&gt;0,+AE71/AE73,0%)</f>
        <v>0.9197212075408322</v>
      </c>
      <c r="AF69" s="63">
        <f>IF(AF71&lt;&gt;0,ROUND(+AF71/AF73,4),0%)</f>
        <v>0.93489999999999995</v>
      </c>
      <c r="AG69" s="62">
        <f t="shared" ref="AG69" si="89">IF(AG71&lt;&gt;0,+AG71/AG73,0%)</f>
        <v>0.9208605156881019</v>
      </c>
      <c r="AH69" s="63">
        <f>IF(AH71&lt;&gt;0,ROUND(+AH71/AH73,4),0%)</f>
        <v>0.95679999999999998</v>
      </c>
      <c r="AI69" s="62">
        <f>IF(AI71&lt;&gt;0,+AI71/AI73,0%)</f>
        <v>0.92307411996210187</v>
      </c>
      <c r="AJ69" s="68"/>
      <c r="AK69" s="166"/>
      <c r="AL69" s="326"/>
      <c r="AM69" s="157"/>
    </row>
    <row r="70" spans="1:39" s="94" customFormat="1" ht="22.9" customHeight="1" thickBot="1">
      <c r="A70" s="330"/>
      <c r="B70" s="333"/>
      <c r="C70" s="336"/>
      <c r="D70" s="465"/>
      <c r="E70" s="341"/>
      <c r="F70" s="319"/>
      <c r="G70" s="319"/>
      <c r="H70" s="341"/>
      <c r="I70" s="349"/>
      <c r="J70" s="352"/>
      <c r="K70" s="317"/>
      <c r="L70" s="99"/>
      <c r="M70" s="101" t="s">
        <v>60</v>
      </c>
      <c r="N70" s="101" t="s">
        <v>60</v>
      </c>
      <c r="O70" s="102" t="s">
        <v>60</v>
      </c>
      <c r="P70" s="101" t="s">
        <v>60</v>
      </c>
      <c r="Q70" s="103" t="s">
        <v>60</v>
      </c>
      <c r="R70" s="101" t="s">
        <v>60</v>
      </c>
      <c r="S70" s="103" t="s">
        <v>60</v>
      </c>
      <c r="T70" s="101" t="s">
        <v>60</v>
      </c>
      <c r="U70" s="103" t="s">
        <v>60</v>
      </c>
      <c r="V70" s="101" t="s">
        <v>60</v>
      </c>
      <c r="W70" s="103" t="s">
        <v>60</v>
      </c>
      <c r="X70" s="101" t="s">
        <v>60</v>
      </c>
      <c r="Y70" s="103" t="s">
        <v>60</v>
      </c>
      <c r="Z70" s="101" t="s">
        <v>60</v>
      </c>
      <c r="AA70" s="103" t="s">
        <v>60</v>
      </c>
      <c r="AB70" s="101" t="s">
        <v>60</v>
      </c>
      <c r="AC70" s="103" t="s">
        <v>60</v>
      </c>
      <c r="AD70" s="101" t="s">
        <v>60</v>
      </c>
      <c r="AE70" s="103" t="s">
        <v>60</v>
      </c>
      <c r="AF70" s="101" t="s">
        <v>60</v>
      </c>
      <c r="AG70" s="103" t="s">
        <v>60</v>
      </c>
      <c r="AH70" s="101" t="s">
        <v>60</v>
      </c>
      <c r="AI70" s="103" t="s">
        <v>60</v>
      </c>
      <c r="AJ70" s="68"/>
      <c r="AK70" s="166"/>
      <c r="AL70" s="326"/>
      <c r="AM70" s="157"/>
    </row>
    <row r="71" spans="1:39" s="94" customFormat="1" ht="22.9" customHeight="1" thickTop="1">
      <c r="A71" s="330"/>
      <c r="B71" s="333"/>
      <c r="C71" s="336"/>
      <c r="D71" s="465"/>
      <c r="E71" s="341"/>
      <c r="F71" s="319"/>
      <c r="G71" s="319"/>
      <c r="H71" s="341"/>
      <c r="I71" s="349"/>
      <c r="J71" s="352"/>
      <c r="K71" s="316" t="s">
        <v>74</v>
      </c>
      <c r="L71" s="143">
        <v>25331</v>
      </c>
      <c r="M71" s="105">
        <v>2100</v>
      </c>
      <c r="N71" s="105">
        <v>1783</v>
      </c>
      <c r="O71" s="106">
        <f>+M71+N71</f>
        <v>3883</v>
      </c>
      <c r="P71" s="105">
        <v>2168</v>
      </c>
      <c r="Q71" s="106">
        <f>+O71+P71</f>
        <v>6051</v>
      </c>
      <c r="R71" s="105">
        <v>2713</v>
      </c>
      <c r="S71" s="106">
        <f>+Q71+R71</f>
        <v>8764</v>
      </c>
      <c r="T71" s="105">
        <v>2710</v>
      </c>
      <c r="U71" s="106">
        <f>+S71+T71</f>
        <v>11474</v>
      </c>
      <c r="V71" s="105">
        <v>2163</v>
      </c>
      <c r="W71" s="106">
        <f>+U71+V71</f>
        <v>13637</v>
      </c>
      <c r="X71" s="105">
        <v>2290</v>
      </c>
      <c r="Y71" s="106">
        <f>+W71+X71</f>
        <v>15927</v>
      </c>
      <c r="Z71" s="105">
        <v>2092</v>
      </c>
      <c r="AA71" s="106">
        <f>+Y71+Z71</f>
        <v>18019</v>
      </c>
      <c r="AB71" s="105">
        <v>1829</v>
      </c>
      <c r="AC71" s="106">
        <f>+AA71+AB71</f>
        <v>19848</v>
      </c>
      <c r="AD71" s="105">
        <v>2057</v>
      </c>
      <c r="AE71" s="106">
        <f>+AC71+AD71</f>
        <v>21905</v>
      </c>
      <c r="AF71" s="105">
        <v>1809</v>
      </c>
      <c r="AG71" s="106">
        <f>+AE71+AF71</f>
        <v>23714</v>
      </c>
      <c r="AH71" s="105">
        <v>1617</v>
      </c>
      <c r="AI71" s="106">
        <f>SUM(AG71:AH71)</f>
        <v>25331</v>
      </c>
      <c r="AJ71" s="29">
        <f>+AI69/L69</f>
        <v>1</v>
      </c>
      <c r="AK71" s="166"/>
      <c r="AL71" s="326"/>
      <c r="AM71" s="157"/>
    </row>
    <row r="72" spans="1:39" s="94" customFormat="1" ht="22.9" customHeight="1">
      <c r="A72" s="330"/>
      <c r="B72" s="333"/>
      <c r="C72" s="336"/>
      <c r="D72" s="465"/>
      <c r="E72" s="341"/>
      <c r="F72" s="319"/>
      <c r="G72" s="319"/>
      <c r="H72" s="341"/>
      <c r="I72" s="349"/>
      <c r="J72" s="352"/>
      <c r="K72" s="347"/>
      <c r="L72" s="99" t="s">
        <v>126</v>
      </c>
      <c r="M72" s="107" t="s">
        <v>62</v>
      </c>
      <c r="N72" s="107" t="s">
        <v>62</v>
      </c>
      <c r="O72" s="108" t="s">
        <v>62</v>
      </c>
      <c r="P72" s="107" t="s">
        <v>62</v>
      </c>
      <c r="Q72" s="109" t="s">
        <v>62</v>
      </c>
      <c r="R72" s="107"/>
      <c r="S72" s="109" t="s">
        <v>62</v>
      </c>
      <c r="T72" s="107" t="s">
        <v>62</v>
      </c>
      <c r="U72" s="109" t="s">
        <v>62</v>
      </c>
      <c r="V72" s="107" t="s">
        <v>62</v>
      </c>
      <c r="W72" s="109" t="s">
        <v>62</v>
      </c>
      <c r="X72" s="107" t="s">
        <v>62</v>
      </c>
      <c r="Y72" s="109" t="s">
        <v>62</v>
      </c>
      <c r="Z72" s="107" t="s">
        <v>62</v>
      </c>
      <c r="AA72" s="109" t="s">
        <v>62</v>
      </c>
      <c r="AB72" s="107" t="s">
        <v>62</v>
      </c>
      <c r="AC72" s="109" t="s">
        <v>62</v>
      </c>
      <c r="AD72" s="107" t="s">
        <v>62</v>
      </c>
      <c r="AE72" s="109" t="s">
        <v>62</v>
      </c>
      <c r="AF72" s="107" t="s">
        <v>62</v>
      </c>
      <c r="AG72" s="109" t="s">
        <v>62</v>
      </c>
      <c r="AH72" s="107" t="s">
        <v>62</v>
      </c>
      <c r="AI72" s="108" t="s">
        <v>62</v>
      </c>
      <c r="AJ72" s="68"/>
      <c r="AK72" s="166"/>
      <c r="AL72" s="326"/>
      <c r="AM72" s="157"/>
    </row>
    <row r="73" spans="1:39" s="94" customFormat="1" ht="22.9" customHeight="1" thickBot="1">
      <c r="A73" s="331"/>
      <c r="B73" s="334"/>
      <c r="C73" s="337"/>
      <c r="D73" s="466"/>
      <c r="E73" s="342"/>
      <c r="F73" s="320"/>
      <c r="G73" s="320"/>
      <c r="H73" s="342"/>
      <c r="I73" s="350"/>
      <c r="J73" s="353"/>
      <c r="K73" s="317"/>
      <c r="L73" s="144">
        <v>27442</v>
      </c>
      <c r="M73" s="111">
        <v>2242</v>
      </c>
      <c r="N73" s="111">
        <v>1888</v>
      </c>
      <c r="O73" s="112">
        <f t="shared" ref="O73" si="90">+M73+N73</f>
        <v>4130</v>
      </c>
      <c r="P73" s="111">
        <v>2514</v>
      </c>
      <c r="Q73" s="112">
        <f t="shared" ref="Q73" si="91">+O73+P73</f>
        <v>6644</v>
      </c>
      <c r="R73" s="111">
        <v>2846</v>
      </c>
      <c r="S73" s="112">
        <f t="shared" ref="S73" si="92">+Q73+R73</f>
        <v>9490</v>
      </c>
      <c r="T73" s="111">
        <v>2796</v>
      </c>
      <c r="U73" s="112">
        <f t="shared" ref="U73" si="93">+S73+T73</f>
        <v>12286</v>
      </c>
      <c r="V73" s="111">
        <v>2239</v>
      </c>
      <c r="W73" s="112">
        <f t="shared" ref="W73" si="94">+U73+V73</f>
        <v>14525</v>
      </c>
      <c r="X73" s="111">
        <v>2555</v>
      </c>
      <c r="Y73" s="112">
        <f t="shared" ref="Y73" si="95">+W73+X73</f>
        <v>17080</v>
      </c>
      <c r="Z73" s="111">
        <v>2228</v>
      </c>
      <c r="AA73" s="112">
        <f t="shared" ref="AA73" si="96">+Y73+Z73</f>
        <v>19308</v>
      </c>
      <c r="AB73" s="111">
        <v>2006</v>
      </c>
      <c r="AC73" s="112">
        <f t="shared" ref="AC73" si="97">+AA73+AB73</f>
        <v>21314</v>
      </c>
      <c r="AD73" s="111">
        <v>2503</v>
      </c>
      <c r="AE73" s="112">
        <f t="shared" ref="AE73" si="98">+AC73+AD73</f>
        <v>23817</v>
      </c>
      <c r="AF73" s="111">
        <v>1935</v>
      </c>
      <c r="AG73" s="112">
        <f t="shared" ref="AG73" si="99">+AE73+AF73</f>
        <v>25752</v>
      </c>
      <c r="AH73" s="111">
        <v>1690</v>
      </c>
      <c r="AI73" s="112">
        <f>SUM(AG73:AH73)</f>
        <v>27442</v>
      </c>
      <c r="AJ73" s="69"/>
      <c r="AK73" s="167"/>
      <c r="AL73" s="327"/>
      <c r="AM73" s="158"/>
    </row>
    <row r="74" spans="1:39" ht="12.95" thickTop="1"/>
    <row r="77" spans="1:39" s="116" customFormat="1" ht="15.6">
      <c r="C77" s="381" t="s">
        <v>132</v>
      </c>
      <c r="D77" s="381"/>
      <c r="E77" s="381"/>
      <c r="F77" s="381"/>
      <c r="G77" s="381"/>
      <c r="H77" s="381"/>
      <c r="I77" s="381"/>
      <c r="J77" s="381"/>
      <c r="K77" s="381"/>
      <c r="L77" s="118"/>
      <c r="M77" s="82"/>
      <c r="N77" s="118"/>
      <c r="O77" s="82"/>
      <c r="P77" s="118"/>
      <c r="Q77" s="82"/>
      <c r="R77" s="118"/>
      <c r="S77" s="82"/>
      <c r="T77" s="118"/>
      <c r="U77" s="82"/>
      <c r="V77" s="118"/>
      <c r="W77" s="82"/>
      <c r="X77" s="118"/>
      <c r="Y77" s="82"/>
      <c r="Z77" s="118"/>
      <c r="AA77" s="82"/>
      <c r="AB77" s="118"/>
      <c r="AC77" s="82"/>
      <c r="AD77" s="118"/>
      <c r="AE77" s="82"/>
      <c r="AF77" s="118"/>
      <c r="AG77" s="82"/>
      <c r="AH77" s="118"/>
      <c r="AI77" s="82"/>
      <c r="AJ77" s="119"/>
    </row>
    <row r="78" spans="1:39" s="116" customFormat="1" ht="13.5" thickBot="1">
      <c r="M78" s="90"/>
      <c r="N78" s="90"/>
      <c r="O78" s="90"/>
      <c r="P78" s="90"/>
      <c r="Q78" s="90"/>
      <c r="R78" s="90"/>
      <c r="S78" s="90"/>
      <c r="T78" s="90"/>
      <c r="U78" s="90"/>
      <c r="V78" s="90"/>
      <c r="W78" s="90"/>
      <c r="X78" s="90"/>
      <c r="Y78" s="90"/>
      <c r="Z78" s="90"/>
      <c r="AA78" s="90"/>
      <c r="AB78" s="90"/>
      <c r="AC78" s="90"/>
      <c r="AD78" s="90"/>
      <c r="AE78" s="90"/>
      <c r="AF78" s="90"/>
      <c r="AG78" s="90"/>
      <c r="AH78" s="90"/>
    </row>
    <row r="79" spans="1:39" s="94" customFormat="1" ht="22.9" customHeight="1" thickTop="1">
      <c r="A79" s="311" t="s">
        <v>10</v>
      </c>
      <c r="B79" s="311" t="s">
        <v>11</v>
      </c>
      <c r="C79" s="311" t="s">
        <v>12</v>
      </c>
      <c r="D79" s="241" t="s">
        <v>13</v>
      </c>
      <c r="E79" s="241" t="s">
        <v>14</v>
      </c>
      <c r="F79" s="241" t="s">
        <v>15</v>
      </c>
      <c r="G79" s="241" t="s">
        <v>16</v>
      </c>
      <c r="H79" s="241" t="s">
        <v>17</v>
      </c>
      <c r="I79" s="241" t="s">
        <v>118</v>
      </c>
      <c r="J79" s="241" t="s">
        <v>19</v>
      </c>
      <c r="K79" s="241" t="s">
        <v>20</v>
      </c>
      <c r="L79" s="241" t="s">
        <v>21</v>
      </c>
      <c r="M79" s="241" t="s">
        <v>22</v>
      </c>
      <c r="N79" s="241" t="s">
        <v>23</v>
      </c>
      <c r="O79" s="311" t="s">
        <v>24</v>
      </c>
      <c r="P79" s="241" t="s">
        <v>25</v>
      </c>
      <c r="Q79" s="241" t="s">
        <v>26</v>
      </c>
      <c r="R79" s="241" t="s">
        <v>27</v>
      </c>
      <c r="S79" s="241" t="s">
        <v>28</v>
      </c>
      <c r="T79" s="241" t="s">
        <v>29</v>
      </c>
      <c r="U79" s="311" t="s">
        <v>30</v>
      </c>
      <c r="V79" s="311" t="s">
        <v>31</v>
      </c>
      <c r="W79" s="241" t="s">
        <v>32</v>
      </c>
      <c r="X79" s="339" t="s">
        <v>33</v>
      </c>
      <c r="Y79" s="241" t="s">
        <v>34</v>
      </c>
      <c r="Z79" s="241" t="s">
        <v>35</v>
      </c>
      <c r="AA79" s="241" t="s">
        <v>36</v>
      </c>
      <c r="AB79" s="241" t="s">
        <v>37</v>
      </c>
      <c r="AC79" s="241" t="s">
        <v>38</v>
      </c>
      <c r="AD79" s="241" t="s">
        <v>39</v>
      </c>
      <c r="AE79" s="241" t="s">
        <v>40</v>
      </c>
      <c r="AF79" s="311" t="s">
        <v>41</v>
      </c>
      <c r="AG79" s="241" t="s">
        <v>42</v>
      </c>
      <c r="AH79" s="241" t="s">
        <v>43</v>
      </c>
      <c r="AI79" s="241" t="s">
        <v>119</v>
      </c>
      <c r="AJ79" s="241" t="s">
        <v>45</v>
      </c>
      <c r="AK79" s="241" t="s">
        <v>46</v>
      </c>
      <c r="AL79" s="241" t="s">
        <v>47</v>
      </c>
      <c r="AM79" s="241" t="s">
        <v>48</v>
      </c>
    </row>
    <row r="80" spans="1:39" s="94" customFormat="1" ht="22.9" customHeight="1" thickBot="1">
      <c r="A80" s="314"/>
      <c r="B80" s="314"/>
      <c r="C80" s="314"/>
      <c r="D80" s="242"/>
      <c r="E80" s="242"/>
      <c r="F80" s="242"/>
      <c r="G80" s="242"/>
      <c r="H80" s="242"/>
      <c r="I80" s="242"/>
      <c r="J80" s="242"/>
      <c r="K80" s="242"/>
      <c r="L80" s="313"/>
      <c r="M80" s="242"/>
      <c r="N80" s="242"/>
      <c r="O80" s="314"/>
      <c r="P80" s="242"/>
      <c r="Q80" s="242"/>
      <c r="R80" s="242"/>
      <c r="S80" s="310"/>
      <c r="T80" s="242"/>
      <c r="U80" s="312"/>
      <c r="V80" s="312"/>
      <c r="W80" s="310"/>
      <c r="X80" s="340"/>
      <c r="Y80" s="242"/>
      <c r="Z80" s="310"/>
      <c r="AA80" s="310"/>
      <c r="AB80" s="310"/>
      <c r="AC80" s="310"/>
      <c r="AD80" s="310"/>
      <c r="AE80" s="310"/>
      <c r="AF80" s="312"/>
      <c r="AG80" s="310"/>
      <c r="AH80" s="242"/>
      <c r="AI80" s="242">
        <v>2018</v>
      </c>
      <c r="AJ80" s="242"/>
      <c r="AK80" s="328"/>
      <c r="AL80" s="242"/>
      <c r="AM80" s="242"/>
    </row>
    <row r="81" spans="1:41" s="120" customFormat="1" ht="22.9" customHeight="1" thickTop="1">
      <c r="A81" s="357" t="s">
        <v>133</v>
      </c>
      <c r="B81" s="360" t="s">
        <v>64</v>
      </c>
      <c r="C81" s="404" t="s">
        <v>134</v>
      </c>
      <c r="D81" s="407" t="s">
        <v>122</v>
      </c>
      <c r="E81" s="407" t="s">
        <v>135</v>
      </c>
      <c r="F81" s="344" t="s">
        <v>136</v>
      </c>
      <c r="G81" s="344" t="s">
        <v>137</v>
      </c>
      <c r="H81" s="344" t="s">
        <v>136</v>
      </c>
      <c r="I81" s="368">
        <f>+L82</f>
        <v>0.97774995183972258</v>
      </c>
      <c r="J81" s="371">
        <v>0.1</v>
      </c>
      <c r="K81" s="374" t="s">
        <v>124</v>
      </c>
      <c r="L81" s="96" t="s">
        <v>57</v>
      </c>
      <c r="M81" s="96" t="s">
        <v>57</v>
      </c>
      <c r="N81" s="96" t="s">
        <v>57</v>
      </c>
      <c r="O81" s="97" t="s">
        <v>57</v>
      </c>
      <c r="P81" s="96" t="s">
        <v>57</v>
      </c>
      <c r="Q81" s="98" t="s">
        <v>57</v>
      </c>
      <c r="R81" s="96" t="s">
        <v>57</v>
      </c>
      <c r="S81" s="98" t="s">
        <v>57</v>
      </c>
      <c r="T81" s="96" t="s">
        <v>57</v>
      </c>
      <c r="U81" s="98" t="s">
        <v>57</v>
      </c>
      <c r="V81" s="96" t="s">
        <v>57</v>
      </c>
      <c r="W81" s="98" t="s">
        <v>57</v>
      </c>
      <c r="X81" s="96" t="s">
        <v>57</v>
      </c>
      <c r="Y81" s="98" t="s">
        <v>57</v>
      </c>
      <c r="Z81" s="96" t="s">
        <v>57</v>
      </c>
      <c r="AA81" s="98" t="s">
        <v>57</v>
      </c>
      <c r="AB81" s="96" t="s">
        <v>57</v>
      </c>
      <c r="AC81" s="98" t="s">
        <v>57</v>
      </c>
      <c r="AD81" s="96" t="s">
        <v>57</v>
      </c>
      <c r="AE81" s="98" t="s">
        <v>57</v>
      </c>
      <c r="AF81" s="96" t="s">
        <v>57</v>
      </c>
      <c r="AG81" s="98" t="s">
        <v>57</v>
      </c>
      <c r="AH81" s="96" t="s">
        <v>57</v>
      </c>
      <c r="AI81" s="98" t="s">
        <v>57</v>
      </c>
      <c r="AJ81" s="70"/>
      <c r="AK81" s="165" t="s">
        <v>72</v>
      </c>
      <c r="AL81" s="325"/>
      <c r="AM81" s="156" t="s">
        <v>125</v>
      </c>
      <c r="AO81" s="94"/>
    </row>
    <row r="82" spans="1:41" s="120" customFormat="1" ht="22.9" customHeight="1">
      <c r="A82" s="358"/>
      <c r="B82" s="361"/>
      <c r="C82" s="405"/>
      <c r="D82" s="408"/>
      <c r="E82" s="408"/>
      <c r="F82" s="345"/>
      <c r="G82" s="345"/>
      <c r="H82" s="345"/>
      <c r="I82" s="369"/>
      <c r="J82" s="372"/>
      <c r="K82" s="354"/>
      <c r="L82" s="41">
        <f>IF(L84&lt;&gt;0,+L84/L86,0%)</f>
        <v>0.97774995183972258</v>
      </c>
      <c r="M82" s="58">
        <f>IF(M84&lt;&gt;0,+M84/M86,0%)</f>
        <v>0.98677546426561624</v>
      </c>
      <c r="N82" s="61">
        <f>IF(N84&lt;&gt;0,+N84/N86,0%)</f>
        <v>0.98107736914390353</v>
      </c>
      <c r="O82" s="57">
        <f t="shared" ref="O82" si="100">IF(O84&lt;&gt;0,+O84/O86,0%)</f>
        <v>0.98404216382402454</v>
      </c>
      <c r="P82" s="61">
        <f>IF(P84&lt;&gt;0,ROUND(+P84/P86,4),0%)</f>
        <v>0.98850000000000005</v>
      </c>
      <c r="Q82" s="62">
        <f t="shared" ref="Q82" si="101">IF(Q84&lt;&gt;0,+Q84/Q86,0%)</f>
        <v>0.98562744451251116</v>
      </c>
      <c r="R82" s="63">
        <f>IF(R84&lt;&gt;0,ROUND(+R84/R86,4),0%)</f>
        <v>0.97719999999999996</v>
      </c>
      <c r="S82" s="62">
        <f t="shared" ref="S82" si="102">IF(S84&lt;&gt;0,+S84/S86,0%)</f>
        <v>0.98354959937601927</v>
      </c>
      <c r="T82" s="63">
        <f>IF(T84&lt;&gt;0,ROUND(+T84/T86,4),0%)</f>
        <v>0.98929999999999996</v>
      </c>
      <c r="U82" s="62">
        <f t="shared" ref="U82" si="103">IF(U84&lt;&gt;0,+U84/U86,0%)</f>
        <v>0.98477058067400658</v>
      </c>
      <c r="V82" s="63">
        <f>IF(V84&lt;&gt;0,ROUND(+V84/V86,4),0%)</f>
        <v>0.97929999999999995</v>
      </c>
      <c r="W82" s="62">
        <f t="shared" ref="W82" si="104">IF(W84&lt;&gt;0,+W84/W86,0%)</f>
        <v>0.9840935787000783</v>
      </c>
      <c r="X82" s="63">
        <f>IF(X84&lt;&gt;0,ROUND(+X84/X86,4),0%)</f>
        <v>0.95030000000000003</v>
      </c>
      <c r="Y82" s="62">
        <f t="shared" ref="Y82" si="105">IF(Y84&lt;&gt;0,+Y84/Y86,0%)</f>
        <v>0.97793028932730397</v>
      </c>
      <c r="Z82" s="64">
        <f>IF(Z84&lt;&gt;0,ROUND(+Z84/Z86,4),0%)</f>
        <v>0.98029999999999995</v>
      </c>
      <c r="AA82" s="62">
        <f t="shared" ref="AA82" si="106">IF(AA84&lt;&gt;0,+AA84/AA86,0%)</f>
        <v>0.97822198842714359</v>
      </c>
      <c r="AB82" s="63">
        <f>IF(AB84&lt;&gt;0,ROUND(+AB84/AB86,4),0%)</f>
        <v>0.97899999999999998</v>
      </c>
      <c r="AC82" s="62">
        <f t="shared" ref="AC82" si="107">IF(AC84&lt;&gt;0,+AC84/AC86,0%)</f>
        <v>0.97829880389606272</v>
      </c>
      <c r="AD82" s="63">
        <f>IF(AD84&lt;&gt;0,ROUND(+AD84/AD86,4),0%)</f>
        <v>0.97230000000000005</v>
      </c>
      <c r="AE82" s="62">
        <f t="shared" ref="AE82" si="108">IF(AE84&lt;&gt;0,+AE84/AE86,0%)</f>
        <v>0.97758085707097531</v>
      </c>
      <c r="AF82" s="63">
        <f>IF(AF84&lt;&gt;0,ROUND(+AF84/AF86,4),0%)</f>
        <v>0.9738</v>
      </c>
      <c r="AG82" s="62">
        <f t="shared" ref="AG82" si="109">IF(AG84&lt;&gt;0,+AG84/AG86,0%)</f>
        <v>0.97728913177974841</v>
      </c>
      <c r="AH82" s="63">
        <f>IF(AH84&lt;&gt;0,ROUND(+AH84/AH86,4),0%)</f>
        <v>0.98429999999999995</v>
      </c>
      <c r="AI82" s="62">
        <f>IF(AI84&lt;&gt;0,+AI84/AI86,0%)</f>
        <v>0.97774995183972258</v>
      </c>
      <c r="AJ82" s="71"/>
      <c r="AK82" s="166"/>
      <c r="AL82" s="326"/>
      <c r="AM82" s="157"/>
      <c r="AO82" s="94"/>
    </row>
    <row r="83" spans="1:41" s="120" customFormat="1" ht="22.9" customHeight="1" thickBot="1">
      <c r="A83" s="358"/>
      <c r="B83" s="361"/>
      <c r="C83" s="405"/>
      <c r="D83" s="408"/>
      <c r="E83" s="408"/>
      <c r="F83" s="345"/>
      <c r="G83" s="345"/>
      <c r="H83" s="345"/>
      <c r="I83" s="369"/>
      <c r="J83" s="372"/>
      <c r="K83" s="376"/>
      <c r="L83" s="101" t="s">
        <v>60</v>
      </c>
      <c r="M83" s="101" t="s">
        <v>60</v>
      </c>
      <c r="N83" s="101" t="s">
        <v>60</v>
      </c>
      <c r="O83" s="102" t="s">
        <v>60</v>
      </c>
      <c r="P83" s="101" t="s">
        <v>60</v>
      </c>
      <c r="Q83" s="103" t="s">
        <v>60</v>
      </c>
      <c r="R83" s="101" t="s">
        <v>60</v>
      </c>
      <c r="S83" s="103" t="s">
        <v>60</v>
      </c>
      <c r="T83" s="101" t="s">
        <v>60</v>
      </c>
      <c r="U83" s="103" t="s">
        <v>60</v>
      </c>
      <c r="V83" s="101" t="s">
        <v>60</v>
      </c>
      <c r="W83" s="103" t="s">
        <v>60</v>
      </c>
      <c r="X83" s="101" t="s">
        <v>60</v>
      </c>
      <c r="Y83" s="103" t="s">
        <v>60</v>
      </c>
      <c r="Z83" s="101" t="s">
        <v>60</v>
      </c>
      <c r="AA83" s="103" t="s">
        <v>60</v>
      </c>
      <c r="AB83" s="101" t="s">
        <v>60</v>
      </c>
      <c r="AC83" s="103" t="s">
        <v>60</v>
      </c>
      <c r="AD83" s="101" t="s">
        <v>60</v>
      </c>
      <c r="AE83" s="103" t="s">
        <v>60</v>
      </c>
      <c r="AF83" s="101" t="s">
        <v>60</v>
      </c>
      <c r="AG83" s="103" t="s">
        <v>60</v>
      </c>
      <c r="AH83" s="101" t="s">
        <v>60</v>
      </c>
      <c r="AI83" s="103" t="s">
        <v>60</v>
      </c>
      <c r="AJ83" s="71"/>
      <c r="AK83" s="166"/>
      <c r="AL83" s="326"/>
      <c r="AM83" s="157"/>
      <c r="AO83" s="94"/>
    </row>
    <row r="84" spans="1:41" s="120" customFormat="1" ht="22.9" customHeight="1" thickTop="1">
      <c r="A84" s="358"/>
      <c r="B84" s="361"/>
      <c r="C84" s="405"/>
      <c r="D84" s="408"/>
      <c r="E84" s="408"/>
      <c r="F84" s="345"/>
      <c r="G84" s="345"/>
      <c r="H84" s="345"/>
      <c r="I84" s="369"/>
      <c r="J84" s="372"/>
      <c r="K84" s="354" t="s">
        <v>74</v>
      </c>
      <c r="L84" s="104">
        <v>81208</v>
      </c>
      <c r="M84" s="105">
        <v>7014</v>
      </c>
      <c r="N84" s="105">
        <v>6429</v>
      </c>
      <c r="O84" s="106">
        <f>+M84+N84</f>
        <v>13443</v>
      </c>
      <c r="P84" s="105">
        <v>7473</v>
      </c>
      <c r="Q84" s="106">
        <f>+O84+P84</f>
        <v>20916</v>
      </c>
      <c r="R84" s="105">
        <v>6826</v>
      </c>
      <c r="S84" s="106">
        <f>+Q84+R84</f>
        <v>27742</v>
      </c>
      <c r="T84" s="105">
        <v>7499</v>
      </c>
      <c r="U84" s="106">
        <f>+S84+T84</f>
        <v>35241</v>
      </c>
      <c r="V84" s="105">
        <v>4973</v>
      </c>
      <c r="W84" s="106">
        <f>+U84+V84</f>
        <v>40214</v>
      </c>
      <c r="X84" s="105">
        <v>8661</v>
      </c>
      <c r="Y84" s="106">
        <f>+W84+X84</f>
        <v>48875</v>
      </c>
      <c r="Z84" s="105">
        <v>6913</v>
      </c>
      <c r="AA84" s="106">
        <f>+Y84+Z84</f>
        <v>55788</v>
      </c>
      <c r="AB84" s="105">
        <v>5882</v>
      </c>
      <c r="AC84" s="106">
        <f>+AA84+AB84</f>
        <v>61670</v>
      </c>
      <c r="AD84" s="105">
        <v>8272</v>
      </c>
      <c r="AE84" s="106">
        <f>+AC84+AD84</f>
        <v>69942</v>
      </c>
      <c r="AF84" s="105">
        <v>5880</v>
      </c>
      <c r="AG84" s="106">
        <f>+AE84+AF84</f>
        <v>75822</v>
      </c>
      <c r="AH84" s="105">
        <v>5386</v>
      </c>
      <c r="AI84" s="106">
        <f>+AG84+AH84</f>
        <v>81208</v>
      </c>
      <c r="AJ84" s="55">
        <f>+AI82/L82</f>
        <v>1</v>
      </c>
      <c r="AK84" s="166"/>
      <c r="AL84" s="326"/>
      <c r="AM84" s="157"/>
      <c r="AO84" s="94"/>
    </row>
    <row r="85" spans="1:41" s="120" customFormat="1" ht="22.9" customHeight="1">
      <c r="A85" s="358"/>
      <c r="B85" s="361"/>
      <c r="C85" s="405"/>
      <c r="D85" s="408"/>
      <c r="E85" s="408"/>
      <c r="F85" s="345"/>
      <c r="G85" s="345"/>
      <c r="H85" s="345"/>
      <c r="I85" s="369"/>
      <c r="J85" s="372"/>
      <c r="K85" s="375"/>
      <c r="L85" s="99" t="s">
        <v>126</v>
      </c>
      <c r="M85" s="107" t="s">
        <v>62</v>
      </c>
      <c r="N85" s="107" t="s">
        <v>62</v>
      </c>
      <c r="O85" s="108" t="s">
        <v>62</v>
      </c>
      <c r="P85" s="107" t="s">
        <v>62</v>
      </c>
      <c r="Q85" s="109" t="s">
        <v>62</v>
      </c>
      <c r="R85" s="107" t="s">
        <v>62</v>
      </c>
      <c r="S85" s="109" t="s">
        <v>62</v>
      </c>
      <c r="T85" s="107" t="s">
        <v>62</v>
      </c>
      <c r="U85" s="109" t="s">
        <v>62</v>
      </c>
      <c r="V85" s="107" t="s">
        <v>62</v>
      </c>
      <c r="W85" s="109" t="s">
        <v>62</v>
      </c>
      <c r="X85" s="107" t="s">
        <v>62</v>
      </c>
      <c r="Y85" s="109" t="s">
        <v>62</v>
      </c>
      <c r="Z85" s="107" t="s">
        <v>62</v>
      </c>
      <c r="AA85" s="109" t="s">
        <v>62</v>
      </c>
      <c r="AB85" s="107" t="s">
        <v>62</v>
      </c>
      <c r="AC85" s="109" t="s">
        <v>62</v>
      </c>
      <c r="AD85" s="107" t="s">
        <v>62</v>
      </c>
      <c r="AE85" s="109" t="s">
        <v>62</v>
      </c>
      <c r="AF85" s="107" t="s">
        <v>62</v>
      </c>
      <c r="AG85" s="109" t="s">
        <v>62</v>
      </c>
      <c r="AH85" s="107" t="s">
        <v>62</v>
      </c>
      <c r="AI85" s="109" t="s">
        <v>62</v>
      </c>
      <c r="AJ85" s="71"/>
      <c r="AK85" s="166"/>
      <c r="AL85" s="326"/>
      <c r="AM85" s="157"/>
      <c r="AO85" s="94"/>
    </row>
    <row r="86" spans="1:41" s="120" customFormat="1" ht="22.9" customHeight="1" thickBot="1">
      <c r="A86" s="359"/>
      <c r="B86" s="362"/>
      <c r="C86" s="406"/>
      <c r="D86" s="409"/>
      <c r="E86" s="409"/>
      <c r="F86" s="346"/>
      <c r="G86" s="346"/>
      <c r="H86" s="346"/>
      <c r="I86" s="370"/>
      <c r="J86" s="373"/>
      <c r="K86" s="376"/>
      <c r="L86" s="110">
        <v>83056</v>
      </c>
      <c r="M86" s="111">
        <v>7108</v>
      </c>
      <c r="N86" s="111">
        <v>6553</v>
      </c>
      <c r="O86" s="112">
        <f>+M86+N86</f>
        <v>13661</v>
      </c>
      <c r="P86" s="111">
        <v>7560</v>
      </c>
      <c r="Q86" s="112">
        <f>+O86+P86</f>
        <v>21221</v>
      </c>
      <c r="R86" s="111">
        <v>6985</v>
      </c>
      <c r="S86" s="112">
        <f>+Q86+R86</f>
        <v>28206</v>
      </c>
      <c r="T86" s="111">
        <v>7580</v>
      </c>
      <c r="U86" s="112">
        <f>+S86+T86</f>
        <v>35786</v>
      </c>
      <c r="V86" s="111">
        <v>5078</v>
      </c>
      <c r="W86" s="112">
        <f>+U86+V86</f>
        <v>40864</v>
      </c>
      <c r="X86" s="111">
        <v>9114</v>
      </c>
      <c r="Y86" s="112">
        <f>+W86+X86</f>
        <v>49978</v>
      </c>
      <c r="Z86" s="111">
        <v>7052</v>
      </c>
      <c r="AA86" s="112">
        <f>+Y86+Z86</f>
        <v>57030</v>
      </c>
      <c r="AB86" s="111">
        <v>6008</v>
      </c>
      <c r="AC86" s="112">
        <f>+AA86+AB86</f>
        <v>63038</v>
      </c>
      <c r="AD86" s="111">
        <v>8508</v>
      </c>
      <c r="AE86" s="112">
        <f>+AC86+AD86</f>
        <v>71546</v>
      </c>
      <c r="AF86" s="111">
        <v>6038</v>
      </c>
      <c r="AG86" s="112">
        <f>+AE86+AF86</f>
        <v>77584</v>
      </c>
      <c r="AH86" s="111">
        <v>5472</v>
      </c>
      <c r="AI86" s="112">
        <f>+AG86+AH86</f>
        <v>83056</v>
      </c>
      <c r="AJ86" s="72"/>
      <c r="AK86" s="167"/>
      <c r="AL86" s="327"/>
      <c r="AM86" s="158"/>
      <c r="AO86" s="94"/>
    </row>
    <row r="87" spans="1:41" ht="12.95" thickTop="1"/>
    <row r="88" spans="1:41" s="89" customFormat="1" ht="20.45" thickBot="1">
      <c r="A88" s="114" t="s">
        <v>127</v>
      </c>
      <c r="L88" s="90"/>
      <c r="M88" s="90"/>
      <c r="N88" s="90"/>
      <c r="O88" s="90"/>
      <c r="P88" s="90"/>
      <c r="Q88" s="90"/>
      <c r="R88" s="90"/>
      <c r="S88" s="90"/>
      <c r="T88" s="90"/>
      <c r="U88" s="90"/>
      <c r="V88" s="90"/>
      <c r="W88" s="90"/>
      <c r="X88" s="90"/>
      <c r="Y88" s="90"/>
      <c r="Z88" s="90"/>
      <c r="AA88" s="90"/>
      <c r="AB88" s="90"/>
      <c r="AC88" s="90"/>
      <c r="AD88" s="90"/>
      <c r="AE88" s="90"/>
      <c r="AF88" s="90"/>
      <c r="AG88" s="90"/>
      <c r="AH88" s="90"/>
      <c r="AI88" s="90"/>
      <c r="AJ88" s="90"/>
      <c r="AK88" s="90"/>
      <c r="AL88" s="90"/>
      <c r="AM88" s="90"/>
    </row>
    <row r="89" spans="1:41" s="94" customFormat="1" ht="22.9" customHeight="1" thickTop="1">
      <c r="A89" s="311" t="s">
        <v>10</v>
      </c>
      <c r="B89" s="311" t="s">
        <v>11</v>
      </c>
      <c r="C89" s="311" t="s">
        <v>12</v>
      </c>
      <c r="D89" s="241" t="s">
        <v>13</v>
      </c>
      <c r="E89" s="241" t="s">
        <v>14</v>
      </c>
      <c r="F89" s="241" t="s">
        <v>15</v>
      </c>
      <c r="G89" s="241" t="s">
        <v>16</v>
      </c>
      <c r="H89" s="241" t="s">
        <v>17</v>
      </c>
      <c r="I89" s="241" t="s">
        <v>118</v>
      </c>
      <c r="J89" s="241" t="s">
        <v>19</v>
      </c>
      <c r="K89" s="241" t="s">
        <v>20</v>
      </c>
      <c r="L89" s="241" t="s">
        <v>21</v>
      </c>
      <c r="M89" s="241" t="s">
        <v>22</v>
      </c>
      <c r="N89" s="241" t="s">
        <v>23</v>
      </c>
      <c r="O89" s="311" t="s">
        <v>24</v>
      </c>
      <c r="P89" s="241" t="s">
        <v>25</v>
      </c>
      <c r="Q89" s="241" t="s">
        <v>26</v>
      </c>
      <c r="R89" s="241" t="s">
        <v>27</v>
      </c>
      <c r="S89" s="241" t="s">
        <v>28</v>
      </c>
      <c r="T89" s="241" t="s">
        <v>29</v>
      </c>
      <c r="U89" s="311" t="s">
        <v>30</v>
      </c>
      <c r="V89" s="311" t="s">
        <v>31</v>
      </c>
      <c r="W89" s="241" t="s">
        <v>32</v>
      </c>
      <c r="X89" s="339" t="s">
        <v>33</v>
      </c>
      <c r="Y89" s="241" t="s">
        <v>34</v>
      </c>
      <c r="Z89" s="241" t="s">
        <v>35</v>
      </c>
      <c r="AA89" s="241" t="s">
        <v>36</v>
      </c>
      <c r="AB89" s="241" t="s">
        <v>37</v>
      </c>
      <c r="AC89" s="241" t="s">
        <v>38</v>
      </c>
      <c r="AD89" s="241" t="s">
        <v>39</v>
      </c>
      <c r="AE89" s="241" t="s">
        <v>40</v>
      </c>
      <c r="AF89" s="311" t="s">
        <v>41</v>
      </c>
      <c r="AG89" s="241" t="s">
        <v>42</v>
      </c>
      <c r="AH89" s="241" t="s">
        <v>43</v>
      </c>
      <c r="AI89" s="241" t="s">
        <v>119</v>
      </c>
      <c r="AJ89" s="241" t="s">
        <v>45</v>
      </c>
      <c r="AK89" s="241" t="s">
        <v>46</v>
      </c>
      <c r="AL89" s="241" t="s">
        <v>47</v>
      </c>
      <c r="AM89" s="241" t="s">
        <v>48</v>
      </c>
    </row>
    <row r="90" spans="1:41" s="94" customFormat="1" ht="22.9" customHeight="1" thickBot="1">
      <c r="A90" s="314"/>
      <c r="B90" s="314"/>
      <c r="C90" s="314"/>
      <c r="D90" s="242"/>
      <c r="E90" s="242"/>
      <c r="F90" s="242"/>
      <c r="G90" s="242"/>
      <c r="H90" s="242"/>
      <c r="I90" s="242"/>
      <c r="J90" s="242"/>
      <c r="K90" s="242"/>
      <c r="L90" s="313"/>
      <c r="M90" s="242"/>
      <c r="N90" s="242"/>
      <c r="O90" s="314"/>
      <c r="P90" s="242"/>
      <c r="Q90" s="242"/>
      <c r="R90" s="242"/>
      <c r="S90" s="310"/>
      <c r="T90" s="242"/>
      <c r="U90" s="312"/>
      <c r="V90" s="312"/>
      <c r="W90" s="310"/>
      <c r="X90" s="340"/>
      <c r="Y90" s="242"/>
      <c r="Z90" s="310"/>
      <c r="AA90" s="310"/>
      <c r="AB90" s="310"/>
      <c r="AC90" s="310"/>
      <c r="AD90" s="310"/>
      <c r="AE90" s="310"/>
      <c r="AF90" s="312"/>
      <c r="AG90" s="310"/>
      <c r="AH90" s="242"/>
      <c r="AI90" s="242">
        <v>2018</v>
      </c>
      <c r="AJ90" s="242"/>
      <c r="AK90" s="328"/>
      <c r="AL90" s="242"/>
      <c r="AM90" s="242"/>
    </row>
    <row r="91" spans="1:41" s="94" customFormat="1" ht="22.9" customHeight="1" thickTop="1">
      <c r="A91" s="357" t="s">
        <v>133</v>
      </c>
      <c r="B91" s="360" t="s">
        <v>64</v>
      </c>
      <c r="C91" s="404" t="s">
        <v>134</v>
      </c>
      <c r="D91" s="407" t="s">
        <v>122</v>
      </c>
      <c r="E91" s="407" t="s">
        <v>135</v>
      </c>
      <c r="F91" s="344" t="s">
        <v>136</v>
      </c>
      <c r="G91" s="344" t="s">
        <v>137</v>
      </c>
      <c r="H91" s="344" t="s">
        <v>136</v>
      </c>
      <c r="I91" s="368">
        <f>+L92</f>
        <v>0.97743422836994842</v>
      </c>
      <c r="J91" s="371">
        <v>0.1</v>
      </c>
      <c r="K91" s="374" t="s">
        <v>124</v>
      </c>
      <c r="L91" s="95" t="s">
        <v>57</v>
      </c>
      <c r="M91" s="96" t="s">
        <v>57</v>
      </c>
      <c r="N91" s="96" t="s">
        <v>57</v>
      </c>
      <c r="O91" s="97" t="s">
        <v>57</v>
      </c>
      <c r="P91" s="96" t="s">
        <v>57</v>
      </c>
      <c r="Q91" s="98" t="s">
        <v>57</v>
      </c>
      <c r="R91" s="96" t="s">
        <v>57</v>
      </c>
      <c r="S91" s="98" t="s">
        <v>57</v>
      </c>
      <c r="T91" s="96" t="s">
        <v>57</v>
      </c>
      <c r="U91" s="98" t="s">
        <v>57</v>
      </c>
      <c r="V91" s="96" t="s">
        <v>57</v>
      </c>
      <c r="W91" s="98" t="s">
        <v>57</v>
      </c>
      <c r="X91" s="96" t="s">
        <v>57</v>
      </c>
      <c r="Y91" s="98" t="s">
        <v>57</v>
      </c>
      <c r="Z91" s="96" t="s">
        <v>57</v>
      </c>
      <c r="AA91" s="98" t="s">
        <v>57</v>
      </c>
      <c r="AB91" s="96" t="s">
        <v>57</v>
      </c>
      <c r="AC91" s="98" t="s">
        <v>57</v>
      </c>
      <c r="AD91" s="96" t="s">
        <v>57</v>
      </c>
      <c r="AE91" s="98" t="s">
        <v>57</v>
      </c>
      <c r="AF91" s="96" t="s">
        <v>57</v>
      </c>
      <c r="AG91" s="98" t="s">
        <v>57</v>
      </c>
      <c r="AH91" s="96" t="s">
        <v>57</v>
      </c>
      <c r="AI91" s="98" t="s">
        <v>57</v>
      </c>
      <c r="AJ91" s="67"/>
      <c r="AK91" s="165" t="s">
        <v>72</v>
      </c>
      <c r="AL91" s="325"/>
      <c r="AM91" s="156" t="s">
        <v>125</v>
      </c>
    </row>
    <row r="92" spans="1:41" s="94" customFormat="1" ht="22.9" customHeight="1">
      <c r="A92" s="358"/>
      <c r="B92" s="361"/>
      <c r="C92" s="405"/>
      <c r="D92" s="408"/>
      <c r="E92" s="408"/>
      <c r="F92" s="345"/>
      <c r="G92" s="345"/>
      <c r="H92" s="345"/>
      <c r="I92" s="369"/>
      <c r="J92" s="372"/>
      <c r="K92" s="354"/>
      <c r="L92" s="41">
        <f>IF(L94&lt;&gt;0,+L94/L96,0%)</f>
        <v>0.97743422836994842</v>
      </c>
      <c r="M92" s="58">
        <f>IF(M94&lt;&gt;0,+M94/M96,0%)</f>
        <v>0.98662351672060411</v>
      </c>
      <c r="N92" s="61">
        <f>IF(N94&lt;&gt;0,+N94/N96,0%)</f>
        <v>0.98123869801084995</v>
      </c>
      <c r="O92" s="57">
        <f t="shared" ref="O92" si="110">IF(O94&lt;&gt;0,+O94/O96,0%)</f>
        <v>0.98399381830224086</v>
      </c>
      <c r="P92" s="61">
        <f>IF(P94&lt;&gt;0,ROUND(+P94/P96,4),0%)</f>
        <v>0.98670000000000002</v>
      </c>
      <c r="Q92" s="62">
        <f t="shared" ref="Q92" si="111">IF(Q94&lt;&gt;0,+Q94/Q96,0%)</f>
        <v>0.98499614386875134</v>
      </c>
      <c r="R92" s="63">
        <f>IF(R94&lt;&gt;0,ROUND(+R94/R96,4),0%)</f>
        <v>0.97740000000000005</v>
      </c>
      <c r="S92" s="62">
        <f t="shared" ref="S92" si="112">IF(S94&lt;&gt;0,+S94/S96,0%)</f>
        <v>0.98310259514660214</v>
      </c>
      <c r="T92" s="63">
        <f>IF(T94&lt;&gt;0,ROUND(+T94/T96,4),0%)</f>
        <v>0.98860000000000003</v>
      </c>
      <c r="U92" s="62">
        <f t="shared" ref="U92" si="113">IF(U94&lt;&gt;0,+U94/U96,0%)</f>
        <v>0.98421999916286462</v>
      </c>
      <c r="V92" s="63">
        <f>IF(V94&lt;&gt;0,ROUND(+V94/V96,4),0%)</f>
        <v>0.98060000000000003</v>
      </c>
      <c r="W92" s="62">
        <f t="shared" ref="W92" si="114">IF(W94&lt;&gt;0,+W94/W96,0%)</f>
        <v>0.98377862595419852</v>
      </c>
      <c r="X92" s="63">
        <f>IF(X94&lt;&gt;0,ROUND(+X94/X96,4),0%)</f>
        <v>0.94989999999999997</v>
      </c>
      <c r="Y92" s="62">
        <f t="shared" ref="Y92" si="115">IF(Y94&lt;&gt;0,+Y94/Y96,0%)</f>
        <v>0.97742387641287165</v>
      </c>
      <c r="Z92" s="64">
        <f>IF(Z94&lt;&gt;0,ROUND(+Z94/Z96,4),0%)</f>
        <v>0.97950000000000004</v>
      </c>
      <c r="AA92" s="62">
        <f t="shared" ref="AA92" si="116">IF(AA94&lt;&gt;0,+AA94/AA96,0%)</f>
        <v>0.97768545373781712</v>
      </c>
      <c r="AB92" s="63">
        <f>IF(AB94&lt;&gt;0,ROUND(+AB94/AB96,4),0%)</f>
        <v>0.98019999999999996</v>
      </c>
      <c r="AC92" s="62">
        <f t="shared" ref="AC92" si="117">IF(AC94&lt;&gt;0,+AC94/AC96,0%)</f>
        <v>0.97792447473026689</v>
      </c>
      <c r="AD92" s="63">
        <f>IF(AD94&lt;&gt;0,ROUND(+AD94/AD96,4),0%)</f>
        <v>0.97150000000000003</v>
      </c>
      <c r="AE92" s="62">
        <f t="shared" ref="AE92" si="118">IF(AE94&lt;&gt;0,+AE94/AE96,0%)</f>
        <v>0.97717868338557989</v>
      </c>
      <c r="AF92" s="63">
        <f>IF(AF94&lt;&gt;0,ROUND(+AF94/AF96,4),0%)</f>
        <v>0.97599999999999998</v>
      </c>
      <c r="AG92" s="62">
        <f t="shared" ref="AG92" si="119">IF(AG94&lt;&gt;0,+AG94/AG96,0%)</f>
        <v>0.97709142183848097</v>
      </c>
      <c r="AH92" s="63">
        <f>IF(AH94&lt;&gt;0,ROUND(+AH94/AH96,4),0%)</f>
        <v>0.98250000000000004</v>
      </c>
      <c r="AI92" s="62">
        <f>IF(AI94&lt;&gt;0,+AI94/AI96,0%)</f>
        <v>0.97743422836994842</v>
      </c>
      <c r="AJ92" s="68"/>
      <c r="AK92" s="166"/>
      <c r="AL92" s="326"/>
      <c r="AM92" s="157"/>
    </row>
    <row r="93" spans="1:41" s="94" customFormat="1" ht="22.9" customHeight="1" thickBot="1">
      <c r="A93" s="358"/>
      <c r="B93" s="361"/>
      <c r="C93" s="405"/>
      <c r="D93" s="408"/>
      <c r="E93" s="408"/>
      <c r="F93" s="345"/>
      <c r="G93" s="345"/>
      <c r="H93" s="345"/>
      <c r="I93" s="369"/>
      <c r="J93" s="372"/>
      <c r="K93" s="376"/>
      <c r="L93" s="99"/>
      <c r="M93" s="101" t="s">
        <v>60</v>
      </c>
      <c r="N93" s="101" t="s">
        <v>60</v>
      </c>
      <c r="O93" s="102" t="s">
        <v>60</v>
      </c>
      <c r="P93" s="101" t="s">
        <v>60</v>
      </c>
      <c r="Q93" s="103" t="s">
        <v>60</v>
      </c>
      <c r="R93" s="101" t="s">
        <v>60</v>
      </c>
      <c r="S93" s="103" t="s">
        <v>60</v>
      </c>
      <c r="T93" s="101" t="s">
        <v>60</v>
      </c>
      <c r="U93" s="103" t="s">
        <v>60</v>
      </c>
      <c r="V93" s="101" t="s">
        <v>60</v>
      </c>
      <c r="W93" s="103" t="s">
        <v>60</v>
      </c>
      <c r="X93" s="101" t="s">
        <v>60</v>
      </c>
      <c r="Y93" s="103" t="s">
        <v>60</v>
      </c>
      <c r="Z93" s="101" t="s">
        <v>60</v>
      </c>
      <c r="AA93" s="103" t="s">
        <v>60</v>
      </c>
      <c r="AB93" s="101" t="s">
        <v>60</v>
      </c>
      <c r="AC93" s="103" t="s">
        <v>60</v>
      </c>
      <c r="AD93" s="101" t="s">
        <v>60</v>
      </c>
      <c r="AE93" s="103" t="s">
        <v>60</v>
      </c>
      <c r="AF93" s="101" t="s">
        <v>60</v>
      </c>
      <c r="AG93" s="103" t="s">
        <v>60</v>
      </c>
      <c r="AH93" s="101" t="s">
        <v>60</v>
      </c>
      <c r="AI93" s="103" t="s">
        <v>60</v>
      </c>
      <c r="AJ93" s="68"/>
      <c r="AK93" s="166"/>
      <c r="AL93" s="326"/>
      <c r="AM93" s="157"/>
    </row>
    <row r="94" spans="1:41" s="94" customFormat="1" ht="22.9" customHeight="1" thickTop="1">
      <c r="A94" s="358"/>
      <c r="B94" s="361"/>
      <c r="C94" s="405"/>
      <c r="D94" s="408"/>
      <c r="E94" s="408"/>
      <c r="F94" s="345"/>
      <c r="G94" s="345"/>
      <c r="H94" s="345"/>
      <c r="I94" s="369"/>
      <c r="J94" s="372"/>
      <c r="K94" s="354" t="s">
        <v>74</v>
      </c>
      <c r="L94" s="104">
        <v>54057</v>
      </c>
      <c r="M94" s="105">
        <v>4573</v>
      </c>
      <c r="N94" s="105">
        <v>4341</v>
      </c>
      <c r="O94" s="106">
        <f>+M94+N94</f>
        <v>8914</v>
      </c>
      <c r="P94" s="105">
        <v>5135</v>
      </c>
      <c r="Q94" s="106">
        <f>+O94+P94</f>
        <v>14049</v>
      </c>
      <c r="R94" s="105">
        <v>4627</v>
      </c>
      <c r="S94" s="106">
        <f>+Q94+R94</f>
        <v>18676</v>
      </c>
      <c r="T94" s="105">
        <v>4838</v>
      </c>
      <c r="U94" s="106">
        <f>+S94+T94</f>
        <v>23514</v>
      </c>
      <c r="V94" s="105">
        <v>3292</v>
      </c>
      <c r="W94" s="106">
        <f>+U94+V94</f>
        <v>26806</v>
      </c>
      <c r="X94" s="105">
        <v>5968</v>
      </c>
      <c r="Y94" s="106">
        <f>+W94+X94</f>
        <v>32774</v>
      </c>
      <c r="Z94" s="105">
        <v>4643</v>
      </c>
      <c r="AA94" s="106">
        <f>+Y94+Z94</f>
        <v>37417</v>
      </c>
      <c r="AB94" s="105">
        <v>3914</v>
      </c>
      <c r="AC94" s="106">
        <f>+AA94+AB94</f>
        <v>41331</v>
      </c>
      <c r="AD94" s="105">
        <v>5427</v>
      </c>
      <c r="AE94" s="106">
        <f>+AC94+AD94</f>
        <v>46758</v>
      </c>
      <c r="AF94" s="105">
        <v>3827</v>
      </c>
      <c r="AG94" s="106">
        <f>+AE94+AF94</f>
        <v>50585</v>
      </c>
      <c r="AH94" s="105">
        <v>3472</v>
      </c>
      <c r="AI94" s="106">
        <f>SUM(AG94:AH94)</f>
        <v>54057</v>
      </c>
      <c r="AJ94" s="29">
        <f>+AI92/L92</f>
        <v>1</v>
      </c>
      <c r="AK94" s="166"/>
      <c r="AL94" s="326"/>
      <c r="AM94" s="157"/>
    </row>
    <row r="95" spans="1:41" s="94" customFormat="1" ht="22.9" customHeight="1">
      <c r="A95" s="358"/>
      <c r="B95" s="361"/>
      <c r="C95" s="405"/>
      <c r="D95" s="408"/>
      <c r="E95" s="408"/>
      <c r="F95" s="345"/>
      <c r="G95" s="345"/>
      <c r="H95" s="345"/>
      <c r="I95" s="369"/>
      <c r="J95" s="372"/>
      <c r="K95" s="375"/>
      <c r="L95" s="99" t="s">
        <v>126</v>
      </c>
      <c r="M95" s="107" t="s">
        <v>62</v>
      </c>
      <c r="N95" s="107" t="s">
        <v>62</v>
      </c>
      <c r="O95" s="108" t="s">
        <v>62</v>
      </c>
      <c r="P95" s="107" t="s">
        <v>62</v>
      </c>
      <c r="Q95" s="109" t="s">
        <v>62</v>
      </c>
      <c r="R95" s="107"/>
      <c r="S95" s="109" t="s">
        <v>62</v>
      </c>
      <c r="T95" s="107" t="s">
        <v>62</v>
      </c>
      <c r="U95" s="109" t="s">
        <v>62</v>
      </c>
      <c r="V95" s="107" t="s">
        <v>62</v>
      </c>
      <c r="W95" s="109" t="s">
        <v>62</v>
      </c>
      <c r="X95" s="107" t="s">
        <v>62</v>
      </c>
      <c r="Y95" s="109" t="s">
        <v>62</v>
      </c>
      <c r="Z95" s="107" t="s">
        <v>62</v>
      </c>
      <c r="AA95" s="109" t="s">
        <v>62</v>
      </c>
      <c r="AB95" s="107" t="s">
        <v>62</v>
      </c>
      <c r="AC95" s="109" t="s">
        <v>62</v>
      </c>
      <c r="AD95" s="107" t="s">
        <v>62</v>
      </c>
      <c r="AE95" s="109" t="s">
        <v>62</v>
      </c>
      <c r="AF95" s="107" t="s">
        <v>62</v>
      </c>
      <c r="AG95" s="109" t="s">
        <v>62</v>
      </c>
      <c r="AH95" s="107" t="s">
        <v>62</v>
      </c>
      <c r="AI95" s="108" t="s">
        <v>62</v>
      </c>
      <c r="AJ95" s="68"/>
      <c r="AK95" s="166"/>
      <c r="AL95" s="326"/>
      <c r="AM95" s="157"/>
    </row>
    <row r="96" spans="1:41" s="94" customFormat="1" ht="22.9" customHeight="1" thickBot="1">
      <c r="A96" s="359"/>
      <c r="B96" s="362"/>
      <c r="C96" s="406"/>
      <c r="D96" s="409"/>
      <c r="E96" s="409"/>
      <c r="F96" s="346"/>
      <c r="G96" s="346"/>
      <c r="H96" s="346"/>
      <c r="I96" s="370"/>
      <c r="J96" s="373"/>
      <c r="K96" s="376"/>
      <c r="L96" s="110">
        <v>55305</v>
      </c>
      <c r="M96" s="111">
        <v>4635</v>
      </c>
      <c r="N96" s="111">
        <v>4424</v>
      </c>
      <c r="O96" s="112">
        <f t="shared" ref="O96" si="120">+M96+N96</f>
        <v>9059</v>
      </c>
      <c r="P96" s="111">
        <v>5204</v>
      </c>
      <c r="Q96" s="112">
        <f t="shared" ref="Q96" si="121">+O96+P96</f>
        <v>14263</v>
      </c>
      <c r="R96" s="111">
        <v>4734</v>
      </c>
      <c r="S96" s="112">
        <f t="shared" ref="S96" si="122">+Q96+R96</f>
        <v>18997</v>
      </c>
      <c r="T96" s="111">
        <v>4894</v>
      </c>
      <c r="U96" s="112">
        <f t="shared" ref="U96" si="123">+S96+T96</f>
        <v>23891</v>
      </c>
      <c r="V96" s="111">
        <v>3357</v>
      </c>
      <c r="W96" s="112">
        <f t="shared" ref="W96" si="124">+U96+V96</f>
        <v>27248</v>
      </c>
      <c r="X96" s="111">
        <v>6283</v>
      </c>
      <c r="Y96" s="112">
        <f t="shared" ref="Y96" si="125">+W96+X96</f>
        <v>33531</v>
      </c>
      <c r="Z96" s="111">
        <v>4740</v>
      </c>
      <c r="AA96" s="112">
        <f t="shared" ref="AA96" si="126">+Y96+Z96</f>
        <v>38271</v>
      </c>
      <c r="AB96" s="111">
        <v>3993</v>
      </c>
      <c r="AC96" s="112">
        <f t="shared" ref="AC96" si="127">+AA96+AB96</f>
        <v>42264</v>
      </c>
      <c r="AD96" s="111">
        <v>5586</v>
      </c>
      <c r="AE96" s="112">
        <f t="shared" ref="AE96" si="128">+AC96+AD96</f>
        <v>47850</v>
      </c>
      <c r="AF96" s="111">
        <v>3921</v>
      </c>
      <c r="AG96" s="112">
        <f t="shared" ref="AG96" si="129">+AE96+AF96</f>
        <v>51771</v>
      </c>
      <c r="AH96" s="111">
        <v>3534</v>
      </c>
      <c r="AI96" s="112">
        <f>SUM(AG96:AH96)</f>
        <v>55305</v>
      </c>
      <c r="AJ96" s="69"/>
      <c r="AK96" s="167"/>
      <c r="AL96" s="327"/>
      <c r="AM96" s="158"/>
      <c r="AO96" s="115"/>
    </row>
    <row r="97" spans="1:39" ht="12.95" thickTop="1"/>
    <row r="98" spans="1:39" s="89" customFormat="1" ht="20.45" thickBot="1">
      <c r="A98" s="114" t="s">
        <v>128</v>
      </c>
      <c r="L98" s="90"/>
      <c r="M98" s="90"/>
      <c r="N98" s="90"/>
      <c r="O98" s="90"/>
      <c r="P98" s="90"/>
      <c r="Q98" s="90"/>
      <c r="R98" s="90"/>
      <c r="S98" s="90"/>
      <c r="T98" s="90"/>
      <c r="U98" s="90"/>
      <c r="V98" s="90"/>
      <c r="W98" s="90"/>
      <c r="X98" s="90"/>
      <c r="Y98" s="90"/>
      <c r="Z98" s="90"/>
      <c r="AA98" s="90"/>
      <c r="AB98" s="90"/>
      <c r="AC98" s="90"/>
      <c r="AD98" s="90"/>
      <c r="AE98" s="90"/>
      <c r="AF98" s="90"/>
      <c r="AG98" s="90"/>
      <c r="AH98" s="90"/>
      <c r="AI98" s="90"/>
      <c r="AJ98" s="90"/>
      <c r="AK98" s="90"/>
      <c r="AL98" s="90"/>
      <c r="AM98" s="90"/>
    </row>
    <row r="99" spans="1:39" s="94" customFormat="1" ht="22.9" customHeight="1" thickTop="1">
      <c r="A99" s="311" t="s">
        <v>10</v>
      </c>
      <c r="B99" s="311" t="s">
        <v>11</v>
      </c>
      <c r="C99" s="311" t="s">
        <v>12</v>
      </c>
      <c r="D99" s="241" t="s">
        <v>13</v>
      </c>
      <c r="E99" s="241" t="s">
        <v>14</v>
      </c>
      <c r="F99" s="241" t="s">
        <v>15</v>
      </c>
      <c r="G99" s="241" t="s">
        <v>16</v>
      </c>
      <c r="H99" s="241" t="s">
        <v>17</v>
      </c>
      <c r="I99" s="241" t="s">
        <v>118</v>
      </c>
      <c r="J99" s="241" t="s">
        <v>19</v>
      </c>
      <c r="K99" s="241" t="s">
        <v>20</v>
      </c>
      <c r="L99" s="241" t="s">
        <v>21</v>
      </c>
      <c r="M99" s="241" t="s">
        <v>22</v>
      </c>
      <c r="N99" s="241" t="s">
        <v>23</v>
      </c>
      <c r="O99" s="311" t="s">
        <v>24</v>
      </c>
      <c r="P99" s="241" t="s">
        <v>25</v>
      </c>
      <c r="Q99" s="241" t="s">
        <v>26</v>
      </c>
      <c r="R99" s="241" t="s">
        <v>27</v>
      </c>
      <c r="S99" s="241" t="s">
        <v>28</v>
      </c>
      <c r="T99" s="241" t="s">
        <v>29</v>
      </c>
      <c r="U99" s="311" t="s">
        <v>30</v>
      </c>
      <c r="V99" s="311" t="s">
        <v>31</v>
      </c>
      <c r="W99" s="241" t="s">
        <v>32</v>
      </c>
      <c r="X99" s="339" t="s">
        <v>33</v>
      </c>
      <c r="Y99" s="241" t="s">
        <v>34</v>
      </c>
      <c r="Z99" s="241" t="s">
        <v>35</v>
      </c>
      <c r="AA99" s="241" t="s">
        <v>36</v>
      </c>
      <c r="AB99" s="241" t="s">
        <v>37</v>
      </c>
      <c r="AC99" s="241" t="s">
        <v>38</v>
      </c>
      <c r="AD99" s="241" t="s">
        <v>39</v>
      </c>
      <c r="AE99" s="241" t="s">
        <v>40</v>
      </c>
      <c r="AF99" s="311" t="s">
        <v>41</v>
      </c>
      <c r="AG99" s="241" t="s">
        <v>42</v>
      </c>
      <c r="AH99" s="241" t="s">
        <v>43</v>
      </c>
      <c r="AI99" s="241" t="s">
        <v>119</v>
      </c>
      <c r="AJ99" s="241" t="s">
        <v>45</v>
      </c>
      <c r="AK99" s="241" t="s">
        <v>46</v>
      </c>
      <c r="AL99" s="241" t="s">
        <v>47</v>
      </c>
      <c r="AM99" s="241" t="s">
        <v>48</v>
      </c>
    </row>
    <row r="100" spans="1:39" s="94" customFormat="1" ht="22.9" customHeight="1" thickBot="1">
      <c r="A100" s="314"/>
      <c r="B100" s="314"/>
      <c r="C100" s="314"/>
      <c r="D100" s="242"/>
      <c r="E100" s="242"/>
      <c r="F100" s="242"/>
      <c r="G100" s="242"/>
      <c r="H100" s="242"/>
      <c r="I100" s="242"/>
      <c r="J100" s="242"/>
      <c r="K100" s="242"/>
      <c r="L100" s="313"/>
      <c r="M100" s="242"/>
      <c r="N100" s="242"/>
      <c r="O100" s="314"/>
      <c r="P100" s="242"/>
      <c r="Q100" s="242"/>
      <c r="R100" s="242"/>
      <c r="S100" s="310"/>
      <c r="T100" s="242"/>
      <c r="U100" s="312"/>
      <c r="V100" s="312"/>
      <c r="W100" s="310"/>
      <c r="X100" s="340"/>
      <c r="Y100" s="242"/>
      <c r="Z100" s="310"/>
      <c r="AA100" s="310"/>
      <c r="AB100" s="310"/>
      <c r="AC100" s="310"/>
      <c r="AD100" s="310"/>
      <c r="AE100" s="310"/>
      <c r="AF100" s="312"/>
      <c r="AG100" s="310"/>
      <c r="AH100" s="242"/>
      <c r="AI100" s="242">
        <v>2018</v>
      </c>
      <c r="AJ100" s="242"/>
      <c r="AK100" s="328"/>
      <c r="AL100" s="242"/>
      <c r="AM100" s="242"/>
    </row>
    <row r="101" spans="1:39" s="94" customFormat="1" ht="22.9" customHeight="1" thickTop="1">
      <c r="A101" s="357" t="s">
        <v>133</v>
      </c>
      <c r="B101" s="360" t="s">
        <v>64</v>
      </c>
      <c r="C101" s="404" t="s">
        <v>134</v>
      </c>
      <c r="D101" s="407" t="s">
        <v>122</v>
      </c>
      <c r="E101" s="407" t="s">
        <v>135</v>
      </c>
      <c r="F101" s="344" t="s">
        <v>136</v>
      </c>
      <c r="G101" s="344" t="s">
        <v>137</v>
      </c>
      <c r="H101" s="344" t="s">
        <v>136</v>
      </c>
      <c r="I101" s="368">
        <f>+L102</f>
        <v>0.97837915750783755</v>
      </c>
      <c r="J101" s="371">
        <v>0.1</v>
      </c>
      <c r="K101" s="374" t="s">
        <v>124</v>
      </c>
      <c r="L101" s="95" t="s">
        <v>57</v>
      </c>
      <c r="M101" s="96" t="s">
        <v>57</v>
      </c>
      <c r="N101" s="96" t="s">
        <v>57</v>
      </c>
      <c r="O101" s="97" t="s">
        <v>57</v>
      </c>
      <c r="P101" s="96" t="s">
        <v>57</v>
      </c>
      <c r="Q101" s="98" t="s">
        <v>57</v>
      </c>
      <c r="R101" s="96" t="s">
        <v>57</v>
      </c>
      <c r="S101" s="98" t="s">
        <v>57</v>
      </c>
      <c r="T101" s="96" t="s">
        <v>57</v>
      </c>
      <c r="U101" s="98" t="s">
        <v>57</v>
      </c>
      <c r="V101" s="96" t="s">
        <v>57</v>
      </c>
      <c r="W101" s="98" t="s">
        <v>57</v>
      </c>
      <c r="X101" s="96" t="s">
        <v>57</v>
      </c>
      <c r="Y101" s="98" t="s">
        <v>57</v>
      </c>
      <c r="Z101" s="96" t="s">
        <v>57</v>
      </c>
      <c r="AA101" s="98" t="s">
        <v>57</v>
      </c>
      <c r="AB101" s="96" t="s">
        <v>57</v>
      </c>
      <c r="AC101" s="98" t="s">
        <v>57</v>
      </c>
      <c r="AD101" s="96" t="s">
        <v>57</v>
      </c>
      <c r="AE101" s="98" t="s">
        <v>57</v>
      </c>
      <c r="AF101" s="96" t="s">
        <v>57</v>
      </c>
      <c r="AG101" s="98" t="s">
        <v>57</v>
      </c>
      <c r="AH101" s="96" t="s">
        <v>57</v>
      </c>
      <c r="AI101" s="98" t="s">
        <v>57</v>
      </c>
      <c r="AJ101" s="67"/>
      <c r="AK101" s="165" t="s">
        <v>72</v>
      </c>
      <c r="AL101" s="325"/>
      <c r="AM101" s="156" t="s">
        <v>125</v>
      </c>
    </row>
    <row r="102" spans="1:39" s="94" customFormat="1" ht="22.9" customHeight="1">
      <c r="A102" s="358"/>
      <c r="B102" s="361"/>
      <c r="C102" s="405"/>
      <c r="D102" s="408"/>
      <c r="E102" s="408"/>
      <c r="F102" s="345"/>
      <c r="G102" s="345"/>
      <c r="H102" s="345"/>
      <c r="I102" s="369"/>
      <c r="J102" s="372"/>
      <c r="K102" s="354"/>
      <c r="L102" s="41">
        <f>IF(L104&lt;&gt;0,+L104/L106,0%)</f>
        <v>0.97837915750783755</v>
      </c>
      <c r="M102" s="58">
        <f>IF(M104&lt;&gt;0,+M104/M106,0%)</f>
        <v>0.98706025070764258</v>
      </c>
      <c r="N102" s="61">
        <f>IF(N104&lt;&gt;0,+N104/N106,0%)</f>
        <v>0.9807421324565524</v>
      </c>
      <c r="O102" s="57">
        <f t="shared" ref="O102" si="130">IF(O104&lt;&gt;0,+O104/O106,0%)</f>
        <v>0.98413733159495875</v>
      </c>
      <c r="P102" s="61">
        <f>IF(P104&lt;&gt;0,ROUND(+P104/P106,4),0%)</f>
        <v>0.99239999999999995</v>
      </c>
      <c r="Q102" s="62">
        <f t="shared" ref="Q102" si="131">IF(Q104&lt;&gt;0,+Q104/Q106,0%)</f>
        <v>0.98692152917505027</v>
      </c>
      <c r="R102" s="63">
        <f>IF(R104&lt;&gt;0,ROUND(+R104/R106,4),0%)</f>
        <v>0.97689999999999999</v>
      </c>
      <c r="S102" s="62">
        <f t="shared" ref="S102" si="132">IF(S104&lt;&gt;0,+S104/S106,0%)</f>
        <v>0.98447171245520682</v>
      </c>
      <c r="T102" s="63">
        <f>IF(T104&lt;&gt;0,ROUND(+T104/T106,4),0%)</f>
        <v>0.99070000000000003</v>
      </c>
      <c r="U102" s="62">
        <f t="shared" ref="U102" si="133">IF(U104&lt;&gt;0,+U104/U106,0%)</f>
        <v>0.98587641866330389</v>
      </c>
      <c r="V102" s="63">
        <f>IF(V104&lt;&gt;0,ROUND(+V104/V106,4),0%)</f>
        <v>0.9768</v>
      </c>
      <c r="W102" s="62">
        <f t="shared" ref="W102" si="134">IF(W104&lt;&gt;0,+W104/W106,0%)</f>
        <v>0.98472385428907172</v>
      </c>
      <c r="X102" s="63">
        <f>IF(X104&lt;&gt;0,ROUND(+X104/X106,4),0%)</f>
        <v>0.95130000000000003</v>
      </c>
      <c r="Y102" s="62">
        <f t="shared" ref="Y102" si="135">IF(Y104&lt;&gt;0,+Y104/Y106,0%)</f>
        <v>0.97896272876512436</v>
      </c>
      <c r="Z102" s="64">
        <f>IF(Z104&lt;&gt;0,ROUND(+Z104/Z106,4),0%)</f>
        <v>0.98180000000000001</v>
      </c>
      <c r="AA102" s="62">
        <f t="shared" ref="AA102" si="136">IF(AA104&lt;&gt;0,+AA104/AA106,0%)</f>
        <v>0.97931659470121013</v>
      </c>
      <c r="AB102" s="63">
        <f>IF(AB104&lt;&gt;0,ROUND(+AB104/AB106,4),0%)</f>
        <v>0.97670000000000001</v>
      </c>
      <c r="AC102" s="62">
        <f t="shared" ref="AC102" si="137">IF(AC104&lt;&gt;0,+AC104/AC106,0%)</f>
        <v>0.97906036391643403</v>
      </c>
      <c r="AD102" s="63">
        <f>IF(AD104&lt;&gt;0,ROUND(+AD104/AD106,4),0%)</f>
        <v>0.97360000000000002</v>
      </c>
      <c r="AE102" s="62">
        <f t="shared" ref="AE102" si="138">IF(AE104&lt;&gt;0,+AE104/AE106,0%)</f>
        <v>0.97839297771775824</v>
      </c>
      <c r="AF102" s="63">
        <f>IF(AF104&lt;&gt;0,ROUND(+AF104/AF106,4),0%)</f>
        <v>0.9698</v>
      </c>
      <c r="AG102" s="62">
        <f t="shared" ref="AG102" si="139">IF(AG104&lt;&gt;0,+AG104/AG106,0%)</f>
        <v>0.97768566226320075</v>
      </c>
      <c r="AH102" s="63">
        <f>IF(AH104&lt;&gt;0,ROUND(+AH104/AH106,4),0%)</f>
        <v>0.98760000000000003</v>
      </c>
      <c r="AI102" s="62">
        <f>IF(AI104&lt;&gt;0,+AI104/AI106,0%)</f>
        <v>0.97837915750783755</v>
      </c>
      <c r="AJ102" s="68"/>
      <c r="AK102" s="166"/>
      <c r="AL102" s="326"/>
      <c r="AM102" s="157"/>
    </row>
    <row r="103" spans="1:39" s="94" customFormat="1" ht="22.9" customHeight="1" thickBot="1">
      <c r="A103" s="358"/>
      <c r="B103" s="361"/>
      <c r="C103" s="405"/>
      <c r="D103" s="408"/>
      <c r="E103" s="408"/>
      <c r="F103" s="345"/>
      <c r="G103" s="345"/>
      <c r="H103" s="345"/>
      <c r="I103" s="369"/>
      <c r="J103" s="372"/>
      <c r="K103" s="376"/>
      <c r="L103" s="99"/>
      <c r="M103" s="101" t="s">
        <v>60</v>
      </c>
      <c r="N103" s="101" t="s">
        <v>60</v>
      </c>
      <c r="O103" s="102" t="s">
        <v>60</v>
      </c>
      <c r="P103" s="101" t="s">
        <v>60</v>
      </c>
      <c r="Q103" s="103" t="s">
        <v>60</v>
      </c>
      <c r="R103" s="101" t="s">
        <v>60</v>
      </c>
      <c r="S103" s="103" t="s">
        <v>60</v>
      </c>
      <c r="T103" s="101" t="s">
        <v>60</v>
      </c>
      <c r="U103" s="103" t="s">
        <v>60</v>
      </c>
      <c r="V103" s="101" t="s">
        <v>60</v>
      </c>
      <c r="W103" s="103" t="s">
        <v>60</v>
      </c>
      <c r="X103" s="101" t="s">
        <v>60</v>
      </c>
      <c r="Y103" s="103" t="s">
        <v>60</v>
      </c>
      <c r="Z103" s="101" t="s">
        <v>60</v>
      </c>
      <c r="AA103" s="103" t="s">
        <v>60</v>
      </c>
      <c r="AB103" s="101" t="s">
        <v>60</v>
      </c>
      <c r="AC103" s="103" t="s">
        <v>60</v>
      </c>
      <c r="AD103" s="101" t="s">
        <v>60</v>
      </c>
      <c r="AE103" s="103" t="s">
        <v>60</v>
      </c>
      <c r="AF103" s="101" t="s">
        <v>60</v>
      </c>
      <c r="AG103" s="103" t="s">
        <v>60</v>
      </c>
      <c r="AH103" s="101" t="s">
        <v>60</v>
      </c>
      <c r="AI103" s="103" t="s">
        <v>60</v>
      </c>
      <c r="AJ103" s="68"/>
      <c r="AK103" s="166"/>
      <c r="AL103" s="326"/>
      <c r="AM103" s="157"/>
    </row>
    <row r="104" spans="1:39" s="94" customFormat="1" ht="22.9" customHeight="1" thickTop="1">
      <c r="A104" s="358"/>
      <c r="B104" s="361"/>
      <c r="C104" s="405"/>
      <c r="D104" s="408"/>
      <c r="E104" s="408"/>
      <c r="F104" s="345"/>
      <c r="G104" s="345"/>
      <c r="H104" s="345"/>
      <c r="I104" s="369"/>
      <c r="J104" s="372"/>
      <c r="K104" s="354" t="s">
        <v>74</v>
      </c>
      <c r="L104" s="104">
        <v>27151</v>
      </c>
      <c r="M104" s="105">
        <v>2441</v>
      </c>
      <c r="N104" s="105">
        <v>2088</v>
      </c>
      <c r="O104" s="106">
        <f>+M104+N104</f>
        <v>4529</v>
      </c>
      <c r="P104" s="105">
        <v>2338</v>
      </c>
      <c r="Q104" s="106">
        <f>+O104+P104</f>
        <v>6867</v>
      </c>
      <c r="R104" s="105">
        <v>2199</v>
      </c>
      <c r="S104" s="106">
        <f>+Q104+R104</f>
        <v>9066</v>
      </c>
      <c r="T104" s="105">
        <v>2661</v>
      </c>
      <c r="U104" s="106">
        <f>+S104+T104</f>
        <v>11727</v>
      </c>
      <c r="V104" s="105">
        <v>1681</v>
      </c>
      <c r="W104" s="106">
        <f>+U104+V104</f>
        <v>13408</v>
      </c>
      <c r="X104" s="105">
        <v>2693</v>
      </c>
      <c r="Y104" s="106">
        <f>+W104+X104</f>
        <v>16101</v>
      </c>
      <c r="Z104" s="105">
        <v>2270</v>
      </c>
      <c r="AA104" s="106">
        <f>+Y104+Z104</f>
        <v>18371</v>
      </c>
      <c r="AB104" s="105">
        <v>1968</v>
      </c>
      <c r="AC104" s="106">
        <f>+AA104+AB104</f>
        <v>20339</v>
      </c>
      <c r="AD104" s="105">
        <v>2845</v>
      </c>
      <c r="AE104" s="106">
        <f>+AC104+AD104</f>
        <v>23184</v>
      </c>
      <c r="AF104" s="105">
        <v>2053</v>
      </c>
      <c r="AG104" s="106">
        <f>+AE104+AF104</f>
        <v>25237</v>
      </c>
      <c r="AH104" s="105">
        <v>1914</v>
      </c>
      <c r="AI104" s="106">
        <f>SUM(AG104:AH104)</f>
        <v>27151</v>
      </c>
      <c r="AJ104" s="29">
        <f>+AI102/L102</f>
        <v>1</v>
      </c>
      <c r="AK104" s="166"/>
      <c r="AL104" s="326"/>
      <c r="AM104" s="157"/>
    </row>
    <row r="105" spans="1:39" s="94" customFormat="1" ht="22.9" customHeight="1">
      <c r="A105" s="358"/>
      <c r="B105" s="361"/>
      <c r="C105" s="405"/>
      <c r="D105" s="408"/>
      <c r="E105" s="408"/>
      <c r="F105" s="345"/>
      <c r="G105" s="345"/>
      <c r="H105" s="345"/>
      <c r="I105" s="369"/>
      <c r="J105" s="372"/>
      <c r="K105" s="375"/>
      <c r="L105" s="99" t="s">
        <v>126</v>
      </c>
      <c r="M105" s="107" t="s">
        <v>62</v>
      </c>
      <c r="N105" s="107" t="s">
        <v>62</v>
      </c>
      <c r="O105" s="108" t="s">
        <v>62</v>
      </c>
      <c r="P105" s="107" t="s">
        <v>62</v>
      </c>
      <c r="Q105" s="109" t="s">
        <v>62</v>
      </c>
      <c r="R105" s="107"/>
      <c r="S105" s="109" t="s">
        <v>62</v>
      </c>
      <c r="T105" s="107" t="s">
        <v>62</v>
      </c>
      <c r="U105" s="109" t="s">
        <v>62</v>
      </c>
      <c r="V105" s="107" t="s">
        <v>62</v>
      </c>
      <c r="W105" s="109" t="s">
        <v>62</v>
      </c>
      <c r="X105" s="107" t="s">
        <v>62</v>
      </c>
      <c r="Y105" s="109" t="s">
        <v>62</v>
      </c>
      <c r="Z105" s="107" t="s">
        <v>62</v>
      </c>
      <c r="AA105" s="109" t="s">
        <v>62</v>
      </c>
      <c r="AB105" s="107" t="s">
        <v>62</v>
      </c>
      <c r="AC105" s="109" t="s">
        <v>62</v>
      </c>
      <c r="AD105" s="107" t="s">
        <v>62</v>
      </c>
      <c r="AE105" s="109" t="s">
        <v>62</v>
      </c>
      <c r="AF105" s="107" t="s">
        <v>62</v>
      </c>
      <c r="AG105" s="109" t="s">
        <v>62</v>
      </c>
      <c r="AH105" s="107" t="s">
        <v>62</v>
      </c>
      <c r="AI105" s="108" t="s">
        <v>62</v>
      </c>
      <c r="AJ105" s="68"/>
      <c r="AK105" s="166"/>
      <c r="AL105" s="326"/>
      <c r="AM105" s="157"/>
    </row>
    <row r="106" spans="1:39" s="94" customFormat="1" ht="22.9" customHeight="1" thickBot="1">
      <c r="A106" s="359"/>
      <c r="B106" s="362"/>
      <c r="C106" s="406"/>
      <c r="D106" s="409"/>
      <c r="E106" s="409"/>
      <c r="F106" s="346"/>
      <c r="G106" s="346"/>
      <c r="H106" s="346"/>
      <c r="I106" s="370"/>
      <c r="J106" s="373"/>
      <c r="K106" s="376"/>
      <c r="L106" s="110">
        <v>27751</v>
      </c>
      <c r="M106" s="111">
        <v>2473</v>
      </c>
      <c r="N106" s="111">
        <v>2129</v>
      </c>
      <c r="O106" s="112">
        <f t="shared" ref="O106" si="140">+M106+N106</f>
        <v>4602</v>
      </c>
      <c r="P106" s="111">
        <v>2356</v>
      </c>
      <c r="Q106" s="112">
        <f t="shared" ref="Q106" si="141">+O106+P106</f>
        <v>6958</v>
      </c>
      <c r="R106" s="111">
        <v>2251</v>
      </c>
      <c r="S106" s="112">
        <f t="shared" ref="S106" si="142">+Q106+R106</f>
        <v>9209</v>
      </c>
      <c r="T106" s="111">
        <v>2686</v>
      </c>
      <c r="U106" s="112">
        <f t="shared" ref="U106" si="143">+S106+T106</f>
        <v>11895</v>
      </c>
      <c r="V106" s="111">
        <v>1721</v>
      </c>
      <c r="W106" s="112">
        <f t="shared" ref="W106" si="144">+U106+V106</f>
        <v>13616</v>
      </c>
      <c r="X106" s="111">
        <v>2831</v>
      </c>
      <c r="Y106" s="112">
        <f t="shared" ref="Y106" si="145">+W106+X106</f>
        <v>16447</v>
      </c>
      <c r="Z106" s="111">
        <v>2312</v>
      </c>
      <c r="AA106" s="112">
        <f t="shared" ref="AA106" si="146">+Y106+Z106</f>
        <v>18759</v>
      </c>
      <c r="AB106" s="111">
        <v>2015</v>
      </c>
      <c r="AC106" s="112">
        <f t="shared" ref="AC106" si="147">+AA106+AB106</f>
        <v>20774</v>
      </c>
      <c r="AD106" s="111">
        <v>2922</v>
      </c>
      <c r="AE106" s="112">
        <f t="shared" ref="AE106" si="148">+AC106+AD106</f>
        <v>23696</v>
      </c>
      <c r="AF106" s="111">
        <v>2117</v>
      </c>
      <c r="AG106" s="112">
        <f t="shared" ref="AG106" si="149">+AE106+AF106</f>
        <v>25813</v>
      </c>
      <c r="AH106" s="111">
        <v>1938</v>
      </c>
      <c r="AI106" s="112">
        <f>SUM(AG106:AH106)</f>
        <v>27751</v>
      </c>
      <c r="AJ106" s="69"/>
      <c r="AK106" s="167"/>
      <c r="AL106" s="327"/>
      <c r="AM106" s="158"/>
    </row>
    <row r="107" spans="1:39" ht="12.95" thickTop="1"/>
    <row r="110" spans="1:39" s="89" customFormat="1" ht="15.6">
      <c r="C110" s="343" t="s">
        <v>138</v>
      </c>
      <c r="D110" s="343"/>
      <c r="E110" s="343"/>
      <c r="F110" s="343"/>
      <c r="G110" s="343"/>
      <c r="H110" s="343"/>
      <c r="I110" s="343"/>
      <c r="J110" s="343"/>
      <c r="K110" s="343"/>
      <c r="L110" s="93"/>
      <c r="M110" s="81"/>
      <c r="N110" s="93"/>
      <c r="O110" s="81"/>
      <c r="P110" s="93"/>
      <c r="Q110" s="81"/>
      <c r="R110" s="93"/>
      <c r="S110" s="81"/>
      <c r="T110" s="93"/>
      <c r="U110" s="81"/>
      <c r="V110" s="93"/>
      <c r="W110" s="81"/>
      <c r="X110" s="93"/>
      <c r="Y110" s="81"/>
      <c r="Z110" s="93"/>
      <c r="AA110" s="81"/>
      <c r="AB110" s="93"/>
      <c r="AC110" s="81"/>
      <c r="AD110" s="93"/>
      <c r="AE110" s="81"/>
      <c r="AF110" s="93"/>
      <c r="AG110" s="81"/>
      <c r="AH110" s="93"/>
      <c r="AI110" s="81"/>
      <c r="AJ110" s="121"/>
      <c r="AK110" s="90"/>
      <c r="AL110" s="90"/>
      <c r="AM110" s="90"/>
    </row>
    <row r="111" spans="1:39" s="89" customFormat="1" ht="15.95" thickBot="1">
      <c r="L111" s="90"/>
      <c r="M111" s="90"/>
      <c r="N111" s="90"/>
      <c r="O111" s="90"/>
      <c r="P111" s="90"/>
      <c r="Q111" s="90"/>
      <c r="R111" s="90"/>
      <c r="S111" s="90"/>
      <c r="T111" s="90"/>
      <c r="U111" s="90"/>
      <c r="V111" s="90"/>
      <c r="W111" s="90"/>
      <c r="X111" s="90"/>
      <c r="Y111" s="90"/>
      <c r="Z111" s="90"/>
      <c r="AA111" s="90"/>
      <c r="AB111" s="90"/>
      <c r="AC111" s="90"/>
      <c r="AD111" s="90"/>
      <c r="AE111" s="90"/>
      <c r="AF111" s="90"/>
      <c r="AG111" s="90"/>
      <c r="AH111" s="90"/>
      <c r="AI111" s="90"/>
      <c r="AJ111" s="90"/>
      <c r="AK111" s="90"/>
      <c r="AL111" s="90"/>
      <c r="AM111" s="90"/>
    </row>
    <row r="112" spans="1:39" s="94" customFormat="1" ht="22.9" customHeight="1" thickTop="1">
      <c r="A112" s="311" t="s">
        <v>10</v>
      </c>
      <c r="B112" s="311" t="s">
        <v>11</v>
      </c>
      <c r="C112" s="311" t="s">
        <v>12</v>
      </c>
      <c r="D112" s="241" t="s">
        <v>13</v>
      </c>
      <c r="E112" s="241" t="s">
        <v>14</v>
      </c>
      <c r="F112" s="241" t="s">
        <v>15</v>
      </c>
      <c r="G112" s="241" t="s">
        <v>16</v>
      </c>
      <c r="H112" s="241" t="s">
        <v>17</v>
      </c>
      <c r="I112" s="241" t="s">
        <v>118</v>
      </c>
      <c r="J112" s="241" t="s">
        <v>19</v>
      </c>
      <c r="K112" s="241" t="s">
        <v>20</v>
      </c>
      <c r="L112" s="241" t="s">
        <v>21</v>
      </c>
      <c r="M112" s="241" t="s">
        <v>22</v>
      </c>
      <c r="N112" s="241" t="s">
        <v>23</v>
      </c>
      <c r="O112" s="311" t="s">
        <v>24</v>
      </c>
      <c r="P112" s="241" t="s">
        <v>25</v>
      </c>
      <c r="Q112" s="241" t="s">
        <v>26</v>
      </c>
      <c r="R112" s="241" t="s">
        <v>27</v>
      </c>
      <c r="S112" s="241" t="s">
        <v>28</v>
      </c>
      <c r="T112" s="241" t="s">
        <v>29</v>
      </c>
      <c r="U112" s="311" t="s">
        <v>30</v>
      </c>
      <c r="V112" s="311" t="s">
        <v>31</v>
      </c>
      <c r="W112" s="241" t="s">
        <v>32</v>
      </c>
      <c r="X112" s="339" t="s">
        <v>33</v>
      </c>
      <c r="Y112" s="241" t="s">
        <v>34</v>
      </c>
      <c r="Z112" s="241" t="s">
        <v>35</v>
      </c>
      <c r="AA112" s="241" t="s">
        <v>36</v>
      </c>
      <c r="AB112" s="241" t="s">
        <v>37</v>
      </c>
      <c r="AC112" s="241" t="s">
        <v>38</v>
      </c>
      <c r="AD112" s="241" t="s">
        <v>39</v>
      </c>
      <c r="AE112" s="241" t="s">
        <v>40</v>
      </c>
      <c r="AF112" s="311" t="s">
        <v>41</v>
      </c>
      <c r="AG112" s="241" t="s">
        <v>42</v>
      </c>
      <c r="AH112" s="241" t="s">
        <v>43</v>
      </c>
      <c r="AI112" s="241" t="s">
        <v>119</v>
      </c>
      <c r="AJ112" s="241" t="s">
        <v>45</v>
      </c>
      <c r="AK112" s="241" t="s">
        <v>46</v>
      </c>
      <c r="AL112" s="241" t="s">
        <v>47</v>
      </c>
      <c r="AM112" s="241" t="s">
        <v>48</v>
      </c>
    </row>
    <row r="113" spans="1:39" s="94" customFormat="1" ht="22.9" customHeight="1" thickBot="1">
      <c r="A113" s="314"/>
      <c r="B113" s="314"/>
      <c r="C113" s="314"/>
      <c r="D113" s="242"/>
      <c r="E113" s="242"/>
      <c r="F113" s="242"/>
      <c r="G113" s="242"/>
      <c r="H113" s="242"/>
      <c r="I113" s="242"/>
      <c r="J113" s="242"/>
      <c r="K113" s="242"/>
      <c r="L113" s="313"/>
      <c r="M113" s="242"/>
      <c r="N113" s="242"/>
      <c r="O113" s="314"/>
      <c r="P113" s="242"/>
      <c r="Q113" s="242"/>
      <c r="R113" s="242"/>
      <c r="S113" s="310"/>
      <c r="T113" s="242"/>
      <c r="U113" s="312"/>
      <c r="V113" s="312"/>
      <c r="W113" s="310"/>
      <c r="X113" s="340"/>
      <c r="Y113" s="242"/>
      <c r="Z113" s="310"/>
      <c r="AA113" s="310"/>
      <c r="AB113" s="310"/>
      <c r="AC113" s="310"/>
      <c r="AD113" s="310"/>
      <c r="AE113" s="310"/>
      <c r="AF113" s="312"/>
      <c r="AG113" s="310"/>
      <c r="AH113" s="242"/>
      <c r="AI113" s="242">
        <v>2018</v>
      </c>
      <c r="AJ113" s="242"/>
      <c r="AK113" s="328"/>
      <c r="AL113" s="242"/>
      <c r="AM113" s="242"/>
    </row>
    <row r="114" spans="1:39" s="94" customFormat="1" ht="22.9" customHeight="1" thickTop="1">
      <c r="A114" s="329" t="s">
        <v>139</v>
      </c>
      <c r="B114" s="332" t="s">
        <v>64</v>
      </c>
      <c r="C114" s="382" t="s">
        <v>121</v>
      </c>
      <c r="D114" s="338" t="s">
        <v>122</v>
      </c>
      <c r="E114" s="338" t="s">
        <v>140</v>
      </c>
      <c r="F114" s="344" t="s">
        <v>141</v>
      </c>
      <c r="G114" s="344" t="s">
        <v>142</v>
      </c>
      <c r="H114" s="344" t="s">
        <v>141</v>
      </c>
      <c r="I114" s="348">
        <f>+L115</f>
        <v>0.95395275151894987</v>
      </c>
      <c r="J114" s="351">
        <v>0.1</v>
      </c>
      <c r="K114" s="315" t="s">
        <v>124</v>
      </c>
      <c r="L114" s="96" t="s">
        <v>57</v>
      </c>
      <c r="M114" s="96" t="s">
        <v>57</v>
      </c>
      <c r="N114" s="96" t="s">
        <v>57</v>
      </c>
      <c r="O114" s="97" t="s">
        <v>57</v>
      </c>
      <c r="P114" s="96" t="s">
        <v>57</v>
      </c>
      <c r="Q114" s="98" t="s">
        <v>57</v>
      </c>
      <c r="R114" s="96" t="s">
        <v>57</v>
      </c>
      <c r="S114" s="98" t="s">
        <v>57</v>
      </c>
      <c r="T114" s="96" t="s">
        <v>57</v>
      </c>
      <c r="U114" s="98" t="s">
        <v>57</v>
      </c>
      <c r="V114" s="96" t="s">
        <v>57</v>
      </c>
      <c r="W114" s="98" t="s">
        <v>57</v>
      </c>
      <c r="X114" s="96" t="s">
        <v>57</v>
      </c>
      <c r="Y114" s="98" t="s">
        <v>57</v>
      </c>
      <c r="Z114" s="96" t="s">
        <v>57</v>
      </c>
      <c r="AA114" s="98" t="s">
        <v>57</v>
      </c>
      <c r="AB114" s="96" t="s">
        <v>57</v>
      </c>
      <c r="AC114" s="98" t="s">
        <v>57</v>
      </c>
      <c r="AD114" s="96" t="s">
        <v>57</v>
      </c>
      <c r="AE114" s="98" t="s">
        <v>57</v>
      </c>
      <c r="AF114" s="96" t="s">
        <v>57</v>
      </c>
      <c r="AG114" s="98" t="s">
        <v>57</v>
      </c>
      <c r="AH114" s="96" t="s">
        <v>57</v>
      </c>
      <c r="AI114" s="98" t="s">
        <v>57</v>
      </c>
      <c r="AJ114" s="67"/>
      <c r="AK114" s="165" t="s">
        <v>72</v>
      </c>
      <c r="AL114" s="325"/>
      <c r="AM114" s="156" t="s">
        <v>125</v>
      </c>
    </row>
    <row r="115" spans="1:39" s="94" customFormat="1" ht="22.9" customHeight="1">
      <c r="A115" s="330"/>
      <c r="B115" s="333"/>
      <c r="C115" s="336"/>
      <c r="D115" s="465"/>
      <c r="E115" s="341"/>
      <c r="F115" s="345"/>
      <c r="G115" s="345"/>
      <c r="H115" s="345"/>
      <c r="I115" s="349"/>
      <c r="J115" s="352"/>
      <c r="K115" s="316"/>
      <c r="L115" s="41">
        <f>IF(L117&lt;&gt;0,+L117/L119,0%)</f>
        <v>0.95395275151894987</v>
      </c>
      <c r="M115" s="58">
        <f>IF(M117&lt;&gt;0,+M117/M119,0%)</f>
        <v>0.96813649912632338</v>
      </c>
      <c r="N115" s="61">
        <f>IF(N117&lt;&gt;0,+N117/N119,0%)</f>
        <v>0.96838120685816076</v>
      </c>
      <c r="O115" s="57">
        <f t="shared" ref="O115" si="150">IF(O117&lt;&gt;0,+O117/O119,0%)</f>
        <v>0.96825396825396826</v>
      </c>
      <c r="P115" s="61">
        <f>IF(P117&lt;&gt;0,ROUND(+P117/P119,4),0%)</f>
        <v>0.95650000000000002</v>
      </c>
      <c r="Q115" s="62">
        <f t="shared" ref="Q115" si="151">IF(Q117&lt;&gt;0,+Q117/Q119,0%)</f>
        <v>0.96391179936037708</v>
      </c>
      <c r="R115" s="63">
        <f>IF(R117&lt;&gt;0,ROUND(+R117/R119,4),0%)</f>
        <v>0.95730000000000004</v>
      </c>
      <c r="S115" s="62">
        <f t="shared" ref="S115" si="152">IF(S117&lt;&gt;0,+S117/S119,0%)</f>
        <v>0.96225369147810313</v>
      </c>
      <c r="T115" s="63">
        <f>IF(T117&lt;&gt;0,ROUND(+T117/T119,4),0%)</f>
        <v>0.9486</v>
      </c>
      <c r="U115" s="62">
        <f t="shared" ref="U115" si="153">IF(U117&lt;&gt;0,+U117/U119,0%)</f>
        <v>0.95950764519833198</v>
      </c>
      <c r="V115" s="63">
        <f>IF(V117&lt;&gt;0,ROUND(+V117/V119,4),0%)</f>
        <v>0.95860000000000001</v>
      </c>
      <c r="W115" s="62">
        <f t="shared" ref="W115" si="154">IF(W117&lt;&gt;0,+W117/W119,0%)</f>
        <v>0.95937783405485877</v>
      </c>
      <c r="X115" s="63">
        <f>IF(X117&lt;&gt;0,ROUND(+X117/X119,4),0%)</f>
        <v>0.93189999999999995</v>
      </c>
      <c r="Y115" s="62">
        <f t="shared" ref="Y115" si="155">IF(Y117&lt;&gt;0,+Y117/Y119,0%)</f>
        <v>0.95464592365893053</v>
      </c>
      <c r="Z115" s="64">
        <f>IF(Z117&lt;&gt;0,ROUND(+Z117/Z119,4),0%)</f>
        <v>0.97130000000000005</v>
      </c>
      <c r="AA115" s="62">
        <f t="shared" ref="AA115" si="156">IF(AA117&lt;&gt;0,+AA117/AA119,0%)</f>
        <v>0.95654902354535876</v>
      </c>
      <c r="AB115" s="63">
        <f>IF(AB117&lt;&gt;0,ROUND(+AB117/AB119,4),0%)</f>
        <v>0.96030000000000004</v>
      </c>
      <c r="AC115" s="62">
        <f t="shared" ref="AC115" si="157">IF(AC117&lt;&gt;0,+AC117/AC119,0%)</f>
        <v>0.95686990889141654</v>
      </c>
      <c r="AD115" s="63">
        <f>IF(AD117&lt;&gt;0,ROUND(+AD117/AD119,4),0%)</f>
        <v>0.91710000000000003</v>
      </c>
      <c r="AE115" s="62">
        <f t="shared" ref="AE115" si="158">IF(AE117&lt;&gt;0,+AE117/AE119,0%)</f>
        <v>0.95214710260122926</v>
      </c>
      <c r="AF115" s="63">
        <f>IF(AF117&lt;&gt;0,ROUND(+AF117/AF119,4),0%)</f>
        <v>0.96599999999999997</v>
      </c>
      <c r="AG115" s="62">
        <f t="shared" ref="AG115" si="159">IF(AG117&lt;&gt;0,+AG117/AG119,0%)</f>
        <v>0.95320943103416034</v>
      </c>
      <c r="AH115" s="63">
        <f>IF(AH117&lt;&gt;0,ROUND(+AH117/AH119,4),0%)</f>
        <v>0.96399999999999997</v>
      </c>
      <c r="AI115" s="62">
        <f>IF(AI117&lt;&gt;0,+AI117/AI119,0%)</f>
        <v>0.95395275151894987</v>
      </c>
      <c r="AJ115" s="68"/>
      <c r="AK115" s="166"/>
      <c r="AL115" s="326"/>
      <c r="AM115" s="157"/>
    </row>
    <row r="116" spans="1:39" s="94" customFormat="1" ht="22.9" customHeight="1" thickBot="1">
      <c r="A116" s="330"/>
      <c r="B116" s="333"/>
      <c r="C116" s="336"/>
      <c r="D116" s="465"/>
      <c r="E116" s="341"/>
      <c r="F116" s="345"/>
      <c r="G116" s="345"/>
      <c r="H116" s="345"/>
      <c r="I116" s="349"/>
      <c r="J116" s="352"/>
      <c r="K116" s="317"/>
      <c r="L116" s="101" t="s">
        <v>60</v>
      </c>
      <c r="M116" s="101" t="s">
        <v>60</v>
      </c>
      <c r="N116" s="101" t="s">
        <v>60</v>
      </c>
      <c r="O116" s="102" t="s">
        <v>60</v>
      </c>
      <c r="P116" s="101" t="s">
        <v>60</v>
      </c>
      <c r="Q116" s="103" t="s">
        <v>60</v>
      </c>
      <c r="R116" s="101" t="s">
        <v>60</v>
      </c>
      <c r="S116" s="103" t="s">
        <v>60</v>
      </c>
      <c r="T116" s="101" t="s">
        <v>60</v>
      </c>
      <c r="U116" s="103" t="s">
        <v>60</v>
      </c>
      <c r="V116" s="101" t="s">
        <v>60</v>
      </c>
      <c r="W116" s="103" t="s">
        <v>60</v>
      </c>
      <c r="X116" s="101" t="s">
        <v>60</v>
      </c>
      <c r="Y116" s="103" t="s">
        <v>60</v>
      </c>
      <c r="Z116" s="101" t="s">
        <v>60</v>
      </c>
      <c r="AA116" s="103" t="s">
        <v>60</v>
      </c>
      <c r="AB116" s="101" t="s">
        <v>60</v>
      </c>
      <c r="AC116" s="103" t="s">
        <v>60</v>
      </c>
      <c r="AD116" s="101" t="s">
        <v>60</v>
      </c>
      <c r="AE116" s="103" t="s">
        <v>60</v>
      </c>
      <c r="AF116" s="101" t="s">
        <v>60</v>
      </c>
      <c r="AG116" s="103" t="s">
        <v>60</v>
      </c>
      <c r="AH116" s="101" t="s">
        <v>60</v>
      </c>
      <c r="AI116" s="103" t="s">
        <v>60</v>
      </c>
      <c r="AJ116" s="68"/>
      <c r="AK116" s="166"/>
      <c r="AL116" s="326"/>
      <c r="AM116" s="157"/>
    </row>
    <row r="117" spans="1:39" s="94" customFormat="1" ht="22.9" customHeight="1" thickTop="1">
      <c r="A117" s="330"/>
      <c r="B117" s="333"/>
      <c r="C117" s="336"/>
      <c r="D117" s="465"/>
      <c r="E117" s="341"/>
      <c r="F117" s="345"/>
      <c r="G117" s="345"/>
      <c r="H117" s="345"/>
      <c r="I117" s="349"/>
      <c r="J117" s="352"/>
      <c r="K117" s="316" t="s">
        <v>74</v>
      </c>
      <c r="L117" s="104">
        <v>109592</v>
      </c>
      <c r="M117" s="105">
        <v>9419</v>
      </c>
      <c r="N117" s="105">
        <v>8698</v>
      </c>
      <c r="O117" s="106">
        <f>+M117+N117</f>
        <v>18117</v>
      </c>
      <c r="P117" s="105">
        <v>10516</v>
      </c>
      <c r="Q117" s="106">
        <f>+O117+P117</f>
        <v>28633</v>
      </c>
      <c r="R117" s="105">
        <v>9555</v>
      </c>
      <c r="S117" s="106">
        <f>+Q117+R117</f>
        <v>38188</v>
      </c>
      <c r="T117" s="105">
        <v>9441</v>
      </c>
      <c r="U117" s="106">
        <f>+S117+T117</f>
        <v>47629</v>
      </c>
      <c r="V117" s="105">
        <v>8438</v>
      </c>
      <c r="W117" s="106">
        <f>+U117+V117</f>
        <v>56067</v>
      </c>
      <c r="X117" s="105">
        <v>11310</v>
      </c>
      <c r="Y117" s="106">
        <f>+W117+X117</f>
        <v>67377</v>
      </c>
      <c r="Z117" s="105">
        <v>8837</v>
      </c>
      <c r="AA117" s="106">
        <f>+Y117+Z117</f>
        <v>76214</v>
      </c>
      <c r="AB117" s="105">
        <v>7071</v>
      </c>
      <c r="AC117" s="106">
        <f>+AA117+AB117</f>
        <v>83285</v>
      </c>
      <c r="AD117" s="105">
        <v>10750</v>
      </c>
      <c r="AE117" s="106">
        <f>+AC117+AD117</f>
        <v>94035</v>
      </c>
      <c r="AF117" s="105">
        <v>7926</v>
      </c>
      <c r="AG117" s="106">
        <f>+AE117+AF117</f>
        <v>101961</v>
      </c>
      <c r="AH117" s="105">
        <v>7631</v>
      </c>
      <c r="AI117" s="106">
        <f>+AG117+AH117</f>
        <v>109592</v>
      </c>
      <c r="AJ117" s="29">
        <f>+AI115/L115</f>
        <v>1</v>
      </c>
      <c r="AK117" s="166"/>
      <c r="AL117" s="326"/>
      <c r="AM117" s="157"/>
    </row>
    <row r="118" spans="1:39" s="94" customFormat="1" ht="22.9" customHeight="1">
      <c r="A118" s="330"/>
      <c r="B118" s="333"/>
      <c r="C118" s="336"/>
      <c r="D118" s="465"/>
      <c r="E118" s="341"/>
      <c r="F118" s="345"/>
      <c r="G118" s="345"/>
      <c r="H118" s="345"/>
      <c r="I118" s="349"/>
      <c r="J118" s="352"/>
      <c r="K118" s="347"/>
      <c r="L118" s="99" t="s">
        <v>126</v>
      </c>
      <c r="M118" s="107" t="s">
        <v>62</v>
      </c>
      <c r="N118" s="107" t="s">
        <v>62</v>
      </c>
      <c r="O118" s="108" t="s">
        <v>62</v>
      </c>
      <c r="P118" s="107" t="s">
        <v>62</v>
      </c>
      <c r="Q118" s="109" t="s">
        <v>62</v>
      </c>
      <c r="R118" s="107" t="s">
        <v>62</v>
      </c>
      <c r="S118" s="109" t="s">
        <v>62</v>
      </c>
      <c r="T118" s="107" t="s">
        <v>62</v>
      </c>
      <c r="U118" s="109" t="s">
        <v>62</v>
      </c>
      <c r="V118" s="107" t="s">
        <v>62</v>
      </c>
      <c r="W118" s="109" t="s">
        <v>62</v>
      </c>
      <c r="X118" s="107" t="s">
        <v>62</v>
      </c>
      <c r="Y118" s="109" t="s">
        <v>62</v>
      </c>
      <c r="Z118" s="107" t="s">
        <v>62</v>
      </c>
      <c r="AA118" s="109" t="s">
        <v>62</v>
      </c>
      <c r="AB118" s="107" t="s">
        <v>62</v>
      </c>
      <c r="AC118" s="109" t="s">
        <v>62</v>
      </c>
      <c r="AD118" s="107" t="s">
        <v>62</v>
      </c>
      <c r="AE118" s="109" t="s">
        <v>62</v>
      </c>
      <c r="AF118" s="107" t="s">
        <v>62</v>
      </c>
      <c r="AG118" s="109" t="s">
        <v>62</v>
      </c>
      <c r="AH118" s="107" t="s">
        <v>62</v>
      </c>
      <c r="AI118" s="109" t="s">
        <v>62</v>
      </c>
      <c r="AJ118" s="68"/>
      <c r="AK118" s="166"/>
      <c r="AL118" s="326"/>
      <c r="AM118" s="157"/>
    </row>
    <row r="119" spans="1:39" s="94" customFormat="1" ht="22.9" customHeight="1" thickBot="1">
      <c r="A119" s="331"/>
      <c r="B119" s="334"/>
      <c r="C119" s="337"/>
      <c r="D119" s="466"/>
      <c r="E119" s="342"/>
      <c r="F119" s="346"/>
      <c r="G119" s="346"/>
      <c r="H119" s="346"/>
      <c r="I119" s="350"/>
      <c r="J119" s="353"/>
      <c r="K119" s="317"/>
      <c r="L119" s="110">
        <v>114882</v>
      </c>
      <c r="M119" s="111">
        <v>9729</v>
      </c>
      <c r="N119" s="111">
        <v>8982</v>
      </c>
      <c r="O119" s="112">
        <f>+M119+N119</f>
        <v>18711</v>
      </c>
      <c r="P119" s="111">
        <v>10994</v>
      </c>
      <c r="Q119" s="112">
        <f>+O119+P119</f>
        <v>29705</v>
      </c>
      <c r="R119" s="111">
        <v>9981</v>
      </c>
      <c r="S119" s="112">
        <f>+Q119+R119</f>
        <v>39686</v>
      </c>
      <c r="T119" s="111">
        <v>9953</v>
      </c>
      <c r="U119" s="112">
        <f>+S119+T119</f>
        <v>49639</v>
      </c>
      <c r="V119" s="111">
        <v>8802</v>
      </c>
      <c r="W119" s="112">
        <f>+U119+V119</f>
        <v>58441</v>
      </c>
      <c r="X119" s="111">
        <v>12137</v>
      </c>
      <c r="Y119" s="112">
        <f>+W119+X119</f>
        <v>70578</v>
      </c>
      <c r="Z119" s="111">
        <v>9098</v>
      </c>
      <c r="AA119" s="112">
        <f>+Y119+Z119</f>
        <v>79676</v>
      </c>
      <c r="AB119" s="111">
        <v>7363</v>
      </c>
      <c r="AC119" s="112">
        <f>+AA119+AB119</f>
        <v>87039</v>
      </c>
      <c r="AD119" s="111">
        <v>11722</v>
      </c>
      <c r="AE119" s="112">
        <f>+AC119+AD119</f>
        <v>98761</v>
      </c>
      <c r="AF119" s="111">
        <v>8205</v>
      </c>
      <c r="AG119" s="112">
        <f>+AE119+AF119</f>
        <v>106966</v>
      </c>
      <c r="AH119" s="111">
        <v>7916</v>
      </c>
      <c r="AI119" s="112">
        <f>+AG119+AH119</f>
        <v>114882</v>
      </c>
      <c r="AJ119" s="69"/>
      <c r="AK119" s="167"/>
      <c r="AL119" s="327"/>
      <c r="AM119" s="158"/>
    </row>
    <row r="120" spans="1:39" ht="12.95" thickTop="1"/>
    <row r="121" spans="1:39" s="89" customFormat="1" ht="20.45" thickBot="1">
      <c r="A121" s="114" t="s">
        <v>127</v>
      </c>
      <c r="L121" s="90"/>
      <c r="M121" s="90"/>
      <c r="N121" s="90"/>
      <c r="O121" s="90"/>
      <c r="P121" s="90"/>
      <c r="Q121" s="90"/>
      <c r="R121" s="90"/>
      <c r="S121" s="90"/>
      <c r="T121" s="90"/>
      <c r="U121" s="90"/>
      <c r="V121" s="90"/>
      <c r="W121" s="90"/>
      <c r="X121" s="90"/>
      <c r="Y121" s="90"/>
      <c r="Z121" s="90"/>
      <c r="AA121" s="90"/>
      <c r="AB121" s="90"/>
      <c r="AC121" s="90"/>
      <c r="AD121" s="90"/>
      <c r="AE121" s="90"/>
      <c r="AF121" s="90"/>
      <c r="AG121" s="90"/>
      <c r="AH121" s="90"/>
      <c r="AI121" s="90"/>
      <c r="AJ121" s="90"/>
      <c r="AK121" s="90"/>
      <c r="AL121" s="90"/>
      <c r="AM121" s="90"/>
    </row>
    <row r="122" spans="1:39" s="94" customFormat="1" ht="22.9" customHeight="1" thickTop="1">
      <c r="A122" s="311" t="s">
        <v>10</v>
      </c>
      <c r="B122" s="311" t="s">
        <v>11</v>
      </c>
      <c r="C122" s="311" t="s">
        <v>12</v>
      </c>
      <c r="D122" s="241" t="s">
        <v>13</v>
      </c>
      <c r="E122" s="241" t="s">
        <v>14</v>
      </c>
      <c r="F122" s="241" t="s">
        <v>15</v>
      </c>
      <c r="G122" s="241" t="s">
        <v>16</v>
      </c>
      <c r="H122" s="241" t="s">
        <v>17</v>
      </c>
      <c r="I122" s="241" t="s">
        <v>118</v>
      </c>
      <c r="J122" s="241" t="s">
        <v>19</v>
      </c>
      <c r="K122" s="241" t="s">
        <v>20</v>
      </c>
      <c r="L122" s="241" t="s">
        <v>21</v>
      </c>
      <c r="M122" s="241" t="s">
        <v>22</v>
      </c>
      <c r="N122" s="241" t="s">
        <v>23</v>
      </c>
      <c r="O122" s="311" t="s">
        <v>24</v>
      </c>
      <c r="P122" s="241" t="s">
        <v>25</v>
      </c>
      <c r="Q122" s="241" t="s">
        <v>26</v>
      </c>
      <c r="R122" s="241" t="s">
        <v>27</v>
      </c>
      <c r="S122" s="241" t="s">
        <v>28</v>
      </c>
      <c r="T122" s="241" t="s">
        <v>29</v>
      </c>
      <c r="U122" s="311" t="s">
        <v>30</v>
      </c>
      <c r="V122" s="311" t="s">
        <v>31</v>
      </c>
      <c r="W122" s="241" t="s">
        <v>32</v>
      </c>
      <c r="X122" s="339" t="s">
        <v>33</v>
      </c>
      <c r="Y122" s="241" t="s">
        <v>34</v>
      </c>
      <c r="Z122" s="241" t="s">
        <v>35</v>
      </c>
      <c r="AA122" s="241" t="s">
        <v>36</v>
      </c>
      <c r="AB122" s="241" t="s">
        <v>37</v>
      </c>
      <c r="AC122" s="241" t="s">
        <v>38</v>
      </c>
      <c r="AD122" s="241" t="s">
        <v>39</v>
      </c>
      <c r="AE122" s="241" t="s">
        <v>40</v>
      </c>
      <c r="AF122" s="311" t="s">
        <v>41</v>
      </c>
      <c r="AG122" s="241" t="s">
        <v>42</v>
      </c>
      <c r="AH122" s="241" t="s">
        <v>43</v>
      </c>
      <c r="AI122" s="241" t="s">
        <v>143</v>
      </c>
      <c r="AJ122" s="241" t="s">
        <v>45</v>
      </c>
      <c r="AK122" s="241" t="s">
        <v>46</v>
      </c>
      <c r="AL122" s="241" t="s">
        <v>47</v>
      </c>
      <c r="AM122" s="241" t="s">
        <v>48</v>
      </c>
    </row>
    <row r="123" spans="1:39" s="94" customFormat="1" ht="22.9" customHeight="1" thickBot="1">
      <c r="A123" s="314"/>
      <c r="B123" s="314"/>
      <c r="C123" s="314"/>
      <c r="D123" s="242"/>
      <c r="E123" s="242"/>
      <c r="F123" s="242"/>
      <c r="G123" s="242"/>
      <c r="H123" s="242"/>
      <c r="I123" s="242"/>
      <c r="J123" s="242"/>
      <c r="K123" s="242"/>
      <c r="L123" s="313"/>
      <c r="M123" s="242"/>
      <c r="N123" s="242"/>
      <c r="O123" s="314"/>
      <c r="P123" s="242"/>
      <c r="Q123" s="242"/>
      <c r="R123" s="242"/>
      <c r="S123" s="310"/>
      <c r="T123" s="242"/>
      <c r="U123" s="312"/>
      <c r="V123" s="312"/>
      <c r="W123" s="310"/>
      <c r="X123" s="340"/>
      <c r="Y123" s="242"/>
      <c r="Z123" s="310"/>
      <c r="AA123" s="310"/>
      <c r="AB123" s="310"/>
      <c r="AC123" s="310"/>
      <c r="AD123" s="310"/>
      <c r="AE123" s="310"/>
      <c r="AF123" s="312"/>
      <c r="AG123" s="310"/>
      <c r="AH123" s="242"/>
      <c r="AI123" s="242">
        <v>2018</v>
      </c>
      <c r="AJ123" s="242"/>
      <c r="AK123" s="328"/>
      <c r="AL123" s="242"/>
      <c r="AM123" s="242"/>
    </row>
    <row r="124" spans="1:39" s="94" customFormat="1" ht="22.9" customHeight="1" thickTop="1">
      <c r="A124" s="329" t="s">
        <v>139</v>
      </c>
      <c r="B124" s="332" t="s">
        <v>64</v>
      </c>
      <c r="C124" s="382" t="s">
        <v>121</v>
      </c>
      <c r="D124" s="338" t="s">
        <v>122</v>
      </c>
      <c r="E124" s="338" t="s">
        <v>140</v>
      </c>
      <c r="F124" s="344" t="s">
        <v>141</v>
      </c>
      <c r="G124" s="344" t="s">
        <v>142</v>
      </c>
      <c r="H124" s="344" t="s">
        <v>141</v>
      </c>
      <c r="I124" s="348">
        <f>+L125</f>
        <v>0.95307619566151813</v>
      </c>
      <c r="J124" s="351">
        <v>0.1</v>
      </c>
      <c r="K124" s="315" t="s">
        <v>124</v>
      </c>
      <c r="L124" s="95" t="s">
        <v>57</v>
      </c>
      <c r="M124" s="96" t="s">
        <v>57</v>
      </c>
      <c r="N124" s="96" t="s">
        <v>57</v>
      </c>
      <c r="O124" s="97" t="s">
        <v>57</v>
      </c>
      <c r="P124" s="96" t="s">
        <v>57</v>
      </c>
      <c r="Q124" s="98" t="s">
        <v>57</v>
      </c>
      <c r="R124" s="96" t="s">
        <v>57</v>
      </c>
      <c r="S124" s="98" t="s">
        <v>57</v>
      </c>
      <c r="T124" s="96" t="s">
        <v>57</v>
      </c>
      <c r="U124" s="98" t="s">
        <v>57</v>
      </c>
      <c r="V124" s="96" t="s">
        <v>57</v>
      </c>
      <c r="W124" s="98" t="s">
        <v>57</v>
      </c>
      <c r="X124" s="96" t="s">
        <v>57</v>
      </c>
      <c r="Y124" s="98" t="s">
        <v>57</v>
      </c>
      <c r="Z124" s="96" t="s">
        <v>57</v>
      </c>
      <c r="AA124" s="98" t="s">
        <v>57</v>
      </c>
      <c r="AB124" s="96" t="s">
        <v>57</v>
      </c>
      <c r="AC124" s="98" t="s">
        <v>57</v>
      </c>
      <c r="AD124" s="96" t="s">
        <v>57</v>
      </c>
      <c r="AE124" s="98" t="s">
        <v>57</v>
      </c>
      <c r="AF124" s="96" t="s">
        <v>57</v>
      </c>
      <c r="AG124" s="98" t="s">
        <v>57</v>
      </c>
      <c r="AH124" s="96" t="s">
        <v>57</v>
      </c>
      <c r="AI124" s="98" t="s">
        <v>57</v>
      </c>
      <c r="AJ124" s="67"/>
      <c r="AK124" s="165" t="s">
        <v>72</v>
      </c>
      <c r="AL124" s="325"/>
      <c r="AM124" s="156" t="s">
        <v>125</v>
      </c>
    </row>
    <row r="125" spans="1:39" s="94" customFormat="1" ht="22.9" customHeight="1">
      <c r="A125" s="330"/>
      <c r="B125" s="333"/>
      <c r="C125" s="336"/>
      <c r="D125" s="465"/>
      <c r="E125" s="341"/>
      <c r="F125" s="345"/>
      <c r="G125" s="345"/>
      <c r="H125" s="345"/>
      <c r="I125" s="349"/>
      <c r="J125" s="352"/>
      <c r="K125" s="316"/>
      <c r="L125" s="41">
        <f>IF(L127&lt;&gt;0,+L127/L129,0%)</f>
        <v>0.95307619566151813</v>
      </c>
      <c r="M125" s="58">
        <f>IF(M127&lt;&gt;0,+M127/M129,0%)</f>
        <v>0.96798754109707563</v>
      </c>
      <c r="N125" s="61">
        <f>IF(N127&lt;&gt;0,+N127/N129,0%)</f>
        <v>0.96860339227715631</v>
      </c>
      <c r="O125" s="57">
        <f t="shared" ref="O125" si="160">IF(O127&lt;&gt;0,+O127/O129,0%)</f>
        <v>0.96828902040455789</v>
      </c>
      <c r="P125" s="61">
        <f>IF(P127&lt;&gt;0,ROUND(+P127/P129,4),0%)</f>
        <v>0.95589999999999997</v>
      </c>
      <c r="Q125" s="62">
        <f t="shared" ref="Q125" si="161">IF(Q127&lt;&gt;0,+Q127/Q129,0%)</f>
        <v>0.96360542350551681</v>
      </c>
      <c r="R125" s="63">
        <f>IF(R127&lt;&gt;0,ROUND(+R127/R129,4),0%)</f>
        <v>0.95640000000000003</v>
      </c>
      <c r="S125" s="62">
        <f t="shared" ref="S125" si="162">IF(S127&lt;&gt;0,+S127/S129,0%)</f>
        <v>0.96181788161479398</v>
      </c>
      <c r="T125" s="63">
        <f>IF(T127&lt;&gt;0,ROUND(+T127/T129,4),0%)</f>
        <v>0.9496</v>
      </c>
      <c r="U125" s="62">
        <f t="shared" ref="U125" si="163">IF(U127&lt;&gt;0,+U127/U129,0%)</f>
        <v>0.95945406125166444</v>
      </c>
      <c r="V125" s="63">
        <f>IF(V127&lt;&gt;0,ROUND(+V127/V129,4),0%)</f>
        <v>0.95920000000000005</v>
      </c>
      <c r="W125" s="62">
        <f t="shared" ref="W125" si="164">IF(W127&lt;&gt;0,+W127/W129,0%)</f>
        <v>0.95942078268015529</v>
      </c>
      <c r="X125" s="63">
        <f>IF(X127&lt;&gt;0,ROUND(+X127/X129,4),0%)</f>
        <v>0.92820000000000003</v>
      </c>
      <c r="Y125" s="62">
        <f t="shared" ref="Y125" si="165">IF(Y127&lt;&gt;0,+Y127/Y129,0%)</f>
        <v>0.95396491228070179</v>
      </c>
      <c r="Z125" s="64">
        <f>IF(Z127&lt;&gt;0,ROUND(+Z127/Z129,4),0%)</f>
        <v>0.9698</v>
      </c>
      <c r="AA125" s="62">
        <f t="shared" ref="AA125" si="166">IF(AA127&lt;&gt;0,+AA127/AA129,0%)</f>
        <v>0.95579230450972275</v>
      </c>
      <c r="AB125" s="63">
        <f>IF(AB127&lt;&gt;0,ROUND(+AB127/AB129,4),0%)</f>
        <v>0.96089999999999998</v>
      </c>
      <c r="AC125" s="62">
        <f t="shared" ref="AC125" si="167">IF(AC127&lt;&gt;0,+AC127/AC129,0%)</f>
        <v>0.95620964679073306</v>
      </c>
      <c r="AD125" s="63">
        <f>IF(AD127&lt;&gt;0,ROUND(+AD127/AD129,4),0%)</f>
        <v>0.9133</v>
      </c>
      <c r="AE125" s="62">
        <f t="shared" ref="AE125" si="168">IF(AE127&lt;&gt;0,+AE127/AE129,0%)</f>
        <v>0.95105444336753453</v>
      </c>
      <c r="AF125" s="63">
        <f>IF(AF127&lt;&gt;0,ROUND(+AF127/AF129,4),0%)</f>
        <v>0.96499999999999997</v>
      </c>
      <c r="AG125" s="62">
        <f t="shared" ref="AG125" si="169">IF(AG127&lt;&gt;0,+AG127/AG129,0%)</f>
        <v>0.95213806918868937</v>
      </c>
      <c r="AH125" s="63">
        <f>IF(AH127&lt;&gt;0,ROUND(+AH127/AH129,4),0%)</f>
        <v>0.96550000000000002</v>
      </c>
      <c r="AI125" s="62">
        <f>IF(AI127&lt;&gt;0,+AI127/AI129,0%)</f>
        <v>0.95307619566151813</v>
      </c>
      <c r="AJ125" s="68"/>
      <c r="AK125" s="166"/>
      <c r="AL125" s="326"/>
      <c r="AM125" s="157"/>
    </row>
    <row r="126" spans="1:39" s="94" customFormat="1" ht="22.9" customHeight="1" thickBot="1">
      <c r="A126" s="330"/>
      <c r="B126" s="333"/>
      <c r="C126" s="336"/>
      <c r="D126" s="465"/>
      <c r="E126" s="341"/>
      <c r="F126" s="345"/>
      <c r="G126" s="345"/>
      <c r="H126" s="345"/>
      <c r="I126" s="349"/>
      <c r="J126" s="352"/>
      <c r="K126" s="317"/>
      <c r="L126" s="99"/>
      <c r="M126" s="101" t="s">
        <v>60</v>
      </c>
      <c r="N126" s="101" t="s">
        <v>60</v>
      </c>
      <c r="O126" s="102" t="s">
        <v>60</v>
      </c>
      <c r="P126" s="101" t="s">
        <v>60</v>
      </c>
      <c r="Q126" s="103" t="s">
        <v>60</v>
      </c>
      <c r="R126" s="101" t="s">
        <v>60</v>
      </c>
      <c r="S126" s="103" t="s">
        <v>60</v>
      </c>
      <c r="T126" s="101" t="s">
        <v>60</v>
      </c>
      <c r="U126" s="103" t="s">
        <v>60</v>
      </c>
      <c r="V126" s="101" t="s">
        <v>60</v>
      </c>
      <c r="W126" s="103" t="s">
        <v>60</v>
      </c>
      <c r="X126" s="101" t="s">
        <v>60</v>
      </c>
      <c r="Y126" s="103" t="s">
        <v>60</v>
      </c>
      <c r="Z126" s="101" t="s">
        <v>60</v>
      </c>
      <c r="AA126" s="103" t="s">
        <v>60</v>
      </c>
      <c r="AB126" s="101" t="s">
        <v>60</v>
      </c>
      <c r="AC126" s="103" t="s">
        <v>60</v>
      </c>
      <c r="AD126" s="101" t="s">
        <v>60</v>
      </c>
      <c r="AE126" s="103" t="s">
        <v>60</v>
      </c>
      <c r="AF126" s="101" t="s">
        <v>60</v>
      </c>
      <c r="AG126" s="103" t="s">
        <v>60</v>
      </c>
      <c r="AH126" s="101" t="s">
        <v>60</v>
      </c>
      <c r="AI126" s="103" t="s">
        <v>60</v>
      </c>
      <c r="AJ126" s="68"/>
      <c r="AK126" s="166"/>
      <c r="AL126" s="326"/>
      <c r="AM126" s="157"/>
    </row>
    <row r="127" spans="1:39" s="94" customFormat="1" ht="22.9" customHeight="1" thickTop="1">
      <c r="A127" s="330"/>
      <c r="B127" s="333"/>
      <c r="C127" s="336"/>
      <c r="D127" s="465"/>
      <c r="E127" s="341"/>
      <c r="F127" s="345"/>
      <c r="G127" s="345"/>
      <c r="H127" s="345"/>
      <c r="I127" s="349"/>
      <c r="J127" s="352"/>
      <c r="K127" s="316" t="s">
        <v>74</v>
      </c>
      <c r="L127" s="104">
        <v>66519</v>
      </c>
      <c r="M127" s="105">
        <v>5594</v>
      </c>
      <c r="N127" s="105">
        <v>5368</v>
      </c>
      <c r="O127" s="106">
        <f>+M127+N127</f>
        <v>10962</v>
      </c>
      <c r="P127" s="105">
        <v>6592</v>
      </c>
      <c r="Q127" s="106">
        <f>+O127+P127</f>
        <v>17554</v>
      </c>
      <c r="R127" s="105">
        <v>5747</v>
      </c>
      <c r="S127" s="106">
        <f>+Q127+R127</f>
        <v>23301</v>
      </c>
      <c r="T127" s="105">
        <v>5521</v>
      </c>
      <c r="U127" s="106">
        <f>+S127+T127</f>
        <v>28822</v>
      </c>
      <c r="V127" s="105">
        <v>5035</v>
      </c>
      <c r="W127" s="106">
        <f>+U127+V127</f>
        <v>33857</v>
      </c>
      <c r="X127" s="105">
        <v>6925</v>
      </c>
      <c r="Y127" s="106">
        <f>+W127+X127</f>
        <v>40782</v>
      </c>
      <c r="Z127" s="105">
        <v>5421</v>
      </c>
      <c r="AA127" s="106">
        <f>+Y127+Z127</f>
        <v>46203</v>
      </c>
      <c r="AB127" s="105">
        <v>4151</v>
      </c>
      <c r="AC127" s="106">
        <f>+AA127+AB127</f>
        <v>50354</v>
      </c>
      <c r="AD127" s="105">
        <v>6559</v>
      </c>
      <c r="AE127" s="106">
        <f>+AC127+AD127</f>
        <v>56913</v>
      </c>
      <c r="AF127" s="105">
        <v>4876</v>
      </c>
      <c r="AG127" s="106">
        <f>+AE127+AF127</f>
        <v>61789</v>
      </c>
      <c r="AH127" s="105">
        <v>4730</v>
      </c>
      <c r="AI127" s="106">
        <f>SUM(AG127:AH127)</f>
        <v>66519</v>
      </c>
      <c r="AJ127" s="29">
        <f>+AI125/L125</f>
        <v>1</v>
      </c>
      <c r="AK127" s="166"/>
      <c r="AL127" s="326"/>
      <c r="AM127" s="157"/>
    </row>
    <row r="128" spans="1:39" s="94" customFormat="1" ht="22.9" customHeight="1">
      <c r="A128" s="330"/>
      <c r="B128" s="333"/>
      <c r="C128" s="336"/>
      <c r="D128" s="465"/>
      <c r="E128" s="341"/>
      <c r="F128" s="345"/>
      <c r="G128" s="345"/>
      <c r="H128" s="345"/>
      <c r="I128" s="349"/>
      <c r="J128" s="352"/>
      <c r="K128" s="347"/>
      <c r="L128" s="99" t="s">
        <v>126</v>
      </c>
      <c r="M128" s="107" t="s">
        <v>62</v>
      </c>
      <c r="N128" s="107" t="s">
        <v>62</v>
      </c>
      <c r="O128" s="108" t="s">
        <v>62</v>
      </c>
      <c r="P128" s="107" t="s">
        <v>62</v>
      </c>
      <c r="Q128" s="109" t="s">
        <v>62</v>
      </c>
      <c r="R128" s="107"/>
      <c r="S128" s="109" t="s">
        <v>62</v>
      </c>
      <c r="T128" s="107" t="s">
        <v>62</v>
      </c>
      <c r="U128" s="109" t="s">
        <v>62</v>
      </c>
      <c r="V128" s="107" t="s">
        <v>62</v>
      </c>
      <c r="W128" s="109" t="s">
        <v>62</v>
      </c>
      <c r="X128" s="107" t="s">
        <v>62</v>
      </c>
      <c r="Y128" s="109" t="s">
        <v>62</v>
      </c>
      <c r="Z128" s="107" t="s">
        <v>62</v>
      </c>
      <c r="AA128" s="109" t="s">
        <v>62</v>
      </c>
      <c r="AB128" s="107" t="s">
        <v>62</v>
      </c>
      <c r="AC128" s="109" t="s">
        <v>62</v>
      </c>
      <c r="AD128" s="107" t="s">
        <v>62</v>
      </c>
      <c r="AE128" s="109" t="s">
        <v>62</v>
      </c>
      <c r="AF128" s="107" t="s">
        <v>62</v>
      </c>
      <c r="AG128" s="109" t="s">
        <v>62</v>
      </c>
      <c r="AH128" s="107" t="s">
        <v>62</v>
      </c>
      <c r="AI128" s="108" t="s">
        <v>62</v>
      </c>
      <c r="AJ128" s="68"/>
      <c r="AK128" s="166"/>
      <c r="AL128" s="326"/>
      <c r="AM128" s="157"/>
    </row>
    <row r="129" spans="1:41" s="94" customFormat="1" ht="22.9" customHeight="1" thickBot="1">
      <c r="A129" s="331"/>
      <c r="B129" s="334"/>
      <c r="C129" s="337"/>
      <c r="D129" s="466"/>
      <c r="E129" s="342"/>
      <c r="F129" s="346"/>
      <c r="G129" s="346"/>
      <c r="H129" s="346"/>
      <c r="I129" s="350"/>
      <c r="J129" s="353"/>
      <c r="K129" s="317"/>
      <c r="L129" s="110">
        <v>69794</v>
      </c>
      <c r="M129" s="111">
        <v>5779</v>
      </c>
      <c r="N129" s="111">
        <v>5542</v>
      </c>
      <c r="O129" s="112">
        <f t="shared" ref="O129" si="170">+M129+N129</f>
        <v>11321</v>
      </c>
      <c r="P129" s="111">
        <v>6896</v>
      </c>
      <c r="Q129" s="112">
        <f t="shared" ref="Q129" si="171">+O129+P129</f>
        <v>18217</v>
      </c>
      <c r="R129" s="111">
        <v>6009</v>
      </c>
      <c r="S129" s="112">
        <f t="shared" ref="S129" si="172">+Q129+R129</f>
        <v>24226</v>
      </c>
      <c r="T129" s="111">
        <v>5814</v>
      </c>
      <c r="U129" s="112">
        <f t="shared" ref="U129" si="173">+S129+T129</f>
        <v>30040</v>
      </c>
      <c r="V129" s="111">
        <v>5249</v>
      </c>
      <c r="W129" s="112">
        <f t="shared" ref="W129" si="174">+U129+V129</f>
        <v>35289</v>
      </c>
      <c r="X129" s="111">
        <v>7461</v>
      </c>
      <c r="Y129" s="112">
        <f t="shared" ref="Y129" si="175">+W129+X129</f>
        <v>42750</v>
      </c>
      <c r="Z129" s="111">
        <v>5590</v>
      </c>
      <c r="AA129" s="112">
        <f t="shared" ref="AA129" si="176">+Y129+Z129</f>
        <v>48340</v>
      </c>
      <c r="AB129" s="111">
        <v>4320</v>
      </c>
      <c r="AC129" s="112">
        <f t="shared" ref="AC129" si="177">+AA129+AB129</f>
        <v>52660</v>
      </c>
      <c r="AD129" s="111">
        <v>7182</v>
      </c>
      <c r="AE129" s="112">
        <f t="shared" ref="AE129" si="178">+AC129+AD129</f>
        <v>59842</v>
      </c>
      <c r="AF129" s="111">
        <v>5053</v>
      </c>
      <c r="AG129" s="112">
        <f t="shared" ref="AG129" si="179">+AE129+AF129</f>
        <v>64895</v>
      </c>
      <c r="AH129" s="111">
        <v>4899</v>
      </c>
      <c r="AI129" s="112">
        <f>SUM(AG129:AH129)</f>
        <v>69794</v>
      </c>
      <c r="AJ129" s="69"/>
      <c r="AK129" s="167"/>
      <c r="AL129" s="327"/>
      <c r="AM129" s="158"/>
      <c r="AO129" s="115"/>
    </row>
    <row r="130" spans="1:41" ht="12.95" thickTop="1"/>
    <row r="131" spans="1:41" s="89" customFormat="1" ht="20.45" thickBot="1">
      <c r="A131" s="114" t="s">
        <v>128</v>
      </c>
      <c r="L131" s="90"/>
      <c r="M131" s="90"/>
      <c r="N131" s="90"/>
      <c r="O131" s="90"/>
      <c r="P131" s="90"/>
      <c r="Q131" s="90"/>
      <c r="R131" s="90"/>
      <c r="S131" s="90"/>
      <c r="T131" s="90"/>
      <c r="U131" s="90"/>
      <c r="V131" s="90"/>
      <c r="W131" s="90"/>
      <c r="X131" s="90"/>
      <c r="Y131" s="90"/>
      <c r="Z131" s="90"/>
      <c r="AA131" s="90"/>
      <c r="AB131" s="90"/>
      <c r="AC131" s="90"/>
      <c r="AD131" s="90"/>
      <c r="AE131" s="90"/>
      <c r="AF131" s="90"/>
      <c r="AG131" s="90"/>
      <c r="AH131" s="90"/>
      <c r="AI131" s="90"/>
      <c r="AJ131" s="90"/>
      <c r="AK131" s="90"/>
      <c r="AL131" s="90"/>
      <c r="AM131" s="90"/>
    </row>
    <row r="132" spans="1:41" s="94" customFormat="1" ht="22.9" customHeight="1" thickTop="1">
      <c r="A132" s="311" t="s">
        <v>10</v>
      </c>
      <c r="B132" s="311" t="s">
        <v>11</v>
      </c>
      <c r="C132" s="311" t="s">
        <v>12</v>
      </c>
      <c r="D132" s="241" t="s">
        <v>13</v>
      </c>
      <c r="E132" s="241" t="s">
        <v>14</v>
      </c>
      <c r="F132" s="241" t="s">
        <v>15</v>
      </c>
      <c r="G132" s="241" t="s">
        <v>16</v>
      </c>
      <c r="H132" s="241" t="s">
        <v>17</v>
      </c>
      <c r="I132" s="241" t="s">
        <v>118</v>
      </c>
      <c r="J132" s="241" t="s">
        <v>19</v>
      </c>
      <c r="K132" s="241" t="s">
        <v>20</v>
      </c>
      <c r="L132" s="241" t="s">
        <v>21</v>
      </c>
      <c r="M132" s="241" t="s">
        <v>22</v>
      </c>
      <c r="N132" s="241" t="s">
        <v>23</v>
      </c>
      <c r="O132" s="311" t="s">
        <v>24</v>
      </c>
      <c r="P132" s="241" t="s">
        <v>25</v>
      </c>
      <c r="Q132" s="241" t="s">
        <v>26</v>
      </c>
      <c r="R132" s="241" t="s">
        <v>27</v>
      </c>
      <c r="S132" s="241" t="s">
        <v>28</v>
      </c>
      <c r="T132" s="241" t="s">
        <v>29</v>
      </c>
      <c r="U132" s="311" t="s">
        <v>30</v>
      </c>
      <c r="V132" s="311" t="s">
        <v>31</v>
      </c>
      <c r="W132" s="241" t="s">
        <v>32</v>
      </c>
      <c r="X132" s="339" t="s">
        <v>33</v>
      </c>
      <c r="Y132" s="241" t="s">
        <v>34</v>
      </c>
      <c r="Z132" s="241" t="s">
        <v>35</v>
      </c>
      <c r="AA132" s="241" t="s">
        <v>36</v>
      </c>
      <c r="AB132" s="241" t="s">
        <v>37</v>
      </c>
      <c r="AC132" s="241" t="s">
        <v>38</v>
      </c>
      <c r="AD132" s="241" t="s">
        <v>39</v>
      </c>
      <c r="AE132" s="241" t="s">
        <v>40</v>
      </c>
      <c r="AF132" s="311" t="s">
        <v>41</v>
      </c>
      <c r="AG132" s="241" t="s">
        <v>42</v>
      </c>
      <c r="AH132" s="241" t="s">
        <v>43</v>
      </c>
      <c r="AI132" s="241" t="s">
        <v>143</v>
      </c>
      <c r="AJ132" s="241" t="s">
        <v>45</v>
      </c>
      <c r="AK132" s="241" t="s">
        <v>46</v>
      </c>
      <c r="AL132" s="241" t="s">
        <v>47</v>
      </c>
      <c r="AM132" s="241" t="s">
        <v>48</v>
      </c>
    </row>
    <row r="133" spans="1:41" s="94" customFormat="1" ht="22.9" customHeight="1" thickBot="1">
      <c r="A133" s="314"/>
      <c r="B133" s="314"/>
      <c r="C133" s="314"/>
      <c r="D133" s="242"/>
      <c r="E133" s="242"/>
      <c r="F133" s="242"/>
      <c r="G133" s="242"/>
      <c r="H133" s="242"/>
      <c r="I133" s="242"/>
      <c r="J133" s="242"/>
      <c r="K133" s="242"/>
      <c r="L133" s="313"/>
      <c r="M133" s="242"/>
      <c r="N133" s="242"/>
      <c r="O133" s="314"/>
      <c r="P133" s="242"/>
      <c r="Q133" s="242"/>
      <c r="R133" s="242"/>
      <c r="S133" s="310"/>
      <c r="T133" s="242"/>
      <c r="U133" s="312"/>
      <c r="V133" s="312"/>
      <c r="W133" s="310"/>
      <c r="X133" s="340"/>
      <c r="Y133" s="242"/>
      <c r="Z133" s="310"/>
      <c r="AA133" s="310"/>
      <c r="AB133" s="310"/>
      <c r="AC133" s="310"/>
      <c r="AD133" s="310"/>
      <c r="AE133" s="310"/>
      <c r="AF133" s="312"/>
      <c r="AG133" s="310"/>
      <c r="AH133" s="242"/>
      <c r="AI133" s="242">
        <v>2018</v>
      </c>
      <c r="AJ133" s="242"/>
      <c r="AK133" s="328"/>
      <c r="AL133" s="242"/>
      <c r="AM133" s="242"/>
    </row>
    <row r="134" spans="1:41" s="94" customFormat="1" ht="22.9" customHeight="1" thickTop="1">
      <c r="A134" s="329" t="s">
        <v>139</v>
      </c>
      <c r="B134" s="332" t="s">
        <v>64</v>
      </c>
      <c r="C134" s="382" t="s">
        <v>121</v>
      </c>
      <c r="D134" s="338" t="s">
        <v>122</v>
      </c>
      <c r="E134" s="338" t="s">
        <v>140</v>
      </c>
      <c r="F134" s="344" t="s">
        <v>141</v>
      </c>
      <c r="G134" s="344" t="s">
        <v>142</v>
      </c>
      <c r="H134" s="344" t="s">
        <v>141</v>
      </c>
      <c r="I134" s="348">
        <f>+L135</f>
        <v>0.95530961674946768</v>
      </c>
      <c r="J134" s="351">
        <v>0.1</v>
      </c>
      <c r="K134" s="315" t="s">
        <v>124</v>
      </c>
      <c r="L134" s="95" t="s">
        <v>57</v>
      </c>
      <c r="M134" s="96" t="s">
        <v>57</v>
      </c>
      <c r="N134" s="96" t="s">
        <v>57</v>
      </c>
      <c r="O134" s="97" t="s">
        <v>57</v>
      </c>
      <c r="P134" s="96" t="s">
        <v>57</v>
      </c>
      <c r="Q134" s="98" t="s">
        <v>57</v>
      </c>
      <c r="R134" s="96" t="s">
        <v>57</v>
      </c>
      <c r="S134" s="98" t="s">
        <v>57</v>
      </c>
      <c r="T134" s="96" t="s">
        <v>57</v>
      </c>
      <c r="U134" s="98" t="s">
        <v>57</v>
      </c>
      <c r="V134" s="96" t="s">
        <v>57</v>
      </c>
      <c r="W134" s="98" t="s">
        <v>57</v>
      </c>
      <c r="X134" s="96" t="s">
        <v>57</v>
      </c>
      <c r="Y134" s="98" t="s">
        <v>57</v>
      </c>
      <c r="Z134" s="96" t="s">
        <v>57</v>
      </c>
      <c r="AA134" s="98" t="s">
        <v>57</v>
      </c>
      <c r="AB134" s="96" t="s">
        <v>57</v>
      </c>
      <c r="AC134" s="98" t="s">
        <v>57</v>
      </c>
      <c r="AD134" s="96" t="s">
        <v>57</v>
      </c>
      <c r="AE134" s="98" t="s">
        <v>57</v>
      </c>
      <c r="AF134" s="96" t="s">
        <v>57</v>
      </c>
      <c r="AG134" s="98" t="s">
        <v>57</v>
      </c>
      <c r="AH134" s="96" t="s">
        <v>57</v>
      </c>
      <c r="AI134" s="98" t="s">
        <v>57</v>
      </c>
      <c r="AJ134" s="67"/>
      <c r="AK134" s="165" t="s">
        <v>72</v>
      </c>
      <c r="AL134" s="325"/>
      <c r="AM134" s="156" t="s">
        <v>125</v>
      </c>
    </row>
    <row r="135" spans="1:41" s="94" customFormat="1" ht="22.9" customHeight="1">
      <c r="A135" s="330"/>
      <c r="B135" s="333"/>
      <c r="C135" s="336"/>
      <c r="D135" s="465"/>
      <c r="E135" s="341"/>
      <c r="F135" s="345"/>
      <c r="G135" s="345"/>
      <c r="H135" s="345"/>
      <c r="I135" s="349"/>
      <c r="J135" s="352"/>
      <c r="K135" s="316"/>
      <c r="L135" s="41">
        <f>IF(L137&lt;&gt;0,+L137/L139,0%)</f>
        <v>0.95530961674946768</v>
      </c>
      <c r="M135" s="58">
        <f>IF(M137&lt;&gt;0,+M137/M139,0%)</f>
        <v>0.96835443037974689</v>
      </c>
      <c r="N135" s="61">
        <f>IF(N137&lt;&gt;0,+N137/N139,0%)</f>
        <v>0.96802325581395354</v>
      </c>
      <c r="O135" s="57">
        <f t="shared" ref="O135" si="180">IF(O137&lt;&gt;0,+O137/O139,0%)</f>
        <v>0.96820027063599456</v>
      </c>
      <c r="P135" s="61">
        <f>IF(P137&lt;&gt;0,ROUND(+P137/P139,4),0%)</f>
        <v>0.95750000000000002</v>
      </c>
      <c r="Q135" s="62">
        <f t="shared" ref="Q135" si="181">IF(Q137&lt;&gt;0,+Q137/Q139,0%)</f>
        <v>0.96439763231197773</v>
      </c>
      <c r="R135" s="63">
        <f>IF(R137&lt;&gt;0,ROUND(+R137/R139,4),0%)</f>
        <v>0.9587</v>
      </c>
      <c r="S135" s="62">
        <f t="shared" ref="S135" si="182">IF(S137&lt;&gt;0,+S137/S139,0%)</f>
        <v>0.96293661060802072</v>
      </c>
      <c r="T135" s="63">
        <f>IF(T137&lt;&gt;0,ROUND(+T137/T139,4),0%)</f>
        <v>0.94710000000000005</v>
      </c>
      <c r="U135" s="62">
        <f t="shared" ref="U135" si="183">IF(U137&lt;&gt;0,+U137/U139,0%)</f>
        <v>0.95958977498851983</v>
      </c>
      <c r="V135" s="63">
        <f>IF(V137&lt;&gt;0,ROUND(+V137/V139,4),0%)</f>
        <v>0.95779999999999998</v>
      </c>
      <c r="W135" s="62">
        <f t="shared" ref="W135" si="184">IF(W137&lt;&gt;0,+W137/W139,0%)</f>
        <v>0.95931237042156181</v>
      </c>
      <c r="X135" s="63">
        <f>IF(X137&lt;&gt;0,ROUND(+X137/X139,4),0%)</f>
        <v>0.93779999999999997</v>
      </c>
      <c r="Y135" s="62">
        <f t="shared" ref="Y135" si="185">IF(Y137&lt;&gt;0,+Y137/Y139,0%)</f>
        <v>0.95569210866752907</v>
      </c>
      <c r="Z135" s="64">
        <f>IF(Z137&lt;&gt;0,ROUND(+Z137/Z139,4),0%)</f>
        <v>0.9738</v>
      </c>
      <c r="AA135" s="62">
        <f t="shared" ref="AA135" si="186">IF(AA137&lt;&gt;0,+AA137/AA139,0%)</f>
        <v>0.95771636456471787</v>
      </c>
      <c r="AB135" s="63">
        <f>IF(AB137&lt;&gt;0,ROUND(+AB137/AB139,4),0%)</f>
        <v>0.95960000000000001</v>
      </c>
      <c r="AC135" s="62">
        <f t="shared" ref="AC135" si="187">IF(AC137&lt;&gt;0,+AC137/AC139,0%)</f>
        <v>0.95788126472555923</v>
      </c>
      <c r="AD135" s="63">
        <f>IF(AD137&lt;&gt;0,ROUND(+AD137/AD139,4),0%)</f>
        <v>0.92310000000000003</v>
      </c>
      <c r="AE135" s="62">
        <f t="shared" ref="AE135" si="188">IF(AE137&lt;&gt;0,+AE137/AE139,0%)</f>
        <v>0.95382717952670937</v>
      </c>
      <c r="AF135" s="63">
        <f>IF(AF137&lt;&gt;0,ROUND(+AF137/AF139,4),0%)</f>
        <v>0.96760000000000002</v>
      </c>
      <c r="AG135" s="62">
        <f t="shared" ref="AG135" si="189">IF(AG137&lt;&gt;0,+AG137/AG139,0%)</f>
        <v>0.95486201896793521</v>
      </c>
      <c r="AH135" s="63">
        <f>IF(AH137&lt;&gt;0,ROUND(+AH137/AH139,4),0%)</f>
        <v>0.96160000000000001</v>
      </c>
      <c r="AI135" s="62">
        <f>IF(AI137&lt;&gt;0,+AI137/AI139,0%)</f>
        <v>0.95530961674946768</v>
      </c>
      <c r="AJ135" s="68"/>
      <c r="AK135" s="166"/>
      <c r="AL135" s="326"/>
      <c r="AM135" s="157"/>
    </row>
    <row r="136" spans="1:41" s="94" customFormat="1" ht="22.9" customHeight="1" thickBot="1">
      <c r="A136" s="330"/>
      <c r="B136" s="333"/>
      <c r="C136" s="336"/>
      <c r="D136" s="465"/>
      <c r="E136" s="341"/>
      <c r="F136" s="345"/>
      <c r="G136" s="345"/>
      <c r="H136" s="345"/>
      <c r="I136" s="349"/>
      <c r="J136" s="352"/>
      <c r="K136" s="317"/>
      <c r="L136" s="99"/>
      <c r="M136" s="101" t="s">
        <v>60</v>
      </c>
      <c r="N136" s="101" t="s">
        <v>60</v>
      </c>
      <c r="O136" s="102" t="s">
        <v>60</v>
      </c>
      <c r="P136" s="101" t="s">
        <v>60</v>
      </c>
      <c r="Q136" s="103" t="s">
        <v>60</v>
      </c>
      <c r="R136" s="101" t="s">
        <v>60</v>
      </c>
      <c r="S136" s="103" t="s">
        <v>60</v>
      </c>
      <c r="T136" s="101" t="s">
        <v>60</v>
      </c>
      <c r="U136" s="103" t="s">
        <v>60</v>
      </c>
      <c r="V136" s="101" t="s">
        <v>60</v>
      </c>
      <c r="W136" s="103" t="s">
        <v>60</v>
      </c>
      <c r="X136" s="101" t="s">
        <v>60</v>
      </c>
      <c r="Y136" s="103" t="s">
        <v>60</v>
      </c>
      <c r="Z136" s="101" t="s">
        <v>60</v>
      </c>
      <c r="AA136" s="103" t="s">
        <v>60</v>
      </c>
      <c r="AB136" s="101" t="s">
        <v>60</v>
      </c>
      <c r="AC136" s="103" t="s">
        <v>60</v>
      </c>
      <c r="AD136" s="101" t="s">
        <v>60</v>
      </c>
      <c r="AE136" s="103" t="s">
        <v>60</v>
      </c>
      <c r="AF136" s="101" t="s">
        <v>60</v>
      </c>
      <c r="AG136" s="103" t="s">
        <v>60</v>
      </c>
      <c r="AH136" s="101" t="s">
        <v>60</v>
      </c>
      <c r="AI136" s="103" t="s">
        <v>60</v>
      </c>
      <c r="AJ136" s="68"/>
      <c r="AK136" s="166"/>
      <c r="AL136" s="326"/>
      <c r="AM136" s="157"/>
    </row>
    <row r="137" spans="1:41" s="94" customFormat="1" ht="22.9" customHeight="1" thickTop="1">
      <c r="A137" s="330"/>
      <c r="B137" s="333"/>
      <c r="C137" s="336"/>
      <c r="D137" s="465"/>
      <c r="E137" s="341"/>
      <c r="F137" s="345"/>
      <c r="G137" s="345"/>
      <c r="H137" s="345"/>
      <c r="I137" s="349"/>
      <c r="J137" s="352"/>
      <c r="K137" s="316" t="s">
        <v>74</v>
      </c>
      <c r="L137" s="104">
        <v>43073</v>
      </c>
      <c r="M137" s="105">
        <v>3825</v>
      </c>
      <c r="N137" s="105">
        <v>3330</v>
      </c>
      <c r="O137" s="106">
        <f>+M137+N137</f>
        <v>7155</v>
      </c>
      <c r="P137" s="105">
        <v>3924</v>
      </c>
      <c r="Q137" s="106">
        <f>+O137+P137</f>
        <v>11079</v>
      </c>
      <c r="R137" s="105">
        <v>3808</v>
      </c>
      <c r="S137" s="106">
        <f>+Q137+R137</f>
        <v>14887</v>
      </c>
      <c r="T137" s="105">
        <v>3920</v>
      </c>
      <c r="U137" s="106">
        <f>+S137+T137</f>
        <v>18807</v>
      </c>
      <c r="V137" s="105">
        <v>3403</v>
      </c>
      <c r="W137" s="106">
        <f>+U137+V137</f>
        <v>22210</v>
      </c>
      <c r="X137" s="105">
        <v>4385</v>
      </c>
      <c r="Y137" s="106">
        <f>+W137+X137</f>
        <v>26595</v>
      </c>
      <c r="Z137" s="105">
        <v>3416</v>
      </c>
      <c r="AA137" s="106">
        <f>+Y137+Z137</f>
        <v>30011</v>
      </c>
      <c r="AB137" s="105">
        <v>2920</v>
      </c>
      <c r="AC137" s="106">
        <f>+AA137+AB137</f>
        <v>32931</v>
      </c>
      <c r="AD137" s="105">
        <v>4191</v>
      </c>
      <c r="AE137" s="106">
        <f>+AC137+AD137</f>
        <v>37122</v>
      </c>
      <c r="AF137" s="105">
        <v>3050</v>
      </c>
      <c r="AG137" s="106">
        <f>+AE137+AF137</f>
        <v>40172</v>
      </c>
      <c r="AH137" s="105">
        <v>2901</v>
      </c>
      <c r="AI137" s="106">
        <f>SUM(AG137:AH137)</f>
        <v>43073</v>
      </c>
      <c r="AJ137" s="29">
        <f>+AI135/L135</f>
        <v>1</v>
      </c>
      <c r="AK137" s="166"/>
      <c r="AL137" s="326"/>
      <c r="AM137" s="157"/>
    </row>
    <row r="138" spans="1:41" s="94" customFormat="1" ht="22.9" customHeight="1">
      <c r="A138" s="330"/>
      <c r="B138" s="333"/>
      <c r="C138" s="336"/>
      <c r="D138" s="465"/>
      <c r="E138" s="341"/>
      <c r="F138" s="345"/>
      <c r="G138" s="345"/>
      <c r="H138" s="345"/>
      <c r="I138" s="349"/>
      <c r="J138" s="352"/>
      <c r="K138" s="347"/>
      <c r="L138" s="99" t="s">
        <v>126</v>
      </c>
      <c r="M138" s="107" t="s">
        <v>62</v>
      </c>
      <c r="N138" s="107" t="s">
        <v>62</v>
      </c>
      <c r="O138" s="108" t="s">
        <v>62</v>
      </c>
      <c r="P138" s="107" t="s">
        <v>62</v>
      </c>
      <c r="Q138" s="109" t="s">
        <v>62</v>
      </c>
      <c r="R138" s="107"/>
      <c r="S138" s="109" t="s">
        <v>62</v>
      </c>
      <c r="T138" s="107" t="s">
        <v>62</v>
      </c>
      <c r="U138" s="109" t="s">
        <v>62</v>
      </c>
      <c r="V138" s="107" t="s">
        <v>62</v>
      </c>
      <c r="W138" s="109" t="s">
        <v>62</v>
      </c>
      <c r="X138" s="107" t="s">
        <v>62</v>
      </c>
      <c r="Y138" s="109" t="s">
        <v>62</v>
      </c>
      <c r="Z138" s="107" t="s">
        <v>62</v>
      </c>
      <c r="AA138" s="109" t="s">
        <v>62</v>
      </c>
      <c r="AB138" s="107" t="s">
        <v>62</v>
      </c>
      <c r="AC138" s="109" t="s">
        <v>62</v>
      </c>
      <c r="AD138" s="107" t="s">
        <v>62</v>
      </c>
      <c r="AE138" s="109" t="s">
        <v>62</v>
      </c>
      <c r="AF138" s="107" t="s">
        <v>62</v>
      </c>
      <c r="AG138" s="109" t="s">
        <v>62</v>
      </c>
      <c r="AH138" s="107" t="s">
        <v>62</v>
      </c>
      <c r="AI138" s="108" t="s">
        <v>62</v>
      </c>
      <c r="AJ138" s="68"/>
      <c r="AK138" s="166"/>
      <c r="AL138" s="326"/>
      <c r="AM138" s="157"/>
    </row>
    <row r="139" spans="1:41" s="94" customFormat="1" ht="22.9" customHeight="1" thickBot="1">
      <c r="A139" s="331"/>
      <c r="B139" s="334"/>
      <c r="C139" s="337"/>
      <c r="D139" s="466"/>
      <c r="E139" s="342"/>
      <c r="F139" s="346"/>
      <c r="G139" s="346"/>
      <c r="H139" s="346"/>
      <c r="I139" s="350"/>
      <c r="J139" s="353"/>
      <c r="K139" s="317"/>
      <c r="L139" s="110">
        <v>45088</v>
      </c>
      <c r="M139" s="111">
        <v>3950</v>
      </c>
      <c r="N139" s="111">
        <v>3440</v>
      </c>
      <c r="O139" s="112">
        <f t="shared" ref="O139" si="190">+M139+N139</f>
        <v>7390</v>
      </c>
      <c r="P139" s="111">
        <v>4098</v>
      </c>
      <c r="Q139" s="112">
        <f t="shared" ref="Q139" si="191">+O139+P139</f>
        <v>11488</v>
      </c>
      <c r="R139" s="111">
        <v>3972</v>
      </c>
      <c r="S139" s="112">
        <f t="shared" ref="S139" si="192">+Q139+R139</f>
        <v>15460</v>
      </c>
      <c r="T139" s="111">
        <v>4139</v>
      </c>
      <c r="U139" s="112">
        <f t="shared" ref="U139" si="193">+S139+T139</f>
        <v>19599</v>
      </c>
      <c r="V139" s="111">
        <v>3553</v>
      </c>
      <c r="W139" s="112">
        <f t="shared" ref="W139" si="194">+U139+V139</f>
        <v>23152</v>
      </c>
      <c r="X139" s="111">
        <v>4676</v>
      </c>
      <c r="Y139" s="112">
        <f t="shared" ref="Y139" si="195">+W139+X139</f>
        <v>27828</v>
      </c>
      <c r="Z139" s="111">
        <v>3508</v>
      </c>
      <c r="AA139" s="112">
        <f t="shared" ref="AA139" si="196">+Y139+Z139</f>
        <v>31336</v>
      </c>
      <c r="AB139" s="111">
        <v>3043</v>
      </c>
      <c r="AC139" s="112">
        <f t="shared" ref="AC139" si="197">+AA139+AB139</f>
        <v>34379</v>
      </c>
      <c r="AD139" s="111">
        <v>4540</v>
      </c>
      <c r="AE139" s="112">
        <f t="shared" ref="AE139" si="198">+AC139+AD139</f>
        <v>38919</v>
      </c>
      <c r="AF139" s="111">
        <v>3152</v>
      </c>
      <c r="AG139" s="112">
        <f t="shared" ref="AG139" si="199">+AE139+AF139</f>
        <v>42071</v>
      </c>
      <c r="AH139" s="111">
        <v>3017</v>
      </c>
      <c r="AI139" s="112">
        <f>SUM(AG139:AH139)</f>
        <v>45088</v>
      </c>
      <c r="AJ139" s="69"/>
      <c r="AK139" s="167"/>
      <c r="AL139" s="327"/>
      <c r="AM139" s="158"/>
    </row>
    <row r="140" spans="1:41" ht="12.95" thickTop="1"/>
    <row r="143" spans="1:41" s="122" customFormat="1" ht="15.6">
      <c r="C143" s="123" t="s">
        <v>144</v>
      </c>
      <c r="D143" s="123"/>
      <c r="E143" s="124"/>
      <c r="F143" s="124"/>
      <c r="G143" s="123"/>
      <c r="H143" s="123"/>
      <c r="I143" s="123"/>
      <c r="J143" s="123"/>
      <c r="K143" s="123"/>
      <c r="L143" s="93"/>
      <c r="M143" s="81"/>
      <c r="N143" s="93"/>
      <c r="O143" s="81"/>
      <c r="P143" s="93"/>
      <c r="Q143" s="81"/>
      <c r="R143" s="93"/>
      <c r="S143" s="81"/>
      <c r="T143" s="93"/>
      <c r="U143" s="81"/>
      <c r="V143" s="93"/>
      <c r="W143" s="81"/>
      <c r="X143" s="93"/>
      <c r="Y143" s="81"/>
      <c r="Z143" s="93"/>
      <c r="AA143" s="81"/>
      <c r="AB143" s="93"/>
      <c r="AC143" s="81"/>
      <c r="AD143" s="93"/>
      <c r="AE143" s="81"/>
      <c r="AF143" s="93"/>
      <c r="AG143" s="81"/>
      <c r="AH143" s="93"/>
      <c r="AI143" s="81"/>
      <c r="AJ143" s="121"/>
      <c r="AK143" s="90"/>
      <c r="AL143" s="90"/>
      <c r="AM143" s="90"/>
    </row>
    <row r="144" spans="1:41" s="122" customFormat="1" ht="15.95" thickBot="1">
      <c r="L144" s="90"/>
      <c r="M144" s="90"/>
      <c r="N144" s="90"/>
      <c r="O144" s="90"/>
      <c r="P144" s="90"/>
      <c r="Q144" s="90"/>
      <c r="R144" s="90"/>
      <c r="S144" s="90"/>
      <c r="T144" s="90"/>
      <c r="U144" s="90"/>
      <c r="V144" s="90"/>
      <c r="W144" s="90"/>
      <c r="X144" s="90"/>
      <c r="Y144" s="90"/>
      <c r="Z144" s="90"/>
      <c r="AA144" s="90"/>
      <c r="AB144" s="90"/>
      <c r="AC144" s="90"/>
      <c r="AD144" s="90"/>
      <c r="AE144" s="90"/>
      <c r="AF144" s="90"/>
      <c r="AG144" s="90"/>
      <c r="AH144" s="90"/>
      <c r="AI144" s="90"/>
      <c r="AJ144" s="90"/>
      <c r="AK144" s="90"/>
      <c r="AL144" s="90"/>
      <c r="AM144" s="90"/>
    </row>
    <row r="145" spans="1:41" s="94" customFormat="1" ht="22.9" customHeight="1" thickTop="1">
      <c r="A145" s="311" t="s">
        <v>10</v>
      </c>
      <c r="B145" s="311" t="s">
        <v>11</v>
      </c>
      <c r="C145" s="311" t="s">
        <v>12</v>
      </c>
      <c r="D145" s="241" t="s">
        <v>13</v>
      </c>
      <c r="E145" s="241" t="s">
        <v>14</v>
      </c>
      <c r="F145" s="241" t="s">
        <v>15</v>
      </c>
      <c r="G145" s="241" t="s">
        <v>16</v>
      </c>
      <c r="H145" s="241" t="s">
        <v>17</v>
      </c>
      <c r="I145" s="241" t="s">
        <v>118</v>
      </c>
      <c r="J145" s="241" t="s">
        <v>19</v>
      </c>
      <c r="K145" s="241" t="s">
        <v>20</v>
      </c>
      <c r="L145" s="241" t="s">
        <v>21</v>
      </c>
      <c r="M145" s="241" t="s">
        <v>22</v>
      </c>
      <c r="N145" s="241" t="s">
        <v>23</v>
      </c>
      <c r="O145" s="311" t="s">
        <v>24</v>
      </c>
      <c r="P145" s="241" t="s">
        <v>25</v>
      </c>
      <c r="Q145" s="241" t="s">
        <v>26</v>
      </c>
      <c r="R145" s="241" t="s">
        <v>27</v>
      </c>
      <c r="S145" s="241" t="s">
        <v>28</v>
      </c>
      <c r="T145" s="241" t="s">
        <v>29</v>
      </c>
      <c r="U145" s="311" t="s">
        <v>30</v>
      </c>
      <c r="V145" s="311" t="s">
        <v>31</v>
      </c>
      <c r="W145" s="241" t="s">
        <v>32</v>
      </c>
      <c r="X145" s="339" t="s">
        <v>33</v>
      </c>
      <c r="Y145" s="241" t="s">
        <v>34</v>
      </c>
      <c r="Z145" s="241" t="s">
        <v>35</v>
      </c>
      <c r="AA145" s="241" t="s">
        <v>36</v>
      </c>
      <c r="AB145" s="241" t="s">
        <v>37</v>
      </c>
      <c r="AC145" s="241" t="s">
        <v>38</v>
      </c>
      <c r="AD145" s="241" t="s">
        <v>39</v>
      </c>
      <c r="AE145" s="241" t="s">
        <v>40</v>
      </c>
      <c r="AF145" s="311" t="s">
        <v>41</v>
      </c>
      <c r="AG145" s="241" t="s">
        <v>42</v>
      </c>
      <c r="AH145" s="241" t="s">
        <v>43</v>
      </c>
      <c r="AI145" s="241" t="s">
        <v>143</v>
      </c>
      <c r="AJ145" s="241" t="s">
        <v>45</v>
      </c>
      <c r="AK145" s="241" t="s">
        <v>46</v>
      </c>
      <c r="AL145" s="241" t="s">
        <v>47</v>
      </c>
      <c r="AM145" s="241" t="s">
        <v>48</v>
      </c>
    </row>
    <row r="146" spans="1:41" s="94" customFormat="1" ht="22.9" customHeight="1" thickBot="1">
      <c r="A146" s="314"/>
      <c r="B146" s="314"/>
      <c r="C146" s="314"/>
      <c r="D146" s="242"/>
      <c r="E146" s="242"/>
      <c r="F146" s="242"/>
      <c r="G146" s="242"/>
      <c r="H146" s="242"/>
      <c r="I146" s="242"/>
      <c r="J146" s="242"/>
      <c r="K146" s="242"/>
      <c r="L146" s="313"/>
      <c r="M146" s="242"/>
      <c r="N146" s="242"/>
      <c r="O146" s="314"/>
      <c r="P146" s="242"/>
      <c r="Q146" s="242"/>
      <c r="R146" s="242"/>
      <c r="S146" s="310"/>
      <c r="T146" s="242"/>
      <c r="U146" s="312"/>
      <c r="V146" s="312"/>
      <c r="W146" s="310"/>
      <c r="X146" s="340"/>
      <c r="Y146" s="242"/>
      <c r="Z146" s="310"/>
      <c r="AA146" s="310"/>
      <c r="AB146" s="310"/>
      <c r="AC146" s="310"/>
      <c r="AD146" s="310"/>
      <c r="AE146" s="310"/>
      <c r="AF146" s="312"/>
      <c r="AG146" s="310"/>
      <c r="AH146" s="242"/>
      <c r="AI146" s="242">
        <v>2018</v>
      </c>
      <c r="AJ146" s="242"/>
      <c r="AK146" s="328"/>
      <c r="AL146" s="242"/>
      <c r="AM146" s="242"/>
    </row>
    <row r="147" spans="1:41" s="125" customFormat="1" ht="22.9" customHeight="1" thickTop="1">
      <c r="A147" s="392" t="s">
        <v>145</v>
      </c>
      <c r="B147" s="395" t="s">
        <v>64</v>
      </c>
      <c r="C147" s="398" t="s">
        <v>121</v>
      </c>
      <c r="D147" s="338" t="s">
        <v>122</v>
      </c>
      <c r="E147" s="401" t="s">
        <v>146</v>
      </c>
      <c r="F147" s="344" t="s">
        <v>147</v>
      </c>
      <c r="G147" s="344" t="s">
        <v>148</v>
      </c>
      <c r="H147" s="344" t="s">
        <v>147</v>
      </c>
      <c r="I147" s="348">
        <f>+L148</f>
        <v>0.97777941176470584</v>
      </c>
      <c r="J147" s="388">
        <v>0.1</v>
      </c>
      <c r="K147" s="391" t="s">
        <v>124</v>
      </c>
      <c r="L147" s="96" t="s">
        <v>57</v>
      </c>
      <c r="M147" s="96" t="s">
        <v>57</v>
      </c>
      <c r="N147" s="96" t="s">
        <v>57</v>
      </c>
      <c r="O147" s="97" t="s">
        <v>57</v>
      </c>
      <c r="P147" s="96" t="s">
        <v>57</v>
      </c>
      <c r="Q147" s="98" t="s">
        <v>57</v>
      </c>
      <c r="R147" s="96" t="s">
        <v>57</v>
      </c>
      <c r="S147" s="98" t="s">
        <v>57</v>
      </c>
      <c r="T147" s="96" t="s">
        <v>57</v>
      </c>
      <c r="U147" s="98" t="s">
        <v>57</v>
      </c>
      <c r="V147" s="96" t="s">
        <v>57</v>
      </c>
      <c r="W147" s="98" t="s">
        <v>57</v>
      </c>
      <c r="X147" s="96" t="s">
        <v>57</v>
      </c>
      <c r="Y147" s="98" t="s">
        <v>57</v>
      </c>
      <c r="Z147" s="96" t="s">
        <v>57</v>
      </c>
      <c r="AA147" s="98" t="s">
        <v>57</v>
      </c>
      <c r="AB147" s="96" t="s">
        <v>57</v>
      </c>
      <c r="AC147" s="98" t="s">
        <v>57</v>
      </c>
      <c r="AD147" s="96" t="s">
        <v>57</v>
      </c>
      <c r="AE147" s="98" t="s">
        <v>57</v>
      </c>
      <c r="AF147" s="96" t="s">
        <v>57</v>
      </c>
      <c r="AG147" s="98" t="s">
        <v>57</v>
      </c>
      <c r="AH147" s="96" t="s">
        <v>57</v>
      </c>
      <c r="AI147" s="98" t="s">
        <v>57</v>
      </c>
      <c r="AJ147" s="67"/>
      <c r="AK147" s="165" t="s">
        <v>72</v>
      </c>
      <c r="AL147" s="325"/>
      <c r="AM147" s="156" t="s">
        <v>125</v>
      </c>
      <c r="AO147" s="94"/>
    </row>
    <row r="148" spans="1:41" s="125" customFormat="1" ht="22.9" customHeight="1">
      <c r="A148" s="393"/>
      <c r="B148" s="396"/>
      <c r="C148" s="399"/>
      <c r="D148" s="465"/>
      <c r="E148" s="402"/>
      <c r="F148" s="345"/>
      <c r="G148" s="345"/>
      <c r="H148" s="345"/>
      <c r="I148" s="349"/>
      <c r="J148" s="389"/>
      <c r="K148" s="385"/>
      <c r="L148" s="41">
        <f>IF(L150&lt;&gt;0,+L150/L152,0%)</f>
        <v>0.97777941176470584</v>
      </c>
      <c r="M148" s="58">
        <f>IF(M150&lt;&gt;0,+M150/M152,0%)</f>
        <v>0.9985693848354793</v>
      </c>
      <c r="N148" s="61">
        <f>IF(N150&lt;&gt;0,+N150/N152,0%)</f>
        <v>0.98826923076923079</v>
      </c>
      <c r="O148" s="57">
        <f t="shared" ref="O148" si="200">IF(O150&lt;&gt;0,+O150/O152,0%)</f>
        <v>0.99360637509266125</v>
      </c>
      <c r="P148" s="61">
        <f>IF(P150&lt;&gt;0,ROUND(+P150/P152,4),0%)</f>
        <v>0.99070000000000003</v>
      </c>
      <c r="Q148" s="62">
        <f t="shared" ref="Q148" si="201">IF(Q150&lt;&gt;0,+Q150/Q152,0%)</f>
        <v>0.99254128929142249</v>
      </c>
      <c r="R148" s="63">
        <f>IF(R150&lt;&gt;0,ROUND(+R150/R152,4),0%)</f>
        <v>0.97899999999999998</v>
      </c>
      <c r="S148" s="62">
        <f t="shared" ref="S148" si="202">IF(S150&lt;&gt;0,+S150/S152,0%)</f>
        <v>0.98915555555555557</v>
      </c>
      <c r="T148" s="63">
        <f>IF(T150&lt;&gt;0,ROUND(+T150/T152,4),0%)</f>
        <v>0.9819</v>
      </c>
      <c r="U148" s="62">
        <f t="shared" ref="U148" si="203">IF(U150&lt;&gt;0,+U150/U152,0%)</f>
        <v>0.98768499130496501</v>
      </c>
      <c r="V148" s="63">
        <f>IF(V150&lt;&gt;0,ROUND(+V150/V152,4),0%)</f>
        <v>0.97150000000000003</v>
      </c>
      <c r="W148" s="62">
        <f t="shared" ref="W148" si="204">IF(W150&lt;&gt;0,+W150/W152,0%)</f>
        <v>0.98526614534585311</v>
      </c>
      <c r="X148" s="63">
        <f>IF(X150&lt;&gt;0,ROUND(+X150/X152,4),0%)</f>
        <v>0.92449999999999999</v>
      </c>
      <c r="Y148" s="62">
        <f t="shared" ref="Y148" si="205">IF(Y150&lt;&gt;0,+Y150/Y152,0%)</f>
        <v>0.97370029086109544</v>
      </c>
      <c r="Z148" s="64">
        <f>IF(Z150&lt;&gt;0,ROUND(+Z150/Z152,4),0%)</f>
        <v>0.99019999999999997</v>
      </c>
      <c r="AA148" s="62">
        <f t="shared" ref="AA148" si="206">IF(AA150&lt;&gt;0,+AA150/AA152,0%)</f>
        <v>0.9756481261987372</v>
      </c>
      <c r="AB148" s="63">
        <f>IF(AB150&lt;&gt;0,ROUND(+AB150/AB152,4),0%)</f>
        <v>0.98960000000000004</v>
      </c>
      <c r="AC148" s="62">
        <f t="shared" ref="AC148" si="207">IF(AC150&lt;&gt;0,+AC150/AC152,0%)</f>
        <v>0.97690829968244008</v>
      </c>
      <c r="AD148" s="63">
        <f>IF(AD150&lt;&gt;0,ROUND(+AD150/AD152,4),0%)</f>
        <v>0.97519999999999996</v>
      </c>
      <c r="AE148" s="62">
        <f t="shared" ref="AE148" si="208">IF(AE150&lt;&gt;0,+AE150/AE152,0%)</f>
        <v>0.97668521638501726</v>
      </c>
      <c r="AF148" s="63">
        <f>IF(AF150&lt;&gt;0,ROUND(+AF150/AF152,4),0%)</f>
        <v>0.97</v>
      </c>
      <c r="AG148" s="62">
        <f t="shared" ref="AG148" si="209">IF(AG150&lt;&gt;0,+AG150/AG152,0%)</f>
        <v>0.97617849617912511</v>
      </c>
      <c r="AH148" s="63">
        <f>IF(AH150&lt;&gt;0,ROUND(+AH150/AH152,4),0%)</f>
        <v>1.0008999999999999</v>
      </c>
      <c r="AI148" s="62">
        <f>IF(AI150&lt;&gt;0,+AI150/AI152,0%)</f>
        <v>0.97777941176470584</v>
      </c>
      <c r="AJ148" s="68"/>
      <c r="AK148" s="166"/>
      <c r="AL148" s="326"/>
      <c r="AM148" s="157"/>
      <c r="AO148" s="94"/>
    </row>
    <row r="149" spans="1:41" s="125" customFormat="1" ht="22.9" customHeight="1" thickBot="1">
      <c r="A149" s="393"/>
      <c r="B149" s="396"/>
      <c r="C149" s="399"/>
      <c r="D149" s="465"/>
      <c r="E149" s="402"/>
      <c r="F149" s="345"/>
      <c r="G149" s="345"/>
      <c r="H149" s="345"/>
      <c r="I149" s="349"/>
      <c r="J149" s="389"/>
      <c r="K149" s="387"/>
      <c r="L149" s="101" t="s">
        <v>60</v>
      </c>
      <c r="M149" s="101" t="s">
        <v>60</v>
      </c>
      <c r="N149" s="101" t="s">
        <v>60</v>
      </c>
      <c r="O149" s="102" t="s">
        <v>60</v>
      </c>
      <c r="P149" s="101" t="s">
        <v>60</v>
      </c>
      <c r="Q149" s="103" t="s">
        <v>60</v>
      </c>
      <c r="R149" s="101" t="s">
        <v>60</v>
      </c>
      <c r="S149" s="103" t="s">
        <v>60</v>
      </c>
      <c r="T149" s="101" t="s">
        <v>60</v>
      </c>
      <c r="U149" s="103" t="s">
        <v>60</v>
      </c>
      <c r="V149" s="101" t="s">
        <v>60</v>
      </c>
      <c r="W149" s="103" t="s">
        <v>60</v>
      </c>
      <c r="X149" s="101" t="s">
        <v>60</v>
      </c>
      <c r="Y149" s="103" t="s">
        <v>60</v>
      </c>
      <c r="Z149" s="101" t="s">
        <v>60</v>
      </c>
      <c r="AA149" s="103" t="s">
        <v>60</v>
      </c>
      <c r="AB149" s="101" t="s">
        <v>60</v>
      </c>
      <c r="AC149" s="103" t="s">
        <v>60</v>
      </c>
      <c r="AD149" s="101" t="s">
        <v>60</v>
      </c>
      <c r="AE149" s="103" t="s">
        <v>60</v>
      </c>
      <c r="AF149" s="101" t="s">
        <v>60</v>
      </c>
      <c r="AG149" s="103" t="s">
        <v>60</v>
      </c>
      <c r="AH149" s="101" t="s">
        <v>60</v>
      </c>
      <c r="AI149" s="103" t="s">
        <v>60</v>
      </c>
      <c r="AJ149" s="68"/>
      <c r="AK149" s="166"/>
      <c r="AL149" s="326"/>
      <c r="AM149" s="157"/>
      <c r="AO149" s="94"/>
    </row>
    <row r="150" spans="1:41" s="125" customFormat="1" ht="22.9" customHeight="1" thickTop="1">
      <c r="A150" s="393"/>
      <c r="B150" s="396"/>
      <c r="C150" s="399"/>
      <c r="D150" s="465"/>
      <c r="E150" s="402"/>
      <c r="F150" s="345"/>
      <c r="G150" s="345"/>
      <c r="H150" s="345"/>
      <c r="I150" s="349"/>
      <c r="J150" s="389"/>
      <c r="K150" s="385" t="s">
        <v>74</v>
      </c>
      <c r="L150" s="104">
        <v>66489</v>
      </c>
      <c r="M150" s="105">
        <v>5584</v>
      </c>
      <c r="N150" s="105">
        <v>5139</v>
      </c>
      <c r="O150" s="106">
        <f>+M150+N150</f>
        <v>10723</v>
      </c>
      <c r="P150" s="105">
        <v>6044</v>
      </c>
      <c r="Q150" s="106">
        <f>+O150+P150</f>
        <v>16767</v>
      </c>
      <c r="R150" s="105">
        <v>5489</v>
      </c>
      <c r="S150" s="106">
        <f>+Q150+R150</f>
        <v>22256</v>
      </c>
      <c r="T150" s="105">
        <v>5574</v>
      </c>
      <c r="U150" s="106">
        <f>+S150+T150</f>
        <v>27830</v>
      </c>
      <c r="V150" s="105">
        <v>4803</v>
      </c>
      <c r="W150" s="106">
        <f>+U150+V150</f>
        <v>32633</v>
      </c>
      <c r="X150" s="105">
        <v>7204</v>
      </c>
      <c r="Y150" s="106">
        <f>+W150+X150</f>
        <v>39837</v>
      </c>
      <c r="Z150" s="105">
        <v>5436</v>
      </c>
      <c r="AA150" s="106">
        <f>+Y150+Z150</f>
        <v>45273</v>
      </c>
      <c r="AB150" s="105">
        <v>4563</v>
      </c>
      <c r="AC150" s="106">
        <f>+AA150+AB150</f>
        <v>49836</v>
      </c>
      <c r="AD150" s="105">
        <v>7555</v>
      </c>
      <c r="AE150" s="106">
        <f>+AC150+AD150</f>
        <v>57391</v>
      </c>
      <c r="AF150" s="105">
        <v>4692</v>
      </c>
      <c r="AG150" s="106">
        <f>+AE150+AF150</f>
        <v>62083</v>
      </c>
      <c r="AH150" s="105">
        <v>4406</v>
      </c>
      <c r="AI150" s="106">
        <f>+AG150+AH150</f>
        <v>66489</v>
      </c>
      <c r="AJ150" s="29">
        <f>+AI148/L148</f>
        <v>1</v>
      </c>
      <c r="AK150" s="166"/>
      <c r="AL150" s="326"/>
      <c r="AM150" s="157"/>
      <c r="AO150" s="94"/>
    </row>
    <row r="151" spans="1:41" s="125" customFormat="1" ht="22.9" customHeight="1">
      <c r="A151" s="393"/>
      <c r="B151" s="396"/>
      <c r="C151" s="399"/>
      <c r="D151" s="465"/>
      <c r="E151" s="402"/>
      <c r="F151" s="345"/>
      <c r="G151" s="345"/>
      <c r="H151" s="345"/>
      <c r="I151" s="349"/>
      <c r="J151" s="389"/>
      <c r="K151" s="386"/>
      <c r="L151" s="99" t="s">
        <v>126</v>
      </c>
      <c r="M151" s="107" t="s">
        <v>62</v>
      </c>
      <c r="N151" s="107" t="s">
        <v>62</v>
      </c>
      <c r="O151" s="108" t="s">
        <v>62</v>
      </c>
      <c r="P151" s="107" t="s">
        <v>62</v>
      </c>
      <c r="Q151" s="109" t="s">
        <v>62</v>
      </c>
      <c r="R151" s="107" t="s">
        <v>62</v>
      </c>
      <c r="S151" s="109" t="s">
        <v>62</v>
      </c>
      <c r="T151" s="107" t="s">
        <v>62</v>
      </c>
      <c r="U151" s="109" t="s">
        <v>62</v>
      </c>
      <c r="V151" s="107" t="s">
        <v>62</v>
      </c>
      <c r="W151" s="109" t="s">
        <v>62</v>
      </c>
      <c r="X151" s="107" t="s">
        <v>62</v>
      </c>
      <c r="Y151" s="109" t="s">
        <v>62</v>
      </c>
      <c r="Z151" s="107" t="s">
        <v>62</v>
      </c>
      <c r="AA151" s="109" t="s">
        <v>62</v>
      </c>
      <c r="AB151" s="107" t="s">
        <v>62</v>
      </c>
      <c r="AC151" s="109" t="s">
        <v>62</v>
      </c>
      <c r="AD151" s="107" t="s">
        <v>62</v>
      </c>
      <c r="AE151" s="109" t="s">
        <v>62</v>
      </c>
      <c r="AF151" s="107" t="s">
        <v>62</v>
      </c>
      <c r="AG151" s="109" t="s">
        <v>62</v>
      </c>
      <c r="AH151" s="107" t="s">
        <v>62</v>
      </c>
      <c r="AI151" s="109" t="s">
        <v>62</v>
      </c>
      <c r="AJ151" s="68"/>
      <c r="AK151" s="166"/>
      <c r="AL151" s="326"/>
      <c r="AM151" s="157"/>
      <c r="AO151" s="94"/>
    </row>
    <row r="152" spans="1:41" s="125" customFormat="1" ht="22.9" customHeight="1" thickBot="1">
      <c r="A152" s="394"/>
      <c r="B152" s="397"/>
      <c r="C152" s="400"/>
      <c r="D152" s="466"/>
      <c r="E152" s="403"/>
      <c r="F152" s="346"/>
      <c r="G152" s="346"/>
      <c r="H152" s="346"/>
      <c r="I152" s="350"/>
      <c r="J152" s="390"/>
      <c r="K152" s="387"/>
      <c r="L152" s="110">
        <v>68000</v>
      </c>
      <c r="M152" s="111">
        <v>5592</v>
      </c>
      <c r="N152" s="111">
        <v>5200</v>
      </c>
      <c r="O152" s="112">
        <f>+M152+N152</f>
        <v>10792</v>
      </c>
      <c r="P152" s="111">
        <v>6101</v>
      </c>
      <c r="Q152" s="112">
        <f>+O152+P152</f>
        <v>16893</v>
      </c>
      <c r="R152" s="111">
        <v>5607</v>
      </c>
      <c r="S152" s="112">
        <f>+Q152+R152</f>
        <v>22500</v>
      </c>
      <c r="T152" s="111">
        <v>5677</v>
      </c>
      <c r="U152" s="112">
        <f>+S152+T152</f>
        <v>28177</v>
      </c>
      <c r="V152" s="111">
        <v>4944</v>
      </c>
      <c r="W152" s="112">
        <f>+U152+V152</f>
        <v>33121</v>
      </c>
      <c r="X152" s="111">
        <v>7792</v>
      </c>
      <c r="Y152" s="112">
        <f>+W152+X152</f>
        <v>40913</v>
      </c>
      <c r="Z152" s="111">
        <v>5490</v>
      </c>
      <c r="AA152" s="112">
        <f>+Y152+Z152</f>
        <v>46403</v>
      </c>
      <c r="AB152" s="111">
        <v>4611</v>
      </c>
      <c r="AC152" s="112">
        <f>+AA152+AB152</f>
        <v>51014</v>
      </c>
      <c r="AD152" s="111">
        <v>7747</v>
      </c>
      <c r="AE152" s="112">
        <f>+AC152+AD152</f>
        <v>58761</v>
      </c>
      <c r="AF152" s="111">
        <v>4837</v>
      </c>
      <c r="AG152" s="112">
        <f>+AE152+AF152</f>
        <v>63598</v>
      </c>
      <c r="AH152" s="111">
        <v>4402</v>
      </c>
      <c r="AI152" s="112">
        <f>+AG152+AH152</f>
        <v>68000</v>
      </c>
      <c r="AJ152" s="69"/>
      <c r="AK152" s="167"/>
      <c r="AL152" s="327"/>
      <c r="AM152" s="158"/>
      <c r="AO152" s="94"/>
    </row>
    <row r="153" spans="1:41" ht="12.95" thickTop="1"/>
    <row r="154" spans="1:41" s="89" customFormat="1" ht="20.45" thickBot="1">
      <c r="A154" s="114" t="s">
        <v>127</v>
      </c>
      <c r="L154" s="90"/>
      <c r="M154" s="90"/>
      <c r="N154" s="90"/>
      <c r="O154" s="90"/>
      <c r="P154" s="90"/>
      <c r="Q154" s="90"/>
      <c r="R154" s="90"/>
      <c r="S154" s="90"/>
      <c r="T154" s="90"/>
      <c r="U154" s="90"/>
      <c r="V154" s="90"/>
      <c r="W154" s="90"/>
      <c r="X154" s="90"/>
      <c r="Y154" s="90"/>
      <c r="Z154" s="90"/>
      <c r="AA154" s="90"/>
      <c r="AB154" s="90"/>
      <c r="AC154" s="90"/>
      <c r="AD154" s="90"/>
      <c r="AE154" s="90"/>
      <c r="AF154" s="90"/>
      <c r="AG154" s="90"/>
      <c r="AH154" s="90"/>
      <c r="AI154" s="90"/>
      <c r="AJ154" s="90"/>
      <c r="AK154" s="90"/>
      <c r="AL154" s="90"/>
      <c r="AM154" s="90"/>
    </row>
    <row r="155" spans="1:41" s="94" customFormat="1" ht="22.9" customHeight="1" thickTop="1">
      <c r="A155" s="311" t="s">
        <v>10</v>
      </c>
      <c r="B155" s="311" t="s">
        <v>11</v>
      </c>
      <c r="C155" s="311" t="s">
        <v>12</v>
      </c>
      <c r="D155" s="241" t="s">
        <v>13</v>
      </c>
      <c r="E155" s="241" t="s">
        <v>14</v>
      </c>
      <c r="F155" s="241" t="s">
        <v>15</v>
      </c>
      <c r="G155" s="241" t="s">
        <v>16</v>
      </c>
      <c r="H155" s="241" t="s">
        <v>17</v>
      </c>
      <c r="I155" s="241" t="s">
        <v>118</v>
      </c>
      <c r="J155" s="241" t="s">
        <v>19</v>
      </c>
      <c r="K155" s="241" t="s">
        <v>20</v>
      </c>
      <c r="L155" s="241" t="s">
        <v>21</v>
      </c>
      <c r="M155" s="241" t="s">
        <v>22</v>
      </c>
      <c r="N155" s="241" t="s">
        <v>23</v>
      </c>
      <c r="O155" s="311" t="s">
        <v>24</v>
      </c>
      <c r="P155" s="241" t="s">
        <v>25</v>
      </c>
      <c r="Q155" s="241" t="s">
        <v>26</v>
      </c>
      <c r="R155" s="241" t="s">
        <v>27</v>
      </c>
      <c r="S155" s="241" t="s">
        <v>28</v>
      </c>
      <c r="T155" s="241" t="s">
        <v>29</v>
      </c>
      <c r="U155" s="311" t="s">
        <v>30</v>
      </c>
      <c r="V155" s="311" t="s">
        <v>31</v>
      </c>
      <c r="W155" s="241" t="s">
        <v>32</v>
      </c>
      <c r="X155" s="339" t="s">
        <v>33</v>
      </c>
      <c r="Y155" s="241" t="s">
        <v>34</v>
      </c>
      <c r="Z155" s="241" t="s">
        <v>35</v>
      </c>
      <c r="AA155" s="241" t="s">
        <v>36</v>
      </c>
      <c r="AB155" s="241" t="s">
        <v>37</v>
      </c>
      <c r="AC155" s="241" t="s">
        <v>38</v>
      </c>
      <c r="AD155" s="241" t="s">
        <v>39</v>
      </c>
      <c r="AE155" s="241" t="s">
        <v>40</v>
      </c>
      <c r="AF155" s="311" t="s">
        <v>41</v>
      </c>
      <c r="AG155" s="241" t="s">
        <v>42</v>
      </c>
      <c r="AH155" s="241" t="s">
        <v>43</v>
      </c>
      <c r="AI155" s="241" t="s">
        <v>143</v>
      </c>
      <c r="AJ155" s="241" t="s">
        <v>45</v>
      </c>
      <c r="AK155" s="241" t="s">
        <v>46</v>
      </c>
      <c r="AL155" s="241" t="s">
        <v>47</v>
      </c>
      <c r="AM155" s="241" t="s">
        <v>48</v>
      </c>
    </row>
    <row r="156" spans="1:41" s="94" customFormat="1" ht="22.9" customHeight="1" thickBot="1">
      <c r="A156" s="314"/>
      <c r="B156" s="314"/>
      <c r="C156" s="314"/>
      <c r="D156" s="242"/>
      <c r="E156" s="242"/>
      <c r="F156" s="242"/>
      <c r="G156" s="242"/>
      <c r="H156" s="242"/>
      <c r="I156" s="242"/>
      <c r="J156" s="242"/>
      <c r="K156" s="242"/>
      <c r="L156" s="313"/>
      <c r="M156" s="242"/>
      <c r="N156" s="242"/>
      <c r="O156" s="314"/>
      <c r="P156" s="242"/>
      <c r="Q156" s="242"/>
      <c r="R156" s="242"/>
      <c r="S156" s="310"/>
      <c r="T156" s="242"/>
      <c r="U156" s="312"/>
      <c r="V156" s="312"/>
      <c r="W156" s="310"/>
      <c r="X156" s="340"/>
      <c r="Y156" s="242"/>
      <c r="Z156" s="310"/>
      <c r="AA156" s="310"/>
      <c r="AB156" s="310"/>
      <c r="AC156" s="310"/>
      <c r="AD156" s="310"/>
      <c r="AE156" s="310"/>
      <c r="AF156" s="312"/>
      <c r="AG156" s="310"/>
      <c r="AH156" s="242"/>
      <c r="AI156" s="242">
        <v>2018</v>
      </c>
      <c r="AJ156" s="242"/>
      <c r="AK156" s="328"/>
      <c r="AL156" s="242"/>
      <c r="AM156" s="242"/>
    </row>
    <row r="157" spans="1:41" s="94" customFormat="1" ht="22.9" customHeight="1" thickTop="1">
      <c r="A157" s="392" t="s">
        <v>145</v>
      </c>
      <c r="B157" s="395" t="s">
        <v>64</v>
      </c>
      <c r="C157" s="398" t="s">
        <v>121</v>
      </c>
      <c r="D157" s="338" t="s">
        <v>122</v>
      </c>
      <c r="E157" s="401" t="s">
        <v>146</v>
      </c>
      <c r="F157" s="344" t="s">
        <v>147</v>
      </c>
      <c r="G157" s="344" t="s">
        <v>148</v>
      </c>
      <c r="H157" s="344" t="s">
        <v>147</v>
      </c>
      <c r="I157" s="348">
        <f>+L158</f>
        <v>0.97670643217316444</v>
      </c>
      <c r="J157" s="388">
        <v>0.1</v>
      </c>
      <c r="K157" s="391" t="s">
        <v>124</v>
      </c>
      <c r="L157" s="95" t="s">
        <v>57</v>
      </c>
      <c r="M157" s="96" t="s">
        <v>57</v>
      </c>
      <c r="N157" s="96" t="s">
        <v>57</v>
      </c>
      <c r="O157" s="97" t="s">
        <v>57</v>
      </c>
      <c r="P157" s="96" t="s">
        <v>57</v>
      </c>
      <c r="Q157" s="98" t="s">
        <v>57</v>
      </c>
      <c r="R157" s="96" t="s">
        <v>57</v>
      </c>
      <c r="S157" s="98" t="s">
        <v>57</v>
      </c>
      <c r="T157" s="96" t="s">
        <v>57</v>
      </c>
      <c r="U157" s="98" t="s">
        <v>57</v>
      </c>
      <c r="V157" s="96" t="s">
        <v>57</v>
      </c>
      <c r="W157" s="98" t="s">
        <v>57</v>
      </c>
      <c r="X157" s="96" t="s">
        <v>57</v>
      </c>
      <c r="Y157" s="98" t="s">
        <v>57</v>
      </c>
      <c r="Z157" s="96" t="s">
        <v>57</v>
      </c>
      <c r="AA157" s="98" t="s">
        <v>57</v>
      </c>
      <c r="AB157" s="96" t="s">
        <v>57</v>
      </c>
      <c r="AC157" s="98" t="s">
        <v>57</v>
      </c>
      <c r="AD157" s="96" t="s">
        <v>57</v>
      </c>
      <c r="AE157" s="98" t="s">
        <v>57</v>
      </c>
      <c r="AF157" s="96" t="s">
        <v>57</v>
      </c>
      <c r="AG157" s="98" t="s">
        <v>57</v>
      </c>
      <c r="AH157" s="96" t="s">
        <v>57</v>
      </c>
      <c r="AI157" s="98" t="s">
        <v>57</v>
      </c>
      <c r="AJ157" s="67"/>
      <c r="AK157" s="165" t="s">
        <v>72</v>
      </c>
      <c r="AL157" s="165" t="s">
        <v>72</v>
      </c>
      <c r="AM157" s="156" t="s">
        <v>125</v>
      </c>
    </row>
    <row r="158" spans="1:41" s="94" customFormat="1" ht="22.9" customHeight="1">
      <c r="A158" s="393"/>
      <c r="B158" s="396"/>
      <c r="C158" s="399"/>
      <c r="D158" s="465"/>
      <c r="E158" s="402"/>
      <c r="F158" s="345"/>
      <c r="G158" s="345"/>
      <c r="H158" s="345"/>
      <c r="I158" s="349"/>
      <c r="J158" s="389"/>
      <c r="K158" s="385"/>
      <c r="L158" s="41">
        <f>IF(L160&lt;&gt;0,+L160/L162,0%)</f>
        <v>0.97670643217316444</v>
      </c>
      <c r="M158" s="58">
        <f>IF(M160&lt;&gt;0,+M160/M162,0%)</f>
        <v>0.99819385912101144</v>
      </c>
      <c r="N158" s="61">
        <f>IF(N160&lt;&gt;0,+N160/N162,0%)</f>
        <v>0.98801639861242507</v>
      </c>
      <c r="O158" s="57">
        <f t="shared" ref="O158" si="210">IF(O160&lt;&gt;0,+O160/O162,0%)</f>
        <v>0.99322347143077161</v>
      </c>
      <c r="P158" s="61">
        <f>IF(P160&lt;&gt;0,ROUND(+P160/P162,4),0%)</f>
        <v>0.99129999999999996</v>
      </c>
      <c r="Q158" s="62">
        <f t="shared" ref="Q158" si="211">IF(Q160&lt;&gt;0,+Q160/Q162,0%)</f>
        <v>0.99252572316055132</v>
      </c>
      <c r="R158" s="63">
        <f>IF(R160&lt;&gt;0,ROUND(+R160/R162,4),0%)</f>
        <v>0.98029999999999995</v>
      </c>
      <c r="S158" s="62">
        <f t="shared" ref="S158" si="212">IF(S160&lt;&gt;0,+S160/S162,0%)</f>
        <v>0.98952227432590856</v>
      </c>
      <c r="T158" s="63">
        <f>IF(T160&lt;&gt;0,ROUND(+T160/T162,4),0%)</f>
        <v>0.98119999999999996</v>
      </c>
      <c r="U158" s="62">
        <f t="shared" ref="U158" si="213">IF(U160&lt;&gt;0,+U160/U162,0%)</f>
        <v>0.98785710095617996</v>
      </c>
      <c r="V158" s="63">
        <f>IF(V160&lt;&gt;0,ROUND(+V160/V162,4),0%)</f>
        <v>0.96989999999999998</v>
      </c>
      <c r="W158" s="62">
        <f t="shared" ref="W158" si="214">IF(W160&lt;&gt;0,+W160/W162,0%)</f>
        <v>0.985227841762644</v>
      </c>
      <c r="X158" s="63">
        <f>IF(X160&lt;&gt;0,ROUND(+X160/X162,4),0%)</f>
        <v>0.92369999999999997</v>
      </c>
      <c r="Y158" s="62">
        <f t="shared" ref="Y158" si="215">IF(Y160&lt;&gt;0,+Y160/Y162,0%)</f>
        <v>0.97333441073087956</v>
      </c>
      <c r="Z158" s="64">
        <f>IF(Z160&lt;&gt;0,ROUND(+Z160/Z162,4),0%)</f>
        <v>0.99</v>
      </c>
      <c r="AA158" s="62">
        <f t="shared" ref="AA158" si="216">IF(AA160&lt;&gt;0,+AA160/AA162,0%)</f>
        <v>0.97528530670470759</v>
      </c>
      <c r="AB158" s="63">
        <f>IF(AB160&lt;&gt;0,ROUND(+AB160/AB162,4),0%)</f>
        <v>0.98970000000000002</v>
      </c>
      <c r="AC158" s="62">
        <f t="shared" ref="AC158" si="217">IF(AC160&lt;&gt;0,+AC160/AC162,0%)</f>
        <v>0.97655132041108361</v>
      </c>
      <c r="AD158" s="63">
        <f>IF(AD160&lt;&gt;0,ROUND(+AD160/AD162,4),0%)</f>
        <v>0.97150000000000003</v>
      </c>
      <c r="AE158" s="62">
        <f t="shared" ref="AE158" si="218">IF(AE160&lt;&gt;0,+AE160/AE162,0%)</f>
        <v>0.97591079332652364</v>
      </c>
      <c r="AF158" s="63">
        <f>IF(AF160&lt;&gt;0,ROUND(+AF160/AF162,4),0%)</f>
        <v>0.96540000000000004</v>
      </c>
      <c r="AG158" s="62">
        <f t="shared" ref="AG158" si="219">IF(AG160&lt;&gt;0,+AG160/AG162,0%)</f>
        <v>0.97512738351631034</v>
      </c>
      <c r="AH158" s="63">
        <f>IF(AH160&lt;&gt;0,ROUND(+AH160/AH162,4),0%)</f>
        <v>1</v>
      </c>
      <c r="AI158" s="62">
        <f>IF(AI160&lt;&gt;0,+AI160/AI162,0%)</f>
        <v>0.97670643217316444</v>
      </c>
      <c r="AJ158" s="68"/>
      <c r="AK158" s="166"/>
      <c r="AL158" s="166"/>
      <c r="AM158" s="157"/>
    </row>
    <row r="159" spans="1:41" s="94" customFormat="1" ht="22.9" customHeight="1" thickBot="1">
      <c r="A159" s="393"/>
      <c r="B159" s="396"/>
      <c r="C159" s="399"/>
      <c r="D159" s="465"/>
      <c r="E159" s="402"/>
      <c r="F159" s="345"/>
      <c r="G159" s="345"/>
      <c r="H159" s="345"/>
      <c r="I159" s="349"/>
      <c r="J159" s="389"/>
      <c r="K159" s="387"/>
      <c r="L159" s="99"/>
      <c r="M159" s="101" t="s">
        <v>60</v>
      </c>
      <c r="N159" s="101" t="s">
        <v>60</v>
      </c>
      <c r="O159" s="102" t="s">
        <v>60</v>
      </c>
      <c r="P159" s="101" t="s">
        <v>60</v>
      </c>
      <c r="Q159" s="103" t="s">
        <v>60</v>
      </c>
      <c r="R159" s="101" t="s">
        <v>60</v>
      </c>
      <c r="S159" s="103" t="s">
        <v>60</v>
      </c>
      <c r="T159" s="101" t="s">
        <v>60</v>
      </c>
      <c r="U159" s="103" t="s">
        <v>60</v>
      </c>
      <c r="V159" s="101" t="s">
        <v>60</v>
      </c>
      <c r="W159" s="103" t="s">
        <v>60</v>
      </c>
      <c r="X159" s="101" t="s">
        <v>60</v>
      </c>
      <c r="Y159" s="103" t="s">
        <v>60</v>
      </c>
      <c r="Z159" s="101" t="s">
        <v>60</v>
      </c>
      <c r="AA159" s="103" t="s">
        <v>60</v>
      </c>
      <c r="AB159" s="101" t="s">
        <v>60</v>
      </c>
      <c r="AC159" s="103" t="s">
        <v>60</v>
      </c>
      <c r="AD159" s="101" t="s">
        <v>60</v>
      </c>
      <c r="AE159" s="103" t="s">
        <v>60</v>
      </c>
      <c r="AF159" s="101" t="s">
        <v>60</v>
      </c>
      <c r="AG159" s="103" t="s">
        <v>60</v>
      </c>
      <c r="AH159" s="101" t="s">
        <v>60</v>
      </c>
      <c r="AI159" s="103" t="s">
        <v>60</v>
      </c>
      <c r="AJ159" s="68"/>
      <c r="AK159" s="166"/>
      <c r="AL159" s="166"/>
      <c r="AM159" s="157"/>
    </row>
    <row r="160" spans="1:41" s="94" customFormat="1" ht="22.9" customHeight="1" thickTop="1">
      <c r="A160" s="393"/>
      <c r="B160" s="396"/>
      <c r="C160" s="399"/>
      <c r="D160" s="465"/>
      <c r="E160" s="402"/>
      <c r="F160" s="345"/>
      <c r="G160" s="345"/>
      <c r="H160" s="345"/>
      <c r="I160" s="349"/>
      <c r="J160" s="389"/>
      <c r="K160" s="385" t="s">
        <v>74</v>
      </c>
      <c r="L160" s="104">
        <v>39708</v>
      </c>
      <c r="M160" s="105">
        <v>3316</v>
      </c>
      <c r="N160" s="105">
        <v>3133</v>
      </c>
      <c r="O160" s="106">
        <f>+M160+N160</f>
        <v>6449</v>
      </c>
      <c r="P160" s="105">
        <v>3776</v>
      </c>
      <c r="Q160" s="106">
        <f>+O160+P160</f>
        <v>10225</v>
      </c>
      <c r="R160" s="105">
        <v>3280</v>
      </c>
      <c r="S160" s="106">
        <f>+Q160+R160</f>
        <v>13505</v>
      </c>
      <c r="T160" s="105">
        <v>3335</v>
      </c>
      <c r="U160" s="106">
        <f>+S160+T160</f>
        <v>16840</v>
      </c>
      <c r="V160" s="105">
        <v>2835</v>
      </c>
      <c r="W160" s="106">
        <f>+U160+V160</f>
        <v>19675</v>
      </c>
      <c r="X160" s="105">
        <v>4416</v>
      </c>
      <c r="Y160" s="106">
        <f>+W160+X160</f>
        <v>24091</v>
      </c>
      <c r="Z160" s="105">
        <v>3256</v>
      </c>
      <c r="AA160" s="106">
        <f>+Y160+Z160</f>
        <v>27347</v>
      </c>
      <c r="AB160" s="105">
        <v>2680</v>
      </c>
      <c r="AC160" s="106">
        <f>+AA160+AB160</f>
        <v>30027</v>
      </c>
      <c r="AD160" s="105">
        <v>4368</v>
      </c>
      <c r="AE160" s="106">
        <f>+AC160+AD160</f>
        <v>34395</v>
      </c>
      <c r="AF160" s="105">
        <v>2732</v>
      </c>
      <c r="AG160" s="106">
        <f>+AE160+AF160</f>
        <v>37127</v>
      </c>
      <c r="AH160" s="105">
        <v>2581</v>
      </c>
      <c r="AI160" s="106">
        <f>SUM(AG160:AH160)</f>
        <v>39708</v>
      </c>
      <c r="AJ160" s="29">
        <f>+AI158/L158</f>
        <v>1</v>
      </c>
      <c r="AK160" s="166"/>
      <c r="AL160" s="166"/>
      <c r="AM160" s="157"/>
    </row>
    <row r="161" spans="1:41" s="94" customFormat="1" ht="22.9" customHeight="1">
      <c r="A161" s="393"/>
      <c r="B161" s="396"/>
      <c r="C161" s="399"/>
      <c r="D161" s="465"/>
      <c r="E161" s="402"/>
      <c r="F161" s="345"/>
      <c r="G161" s="345"/>
      <c r="H161" s="345"/>
      <c r="I161" s="349"/>
      <c r="J161" s="389"/>
      <c r="K161" s="386"/>
      <c r="L161" s="99" t="s">
        <v>126</v>
      </c>
      <c r="M161" s="107" t="s">
        <v>62</v>
      </c>
      <c r="N161" s="107" t="s">
        <v>62</v>
      </c>
      <c r="O161" s="108" t="s">
        <v>62</v>
      </c>
      <c r="P161" s="107" t="s">
        <v>62</v>
      </c>
      <c r="Q161" s="109" t="s">
        <v>62</v>
      </c>
      <c r="R161" s="107"/>
      <c r="S161" s="109" t="s">
        <v>62</v>
      </c>
      <c r="T161" s="107" t="s">
        <v>62</v>
      </c>
      <c r="U161" s="109" t="s">
        <v>62</v>
      </c>
      <c r="V161" s="107" t="s">
        <v>62</v>
      </c>
      <c r="W161" s="109" t="s">
        <v>62</v>
      </c>
      <c r="X161" s="107" t="s">
        <v>62</v>
      </c>
      <c r="Y161" s="109" t="s">
        <v>62</v>
      </c>
      <c r="Z161" s="107" t="s">
        <v>62</v>
      </c>
      <c r="AA161" s="109" t="s">
        <v>62</v>
      </c>
      <c r="AB161" s="107" t="s">
        <v>62</v>
      </c>
      <c r="AC161" s="109" t="s">
        <v>62</v>
      </c>
      <c r="AD161" s="107" t="s">
        <v>62</v>
      </c>
      <c r="AE161" s="109" t="s">
        <v>62</v>
      </c>
      <c r="AF161" s="107" t="s">
        <v>62</v>
      </c>
      <c r="AG161" s="109" t="s">
        <v>62</v>
      </c>
      <c r="AH161" s="107" t="s">
        <v>62</v>
      </c>
      <c r="AI161" s="108" t="s">
        <v>62</v>
      </c>
      <c r="AJ161" s="68"/>
      <c r="AK161" s="166"/>
      <c r="AL161" s="166"/>
      <c r="AM161" s="157"/>
    </row>
    <row r="162" spans="1:41" s="94" customFormat="1" ht="22.9" customHeight="1" thickBot="1">
      <c r="A162" s="394"/>
      <c r="B162" s="397"/>
      <c r="C162" s="400"/>
      <c r="D162" s="466"/>
      <c r="E162" s="403"/>
      <c r="F162" s="346"/>
      <c r="G162" s="346"/>
      <c r="H162" s="346"/>
      <c r="I162" s="350"/>
      <c r="J162" s="390"/>
      <c r="K162" s="387"/>
      <c r="L162" s="110">
        <v>40655</v>
      </c>
      <c r="M162" s="111">
        <v>3322</v>
      </c>
      <c r="N162" s="111">
        <v>3171</v>
      </c>
      <c r="O162" s="112">
        <f t="shared" ref="O162" si="220">+M162+N162</f>
        <v>6493</v>
      </c>
      <c r="P162" s="111">
        <v>3809</v>
      </c>
      <c r="Q162" s="112">
        <f t="shared" ref="Q162" si="221">+O162+P162</f>
        <v>10302</v>
      </c>
      <c r="R162" s="111">
        <v>3346</v>
      </c>
      <c r="S162" s="112">
        <f t="shared" ref="S162" si="222">+Q162+R162</f>
        <v>13648</v>
      </c>
      <c r="T162" s="111">
        <v>3399</v>
      </c>
      <c r="U162" s="112">
        <f t="shared" ref="U162" si="223">+S162+T162</f>
        <v>17047</v>
      </c>
      <c r="V162" s="111">
        <v>2923</v>
      </c>
      <c r="W162" s="112">
        <f t="shared" ref="W162" si="224">+U162+V162</f>
        <v>19970</v>
      </c>
      <c r="X162" s="111">
        <v>4781</v>
      </c>
      <c r="Y162" s="112">
        <f t="shared" ref="Y162" si="225">+W162+X162</f>
        <v>24751</v>
      </c>
      <c r="Z162" s="111">
        <v>3289</v>
      </c>
      <c r="AA162" s="112">
        <f t="shared" ref="AA162" si="226">+Y162+Z162</f>
        <v>28040</v>
      </c>
      <c r="AB162" s="111">
        <v>2708</v>
      </c>
      <c r="AC162" s="112">
        <f t="shared" ref="AC162" si="227">+AA162+AB162</f>
        <v>30748</v>
      </c>
      <c r="AD162" s="111">
        <v>4496</v>
      </c>
      <c r="AE162" s="112">
        <f t="shared" ref="AE162" si="228">+AC162+AD162</f>
        <v>35244</v>
      </c>
      <c r="AF162" s="111">
        <v>2830</v>
      </c>
      <c r="AG162" s="112">
        <f t="shared" ref="AG162" si="229">+AE162+AF162</f>
        <v>38074</v>
      </c>
      <c r="AH162" s="111">
        <v>2581</v>
      </c>
      <c r="AI162" s="112">
        <f>SUM(AG162:AH162)</f>
        <v>40655</v>
      </c>
      <c r="AJ162" s="69"/>
      <c r="AK162" s="167"/>
      <c r="AL162" s="167"/>
      <c r="AM162" s="158"/>
      <c r="AO162" s="115"/>
    </row>
    <row r="163" spans="1:41" ht="12.95" thickTop="1"/>
    <row r="164" spans="1:41" s="89" customFormat="1" ht="20.45" thickBot="1">
      <c r="A164" s="114" t="s">
        <v>128</v>
      </c>
      <c r="L164" s="90"/>
      <c r="M164" s="90"/>
      <c r="N164" s="90"/>
      <c r="O164" s="90"/>
      <c r="P164" s="90"/>
      <c r="Q164" s="90"/>
      <c r="R164" s="90"/>
      <c r="S164" s="90"/>
      <c r="T164" s="90"/>
      <c r="U164" s="90"/>
      <c r="V164" s="90"/>
      <c r="W164" s="90"/>
      <c r="X164" s="90"/>
      <c r="Y164" s="90"/>
      <c r="Z164" s="90"/>
      <c r="AA164" s="90"/>
      <c r="AB164" s="90"/>
      <c r="AC164" s="90"/>
      <c r="AD164" s="90"/>
      <c r="AE164" s="90"/>
      <c r="AF164" s="90"/>
      <c r="AG164" s="90"/>
      <c r="AH164" s="90"/>
      <c r="AI164" s="90"/>
      <c r="AJ164" s="90"/>
      <c r="AK164" s="90"/>
      <c r="AL164" s="90"/>
      <c r="AM164" s="90"/>
    </row>
    <row r="165" spans="1:41" s="94" customFormat="1" ht="22.9" customHeight="1" thickTop="1">
      <c r="A165" s="311" t="s">
        <v>10</v>
      </c>
      <c r="B165" s="311" t="s">
        <v>11</v>
      </c>
      <c r="C165" s="311" t="s">
        <v>12</v>
      </c>
      <c r="D165" s="241" t="s">
        <v>13</v>
      </c>
      <c r="E165" s="241" t="s">
        <v>14</v>
      </c>
      <c r="F165" s="241" t="s">
        <v>15</v>
      </c>
      <c r="G165" s="241" t="s">
        <v>16</v>
      </c>
      <c r="H165" s="241" t="s">
        <v>17</v>
      </c>
      <c r="I165" s="241" t="s">
        <v>118</v>
      </c>
      <c r="J165" s="241" t="s">
        <v>19</v>
      </c>
      <c r="K165" s="241" t="s">
        <v>20</v>
      </c>
      <c r="L165" s="241" t="s">
        <v>21</v>
      </c>
      <c r="M165" s="241" t="s">
        <v>22</v>
      </c>
      <c r="N165" s="241" t="s">
        <v>23</v>
      </c>
      <c r="O165" s="311" t="s">
        <v>24</v>
      </c>
      <c r="P165" s="241" t="s">
        <v>25</v>
      </c>
      <c r="Q165" s="241" t="s">
        <v>26</v>
      </c>
      <c r="R165" s="241" t="s">
        <v>27</v>
      </c>
      <c r="S165" s="241" t="s">
        <v>28</v>
      </c>
      <c r="T165" s="241" t="s">
        <v>29</v>
      </c>
      <c r="U165" s="311" t="s">
        <v>30</v>
      </c>
      <c r="V165" s="311" t="s">
        <v>31</v>
      </c>
      <c r="W165" s="241" t="s">
        <v>32</v>
      </c>
      <c r="X165" s="339" t="s">
        <v>33</v>
      </c>
      <c r="Y165" s="241" t="s">
        <v>34</v>
      </c>
      <c r="Z165" s="241" t="s">
        <v>35</v>
      </c>
      <c r="AA165" s="241" t="s">
        <v>36</v>
      </c>
      <c r="AB165" s="241" t="s">
        <v>37</v>
      </c>
      <c r="AC165" s="241" t="s">
        <v>38</v>
      </c>
      <c r="AD165" s="241" t="s">
        <v>39</v>
      </c>
      <c r="AE165" s="241" t="s">
        <v>40</v>
      </c>
      <c r="AF165" s="311" t="s">
        <v>41</v>
      </c>
      <c r="AG165" s="241" t="s">
        <v>42</v>
      </c>
      <c r="AH165" s="241" t="s">
        <v>43</v>
      </c>
      <c r="AI165" s="241" t="s">
        <v>143</v>
      </c>
      <c r="AJ165" s="241" t="s">
        <v>45</v>
      </c>
      <c r="AK165" s="241" t="s">
        <v>46</v>
      </c>
      <c r="AL165" s="241" t="s">
        <v>47</v>
      </c>
      <c r="AM165" s="241" t="s">
        <v>48</v>
      </c>
    </row>
    <row r="166" spans="1:41" s="94" customFormat="1" ht="22.9" customHeight="1" thickBot="1">
      <c r="A166" s="314"/>
      <c r="B166" s="314"/>
      <c r="C166" s="314"/>
      <c r="D166" s="242"/>
      <c r="E166" s="242"/>
      <c r="F166" s="242"/>
      <c r="G166" s="242"/>
      <c r="H166" s="242"/>
      <c r="I166" s="242"/>
      <c r="J166" s="242"/>
      <c r="K166" s="242"/>
      <c r="L166" s="313"/>
      <c r="M166" s="242"/>
      <c r="N166" s="242"/>
      <c r="O166" s="314"/>
      <c r="P166" s="242"/>
      <c r="Q166" s="242"/>
      <c r="R166" s="242"/>
      <c r="S166" s="310"/>
      <c r="T166" s="242"/>
      <c r="U166" s="312"/>
      <c r="V166" s="312"/>
      <c r="W166" s="310"/>
      <c r="X166" s="340"/>
      <c r="Y166" s="242"/>
      <c r="Z166" s="310"/>
      <c r="AA166" s="310"/>
      <c r="AB166" s="310"/>
      <c r="AC166" s="310"/>
      <c r="AD166" s="310"/>
      <c r="AE166" s="310"/>
      <c r="AF166" s="312"/>
      <c r="AG166" s="310"/>
      <c r="AH166" s="242"/>
      <c r="AI166" s="242">
        <v>2018</v>
      </c>
      <c r="AJ166" s="242"/>
      <c r="AK166" s="328"/>
      <c r="AL166" s="242"/>
      <c r="AM166" s="242"/>
    </row>
    <row r="167" spans="1:41" s="94" customFormat="1" ht="22.9" customHeight="1" thickTop="1">
      <c r="A167" s="392" t="s">
        <v>145</v>
      </c>
      <c r="B167" s="395" t="s">
        <v>64</v>
      </c>
      <c r="C167" s="398" t="s">
        <v>121</v>
      </c>
      <c r="D167" s="338" t="s">
        <v>122</v>
      </c>
      <c r="E167" s="401" t="s">
        <v>146</v>
      </c>
      <c r="F167" s="344" t="s">
        <v>147</v>
      </c>
      <c r="G167" s="344" t="s">
        <v>148</v>
      </c>
      <c r="H167" s="344" t="s">
        <v>147</v>
      </c>
      <c r="I167" s="348">
        <f>+L168</f>
        <v>0.97937465715852989</v>
      </c>
      <c r="J167" s="388">
        <v>0.1</v>
      </c>
      <c r="K167" s="391" t="s">
        <v>124</v>
      </c>
      <c r="L167" s="95" t="s">
        <v>57</v>
      </c>
      <c r="M167" s="96" t="s">
        <v>57</v>
      </c>
      <c r="N167" s="96" t="s">
        <v>57</v>
      </c>
      <c r="O167" s="97" t="s">
        <v>57</v>
      </c>
      <c r="P167" s="96" t="s">
        <v>57</v>
      </c>
      <c r="Q167" s="98" t="s">
        <v>57</v>
      </c>
      <c r="R167" s="96" t="s">
        <v>57</v>
      </c>
      <c r="S167" s="98" t="s">
        <v>57</v>
      </c>
      <c r="T167" s="96" t="s">
        <v>57</v>
      </c>
      <c r="U167" s="98" t="s">
        <v>57</v>
      </c>
      <c r="V167" s="96" t="s">
        <v>57</v>
      </c>
      <c r="W167" s="98" t="s">
        <v>57</v>
      </c>
      <c r="X167" s="96" t="s">
        <v>57</v>
      </c>
      <c r="Y167" s="98" t="s">
        <v>57</v>
      </c>
      <c r="Z167" s="96" t="s">
        <v>57</v>
      </c>
      <c r="AA167" s="98" t="s">
        <v>57</v>
      </c>
      <c r="AB167" s="96" t="s">
        <v>57</v>
      </c>
      <c r="AC167" s="98" t="s">
        <v>57</v>
      </c>
      <c r="AD167" s="96" t="s">
        <v>57</v>
      </c>
      <c r="AE167" s="98" t="s">
        <v>57</v>
      </c>
      <c r="AF167" s="96" t="s">
        <v>57</v>
      </c>
      <c r="AG167" s="98" t="s">
        <v>57</v>
      </c>
      <c r="AH167" s="96" t="s">
        <v>57</v>
      </c>
      <c r="AI167" s="98" t="s">
        <v>57</v>
      </c>
      <c r="AJ167" s="67"/>
      <c r="AK167" s="165" t="s">
        <v>72</v>
      </c>
      <c r="AL167" s="325"/>
      <c r="AM167" s="156" t="s">
        <v>125</v>
      </c>
    </row>
    <row r="168" spans="1:41" s="94" customFormat="1" ht="22.9" customHeight="1">
      <c r="A168" s="393"/>
      <c r="B168" s="396"/>
      <c r="C168" s="399"/>
      <c r="D168" s="465"/>
      <c r="E168" s="402"/>
      <c r="F168" s="345"/>
      <c r="G168" s="345"/>
      <c r="H168" s="345"/>
      <c r="I168" s="349"/>
      <c r="J168" s="389"/>
      <c r="K168" s="385"/>
      <c r="L168" s="41">
        <f>IF(L170&lt;&gt;0,+L170/L172,0%)</f>
        <v>0.97937465715852989</v>
      </c>
      <c r="M168" s="58">
        <f>IF(M170&lt;&gt;0,+M170/M172,0%)</f>
        <v>0.99911894273127755</v>
      </c>
      <c r="N168" s="61">
        <f>IF(N170&lt;&gt;0,+N170/N172,0%)</f>
        <v>0.9886643666830951</v>
      </c>
      <c r="O168" s="57">
        <f t="shared" ref="O168" si="230">IF(O170&lt;&gt;0,+O170/O172,0%)</f>
        <v>0.99418469411491039</v>
      </c>
      <c r="P168" s="61">
        <f>IF(P170&lt;&gt;0,ROUND(+P170/P172,4),0%)</f>
        <v>0.98950000000000005</v>
      </c>
      <c r="Q168" s="62">
        <f t="shared" ref="Q168" si="231">IF(Q170&lt;&gt;0,+Q170/Q172,0%)</f>
        <v>0.99256561978455471</v>
      </c>
      <c r="R168" s="63">
        <f>IF(R170&lt;&gt;0,ROUND(+R170/R172,4),0%)</f>
        <v>0.97699999999999998</v>
      </c>
      <c r="S168" s="62">
        <f t="shared" ref="S168" si="232">IF(S170&lt;&gt;0,+S170/S172,0%)</f>
        <v>0.98859014911884324</v>
      </c>
      <c r="T168" s="63">
        <f>IF(T170&lt;&gt;0,ROUND(+T170/T172,4),0%)</f>
        <v>0.9829</v>
      </c>
      <c r="U168" s="62">
        <f t="shared" ref="U168" si="233">IF(U170&lt;&gt;0,+U170/U172,0%)</f>
        <v>0.98742138364779874</v>
      </c>
      <c r="V168" s="63">
        <f>IF(V170&lt;&gt;0,ROUND(+V170/V172,4),0%)</f>
        <v>0.9738</v>
      </c>
      <c r="W168" s="62">
        <f t="shared" ref="W168" si="234">IF(W170&lt;&gt;0,+W170/W172,0%)</f>
        <v>0.98532430993840769</v>
      </c>
      <c r="X168" s="63">
        <f>IF(X170&lt;&gt;0,ROUND(+X170/X172,4),0%)</f>
        <v>0.92589999999999995</v>
      </c>
      <c r="Y168" s="62">
        <f t="shared" ref="Y168" si="235">IF(Y170&lt;&gt;0,+Y170/Y172,0%)</f>
        <v>0.97426061131048136</v>
      </c>
      <c r="Z168" s="64">
        <f>IF(Z170&lt;&gt;0,ROUND(+Z170/Z172,4),0%)</f>
        <v>0.99050000000000005</v>
      </c>
      <c r="AA168" s="62">
        <f t="shared" ref="AA168" si="236">IF(AA170&lt;&gt;0,+AA170/AA172,0%)</f>
        <v>0.97620214561890761</v>
      </c>
      <c r="AB168" s="63">
        <f>IF(AB170&lt;&gt;0,ROUND(+AB170/AB172,4),0%)</f>
        <v>0.98950000000000005</v>
      </c>
      <c r="AC168" s="62">
        <f t="shared" ref="AC168" si="237">IF(AC170&lt;&gt;0,+AC170/AC172,0%)</f>
        <v>0.97744991611566168</v>
      </c>
      <c r="AD168" s="63">
        <f>IF(AD170&lt;&gt;0,ROUND(+AD170/AD172,4),0%)</f>
        <v>0.98029999999999995</v>
      </c>
      <c r="AE168" s="62">
        <f t="shared" ref="AE168" si="238">IF(AE170&lt;&gt;0,+AE170/AE172,0%)</f>
        <v>0.9778458136667092</v>
      </c>
      <c r="AF168" s="63">
        <f>IF(AF170&lt;&gt;0,ROUND(+AF170/AF172,4),0%)</f>
        <v>0.97660000000000002</v>
      </c>
      <c r="AG168" s="62">
        <f t="shared" ref="AG168" si="239">IF(AG170&lt;&gt;0,+AG170/AG172,0%)</f>
        <v>0.97774643472809908</v>
      </c>
      <c r="AH168" s="63">
        <f>IF(AH170&lt;&gt;0,ROUND(+AH170/AH172,4),0%)</f>
        <v>1.0022</v>
      </c>
      <c r="AI168" s="62">
        <f>IF(AI170&lt;&gt;0,+AI170/AI172,0%)</f>
        <v>0.97937465715852989</v>
      </c>
      <c r="AJ168" s="68"/>
      <c r="AK168" s="166"/>
      <c r="AL168" s="326"/>
      <c r="AM168" s="157"/>
    </row>
    <row r="169" spans="1:41" s="94" customFormat="1" ht="22.9" customHeight="1" thickBot="1">
      <c r="A169" s="393"/>
      <c r="B169" s="396"/>
      <c r="C169" s="399"/>
      <c r="D169" s="465"/>
      <c r="E169" s="402"/>
      <c r="F169" s="345"/>
      <c r="G169" s="345"/>
      <c r="H169" s="345"/>
      <c r="I169" s="349"/>
      <c r="J169" s="389"/>
      <c r="K169" s="387"/>
      <c r="L169" s="99"/>
      <c r="M169" s="101" t="s">
        <v>60</v>
      </c>
      <c r="N169" s="101" t="s">
        <v>60</v>
      </c>
      <c r="O169" s="102" t="s">
        <v>60</v>
      </c>
      <c r="P169" s="101" t="s">
        <v>60</v>
      </c>
      <c r="Q169" s="103" t="s">
        <v>60</v>
      </c>
      <c r="R169" s="101" t="s">
        <v>60</v>
      </c>
      <c r="S169" s="103" t="s">
        <v>60</v>
      </c>
      <c r="T169" s="101" t="s">
        <v>60</v>
      </c>
      <c r="U169" s="103" t="s">
        <v>60</v>
      </c>
      <c r="V169" s="101" t="s">
        <v>60</v>
      </c>
      <c r="W169" s="103" t="s">
        <v>60</v>
      </c>
      <c r="X169" s="101" t="s">
        <v>60</v>
      </c>
      <c r="Y169" s="103" t="s">
        <v>60</v>
      </c>
      <c r="Z169" s="101" t="s">
        <v>60</v>
      </c>
      <c r="AA169" s="103" t="s">
        <v>60</v>
      </c>
      <c r="AB169" s="101" t="s">
        <v>60</v>
      </c>
      <c r="AC169" s="103" t="s">
        <v>60</v>
      </c>
      <c r="AD169" s="101" t="s">
        <v>60</v>
      </c>
      <c r="AE169" s="103" t="s">
        <v>60</v>
      </c>
      <c r="AF169" s="101" t="s">
        <v>60</v>
      </c>
      <c r="AG169" s="103" t="s">
        <v>60</v>
      </c>
      <c r="AH169" s="101" t="s">
        <v>60</v>
      </c>
      <c r="AI169" s="103" t="s">
        <v>60</v>
      </c>
      <c r="AJ169" s="68"/>
      <c r="AK169" s="166"/>
      <c r="AL169" s="326"/>
      <c r="AM169" s="157"/>
    </row>
    <row r="170" spans="1:41" s="94" customFormat="1" ht="22.9" customHeight="1" thickTop="1">
      <c r="A170" s="393"/>
      <c r="B170" s="396"/>
      <c r="C170" s="399"/>
      <c r="D170" s="465"/>
      <c r="E170" s="402"/>
      <c r="F170" s="345"/>
      <c r="G170" s="345"/>
      <c r="H170" s="345"/>
      <c r="I170" s="349"/>
      <c r="J170" s="389"/>
      <c r="K170" s="385" t="s">
        <v>74</v>
      </c>
      <c r="L170" s="104">
        <v>26781</v>
      </c>
      <c r="M170" s="105">
        <v>2268</v>
      </c>
      <c r="N170" s="105">
        <v>2006</v>
      </c>
      <c r="O170" s="106">
        <f>+M170+N170</f>
        <v>4274</v>
      </c>
      <c r="P170" s="105">
        <v>2268</v>
      </c>
      <c r="Q170" s="106">
        <f>+O170+P170</f>
        <v>6542</v>
      </c>
      <c r="R170" s="105">
        <v>2209</v>
      </c>
      <c r="S170" s="106">
        <f>+Q170+R170</f>
        <v>8751</v>
      </c>
      <c r="T170" s="105">
        <v>2239</v>
      </c>
      <c r="U170" s="106">
        <f>+S170+T170</f>
        <v>10990</v>
      </c>
      <c r="V170" s="105">
        <v>1968</v>
      </c>
      <c r="W170" s="106">
        <f>+U170+V170</f>
        <v>12958</v>
      </c>
      <c r="X170" s="105">
        <v>2788</v>
      </c>
      <c r="Y170" s="106">
        <f>+W170+X170</f>
        <v>15746</v>
      </c>
      <c r="Z170" s="105">
        <v>2180</v>
      </c>
      <c r="AA170" s="106">
        <f>+Y170+Z170</f>
        <v>17926</v>
      </c>
      <c r="AB170" s="105">
        <v>1883</v>
      </c>
      <c r="AC170" s="106">
        <f>+AA170+AB170</f>
        <v>19809</v>
      </c>
      <c r="AD170" s="105">
        <v>3187</v>
      </c>
      <c r="AE170" s="106">
        <f>+AC170+AD170</f>
        <v>22996</v>
      </c>
      <c r="AF170" s="105">
        <v>1960</v>
      </c>
      <c r="AG170" s="106">
        <f>+AE170+AF170</f>
        <v>24956</v>
      </c>
      <c r="AH170" s="105">
        <v>1825</v>
      </c>
      <c r="AI170" s="106">
        <f>SUM(AG170:AH170)</f>
        <v>26781</v>
      </c>
      <c r="AJ170" s="29">
        <f>+AI168/L168</f>
        <v>1</v>
      </c>
      <c r="AK170" s="166"/>
      <c r="AL170" s="326"/>
      <c r="AM170" s="157"/>
    </row>
    <row r="171" spans="1:41" s="94" customFormat="1" ht="22.9" customHeight="1">
      <c r="A171" s="393"/>
      <c r="B171" s="396"/>
      <c r="C171" s="399"/>
      <c r="D171" s="465"/>
      <c r="E171" s="402"/>
      <c r="F171" s="345"/>
      <c r="G171" s="345"/>
      <c r="H171" s="345"/>
      <c r="I171" s="349"/>
      <c r="J171" s="389"/>
      <c r="K171" s="386"/>
      <c r="L171" s="99" t="s">
        <v>126</v>
      </c>
      <c r="M171" s="107" t="s">
        <v>62</v>
      </c>
      <c r="N171" s="107" t="s">
        <v>62</v>
      </c>
      <c r="O171" s="108" t="s">
        <v>62</v>
      </c>
      <c r="P171" s="107" t="s">
        <v>62</v>
      </c>
      <c r="Q171" s="109" t="s">
        <v>62</v>
      </c>
      <c r="R171" s="107"/>
      <c r="S171" s="109" t="s">
        <v>62</v>
      </c>
      <c r="T171" s="107" t="s">
        <v>62</v>
      </c>
      <c r="U171" s="109" t="s">
        <v>62</v>
      </c>
      <c r="V171" s="107" t="s">
        <v>62</v>
      </c>
      <c r="W171" s="109" t="s">
        <v>62</v>
      </c>
      <c r="X171" s="107" t="s">
        <v>62</v>
      </c>
      <c r="Y171" s="109" t="s">
        <v>62</v>
      </c>
      <c r="Z171" s="107" t="s">
        <v>62</v>
      </c>
      <c r="AA171" s="109" t="s">
        <v>62</v>
      </c>
      <c r="AB171" s="107" t="s">
        <v>62</v>
      </c>
      <c r="AC171" s="109" t="s">
        <v>62</v>
      </c>
      <c r="AD171" s="107" t="s">
        <v>62</v>
      </c>
      <c r="AE171" s="109" t="s">
        <v>62</v>
      </c>
      <c r="AF171" s="107" t="s">
        <v>62</v>
      </c>
      <c r="AG171" s="109" t="s">
        <v>62</v>
      </c>
      <c r="AH171" s="107" t="s">
        <v>62</v>
      </c>
      <c r="AI171" s="108" t="s">
        <v>62</v>
      </c>
      <c r="AJ171" s="68"/>
      <c r="AK171" s="166"/>
      <c r="AL171" s="326"/>
      <c r="AM171" s="157"/>
    </row>
    <row r="172" spans="1:41" s="94" customFormat="1" ht="22.9" customHeight="1" thickBot="1">
      <c r="A172" s="394"/>
      <c r="B172" s="397"/>
      <c r="C172" s="400"/>
      <c r="D172" s="466"/>
      <c r="E172" s="403"/>
      <c r="F172" s="346"/>
      <c r="G172" s="346"/>
      <c r="H172" s="346"/>
      <c r="I172" s="350"/>
      <c r="J172" s="390"/>
      <c r="K172" s="387"/>
      <c r="L172" s="110">
        <v>27345</v>
      </c>
      <c r="M172" s="111">
        <v>2270</v>
      </c>
      <c r="N172" s="111">
        <v>2029</v>
      </c>
      <c r="O172" s="112">
        <f t="shared" ref="O172" si="240">+M172+N172</f>
        <v>4299</v>
      </c>
      <c r="P172" s="111">
        <v>2292</v>
      </c>
      <c r="Q172" s="112">
        <f t="shared" ref="Q172" si="241">+O172+P172</f>
        <v>6591</v>
      </c>
      <c r="R172" s="111">
        <v>2261</v>
      </c>
      <c r="S172" s="112">
        <f t="shared" ref="S172" si="242">+Q172+R172</f>
        <v>8852</v>
      </c>
      <c r="T172" s="111">
        <v>2278</v>
      </c>
      <c r="U172" s="112">
        <f t="shared" ref="U172" si="243">+S172+T172</f>
        <v>11130</v>
      </c>
      <c r="V172" s="111">
        <v>2021</v>
      </c>
      <c r="W172" s="112">
        <f t="shared" ref="W172" si="244">+U172+V172</f>
        <v>13151</v>
      </c>
      <c r="X172" s="111">
        <v>3011</v>
      </c>
      <c r="Y172" s="112">
        <f t="shared" ref="Y172" si="245">+W172+X172</f>
        <v>16162</v>
      </c>
      <c r="Z172" s="111">
        <v>2201</v>
      </c>
      <c r="AA172" s="112">
        <f t="shared" ref="AA172" si="246">+Y172+Z172</f>
        <v>18363</v>
      </c>
      <c r="AB172" s="111">
        <v>1903</v>
      </c>
      <c r="AC172" s="112">
        <f t="shared" ref="AC172" si="247">+AA172+AB172</f>
        <v>20266</v>
      </c>
      <c r="AD172" s="111">
        <v>3251</v>
      </c>
      <c r="AE172" s="112">
        <f t="shared" ref="AE172" si="248">+AC172+AD172</f>
        <v>23517</v>
      </c>
      <c r="AF172" s="111">
        <v>2007</v>
      </c>
      <c r="AG172" s="112">
        <f t="shared" ref="AG172" si="249">+AE172+AF172</f>
        <v>25524</v>
      </c>
      <c r="AH172" s="111">
        <v>1821</v>
      </c>
      <c r="AI172" s="112">
        <f>SUM(AG172:AH172)</f>
        <v>27345</v>
      </c>
      <c r="AJ172" s="69"/>
      <c r="AK172" s="167"/>
      <c r="AL172" s="327"/>
      <c r="AM172" s="158"/>
    </row>
    <row r="173" spans="1:41" ht="12.95" thickTop="1"/>
    <row r="176" spans="1:41" s="89" customFormat="1" ht="15.6">
      <c r="C176" s="343" t="s">
        <v>149</v>
      </c>
      <c r="D176" s="343"/>
      <c r="E176" s="343"/>
      <c r="F176" s="343"/>
      <c r="G176" s="343"/>
      <c r="H176" s="343"/>
      <c r="I176" s="343"/>
      <c r="J176" s="343"/>
      <c r="K176" s="343"/>
      <c r="L176" s="93"/>
      <c r="M176" s="81"/>
      <c r="N176" s="93"/>
      <c r="O176" s="81"/>
      <c r="P176" s="93"/>
      <c r="Q176" s="81"/>
      <c r="R176" s="93"/>
      <c r="S176" s="81"/>
      <c r="T176" s="93"/>
      <c r="U176" s="81"/>
      <c r="V176" s="93"/>
      <c r="W176" s="81"/>
      <c r="X176" s="93"/>
      <c r="Y176" s="81"/>
      <c r="Z176" s="93"/>
      <c r="AA176" s="81"/>
      <c r="AB176" s="93"/>
      <c r="AC176" s="81"/>
      <c r="AD176" s="93"/>
      <c r="AE176" s="81"/>
      <c r="AF176" s="93"/>
      <c r="AG176" s="81"/>
      <c r="AH176" s="93"/>
      <c r="AI176" s="81"/>
      <c r="AJ176" s="121"/>
      <c r="AK176" s="90"/>
      <c r="AL176" s="90"/>
      <c r="AM176" s="90"/>
    </row>
    <row r="177" spans="1:39" s="89" customFormat="1" ht="15.95" thickBot="1">
      <c r="L177" s="90"/>
      <c r="M177" s="90"/>
      <c r="N177" s="90"/>
      <c r="O177" s="90"/>
      <c r="P177" s="90"/>
      <c r="Q177" s="90"/>
      <c r="R177" s="90"/>
      <c r="S177" s="90"/>
      <c r="T177" s="90"/>
      <c r="U177" s="90"/>
      <c r="V177" s="90"/>
      <c r="W177" s="90"/>
      <c r="X177" s="90"/>
      <c r="Y177" s="90"/>
      <c r="Z177" s="90"/>
      <c r="AA177" s="90"/>
      <c r="AB177" s="90"/>
      <c r="AC177" s="90"/>
      <c r="AD177" s="90"/>
      <c r="AE177" s="90"/>
      <c r="AF177" s="90"/>
      <c r="AG177" s="90"/>
      <c r="AH177" s="90"/>
      <c r="AI177" s="90"/>
      <c r="AJ177" s="90"/>
      <c r="AK177" s="90"/>
      <c r="AL177" s="90"/>
      <c r="AM177" s="90"/>
    </row>
    <row r="178" spans="1:39" s="94" customFormat="1" ht="22.9" customHeight="1" thickTop="1">
      <c r="A178" s="311" t="s">
        <v>10</v>
      </c>
      <c r="B178" s="311" t="s">
        <v>11</v>
      </c>
      <c r="C178" s="311" t="s">
        <v>12</v>
      </c>
      <c r="D178" s="241" t="s">
        <v>13</v>
      </c>
      <c r="E178" s="241" t="s">
        <v>14</v>
      </c>
      <c r="F178" s="241" t="s">
        <v>15</v>
      </c>
      <c r="G178" s="241" t="s">
        <v>16</v>
      </c>
      <c r="H178" s="241" t="s">
        <v>17</v>
      </c>
      <c r="I178" s="241" t="s">
        <v>118</v>
      </c>
      <c r="J178" s="241" t="s">
        <v>19</v>
      </c>
      <c r="K178" s="241" t="s">
        <v>20</v>
      </c>
      <c r="L178" s="241" t="s">
        <v>21</v>
      </c>
      <c r="M178" s="241" t="s">
        <v>22</v>
      </c>
      <c r="N178" s="241" t="s">
        <v>23</v>
      </c>
      <c r="O178" s="311" t="s">
        <v>24</v>
      </c>
      <c r="P178" s="241" t="s">
        <v>25</v>
      </c>
      <c r="Q178" s="241" t="s">
        <v>26</v>
      </c>
      <c r="R178" s="241" t="s">
        <v>27</v>
      </c>
      <c r="S178" s="241" t="s">
        <v>28</v>
      </c>
      <c r="T178" s="241" t="s">
        <v>29</v>
      </c>
      <c r="U178" s="311" t="s">
        <v>30</v>
      </c>
      <c r="V178" s="311" t="s">
        <v>31</v>
      </c>
      <c r="W178" s="241" t="s">
        <v>32</v>
      </c>
      <c r="X178" s="339" t="s">
        <v>33</v>
      </c>
      <c r="Y178" s="241" t="s">
        <v>34</v>
      </c>
      <c r="Z178" s="241" t="s">
        <v>35</v>
      </c>
      <c r="AA178" s="241" t="s">
        <v>36</v>
      </c>
      <c r="AB178" s="241" t="s">
        <v>37</v>
      </c>
      <c r="AC178" s="241" t="s">
        <v>38</v>
      </c>
      <c r="AD178" s="241" t="s">
        <v>39</v>
      </c>
      <c r="AE178" s="241" t="s">
        <v>40</v>
      </c>
      <c r="AF178" s="311" t="s">
        <v>41</v>
      </c>
      <c r="AG178" s="241" t="s">
        <v>42</v>
      </c>
      <c r="AH178" s="241" t="s">
        <v>43</v>
      </c>
      <c r="AI178" s="241" t="s">
        <v>143</v>
      </c>
      <c r="AJ178" s="241" t="s">
        <v>45</v>
      </c>
      <c r="AK178" s="241" t="s">
        <v>46</v>
      </c>
      <c r="AL178" s="241" t="s">
        <v>47</v>
      </c>
      <c r="AM178" s="241" t="s">
        <v>48</v>
      </c>
    </row>
    <row r="179" spans="1:39" s="94" customFormat="1" ht="22.9" customHeight="1" thickBot="1">
      <c r="A179" s="314"/>
      <c r="B179" s="314"/>
      <c r="C179" s="314"/>
      <c r="D179" s="242"/>
      <c r="E179" s="242"/>
      <c r="F179" s="242"/>
      <c r="G179" s="242"/>
      <c r="H179" s="242"/>
      <c r="I179" s="242"/>
      <c r="J179" s="242"/>
      <c r="K179" s="242"/>
      <c r="L179" s="313"/>
      <c r="M179" s="242"/>
      <c r="N179" s="242"/>
      <c r="O179" s="314"/>
      <c r="P179" s="242"/>
      <c r="Q179" s="242"/>
      <c r="R179" s="242"/>
      <c r="S179" s="310"/>
      <c r="T179" s="242"/>
      <c r="U179" s="312"/>
      <c r="V179" s="312"/>
      <c r="W179" s="310"/>
      <c r="X179" s="340"/>
      <c r="Y179" s="242"/>
      <c r="Z179" s="310"/>
      <c r="AA179" s="310"/>
      <c r="AB179" s="310"/>
      <c r="AC179" s="310"/>
      <c r="AD179" s="310"/>
      <c r="AE179" s="310"/>
      <c r="AF179" s="312"/>
      <c r="AG179" s="310"/>
      <c r="AH179" s="242"/>
      <c r="AI179" s="242">
        <v>2018</v>
      </c>
      <c r="AJ179" s="242"/>
      <c r="AK179" s="328"/>
      <c r="AL179" s="242"/>
      <c r="AM179" s="242"/>
    </row>
    <row r="180" spans="1:39" s="94" customFormat="1" ht="22.9" customHeight="1" thickTop="1">
      <c r="A180" s="329" t="s">
        <v>150</v>
      </c>
      <c r="B180" s="332" t="s">
        <v>64</v>
      </c>
      <c r="C180" s="335" t="s">
        <v>121</v>
      </c>
      <c r="D180" s="338" t="s">
        <v>122</v>
      </c>
      <c r="E180" s="338" t="s">
        <v>151</v>
      </c>
      <c r="F180" s="344" t="s">
        <v>152</v>
      </c>
      <c r="G180" s="344" t="s">
        <v>153</v>
      </c>
      <c r="H180" s="344" t="s">
        <v>152</v>
      </c>
      <c r="I180" s="348">
        <f>+L181</f>
        <v>0.96380092304252707</v>
      </c>
      <c r="J180" s="351">
        <v>0.1</v>
      </c>
      <c r="K180" s="315" t="s">
        <v>124</v>
      </c>
      <c r="L180" s="96" t="s">
        <v>57</v>
      </c>
      <c r="M180" s="96" t="s">
        <v>57</v>
      </c>
      <c r="N180" s="96" t="s">
        <v>57</v>
      </c>
      <c r="O180" s="97" t="s">
        <v>57</v>
      </c>
      <c r="P180" s="96" t="s">
        <v>57</v>
      </c>
      <c r="Q180" s="98" t="s">
        <v>57</v>
      </c>
      <c r="R180" s="96" t="s">
        <v>57</v>
      </c>
      <c r="S180" s="98" t="s">
        <v>57</v>
      </c>
      <c r="T180" s="96" t="s">
        <v>57</v>
      </c>
      <c r="U180" s="98" t="s">
        <v>57</v>
      </c>
      <c r="V180" s="96" t="s">
        <v>57</v>
      </c>
      <c r="W180" s="98" t="s">
        <v>57</v>
      </c>
      <c r="X180" s="96" t="s">
        <v>57</v>
      </c>
      <c r="Y180" s="98" t="s">
        <v>57</v>
      </c>
      <c r="Z180" s="96" t="s">
        <v>57</v>
      </c>
      <c r="AA180" s="98" t="s">
        <v>57</v>
      </c>
      <c r="AB180" s="96" t="s">
        <v>57</v>
      </c>
      <c r="AC180" s="98" t="s">
        <v>57</v>
      </c>
      <c r="AD180" s="96" t="s">
        <v>57</v>
      </c>
      <c r="AE180" s="98" t="s">
        <v>57</v>
      </c>
      <c r="AF180" s="96" t="s">
        <v>57</v>
      </c>
      <c r="AG180" s="98" t="s">
        <v>57</v>
      </c>
      <c r="AH180" s="96" t="s">
        <v>57</v>
      </c>
      <c r="AI180" s="98" t="s">
        <v>57</v>
      </c>
      <c r="AJ180" s="67"/>
      <c r="AK180" s="165" t="s">
        <v>72</v>
      </c>
      <c r="AL180" s="325"/>
      <c r="AM180" s="156" t="s">
        <v>125</v>
      </c>
    </row>
    <row r="181" spans="1:39" s="94" customFormat="1" ht="22.9" customHeight="1">
      <c r="A181" s="330"/>
      <c r="B181" s="333"/>
      <c r="C181" s="383"/>
      <c r="D181" s="465"/>
      <c r="E181" s="341"/>
      <c r="F181" s="345"/>
      <c r="G181" s="345"/>
      <c r="H181" s="345"/>
      <c r="I181" s="349"/>
      <c r="J181" s="352"/>
      <c r="K181" s="316"/>
      <c r="L181" s="41">
        <f>IF(L183&lt;&gt;0,+L183/L185,0%)</f>
        <v>0.96380092304252707</v>
      </c>
      <c r="M181" s="58">
        <f>IF(M183&lt;&gt;0,+M183/M185,0%)</f>
        <v>0.95692735212385871</v>
      </c>
      <c r="N181" s="61">
        <f>IF(N183&lt;&gt;0,+N183/N185,0%)</f>
        <v>0.96454662655779977</v>
      </c>
      <c r="O181" s="57">
        <f t="shared" ref="O181" si="250">IF(O183&lt;&gt;0,+O183/O185,0%)</f>
        <v>0.9605860503508048</v>
      </c>
      <c r="P181" s="61">
        <f>IF(P183&lt;&gt;0,ROUND(+P183/P185,4),0%)</f>
        <v>0.96870000000000001</v>
      </c>
      <c r="Q181" s="62">
        <f t="shared" ref="Q181" si="251">IF(Q183&lt;&gt;0,+Q183/Q185,0%)</f>
        <v>0.96351977317310389</v>
      </c>
      <c r="R181" s="63">
        <f>IF(R183&lt;&gt;0,ROUND(+R183/R185,4),0%)</f>
        <v>0.9788</v>
      </c>
      <c r="S181" s="62">
        <f t="shared" ref="S181" si="252">IF(S183&lt;&gt;0,+S183/S185,0%)</f>
        <v>0.96757718421339267</v>
      </c>
      <c r="T181" s="63">
        <f>IF(T183&lt;&gt;0,ROUND(+T183/T185,4),0%)</f>
        <v>0.96760000000000002</v>
      </c>
      <c r="U181" s="62">
        <f t="shared" ref="U181" si="253">IF(U183&lt;&gt;0,+U183/U185,0%)</f>
        <v>0.9675821745234936</v>
      </c>
      <c r="V181" s="63">
        <f>IF(V183&lt;&gt;0,ROUND(+V183/V185,4),0%)</f>
        <v>0.95599999999999996</v>
      </c>
      <c r="W181" s="62">
        <f t="shared" ref="W181" si="254">IF(W183&lt;&gt;0,+W183/W185,0%)</f>
        <v>0.96586893605857127</v>
      </c>
      <c r="X181" s="63">
        <f>IF(X183&lt;&gt;0,ROUND(+X183/X185,4),0%)</f>
        <v>0.92310000000000003</v>
      </c>
      <c r="Y181" s="62">
        <f t="shared" ref="Y181" si="255">IF(Y183&lt;&gt;0,+Y183/Y185,0%)</f>
        <v>0.95741741069959929</v>
      </c>
      <c r="Z181" s="64">
        <f>IF(Z183&lt;&gt;0,ROUND(+Z183/Z185,4),0%)</f>
        <v>0.9849</v>
      </c>
      <c r="AA181" s="62">
        <f t="shared" ref="AA181" si="256">IF(AA183&lt;&gt;0,+AA183/AA185,0%)</f>
        <v>0.96058069548412639</v>
      </c>
      <c r="AB181" s="63">
        <f>IF(AB183&lt;&gt;0,ROUND(+AB183/AB185,4),0%)</f>
        <v>0.97550000000000003</v>
      </c>
      <c r="AC181" s="62">
        <f t="shared" ref="AC181" si="257">IF(AC183&lt;&gt;0,+AC183/AC185,0%)</f>
        <v>0.96189257497238978</v>
      </c>
      <c r="AD181" s="63">
        <f>IF(AD183&lt;&gt;0,ROUND(+AD183/AD185,4),0%)</f>
        <v>0.96260000000000001</v>
      </c>
      <c r="AE181" s="62">
        <f t="shared" ref="AE181" si="258">IF(AE183&lt;&gt;0,+AE183/AE185,0%)</f>
        <v>0.96197951198558185</v>
      </c>
      <c r="AF181" s="63">
        <f>IF(AF183&lt;&gt;0,ROUND(+AF183/AF185,4),0%)</f>
        <v>0.96860000000000002</v>
      </c>
      <c r="AG181" s="62">
        <f t="shared" ref="AG181" si="259">IF(AG183&lt;&gt;0,+AG183/AG185,0%)</f>
        <v>0.96251346930715176</v>
      </c>
      <c r="AH181" s="63">
        <f>IF(AH183&lt;&gt;0,ROUND(+AH183/AH185,4),0%)</f>
        <v>0.98089999999999999</v>
      </c>
      <c r="AI181" s="62">
        <f>IF(AI183&lt;&gt;0,+AI183/AI185,0%)</f>
        <v>0.96380092304252707</v>
      </c>
      <c r="AJ181" s="68"/>
      <c r="AK181" s="166"/>
      <c r="AL181" s="326"/>
      <c r="AM181" s="157"/>
    </row>
    <row r="182" spans="1:39" s="94" customFormat="1" ht="22.9" customHeight="1" thickBot="1">
      <c r="A182" s="330"/>
      <c r="B182" s="333"/>
      <c r="C182" s="383"/>
      <c r="D182" s="465"/>
      <c r="E182" s="341"/>
      <c r="F182" s="345"/>
      <c r="G182" s="345"/>
      <c r="H182" s="345"/>
      <c r="I182" s="349"/>
      <c r="J182" s="352"/>
      <c r="K182" s="317"/>
      <c r="L182" s="101" t="s">
        <v>60</v>
      </c>
      <c r="M182" s="101" t="s">
        <v>60</v>
      </c>
      <c r="N182" s="101" t="s">
        <v>60</v>
      </c>
      <c r="O182" s="102" t="s">
        <v>60</v>
      </c>
      <c r="P182" s="101" t="s">
        <v>60</v>
      </c>
      <c r="Q182" s="103" t="s">
        <v>60</v>
      </c>
      <c r="R182" s="101" t="s">
        <v>60</v>
      </c>
      <c r="S182" s="103" t="s">
        <v>60</v>
      </c>
      <c r="T182" s="101" t="s">
        <v>60</v>
      </c>
      <c r="U182" s="103" t="s">
        <v>60</v>
      </c>
      <c r="V182" s="101" t="s">
        <v>60</v>
      </c>
      <c r="W182" s="103" t="s">
        <v>60</v>
      </c>
      <c r="X182" s="101" t="s">
        <v>60</v>
      </c>
      <c r="Y182" s="103" t="s">
        <v>60</v>
      </c>
      <c r="Z182" s="101" t="s">
        <v>60</v>
      </c>
      <c r="AA182" s="103" t="s">
        <v>60</v>
      </c>
      <c r="AB182" s="101" t="s">
        <v>60</v>
      </c>
      <c r="AC182" s="103" t="s">
        <v>60</v>
      </c>
      <c r="AD182" s="101" t="s">
        <v>60</v>
      </c>
      <c r="AE182" s="103" t="s">
        <v>60</v>
      </c>
      <c r="AF182" s="101" t="s">
        <v>60</v>
      </c>
      <c r="AG182" s="103" t="s">
        <v>60</v>
      </c>
      <c r="AH182" s="101" t="s">
        <v>60</v>
      </c>
      <c r="AI182" s="103" t="s">
        <v>60</v>
      </c>
      <c r="AJ182" s="68"/>
      <c r="AK182" s="166"/>
      <c r="AL182" s="326"/>
      <c r="AM182" s="157"/>
    </row>
    <row r="183" spans="1:39" s="94" customFormat="1" ht="22.9" customHeight="1" thickTop="1">
      <c r="A183" s="330"/>
      <c r="B183" s="333"/>
      <c r="C183" s="383"/>
      <c r="D183" s="465"/>
      <c r="E183" s="341"/>
      <c r="F183" s="345"/>
      <c r="G183" s="345"/>
      <c r="H183" s="345"/>
      <c r="I183" s="349"/>
      <c r="J183" s="352"/>
      <c r="K183" s="316" t="s">
        <v>74</v>
      </c>
      <c r="L183" s="104">
        <v>241409</v>
      </c>
      <c r="M183" s="105">
        <v>19284</v>
      </c>
      <c r="N183" s="105">
        <v>17956</v>
      </c>
      <c r="O183" s="106">
        <f>+M183+N183</f>
        <v>37240</v>
      </c>
      <c r="P183" s="105">
        <v>21210</v>
      </c>
      <c r="Q183" s="106">
        <f>+O183+P183</f>
        <v>58450</v>
      </c>
      <c r="R183" s="105">
        <v>21498</v>
      </c>
      <c r="S183" s="106">
        <f>+Q183+R183</f>
        <v>79948</v>
      </c>
      <c r="T183" s="105">
        <v>20667</v>
      </c>
      <c r="U183" s="106">
        <f>+S183+T183</f>
        <v>100615</v>
      </c>
      <c r="V183" s="105">
        <v>17193</v>
      </c>
      <c r="W183" s="106">
        <f>+U183+V183</f>
        <v>117808</v>
      </c>
      <c r="X183" s="105">
        <v>27707</v>
      </c>
      <c r="Y183" s="106">
        <f>+W183+X183</f>
        <v>145515</v>
      </c>
      <c r="Z183" s="105">
        <v>19507</v>
      </c>
      <c r="AA183" s="106">
        <f>+Y183+Z183</f>
        <v>165022</v>
      </c>
      <c r="AB183" s="105">
        <v>16137</v>
      </c>
      <c r="AC183" s="106">
        <f>+AA183+AB183</f>
        <v>181159</v>
      </c>
      <c r="AD183" s="105">
        <v>24872</v>
      </c>
      <c r="AE183" s="106">
        <f>+AC183+AD183</f>
        <v>206031</v>
      </c>
      <c r="AF183" s="105">
        <v>18174</v>
      </c>
      <c r="AG183" s="106">
        <f>+AE183+AF183</f>
        <v>224205</v>
      </c>
      <c r="AH183" s="105">
        <v>17204</v>
      </c>
      <c r="AI183" s="106">
        <f>+AG183+AH183</f>
        <v>241409</v>
      </c>
      <c r="AJ183" s="29">
        <f>+AI181/L181</f>
        <v>1</v>
      </c>
      <c r="AK183" s="166"/>
      <c r="AL183" s="326"/>
      <c r="AM183" s="157"/>
    </row>
    <row r="184" spans="1:39" s="94" customFormat="1" ht="22.9" customHeight="1">
      <c r="A184" s="330"/>
      <c r="B184" s="333"/>
      <c r="C184" s="383"/>
      <c r="D184" s="465"/>
      <c r="E184" s="341"/>
      <c r="F184" s="345"/>
      <c r="G184" s="345"/>
      <c r="H184" s="345"/>
      <c r="I184" s="349"/>
      <c r="J184" s="352"/>
      <c r="K184" s="347"/>
      <c r="L184" s="99" t="s">
        <v>126</v>
      </c>
      <c r="M184" s="107" t="s">
        <v>62</v>
      </c>
      <c r="N184" s="107" t="s">
        <v>62</v>
      </c>
      <c r="O184" s="108" t="s">
        <v>62</v>
      </c>
      <c r="P184" s="107" t="s">
        <v>62</v>
      </c>
      <c r="Q184" s="109" t="s">
        <v>62</v>
      </c>
      <c r="R184" s="107" t="s">
        <v>62</v>
      </c>
      <c r="S184" s="109" t="s">
        <v>62</v>
      </c>
      <c r="T184" s="107" t="s">
        <v>62</v>
      </c>
      <c r="U184" s="109" t="s">
        <v>62</v>
      </c>
      <c r="V184" s="107" t="s">
        <v>62</v>
      </c>
      <c r="W184" s="109" t="s">
        <v>62</v>
      </c>
      <c r="X184" s="107" t="s">
        <v>62</v>
      </c>
      <c r="Y184" s="109" t="s">
        <v>62</v>
      </c>
      <c r="Z184" s="107" t="s">
        <v>62</v>
      </c>
      <c r="AA184" s="109" t="s">
        <v>62</v>
      </c>
      <c r="AB184" s="107" t="s">
        <v>62</v>
      </c>
      <c r="AC184" s="109" t="s">
        <v>62</v>
      </c>
      <c r="AD184" s="107" t="s">
        <v>62</v>
      </c>
      <c r="AE184" s="109" t="s">
        <v>62</v>
      </c>
      <c r="AF184" s="107" t="s">
        <v>62</v>
      </c>
      <c r="AG184" s="109" t="s">
        <v>62</v>
      </c>
      <c r="AH184" s="107" t="s">
        <v>62</v>
      </c>
      <c r="AI184" s="109" t="s">
        <v>62</v>
      </c>
      <c r="AJ184" s="68"/>
      <c r="AK184" s="166"/>
      <c r="AL184" s="326"/>
      <c r="AM184" s="157"/>
    </row>
    <row r="185" spans="1:39" s="94" customFormat="1" ht="22.9" customHeight="1" thickBot="1">
      <c r="A185" s="331"/>
      <c r="B185" s="334"/>
      <c r="C185" s="384"/>
      <c r="D185" s="466"/>
      <c r="E185" s="342"/>
      <c r="F185" s="346"/>
      <c r="G185" s="346"/>
      <c r="H185" s="346"/>
      <c r="I185" s="350"/>
      <c r="J185" s="353"/>
      <c r="K185" s="317"/>
      <c r="L185" s="110">
        <v>250476</v>
      </c>
      <c r="M185" s="111">
        <v>20152</v>
      </c>
      <c r="N185" s="111">
        <v>18616</v>
      </c>
      <c r="O185" s="112">
        <f>+M185+N185</f>
        <v>38768</v>
      </c>
      <c r="P185" s="111">
        <v>21895</v>
      </c>
      <c r="Q185" s="112">
        <f>+O185+P185</f>
        <v>60663</v>
      </c>
      <c r="R185" s="111">
        <v>21964</v>
      </c>
      <c r="S185" s="112">
        <f>+Q185+R185</f>
        <v>82627</v>
      </c>
      <c r="T185" s="111">
        <v>21359</v>
      </c>
      <c r="U185" s="112">
        <f>+S185+T185</f>
        <v>103986</v>
      </c>
      <c r="V185" s="111">
        <v>17985</v>
      </c>
      <c r="W185" s="112">
        <f>+U185+V185</f>
        <v>121971</v>
      </c>
      <c r="X185" s="111">
        <v>30016</v>
      </c>
      <c r="Y185" s="112">
        <f>+W185+X185</f>
        <v>151987</v>
      </c>
      <c r="Z185" s="111">
        <v>19807</v>
      </c>
      <c r="AA185" s="112">
        <f>+Y185+Z185</f>
        <v>171794</v>
      </c>
      <c r="AB185" s="111">
        <v>16542</v>
      </c>
      <c r="AC185" s="112">
        <f>+AA185+AB185</f>
        <v>188336</v>
      </c>
      <c r="AD185" s="111">
        <v>25838</v>
      </c>
      <c r="AE185" s="112">
        <f>+AC185+AD185</f>
        <v>214174</v>
      </c>
      <c r="AF185" s="111">
        <v>18763</v>
      </c>
      <c r="AG185" s="112">
        <f>+AE185+AF185</f>
        <v>232937</v>
      </c>
      <c r="AH185" s="111">
        <v>17539</v>
      </c>
      <c r="AI185" s="112">
        <f>+AG185+AH185</f>
        <v>250476</v>
      </c>
      <c r="AJ185" s="69"/>
      <c r="AK185" s="167"/>
      <c r="AL185" s="327"/>
      <c r="AM185" s="158"/>
    </row>
    <row r="186" spans="1:39" ht="12.95" thickTop="1"/>
    <row r="187" spans="1:39" s="89" customFormat="1" ht="20.45" thickBot="1">
      <c r="A187" s="114" t="s">
        <v>127</v>
      </c>
      <c r="L187" s="90"/>
      <c r="M187" s="90"/>
      <c r="N187" s="90"/>
      <c r="O187" s="90"/>
      <c r="P187" s="90"/>
      <c r="Q187" s="90"/>
      <c r="R187" s="90"/>
      <c r="S187" s="90"/>
      <c r="T187" s="90"/>
      <c r="U187" s="90"/>
      <c r="V187" s="90"/>
      <c r="W187" s="90"/>
      <c r="X187" s="90"/>
      <c r="Y187" s="90"/>
      <c r="Z187" s="90"/>
      <c r="AA187" s="90"/>
      <c r="AB187" s="90"/>
      <c r="AC187" s="90"/>
      <c r="AD187" s="90"/>
      <c r="AE187" s="90"/>
      <c r="AF187" s="90"/>
      <c r="AG187" s="90"/>
      <c r="AH187" s="90"/>
      <c r="AI187" s="90"/>
      <c r="AJ187" s="90"/>
      <c r="AK187" s="90"/>
      <c r="AL187" s="90"/>
      <c r="AM187" s="90"/>
    </row>
    <row r="188" spans="1:39" s="94" customFormat="1" ht="22.9" customHeight="1" thickTop="1">
      <c r="A188" s="311" t="s">
        <v>10</v>
      </c>
      <c r="B188" s="311" t="s">
        <v>11</v>
      </c>
      <c r="C188" s="311" t="s">
        <v>12</v>
      </c>
      <c r="D188" s="241" t="s">
        <v>13</v>
      </c>
      <c r="E188" s="241" t="s">
        <v>14</v>
      </c>
      <c r="F188" s="241" t="s">
        <v>15</v>
      </c>
      <c r="G188" s="241" t="s">
        <v>16</v>
      </c>
      <c r="H188" s="241" t="s">
        <v>17</v>
      </c>
      <c r="I188" s="241" t="s">
        <v>118</v>
      </c>
      <c r="J188" s="241" t="s">
        <v>19</v>
      </c>
      <c r="K188" s="241" t="s">
        <v>20</v>
      </c>
      <c r="L188" s="241" t="s">
        <v>21</v>
      </c>
      <c r="M188" s="241" t="s">
        <v>22</v>
      </c>
      <c r="N188" s="241" t="s">
        <v>23</v>
      </c>
      <c r="O188" s="311" t="s">
        <v>24</v>
      </c>
      <c r="P188" s="241" t="s">
        <v>25</v>
      </c>
      <c r="Q188" s="241" t="s">
        <v>26</v>
      </c>
      <c r="R188" s="241" t="s">
        <v>27</v>
      </c>
      <c r="S188" s="241" t="s">
        <v>28</v>
      </c>
      <c r="T188" s="241" t="s">
        <v>29</v>
      </c>
      <c r="U188" s="311" t="s">
        <v>30</v>
      </c>
      <c r="V188" s="311" t="s">
        <v>31</v>
      </c>
      <c r="W188" s="241" t="s">
        <v>32</v>
      </c>
      <c r="X188" s="339" t="s">
        <v>33</v>
      </c>
      <c r="Y188" s="241" t="s">
        <v>34</v>
      </c>
      <c r="Z188" s="241" t="s">
        <v>35</v>
      </c>
      <c r="AA188" s="241" t="s">
        <v>36</v>
      </c>
      <c r="AB188" s="241" t="s">
        <v>37</v>
      </c>
      <c r="AC188" s="241" t="s">
        <v>38</v>
      </c>
      <c r="AD188" s="241" t="s">
        <v>39</v>
      </c>
      <c r="AE188" s="241" t="s">
        <v>40</v>
      </c>
      <c r="AF188" s="311" t="s">
        <v>41</v>
      </c>
      <c r="AG188" s="241" t="s">
        <v>42</v>
      </c>
      <c r="AH188" s="241" t="s">
        <v>43</v>
      </c>
      <c r="AI188" s="241" t="s">
        <v>143</v>
      </c>
      <c r="AJ188" s="241" t="s">
        <v>45</v>
      </c>
      <c r="AK188" s="241" t="s">
        <v>46</v>
      </c>
      <c r="AL188" s="241" t="s">
        <v>47</v>
      </c>
      <c r="AM188" s="241" t="s">
        <v>48</v>
      </c>
    </row>
    <row r="189" spans="1:39" s="94" customFormat="1" ht="22.9" customHeight="1" thickBot="1">
      <c r="A189" s="314"/>
      <c r="B189" s="314"/>
      <c r="C189" s="314"/>
      <c r="D189" s="242"/>
      <c r="E189" s="242"/>
      <c r="F189" s="242"/>
      <c r="G189" s="242"/>
      <c r="H189" s="242"/>
      <c r="I189" s="242"/>
      <c r="J189" s="242"/>
      <c r="K189" s="242"/>
      <c r="L189" s="313"/>
      <c r="M189" s="242"/>
      <c r="N189" s="242"/>
      <c r="O189" s="314"/>
      <c r="P189" s="242"/>
      <c r="Q189" s="242"/>
      <c r="R189" s="242"/>
      <c r="S189" s="310"/>
      <c r="T189" s="242"/>
      <c r="U189" s="312"/>
      <c r="V189" s="312"/>
      <c r="W189" s="310"/>
      <c r="X189" s="340"/>
      <c r="Y189" s="242"/>
      <c r="Z189" s="310"/>
      <c r="AA189" s="310"/>
      <c r="AB189" s="310"/>
      <c r="AC189" s="310"/>
      <c r="AD189" s="310"/>
      <c r="AE189" s="310"/>
      <c r="AF189" s="312"/>
      <c r="AG189" s="310"/>
      <c r="AH189" s="242"/>
      <c r="AI189" s="242">
        <v>2018</v>
      </c>
      <c r="AJ189" s="242"/>
      <c r="AK189" s="328"/>
      <c r="AL189" s="242"/>
      <c r="AM189" s="242"/>
    </row>
    <row r="190" spans="1:39" s="94" customFormat="1" ht="22.9" customHeight="1" thickTop="1">
      <c r="A190" s="329" t="s">
        <v>150</v>
      </c>
      <c r="B190" s="332" t="s">
        <v>64</v>
      </c>
      <c r="C190" s="335" t="s">
        <v>121</v>
      </c>
      <c r="D190" s="338" t="s">
        <v>122</v>
      </c>
      <c r="E190" s="338" t="s">
        <v>151</v>
      </c>
      <c r="F190" s="344" t="s">
        <v>152</v>
      </c>
      <c r="G190" s="344" t="s">
        <v>153</v>
      </c>
      <c r="H190" s="344" t="s">
        <v>152</v>
      </c>
      <c r="I190" s="348">
        <f>+L191</f>
        <v>0.96284694259316794</v>
      </c>
      <c r="J190" s="351">
        <v>0.1</v>
      </c>
      <c r="K190" s="315" t="s">
        <v>124</v>
      </c>
      <c r="L190" s="95" t="s">
        <v>57</v>
      </c>
      <c r="M190" s="96" t="s">
        <v>57</v>
      </c>
      <c r="N190" s="96" t="s">
        <v>57</v>
      </c>
      <c r="O190" s="97" t="s">
        <v>57</v>
      </c>
      <c r="P190" s="96" t="s">
        <v>57</v>
      </c>
      <c r="Q190" s="98" t="s">
        <v>57</v>
      </c>
      <c r="R190" s="96" t="s">
        <v>57</v>
      </c>
      <c r="S190" s="98" t="s">
        <v>57</v>
      </c>
      <c r="T190" s="96" t="s">
        <v>57</v>
      </c>
      <c r="U190" s="98" t="s">
        <v>57</v>
      </c>
      <c r="V190" s="96" t="s">
        <v>57</v>
      </c>
      <c r="W190" s="98" t="s">
        <v>57</v>
      </c>
      <c r="X190" s="96" t="s">
        <v>57</v>
      </c>
      <c r="Y190" s="98" t="s">
        <v>57</v>
      </c>
      <c r="Z190" s="96" t="s">
        <v>57</v>
      </c>
      <c r="AA190" s="98" t="s">
        <v>57</v>
      </c>
      <c r="AB190" s="96" t="s">
        <v>57</v>
      </c>
      <c r="AC190" s="98" t="s">
        <v>57</v>
      </c>
      <c r="AD190" s="96" t="s">
        <v>57</v>
      </c>
      <c r="AE190" s="98" t="s">
        <v>57</v>
      </c>
      <c r="AF190" s="96" t="s">
        <v>57</v>
      </c>
      <c r="AG190" s="98" t="s">
        <v>57</v>
      </c>
      <c r="AH190" s="96" t="s">
        <v>57</v>
      </c>
      <c r="AI190" s="98" t="s">
        <v>57</v>
      </c>
      <c r="AJ190" s="67"/>
      <c r="AK190" s="165" t="s">
        <v>72</v>
      </c>
      <c r="AL190" s="325"/>
      <c r="AM190" s="156" t="s">
        <v>125</v>
      </c>
    </row>
    <row r="191" spans="1:39" s="94" customFormat="1" ht="22.9" customHeight="1">
      <c r="A191" s="330"/>
      <c r="B191" s="333"/>
      <c r="C191" s="383"/>
      <c r="D191" s="465"/>
      <c r="E191" s="341"/>
      <c r="F191" s="345"/>
      <c r="G191" s="345"/>
      <c r="H191" s="345"/>
      <c r="I191" s="349"/>
      <c r="J191" s="352"/>
      <c r="K191" s="316"/>
      <c r="L191" s="41">
        <f>IF(L193&lt;&gt;0,+L193/L195,0%)</f>
        <v>0.96284694259316794</v>
      </c>
      <c r="M191" s="58">
        <f>IF(M193&lt;&gt;0,+M193/M195,0%)</f>
        <v>0.95675936344639123</v>
      </c>
      <c r="N191" s="61">
        <f>IF(N193&lt;&gt;0,+N193/N195,0%)</f>
        <v>0.96405954437042518</v>
      </c>
      <c r="O191" s="57">
        <f t="shared" ref="O191" si="260">IF(O193&lt;&gt;0,+O193/O195,0%)</f>
        <v>0.9603674647372058</v>
      </c>
      <c r="P191" s="61">
        <f>IF(P193&lt;&gt;0,ROUND(+P193/P195,4),0%)</f>
        <v>0.96930000000000005</v>
      </c>
      <c r="Q191" s="62">
        <f t="shared" ref="Q191" si="261">IF(Q193&lt;&gt;0,+Q193/Q195,0%)</f>
        <v>0.96360252300692795</v>
      </c>
      <c r="R191" s="63">
        <f>IF(R193&lt;&gt;0,ROUND(+R193/R195,4),0%)</f>
        <v>0.97819999999999996</v>
      </c>
      <c r="S191" s="62">
        <f t="shared" ref="S191" si="262">IF(S193&lt;&gt;0,+S193/S195,0%)</f>
        <v>0.96744717304397487</v>
      </c>
      <c r="T191" s="63">
        <f>IF(T193&lt;&gt;0,ROUND(+T193/T195,4),0%)</f>
        <v>0.96630000000000005</v>
      </c>
      <c r="U191" s="62">
        <f t="shared" ref="U191" si="263">IF(U193&lt;&gt;0,+U193/U195,0%)</f>
        <v>0.96720763433017265</v>
      </c>
      <c r="V191" s="63">
        <f>IF(V193&lt;&gt;0,ROUND(+V193/V195,4),0%)</f>
        <v>0.95320000000000005</v>
      </c>
      <c r="W191" s="62">
        <f t="shared" ref="W191" si="264">IF(W193&lt;&gt;0,+W193/W195,0%)</f>
        <v>0.96519781949702721</v>
      </c>
      <c r="X191" s="63">
        <f>IF(X193&lt;&gt;0,ROUND(+X193/X195,4),0%)</f>
        <v>0.92220000000000002</v>
      </c>
      <c r="Y191" s="62">
        <f t="shared" ref="Y191" si="265">IF(Y193&lt;&gt;0,+Y193/Y195,0%)</f>
        <v>0.95665863855785971</v>
      </c>
      <c r="Z191" s="64">
        <f>IF(Z193&lt;&gt;0,ROUND(+Z193/Z195,4),0%)</f>
        <v>0.9849</v>
      </c>
      <c r="AA191" s="62">
        <f t="shared" ref="AA191" si="266">IF(AA193&lt;&gt;0,+AA193/AA195,0%)</f>
        <v>0.95988398407552122</v>
      </c>
      <c r="AB191" s="63">
        <f>IF(AB193&lt;&gt;0,ROUND(+AB193/AB195,4),0%)</f>
        <v>0.97470000000000001</v>
      </c>
      <c r="AC191" s="62">
        <f t="shared" ref="AC191" si="267">IF(AC193&lt;&gt;0,+AC193/AC195,0%)</f>
        <v>0.96116701389181758</v>
      </c>
      <c r="AD191" s="63">
        <f>IF(AD193&lt;&gt;0,ROUND(+AD193/AD195,4),0%)</f>
        <v>0.96089999999999998</v>
      </c>
      <c r="AE191" s="62">
        <f t="shared" ref="AE191" si="268">IF(AE193&lt;&gt;0,+AE193/AE195,0%)</f>
        <v>0.96114072218062674</v>
      </c>
      <c r="AF191" s="63">
        <f>IF(AF193&lt;&gt;0,ROUND(+AF193/AF195,4),0%)</f>
        <v>0.9667</v>
      </c>
      <c r="AG191" s="62">
        <f t="shared" ref="AG191" si="269">IF(AG193&lt;&gt;0,+AG193/AG195,0%)</f>
        <v>0.96158776918565803</v>
      </c>
      <c r="AH191" s="63">
        <f>IF(AH193&lt;&gt;0,ROUND(+AH193/AH195,4),0%)</f>
        <v>0.97960000000000003</v>
      </c>
      <c r="AI191" s="62">
        <f>IF(AI193&lt;&gt;0,+AI193/AI195,0%)</f>
        <v>0.96284694259316794</v>
      </c>
      <c r="AJ191" s="68"/>
      <c r="AK191" s="166"/>
      <c r="AL191" s="326"/>
      <c r="AM191" s="157"/>
    </row>
    <row r="192" spans="1:39" s="94" customFormat="1" ht="22.9" customHeight="1" thickBot="1">
      <c r="A192" s="330"/>
      <c r="B192" s="333"/>
      <c r="C192" s="383"/>
      <c r="D192" s="465"/>
      <c r="E192" s="341"/>
      <c r="F192" s="345"/>
      <c r="G192" s="345"/>
      <c r="H192" s="345"/>
      <c r="I192" s="349"/>
      <c r="J192" s="352"/>
      <c r="K192" s="317"/>
      <c r="L192" s="99"/>
      <c r="M192" s="101" t="s">
        <v>60</v>
      </c>
      <c r="N192" s="101" t="s">
        <v>60</v>
      </c>
      <c r="O192" s="102" t="s">
        <v>60</v>
      </c>
      <c r="P192" s="101" t="s">
        <v>60</v>
      </c>
      <c r="Q192" s="103" t="s">
        <v>60</v>
      </c>
      <c r="R192" s="101" t="s">
        <v>60</v>
      </c>
      <c r="S192" s="103" t="s">
        <v>60</v>
      </c>
      <c r="T192" s="101" t="s">
        <v>60</v>
      </c>
      <c r="U192" s="103" t="s">
        <v>60</v>
      </c>
      <c r="V192" s="101" t="s">
        <v>60</v>
      </c>
      <c r="W192" s="103" t="s">
        <v>60</v>
      </c>
      <c r="X192" s="101" t="s">
        <v>60</v>
      </c>
      <c r="Y192" s="103" t="s">
        <v>60</v>
      </c>
      <c r="Z192" s="101" t="s">
        <v>60</v>
      </c>
      <c r="AA192" s="103" t="s">
        <v>60</v>
      </c>
      <c r="AB192" s="101" t="s">
        <v>60</v>
      </c>
      <c r="AC192" s="103" t="s">
        <v>60</v>
      </c>
      <c r="AD192" s="101" t="s">
        <v>60</v>
      </c>
      <c r="AE192" s="103" t="s">
        <v>60</v>
      </c>
      <c r="AF192" s="101" t="s">
        <v>60</v>
      </c>
      <c r="AG192" s="103" t="s">
        <v>60</v>
      </c>
      <c r="AH192" s="101" t="s">
        <v>60</v>
      </c>
      <c r="AI192" s="103" t="s">
        <v>60</v>
      </c>
      <c r="AJ192" s="68"/>
      <c r="AK192" s="166"/>
      <c r="AL192" s="326"/>
      <c r="AM192" s="157"/>
    </row>
    <row r="193" spans="1:41" s="94" customFormat="1" ht="22.9" customHeight="1" thickTop="1">
      <c r="A193" s="330"/>
      <c r="B193" s="333"/>
      <c r="C193" s="383"/>
      <c r="D193" s="465"/>
      <c r="E193" s="341"/>
      <c r="F193" s="345"/>
      <c r="G193" s="345"/>
      <c r="H193" s="345"/>
      <c r="I193" s="349"/>
      <c r="J193" s="352"/>
      <c r="K193" s="316" t="s">
        <v>74</v>
      </c>
      <c r="L193" s="104">
        <v>151840</v>
      </c>
      <c r="M193" s="105">
        <v>11904</v>
      </c>
      <c r="N193" s="105">
        <v>11722</v>
      </c>
      <c r="O193" s="106">
        <f>+M193+N193</f>
        <v>23626</v>
      </c>
      <c r="P193" s="105">
        <v>13650</v>
      </c>
      <c r="Q193" s="106">
        <f>+O193+P193</f>
        <v>37276</v>
      </c>
      <c r="R193" s="105">
        <v>13544</v>
      </c>
      <c r="S193" s="106">
        <f>+Q193+R193</f>
        <v>50820</v>
      </c>
      <c r="T193" s="105">
        <v>12830</v>
      </c>
      <c r="U193" s="106">
        <f>+S193+T193</f>
        <v>63650</v>
      </c>
      <c r="V193" s="105">
        <v>10538</v>
      </c>
      <c r="W193" s="106">
        <f>+U193+V193</f>
        <v>74188</v>
      </c>
      <c r="X193" s="105">
        <v>17568</v>
      </c>
      <c r="Y193" s="106">
        <f>+W193+X193</f>
        <v>91756</v>
      </c>
      <c r="Z193" s="105">
        <v>12162</v>
      </c>
      <c r="AA193" s="106">
        <f>+Y193+Z193</f>
        <v>103918</v>
      </c>
      <c r="AB193" s="105">
        <v>10037</v>
      </c>
      <c r="AC193" s="106">
        <f>+AA193+AB193</f>
        <v>113955</v>
      </c>
      <c r="AD193" s="105">
        <v>15700</v>
      </c>
      <c r="AE193" s="106">
        <f>+AC193+AD193</f>
        <v>129655</v>
      </c>
      <c r="AF193" s="105">
        <v>11358</v>
      </c>
      <c r="AG193" s="106">
        <f>+AE193+AF193</f>
        <v>141013</v>
      </c>
      <c r="AH193" s="105">
        <v>10827</v>
      </c>
      <c r="AI193" s="106">
        <f>SUM(AG193:AH193)</f>
        <v>151840</v>
      </c>
      <c r="AJ193" s="29">
        <f>+AI191/L191</f>
        <v>1</v>
      </c>
      <c r="AK193" s="166"/>
      <c r="AL193" s="326"/>
      <c r="AM193" s="157"/>
    </row>
    <row r="194" spans="1:41" s="94" customFormat="1" ht="22.9" customHeight="1">
      <c r="A194" s="330"/>
      <c r="B194" s="333"/>
      <c r="C194" s="383"/>
      <c r="D194" s="465"/>
      <c r="E194" s="341"/>
      <c r="F194" s="345"/>
      <c r="G194" s="345"/>
      <c r="H194" s="345"/>
      <c r="I194" s="349"/>
      <c r="J194" s="352"/>
      <c r="K194" s="347"/>
      <c r="L194" s="99" t="s">
        <v>126</v>
      </c>
      <c r="M194" s="107" t="s">
        <v>62</v>
      </c>
      <c r="N194" s="107" t="s">
        <v>62</v>
      </c>
      <c r="O194" s="108" t="s">
        <v>62</v>
      </c>
      <c r="P194" s="107" t="s">
        <v>62</v>
      </c>
      <c r="Q194" s="109" t="s">
        <v>62</v>
      </c>
      <c r="R194" s="107"/>
      <c r="S194" s="109" t="s">
        <v>62</v>
      </c>
      <c r="T194" s="107" t="s">
        <v>62</v>
      </c>
      <c r="U194" s="109" t="s">
        <v>62</v>
      </c>
      <c r="V194" s="107" t="s">
        <v>62</v>
      </c>
      <c r="W194" s="109" t="s">
        <v>62</v>
      </c>
      <c r="X194" s="107" t="s">
        <v>62</v>
      </c>
      <c r="Y194" s="109" t="s">
        <v>62</v>
      </c>
      <c r="Z194" s="107" t="s">
        <v>62</v>
      </c>
      <c r="AA194" s="109" t="s">
        <v>62</v>
      </c>
      <c r="AB194" s="107" t="s">
        <v>62</v>
      </c>
      <c r="AC194" s="109" t="s">
        <v>62</v>
      </c>
      <c r="AD194" s="107" t="s">
        <v>62</v>
      </c>
      <c r="AE194" s="109" t="s">
        <v>62</v>
      </c>
      <c r="AF194" s="107" t="s">
        <v>62</v>
      </c>
      <c r="AG194" s="109" t="s">
        <v>62</v>
      </c>
      <c r="AH194" s="107" t="s">
        <v>62</v>
      </c>
      <c r="AI194" s="108" t="s">
        <v>62</v>
      </c>
      <c r="AJ194" s="68"/>
      <c r="AK194" s="166"/>
      <c r="AL194" s="326"/>
      <c r="AM194" s="157"/>
    </row>
    <row r="195" spans="1:41" s="94" customFormat="1" ht="22.9" customHeight="1" thickBot="1">
      <c r="A195" s="331"/>
      <c r="B195" s="334"/>
      <c r="C195" s="384"/>
      <c r="D195" s="466"/>
      <c r="E195" s="342"/>
      <c r="F195" s="346"/>
      <c r="G195" s="346"/>
      <c r="H195" s="346"/>
      <c r="I195" s="350"/>
      <c r="J195" s="353"/>
      <c r="K195" s="317"/>
      <c r="L195" s="110">
        <v>157699</v>
      </c>
      <c r="M195" s="111">
        <v>12442</v>
      </c>
      <c r="N195" s="111">
        <v>12159</v>
      </c>
      <c r="O195" s="112">
        <f t="shared" ref="O195" si="270">+M195+N195</f>
        <v>24601</v>
      </c>
      <c r="P195" s="111">
        <v>14083</v>
      </c>
      <c r="Q195" s="112">
        <f t="shared" ref="Q195" si="271">+O195+P195</f>
        <v>38684</v>
      </c>
      <c r="R195" s="111">
        <v>13846</v>
      </c>
      <c r="S195" s="112">
        <f t="shared" ref="S195" si="272">+Q195+R195</f>
        <v>52530</v>
      </c>
      <c r="T195" s="111">
        <v>13278</v>
      </c>
      <c r="U195" s="112">
        <f t="shared" ref="U195" si="273">+S195+T195</f>
        <v>65808</v>
      </c>
      <c r="V195" s="111">
        <v>11055</v>
      </c>
      <c r="W195" s="112">
        <f t="shared" ref="W195" si="274">+U195+V195</f>
        <v>76863</v>
      </c>
      <c r="X195" s="111">
        <v>19050</v>
      </c>
      <c r="Y195" s="112">
        <f t="shared" ref="Y195" si="275">+W195+X195</f>
        <v>95913</v>
      </c>
      <c r="Z195" s="111">
        <v>12348</v>
      </c>
      <c r="AA195" s="112">
        <f t="shared" ref="AA195" si="276">+Y195+Z195</f>
        <v>108261</v>
      </c>
      <c r="AB195" s="111">
        <v>10298</v>
      </c>
      <c r="AC195" s="112">
        <f t="shared" ref="AC195" si="277">+AA195+AB195</f>
        <v>118559</v>
      </c>
      <c r="AD195" s="111">
        <v>16338</v>
      </c>
      <c r="AE195" s="112">
        <f t="shared" ref="AE195" si="278">+AC195+AD195</f>
        <v>134897</v>
      </c>
      <c r="AF195" s="111">
        <v>11749</v>
      </c>
      <c r="AG195" s="112">
        <f t="shared" ref="AG195" si="279">+AE195+AF195</f>
        <v>146646</v>
      </c>
      <c r="AH195" s="111">
        <v>11053</v>
      </c>
      <c r="AI195" s="112">
        <f>SUM(AG195:AH195)</f>
        <v>157699</v>
      </c>
      <c r="AJ195" s="69"/>
      <c r="AK195" s="167"/>
      <c r="AL195" s="327"/>
      <c r="AM195" s="158"/>
      <c r="AO195" s="115"/>
    </row>
    <row r="196" spans="1:41" ht="12.95" thickTop="1"/>
    <row r="197" spans="1:41" s="89" customFormat="1" ht="20.45" thickBot="1">
      <c r="A197" s="114" t="s">
        <v>128</v>
      </c>
      <c r="L197" s="90"/>
      <c r="M197" s="90"/>
      <c r="N197" s="90"/>
      <c r="O197" s="90"/>
      <c r="P197" s="90"/>
      <c r="Q197" s="90"/>
      <c r="R197" s="90"/>
      <c r="S197" s="90"/>
      <c r="T197" s="90"/>
      <c r="U197" s="90"/>
      <c r="V197" s="90"/>
      <c r="W197" s="90"/>
      <c r="X197" s="90"/>
      <c r="Y197" s="90"/>
      <c r="Z197" s="90"/>
      <c r="AA197" s="90"/>
      <c r="AB197" s="90"/>
      <c r="AC197" s="90"/>
      <c r="AD197" s="90"/>
      <c r="AE197" s="90"/>
      <c r="AF197" s="90"/>
      <c r="AG197" s="90"/>
      <c r="AH197" s="90"/>
      <c r="AI197" s="90"/>
      <c r="AJ197" s="90"/>
      <c r="AK197" s="90"/>
      <c r="AL197" s="90"/>
      <c r="AM197" s="90"/>
    </row>
    <row r="198" spans="1:41" s="94" customFormat="1" ht="22.9" customHeight="1" thickTop="1">
      <c r="A198" s="311" t="s">
        <v>10</v>
      </c>
      <c r="B198" s="311" t="s">
        <v>11</v>
      </c>
      <c r="C198" s="311" t="s">
        <v>12</v>
      </c>
      <c r="D198" s="241" t="s">
        <v>13</v>
      </c>
      <c r="E198" s="241" t="s">
        <v>14</v>
      </c>
      <c r="F198" s="241" t="s">
        <v>15</v>
      </c>
      <c r="G198" s="241" t="s">
        <v>16</v>
      </c>
      <c r="H198" s="241" t="s">
        <v>17</v>
      </c>
      <c r="I198" s="241" t="s">
        <v>118</v>
      </c>
      <c r="J198" s="241" t="s">
        <v>19</v>
      </c>
      <c r="K198" s="241" t="s">
        <v>20</v>
      </c>
      <c r="L198" s="241" t="s">
        <v>21</v>
      </c>
      <c r="M198" s="241" t="s">
        <v>22</v>
      </c>
      <c r="N198" s="241" t="s">
        <v>23</v>
      </c>
      <c r="O198" s="311" t="s">
        <v>24</v>
      </c>
      <c r="P198" s="241" t="s">
        <v>25</v>
      </c>
      <c r="Q198" s="241" t="s">
        <v>26</v>
      </c>
      <c r="R198" s="241" t="s">
        <v>27</v>
      </c>
      <c r="S198" s="241" t="s">
        <v>28</v>
      </c>
      <c r="T198" s="241" t="s">
        <v>29</v>
      </c>
      <c r="U198" s="311" t="s">
        <v>30</v>
      </c>
      <c r="V198" s="311" t="s">
        <v>31</v>
      </c>
      <c r="W198" s="241" t="s">
        <v>32</v>
      </c>
      <c r="X198" s="339" t="s">
        <v>33</v>
      </c>
      <c r="Y198" s="241" t="s">
        <v>34</v>
      </c>
      <c r="Z198" s="241" t="s">
        <v>35</v>
      </c>
      <c r="AA198" s="241" t="s">
        <v>36</v>
      </c>
      <c r="AB198" s="241" t="s">
        <v>37</v>
      </c>
      <c r="AC198" s="241" t="s">
        <v>38</v>
      </c>
      <c r="AD198" s="241" t="s">
        <v>39</v>
      </c>
      <c r="AE198" s="241" t="s">
        <v>40</v>
      </c>
      <c r="AF198" s="311" t="s">
        <v>41</v>
      </c>
      <c r="AG198" s="241" t="s">
        <v>42</v>
      </c>
      <c r="AH198" s="241" t="s">
        <v>43</v>
      </c>
      <c r="AI198" s="241" t="s">
        <v>143</v>
      </c>
      <c r="AJ198" s="241" t="s">
        <v>45</v>
      </c>
      <c r="AK198" s="241" t="s">
        <v>46</v>
      </c>
      <c r="AL198" s="241" t="s">
        <v>47</v>
      </c>
      <c r="AM198" s="241" t="s">
        <v>48</v>
      </c>
    </row>
    <row r="199" spans="1:41" s="94" customFormat="1" ht="22.9" customHeight="1" thickBot="1">
      <c r="A199" s="314"/>
      <c r="B199" s="314"/>
      <c r="C199" s="314"/>
      <c r="D199" s="242"/>
      <c r="E199" s="242"/>
      <c r="F199" s="242"/>
      <c r="G199" s="242"/>
      <c r="H199" s="242"/>
      <c r="I199" s="242"/>
      <c r="J199" s="242"/>
      <c r="K199" s="242"/>
      <c r="L199" s="313"/>
      <c r="M199" s="242"/>
      <c r="N199" s="242"/>
      <c r="O199" s="314"/>
      <c r="P199" s="242"/>
      <c r="Q199" s="242"/>
      <c r="R199" s="242"/>
      <c r="S199" s="310"/>
      <c r="T199" s="242"/>
      <c r="U199" s="312"/>
      <c r="V199" s="312"/>
      <c r="W199" s="310"/>
      <c r="X199" s="340"/>
      <c r="Y199" s="242"/>
      <c r="Z199" s="310"/>
      <c r="AA199" s="310"/>
      <c r="AB199" s="310"/>
      <c r="AC199" s="310"/>
      <c r="AD199" s="310"/>
      <c r="AE199" s="310"/>
      <c r="AF199" s="312"/>
      <c r="AG199" s="310"/>
      <c r="AH199" s="242"/>
      <c r="AI199" s="242">
        <v>2018</v>
      </c>
      <c r="AJ199" s="242"/>
      <c r="AK199" s="328"/>
      <c r="AL199" s="242"/>
      <c r="AM199" s="242"/>
    </row>
    <row r="200" spans="1:41" s="94" customFormat="1" ht="22.9" customHeight="1" thickTop="1">
      <c r="A200" s="329" t="s">
        <v>150</v>
      </c>
      <c r="B200" s="332" t="s">
        <v>64</v>
      </c>
      <c r="C200" s="335" t="s">
        <v>121</v>
      </c>
      <c r="D200" s="338" t="s">
        <v>122</v>
      </c>
      <c r="E200" s="338" t="s">
        <v>151</v>
      </c>
      <c r="F200" s="344" t="s">
        <v>152</v>
      </c>
      <c r="G200" s="344" t="s">
        <v>153</v>
      </c>
      <c r="H200" s="344" t="s">
        <v>152</v>
      </c>
      <c r="I200" s="348">
        <f>+L201</f>
        <v>0.9654224646194639</v>
      </c>
      <c r="J200" s="351">
        <v>0.1</v>
      </c>
      <c r="K200" s="315" t="s">
        <v>124</v>
      </c>
      <c r="L200" s="95" t="s">
        <v>57</v>
      </c>
      <c r="M200" s="96" t="s">
        <v>57</v>
      </c>
      <c r="N200" s="96" t="s">
        <v>57</v>
      </c>
      <c r="O200" s="97" t="s">
        <v>57</v>
      </c>
      <c r="P200" s="96" t="s">
        <v>57</v>
      </c>
      <c r="Q200" s="98" t="s">
        <v>57</v>
      </c>
      <c r="R200" s="96" t="s">
        <v>57</v>
      </c>
      <c r="S200" s="98" t="s">
        <v>57</v>
      </c>
      <c r="T200" s="96" t="s">
        <v>57</v>
      </c>
      <c r="U200" s="98" t="s">
        <v>57</v>
      </c>
      <c r="V200" s="96" t="s">
        <v>57</v>
      </c>
      <c r="W200" s="98" t="s">
        <v>57</v>
      </c>
      <c r="X200" s="96" t="s">
        <v>57</v>
      </c>
      <c r="Y200" s="98" t="s">
        <v>57</v>
      </c>
      <c r="Z200" s="96" t="s">
        <v>57</v>
      </c>
      <c r="AA200" s="98" t="s">
        <v>57</v>
      </c>
      <c r="AB200" s="96" t="s">
        <v>57</v>
      </c>
      <c r="AC200" s="98" t="s">
        <v>57</v>
      </c>
      <c r="AD200" s="96" t="s">
        <v>57</v>
      </c>
      <c r="AE200" s="98" t="s">
        <v>57</v>
      </c>
      <c r="AF200" s="96" t="s">
        <v>57</v>
      </c>
      <c r="AG200" s="98" t="s">
        <v>57</v>
      </c>
      <c r="AH200" s="96" t="s">
        <v>57</v>
      </c>
      <c r="AI200" s="98" t="s">
        <v>57</v>
      </c>
      <c r="AJ200" s="67"/>
      <c r="AK200" s="165" t="s">
        <v>72</v>
      </c>
      <c r="AL200" s="325"/>
      <c r="AM200" s="156" t="s">
        <v>125</v>
      </c>
    </row>
    <row r="201" spans="1:41" s="94" customFormat="1" ht="22.9" customHeight="1">
      <c r="A201" s="330"/>
      <c r="B201" s="333"/>
      <c r="C201" s="383"/>
      <c r="D201" s="465"/>
      <c r="E201" s="341"/>
      <c r="F201" s="345"/>
      <c r="G201" s="345"/>
      <c r="H201" s="345"/>
      <c r="I201" s="349"/>
      <c r="J201" s="352"/>
      <c r="K201" s="316"/>
      <c r="L201" s="41">
        <f>IF(L203&lt;&gt;0,+L203/L205,0%)</f>
        <v>0.9654224646194639</v>
      </c>
      <c r="M201" s="58">
        <f>IF(M203&lt;&gt;0,+M203/M205,0%)</f>
        <v>0.95719844357976658</v>
      </c>
      <c r="N201" s="61">
        <f>IF(N203&lt;&gt;0,+N203/N205,0%)</f>
        <v>0.96546383769552424</v>
      </c>
      <c r="O201" s="57">
        <f t="shared" ref="O201" si="280">IF(O203&lt;&gt;0,+O203/O205,0%)</f>
        <v>0.96096562433825083</v>
      </c>
      <c r="P201" s="61">
        <f>IF(P203&lt;&gt;0,ROUND(+P203/P205,4),0%)</f>
        <v>0.9677</v>
      </c>
      <c r="Q201" s="62">
        <f t="shared" ref="Q201" si="281">IF(Q203&lt;&gt;0,+Q203/Q205,0%)</f>
        <v>0.96337412985122162</v>
      </c>
      <c r="R201" s="63">
        <f>IF(R203&lt;&gt;0,ROUND(+R203/R205,4),0%)</f>
        <v>0.9798</v>
      </c>
      <c r="S201" s="62">
        <f t="shared" ref="S201" si="282">IF(S203&lt;&gt;0,+S203/S205,0%)</f>
        <v>0.96780410007641959</v>
      </c>
      <c r="T201" s="63">
        <f>IF(T203&lt;&gt;0,ROUND(+T203/T205,4),0%)</f>
        <v>0.9698</v>
      </c>
      <c r="U201" s="62">
        <f t="shared" ref="U201" si="283">IF(U203&lt;&gt;0,+U203/U205,0%)</f>
        <v>0.96822777515846825</v>
      </c>
      <c r="V201" s="63">
        <f>IF(V203&lt;&gt;0,ROUND(+V203/V205,4),0%)</f>
        <v>0.96030000000000004</v>
      </c>
      <c r="W201" s="62">
        <f t="shared" ref="W201" si="284">IF(W203&lt;&gt;0,+W203/W205,0%)</f>
        <v>0.96701250332535249</v>
      </c>
      <c r="X201" s="63">
        <f>IF(X203&lt;&gt;0,ROUND(+X203/X205,4),0%)</f>
        <v>0.92459999999999998</v>
      </c>
      <c r="Y201" s="62">
        <f t="shared" ref="Y201" si="285">IF(Y203&lt;&gt;0,+Y203/Y205,0%)</f>
        <v>0.95871526910867777</v>
      </c>
      <c r="Z201" s="64">
        <f>IF(Z203&lt;&gt;0,ROUND(+Z203/Z205,4),0%)</f>
        <v>0.98470000000000002</v>
      </c>
      <c r="AA201" s="62">
        <f t="shared" ref="AA201" si="286">IF(AA203&lt;&gt;0,+AA203/AA205,0%)</f>
        <v>0.96176790014638058</v>
      </c>
      <c r="AB201" s="63">
        <f>IF(AB203&lt;&gt;0,ROUND(+AB203/AB205,4),0%)</f>
        <v>0.97689999999999999</v>
      </c>
      <c r="AC201" s="62">
        <f t="shared" ref="AC201" si="287">IF(AC203&lt;&gt;0,+AC203/AC205,0%)</f>
        <v>0.963125385155567</v>
      </c>
      <c r="AD201" s="63">
        <f>IF(AD203&lt;&gt;0,ROUND(+AD203/AD205,4),0%)</f>
        <v>0.96550000000000002</v>
      </c>
      <c r="AE201" s="62">
        <f t="shared" ref="AE201" si="288">IF(AE203&lt;&gt;0,+AE203/AE205,0%)</f>
        <v>0.96340678885427045</v>
      </c>
      <c r="AF201" s="63">
        <f>IF(AF203&lt;&gt;0,ROUND(+AF203/AF205,4),0%)</f>
        <v>0.9718</v>
      </c>
      <c r="AG201" s="62">
        <f t="shared" ref="AG201" si="289">IF(AG203&lt;&gt;0,+AG203/AG205,0%)</f>
        <v>0.96408663707686781</v>
      </c>
      <c r="AH201" s="63">
        <f>IF(AH203&lt;&gt;0,ROUND(+AH203/AH205,4),0%)</f>
        <v>0.98319999999999996</v>
      </c>
      <c r="AI201" s="62">
        <f>IF(AI203&lt;&gt;0,+AI203/AI205,0%)</f>
        <v>0.9654224646194639</v>
      </c>
      <c r="AJ201" s="68"/>
      <c r="AK201" s="166"/>
      <c r="AL201" s="326"/>
      <c r="AM201" s="157"/>
    </row>
    <row r="202" spans="1:41" s="94" customFormat="1" ht="22.9" customHeight="1" thickBot="1">
      <c r="A202" s="330"/>
      <c r="B202" s="333"/>
      <c r="C202" s="383"/>
      <c r="D202" s="465"/>
      <c r="E202" s="341"/>
      <c r="F202" s="345"/>
      <c r="G202" s="345"/>
      <c r="H202" s="345"/>
      <c r="I202" s="349"/>
      <c r="J202" s="352"/>
      <c r="K202" s="317"/>
      <c r="L202" s="99"/>
      <c r="M202" s="101" t="s">
        <v>60</v>
      </c>
      <c r="N202" s="101" t="s">
        <v>60</v>
      </c>
      <c r="O202" s="102" t="s">
        <v>60</v>
      </c>
      <c r="P202" s="101" t="s">
        <v>60</v>
      </c>
      <c r="Q202" s="103" t="s">
        <v>60</v>
      </c>
      <c r="R202" s="101" t="s">
        <v>60</v>
      </c>
      <c r="S202" s="103" t="s">
        <v>60</v>
      </c>
      <c r="T202" s="101" t="s">
        <v>60</v>
      </c>
      <c r="U202" s="103" t="s">
        <v>60</v>
      </c>
      <c r="V202" s="101" t="s">
        <v>60</v>
      </c>
      <c r="W202" s="103" t="s">
        <v>60</v>
      </c>
      <c r="X202" s="101" t="s">
        <v>60</v>
      </c>
      <c r="Y202" s="103" t="s">
        <v>60</v>
      </c>
      <c r="Z202" s="101" t="s">
        <v>60</v>
      </c>
      <c r="AA202" s="103" t="s">
        <v>60</v>
      </c>
      <c r="AB202" s="101" t="s">
        <v>60</v>
      </c>
      <c r="AC202" s="103" t="s">
        <v>60</v>
      </c>
      <c r="AD202" s="101" t="s">
        <v>60</v>
      </c>
      <c r="AE202" s="103" t="s">
        <v>60</v>
      </c>
      <c r="AF202" s="101" t="s">
        <v>60</v>
      </c>
      <c r="AG202" s="103" t="s">
        <v>60</v>
      </c>
      <c r="AH202" s="101" t="s">
        <v>60</v>
      </c>
      <c r="AI202" s="103" t="s">
        <v>60</v>
      </c>
      <c r="AJ202" s="68"/>
      <c r="AK202" s="166"/>
      <c r="AL202" s="326"/>
      <c r="AM202" s="157"/>
    </row>
    <row r="203" spans="1:41" s="94" customFormat="1" ht="22.9" customHeight="1" thickTop="1">
      <c r="A203" s="330"/>
      <c r="B203" s="333"/>
      <c r="C203" s="383"/>
      <c r="D203" s="465"/>
      <c r="E203" s="341"/>
      <c r="F203" s="345"/>
      <c r="G203" s="345"/>
      <c r="H203" s="345"/>
      <c r="I203" s="349"/>
      <c r="J203" s="352"/>
      <c r="K203" s="316" t="s">
        <v>74</v>
      </c>
      <c r="L203" s="104">
        <v>89569</v>
      </c>
      <c r="M203" s="105">
        <v>7380</v>
      </c>
      <c r="N203" s="105">
        <v>6234</v>
      </c>
      <c r="O203" s="106">
        <f>+M203+N203</f>
        <v>13614</v>
      </c>
      <c r="P203" s="105">
        <v>7560</v>
      </c>
      <c r="Q203" s="106">
        <f>+O203+P203</f>
        <v>21174</v>
      </c>
      <c r="R203" s="105">
        <v>7954</v>
      </c>
      <c r="S203" s="106">
        <f>+Q203+R203</f>
        <v>29128</v>
      </c>
      <c r="T203" s="105">
        <v>7837</v>
      </c>
      <c r="U203" s="106">
        <f>+S203+T203</f>
        <v>36965</v>
      </c>
      <c r="V203" s="105">
        <v>6655</v>
      </c>
      <c r="W203" s="106">
        <f>+U203+V203</f>
        <v>43620</v>
      </c>
      <c r="X203" s="105">
        <v>10139</v>
      </c>
      <c r="Y203" s="106">
        <f>+W203+X203</f>
        <v>53759</v>
      </c>
      <c r="Z203" s="105">
        <v>7345</v>
      </c>
      <c r="AA203" s="106">
        <f>+Y203+Z203</f>
        <v>61104</v>
      </c>
      <c r="AB203" s="105">
        <v>6100</v>
      </c>
      <c r="AC203" s="106">
        <f>+AA203+AB203</f>
        <v>67204</v>
      </c>
      <c r="AD203" s="105">
        <v>9172</v>
      </c>
      <c r="AE203" s="106">
        <f>+AC203+AD203</f>
        <v>76376</v>
      </c>
      <c r="AF203" s="105">
        <v>6816</v>
      </c>
      <c r="AG203" s="106">
        <f>+AE203+AF203</f>
        <v>83192</v>
      </c>
      <c r="AH203" s="105">
        <v>6377</v>
      </c>
      <c r="AI203" s="106">
        <f>SUM(AG203:AH203)</f>
        <v>89569</v>
      </c>
      <c r="AJ203" s="29">
        <f>+AI201/L201</f>
        <v>1</v>
      </c>
      <c r="AK203" s="166"/>
      <c r="AL203" s="326"/>
      <c r="AM203" s="157"/>
    </row>
    <row r="204" spans="1:41" s="94" customFormat="1" ht="22.9" customHeight="1">
      <c r="A204" s="330"/>
      <c r="B204" s="333"/>
      <c r="C204" s="383"/>
      <c r="D204" s="465"/>
      <c r="E204" s="341"/>
      <c r="F204" s="345"/>
      <c r="G204" s="345"/>
      <c r="H204" s="345"/>
      <c r="I204" s="349"/>
      <c r="J204" s="352"/>
      <c r="K204" s="347"/>
      <c r="L204" s="99" t="s">
        <v>126</v>
      </c>
      <c r="M204" s="107" t="s">
        <v>62</v>
      </c>
      <c r="N204" s="107" t="s">
        <v>62</v>
      </c>
      <c r="O204" s="108" t="s">
        <v>62</v>
      </c>
      <c r="P204" s="107" t="s">
        <v>62</v>
      </c>
      <c r="Q204" s="109" t="s">
        <v>62</v>
      </c>
      <c r="R204" s="107"/>
      <c r="S204" s="109" t="s">
        <v>62</v>
      </c>
      <c r="T204" s="107" t="s">
        <v>62</v>
      </c>
      <c r="U204" s="109" t="s">
        <v>62</v>
      </c>
      <c r="V204" s="107" t="s">
        <v>62</v>
      </c>
      <c r="W204" s="109" t="s">
        <v>62</v>
      </c>
      <c r="X204" s="107" t="s">
        <v>62</v>
      </c>
      <c r="Y204" s="109" t="s">
        <v>62</v>
      </c>
      <c r="Z204" s="107" t="s">
        <v>62</v>
      </c>
      <c r="AA204" s="109" t="s">
        <v>62</v>
      </c>
      <c r="AB204" s="107" t="s">
        <v>62</v>
      </c>
      <c r="AC204" s="109" t="s">
        <v>62</v>
      </c>
      <c r="AD204" s="107" t="s">
        <v>62</v>
      </c>
      <c r="AE204" s="109" t="s">
        <v>62</v>
      </c>
      <c r="AF204" s="107" t="s">
        <v>62</v>
      </c>
      <c r="AG204" s="109" t="s">
        <v>62</v>
      </c>
      <c r="AH204" s="107" t="s">
        <v>62</v>
      </c>
      <c r="AI204" s="108" t="s">
        <v>62</v>
      </c>
      <c r="AJ204" s="68"/>
      <c r="AK204" s="166"/>
      <c r="AL204" s="326"/>
      <c r="AM204" s="157"/>
    </row>
    <row r="205" spans="1:41" s="94" customFormat="1" ht="22.9" customHeight="1" thickBot="1">
      <c r="A205" s="331"/>
      <c r="B205" s="334"/>
      <c r="C205" s="384"/>
      <c r="D205" s="466"/>
      <c r="E205" s="342"/>
      <c r="F205" s="346"/>
      <c r="G205" s="346"/>
      <c r="H205" s="346"/>
      <c r="I205" s="350"/>
      <c r="J205" s="353"/>
      <c r="K205" s="317"/>
      <c r="L205" s="110">
        <v>92777</v>
      </c>
      <c r="M205" s="111">
        <v>7710</v>
      </c>
      <c r="N205" s="111">
        <v>6457</v>
      </c>
      <c r="O205" s="112">
        <f t="shared" ref="O205" si="290">+M205+N205</f>
        <v>14167</v>
      </c>
      <c r="P205" s="111">
        <v>7812</v>
      </c>
      <c r="Q205" s="112">
        <f t="shared" ref="Q205" si="291">+O205+P205</f>
        <v>21979</v>
      </c>
      <c r="R205" s="111">
        <v>8118</v>
      </c>
      <c r="S205" s="112">
        <f t="shared" ref="S205" si="292">+Q205+R205</f>
        <v>30097</v>
      </c>
      <c r="T205" s="111">
        <v>8081</v>
      </c>
      <c r="U205" s="112">
        <f t="shared" ref="U205" si="293">+S205+T205</f>
        <v>38178</v>
      </c>
      <c r="V205" s="111">
        <v>6930</v>
      </c>
      <c r="W205" s="112">
        <f t="shared" ref="W205" si="294">+U205+V205</f>
        <v>45108</v>
      </c>
      <c r="X205" s="111">
        <v>10966</v>
      </c>
      <c r="Y205" s="112">
        <f t="shared" ref="Y205" si="295">+W205+X205</f>
        <v>56074</v>
      </c>
      <c r="Z205" s="111">
        <v>7459</v>
      </c>
      <c r="AA205" s="112">
        <f t="shared" ref="AA205" si="296">+Y205+Z205</f>
        <v>63533</v>
      </c>
      <c r="AB205" s="111">
        <v>6244</v>
      </c>
      <c r="AC205" s="112">
        <f t="shared" ref="AC205" si="297">+AA205+AB205</f>
        <v>69777</v>
      </c>
      <c r="AD205" s="111">
        <v>9500</v>
      </c>
      <c r="AE205" s="112">
        <f t="shared" ref="AE205" si="298">+AC205+AD205</f>
        <v>79277</v>
      </c>
      <c r="AF205" s="111">
        <v>7014</v>
      </c>
      <c r="AG205" s="112">
        <f t="shared" ref="AG205" si="299">+AE205+AF205</f>
        <v>86291</v>
      </c>
      <c r="AH205" s="111">
        <v>6486</v>
      </c>
      <c r="AI205" s="112">
        <f>SUM(AG205:AH205)</f>
        <v>92777</v>
      </c>
      <c r="AJ205" s="69"/>
      <c r="AK205" s="167"/>
      <c r="AL205" s="327"/>
      <c r="AM205" s="158"/>
    </row>
    <row r="206" spans="1:41" ht="12.95" thickTop="1"/>
    <row r="209" spans="1:39" s="89" customFormat="1" ht="15.6">
      <c r="C209" s="343" t="s">
        <v>154</v>
      </c>
      <c r="D209" s="343"/>
      <c r="E209" s="343"/>
      <c r="F209" s="343"/>
      <c r="G209" s="343"/>
      <c r="H209" s="343"/>
      <c r="I209" s="343"/>
      <c r="J209" s="343"/>
      <c r="K209" s="343"/>
      <c r="L209" s="93"/>
      <c r="M209" s="81"/>
      <c r="N209" s="93"/>
      <c r="O209" s="81"/>
      <c r="P209" s="93"/>
      <c r="Q209" s="81"/>
      <c r="R209" s="93"/>
      <c r="S209" s="81"/>
      <c r="T209" s="93"/>
      <c r="U209" s="81"/>
      <c r="V209" s="93"/>
      <c r="W209" s="81"/>
      <c r="X209" s="93"/>
      <c r="Y209" s="81"/>
      <c r="Z209" s="93"/>
      <c r="AA209" s="81"/>
      <c r="AB209" s="93"/>
      <c r="AC209" s="81"/>
      <c r="AD209" s="93"/>
      <c r="AE209" s="81"/>
      <c r="AF209" s="93"/>
      <c r="AG209" s="81"/>
      <c r="AH209" s="93"/>
      <c r="AI209" s="81"/>
      <c r="AJ209" s="121"/>
      <c r="AK209" s="90"/>
      <c r="AL209" s="90"/>
      <c r="AM209" s="90"/>
    </row>
    <row r="210" spans="1:39" s="89" customFormat="1" ht="15.95" thickBot="1">
      <c r="L210" s="90"/>
      <c r="M210" s="90"/>
      <c r="N210" s="90"/>
      <c r="O210" s="90"/>
      <c r="P210" s="90"/>
      <c r="Q210" s="90"/>
      <c r="R210" s="90"/>
      <c r="S210" s="90"/>
      <c r="T210" s="90"/>
      <c r="U210" s="90"/>
      <c r="V210" s="90"/>
      <c r="W210" s="90"/>
      <c r="X210" s="90"/>
      <c r="Y210" s="90"/>
      <c r="Z210" s="90"/>
      <c r="AA210" s="90"/>
      <c r="AB210" s="90"/>
      <c r="AC210" s="90"/>
      <c r="AD210" s="90"/>
      <c r="AE210" s="90"/>
      <c r="AF210" s="90"/>
      <c r="AG210" s="90"/>
      <c r="AH210" s="90"/>
      <c r="AI210" s="90"/>
      <c r="AJ210" s="90"/>
      <c r="AK210" s="90"/>
      <c r="AL210" s="90"/>
      <c r="AM210" s="90"/>
    </row>
    <row r="211" spans="1:39" s="94" customFormat="1" ht="22.9" customHeight="1" thickTop="1">
      <c r="A211" s="311" t="s">
        <v>10</v>
      </c>
      <c r="B211" s="311" t="s">
        <v>11</v>
      </c>
      <c r="C211" s="311" t="s">
        <v>12</v>
      </c>
      <c r="D211" s="241" t="s">
        <v>13</v>
      </c>
      <c r="E211" s="241" t="s">
        <v>14</v>
      </c>
      <c r="F211" s="241" t="s">
        <v>15</v>
      </c>
      <c r="G211" s="241" t="s">
        <v>16</v>
      </c>
      <c r="H211" s="241" t="s">
        <v>17</v>
      </c>
      <c r="I211" s="241" t="s">
        <v>118</v>
      </c>
      <c r="J211" s="241" t="s">
        <v>19</v>
      </c>
      <c r="K211" s="241" t="s">
        <v>20</v>
      </c>
      <c r="L211" s="241" t="s">
        <v>21</v>
      </c>
      <c r="M211" s="241" t="s">
        <v>22</v>
      </c>
      <c r="N211" s="241" t="s">
        <v>23</v>
      </c>
      <c r="O211" s="311" t="s">
        <v>24</v>
      </c>
      <c r="P211" s="241" t="s">
        <v>25</v>
      </c>
      <c r="Q211" s="241" t="s">
        <v>26</v>
      </c>
      <c r="R211" s="241" t="s">
        <v>27</v>
      </c>
      <c r="S211" s="241" t="s">
        <v>28</v>
      </c>
      <c r="T211" s="241" t="s">
        <v>29</v>
      </c>
      <c r="U211" s="311" t="s">
        <v>30</v>
      </c>
      <c r="V211" s="311" t="s">
        <v>31</v>
      </c>
      <c r="W211" s="241" t="s">
        <v>32</v>
      </c>
      <c r="X211" s="339" t="s">
        <v>33</v>
      </c>
      <c r="Y211" s="241" t="s">
        <v>34</v>
      </c>
      <c r="Z211" s="241" t="s">
        <v>35</v>
      </c>
      <c r="AA211" s="241" t="s">
        <v>36</v>
      </c>
      <c r="AB211" s="241" t="s">
        <v>37</v>
      </c>
      <c r="AC211" s="241" t="s">
        <v>38</v>
      </c>
      <c r="AD211" s="241" t="s">
        <v>39</v>
      </c>
      <c r="AE211" s="241" t="s">
        <v>40</v>
      </c>
      <c r="AF211" s="311" t="s">
        <v>41</v>
      </c>
      <c r="AG211" s="241" t="s">
        <v>42</v>
      </c>
      <c r="AH211" s="241" t="s">
        <v>43</v>
      </c>
      <c r="AI211" s="241" t="s">
        <v>143</v>
      </c>
      <c r="AJ211" s="241" t="s">
        <v>45</v>
      </c>
      <c r="AK211" s="241" t="s">
        <v>46</v>
      </c>
      <c r="AL211" s="241" t="s">
        <v>47</v>
      </c>
      <c r="AM211" s="241" t="s">
        <v>48</v>
      </c>
    </row>
    <row r="212" spans="1:39" s="94" customFormat="1" ht="22.9" customHeight="1" thickBot="1">
      <c r="A212" s="314"/>
      <c r="B212" s="314"/>
      <c r="C212" s="314"/>
      <c r="D212" s="242"/>
      <c r="E212" s="242"/>
      <c r="F212" s="242"/>
      <c r="G212" s="242"/>
      <c r="H212" s="242"/>
      <c r="I212" s="242"/>
      <c r="J212" s="242"/>
      <c r="K212" s="242"/>
      <c r="L212" s="313"/>
      <c r="M212" s="242"/>
      <c r="N212" s="242"/>
      <c r="O212" s="314"/>
      <c r="P212" s="242"/>
      <c r="Q212" s="242"/>
      <c r="R212" s="242"/>
      <c r="S212" s="310"/>
      <c r="T212" s="242"/>
      <c r="U212" s="312"/>
      <c r="V212" s="312"/>
      <c r="W212" s="310"/>
      <c r="X212" s="340"/>
      <c r="Y212" s="242"/>
      <c r="Z212" s="310"/>
      <c r="AA212" s="310"/>
      <c r="AB212" s="310"/>
      <c r="AC212" s="310"/>
      <c r="AD212" s="310"/>
      <c r="AE212" s="310"/>
      <c r="AF212" s="312"/>
      <c r="AG212" s="310"/>
      <c r="AH212" s="242"/>
      <c r="AI212" s="242">
        <v>2018</v>
      </c>
      <c r="AJ212" s="242"/>
      <c r="AK212" s="328"/>
      <c r="AL212" s="242"/>
      <c r="AM212" s="242"/>
    </row>
    <row r="213" spans="1:39" s="94" customFormat="1" ht="22.9" customHeight="1" thickTop="1">
      <c r="A213" s="329" t="s">
        <v>155</v>
      </c>
      <c r="B213" s="332" t="s">
        <v>64</v>
      </c>
      <c r="C213" s="382" t="s">
        <v>121</v>
      </c>
      <c r="D213" s="338" t="s">
        <v>122</v>
      </c>
      <c r="E213" s="338" t="s">
        <v>156</v>
      </c>
      <c r="F213" s="344" t="s">
        <v>157</v>
      </c>
      <c r="G213" s="344" t="s">
        <v>158</v>
      </c>
      <c r="H213" s="344" t="s">
        <v>157</v>
      </c>
      <c r="I213" s="348">
        <f>+L214</f>
        <v>0.93614438607440265</v>
      </c>
      <c r="J213" s="351">
        <v>0.1</v>
      </c>
      <c r="K213" s="315" t="s">
        <v>124</v>
      </c>
      <c r="L213" s="96" t="s">
        <v>57</v>
      </c>
      <c r="M213" s="96" t="s">
        <v>57</v>
      </c>
      <c r="N213" s="96" t="s">
        <v>57</v>
      </c>
      <c r="O213" s="97" t="s">
        <v>57</v>
      </c>
      <c r="P213" s="96" t="s">
        <v>57</v>
      </c>
      <c r="Q213" s="98" t="s">
        <v>57</v>
      </c>
      <c r="R213" s="96" t="s">
        <v>57</v>
      </c>
      <c r="S213" s="98" t="s">
        <v>57</v>
      </c>
      <c r="T213" s="96" t="s">
        <v>57</v>
      </c>
      <c r="U213" s="98" t="s">
        <v>57</v>
      </c>
      <c r="V213" s="96" t="s">
        <v>57</v>
      </c>
      <c r="W213" s="98" t="s">
        <v>57</v>
      </c>
      <c r="X213" s="96" t="s">
        <v>57</v>
      </c>
      <c r="Y213" s="98" t="s">
        <v>57</v>
      </c>
      <c r="Z213" s="96" t="s">
        <v>57</v>
      </c>
      <c r="AA213" s="98" t="s">
        <v>57</v>
      </c>
      <c r="AB213" s="96" t="s">
        <v>57</v>
      </c>
      <c r="AC213" s="98" t="s">
        <v>57</v>
      </c>
      <c r="AD213" s="96" t="s">
        <v>57</v>
      </c>
      <c r="AE213" s="98" t="s">
        <v>57</v>
      </c>
      <c r="AF213" s="96" t="s">
        <v>57</v>
      </c>
      <c r="AG213" s="98" t="s">
        <v>57</v>
      </c>
      <c r="AH213" s="96" t="s">
        <v>57</v>
      </c>
      <c r="AI213" s="98" t="s">
        <v>57</v>
      </c>
      <c r="AJ213" s="67"/>
      <c r="AK213" s="165" t="s">
        <v>72</v>
      </c>
      <c r="AL213" s="325"/>
      <c r="AM213" s="156" t="s">
        <v>125</v>
      </c>
    </row>
    <row r="214" spans="1:39" s="94" customFormat="1" ht="22.9" customHeight="1">
      <c r="A214" s="330"/>
      <c r="B214" s="333"/>
      <c r="C214" s="336"/>
      <c r="D214" s="465"/>
      <c r="E214" s="341"/>
      <c r="F214" s="345"/>
      <c r="G214" s="345"/>
      <c r="H214" s="345"/>
      <c r="I214" s="349"/>
      <c r="J214" s="352"/>
      <c r="K214" s="316"/>
      <c r="L214" s="41">
        <f>IF(L216&lt;&gt;0,+L216/L218,0%)</f>
        <v>0.93614438607440265</v>
      </c>
      <c r="M214" s="58">
        <f>IF(M216&lt;&gt;0,+M216/M218,0%)</f>
        <v>0.94751973606692586</v>
      </c>
      <c r="N214" s="61">
        <f>IF(N216&lt;&gt;0,+N216/N218,0%)</f>
        <v>0.94954043387280485</v>
      </c>
      <c r="O214" s="57">
        <f t="shared" ref="O214" si="300">IF(O216&lt;&gt;0,+O216/O218,0%)</f>
        <v>0.94847109293161069</v>
      </c>
      <c r="P214" s="61">
        <f>IF(P216&lt;&gt;0,ROUND(+P216/P218,4),0%)</f>
        <v>0.94899999999999995</v>
      </c>
      <c r="Q214" s="62">
        <f t="shared" ref="Q214" si="301">IF(Q216&lt;&gt;0,+Q216/Q218,0%)</f>
        <v>0.94865728238096381</v>
      </c>
      <c r="R214" s="63">
        <f>IF(R216&lt;&gt;0,ROUND(+R216/R218,4),0%)</f>
        <v>0.95069999999999999</v>
      </c>
      <c r="S214" s="62">
        <f t="shared" ref="S214" si="302">IF(S216&lt;&gt;0,+S216/S218,0%)</f>
        <v>0.94917310138753286</v>
      </c>
      <c r="T214" s="63">
        <f>IF(T216&lt;&gt;0,ROUND(+T216/T218,4),0%)</f>
        <v>0.94379999999999997</v>
      </c>
      <c r="U214" s="62">
        <f t="shared" ref="U214" si="303">IF(U216&lt;&gt;0,+U216/U218,0%)</f>
        <v>0.94810299000179721</v>
      </c>
      <c r="V214" s="63">
        <f>IF(V216&lt;&gt;0,ROUND(+V216/V218,4),0%)</f>
        <v>0.93159999999999998</v>
      </c>
      <c r="W214" s="62">
        <f t="shared" ref="W214" si="304">IF(W216&lt;&gt;0,+W216/W218,0%)</f>
        <v>0.9457878822362753</v>
      </c>
      <c r="X214" s="63">
        <f>IF(X216&lt;&gt;0,ROUND(+X216/X218,4),0%)</f>
        <v>0.90800000000000003</v>
      </c>
      <c r="Y214" s="62">
        <f t="shared" ref="Y214" si="305">IF(Y216&lt;&gt;0,+Y216/Y218,0%)</f>
        <v>0.93842765175441756</v>
      </c>
      <c r="Z214" s="64">
        <f>IF(Z216&lt;&gt;0,ROUND(+Z216/Z218,4),0%)</f>
        <v>0.94099999999999995</v>
      </c>
      <c r="AA214" s="62">
        <f t="shared" ref="AA214" si="306">IF(AA216&lt;&gt;0,+AA216/AA218,0%)</f>
        <v>0.93871472989181703</v>
      </c>
      <c r="AB214" s="63">
        <f>IF(AB216&lt;&gt;0,ROUND(+AB216/AB218,4),0%)</f>
        <v>0.93189999999999995</v>
      </c>
      <c r="AC214" s="62">
        <f t="shared" ref="AC214" si="307">IF(AC216&lt;&gt;0,+AC216/AC218,0%)</f>
        <v>0.93811923936349695</v>
      </c>
      <c r="AD214" s="63">
        <f>IF(AD216&lt;&gt;0,ROUND(+AD216/AD218,4),0%)</f>
        <v>0.91830000000000001</v>
      </c>
      <c r="AE214" s="62">
        <f t="shared" ref="AE214" si="308">IF(AE216&lt;&gt;0,+AE216/AE218,0%)</f>
        <v>0.93582092707019604</v>
      </c>
      <c r="AF214" s="63">
        <f>IF(AF216&lt;&gt;0,ROUND(+AF216/AF218,4),0%)</f>
        <v>0.93520000000000003</v>
      </c>
      <c r="AG214" s="62">
        <f t="shared" ref="AG214" si="309">IF(AG216&lt;&gt;0,+AG216/AG218,0%)</f>
        <v>0.93576994675094161</v>
      </c>
      <c r="AH214" s="63">
        <f>IF(AH216&lt;&gt;0,ROUND(+AH216/AH218,4),0%)</f>
        <v>0.94140000000000001</v>
      </c>
      <c r="AI214" s="62">
        <f>IF(AI216&lt;&gt;0,+AI216/AI218,0%)</f>
        <v>0.93614438607440265</v>
      </c>
      <c r="AJ214" s="68"/>
      <c r="AK214" s="166"/>
      <c r="AL214" s="326"/>
      <c r="AM214" s="157"/>
    </row>
    <row r="215" spans="1:39" s="94" customFormat="1" ht="22.9" customHeight="1" thickBot="1">
      <c r="A215" s="330"/>
      <c r="B215" s="333"/>
      <c r="C215" s="336"/>
      <c r="D215" s="465"/>
      <c r="E215" s="341"/>
      <c r="F215" s="345"/>
      <c r="G215" s="345"/>
      <c r="H215" s="345"/>
      <c r="I215" s="349"/>
      <c r="J215" s="352"/>
      <c r="K215" s="317"/>
      <c r="L215" s="101" t="s">
        <v>60</v>
      </c>
      <c r="M215" s="101" t="s">
        <v>60</v>
      </c>
      <c r="N215" s="101" t="s">
        <v>60</v>
      </c>
      <c r="O215" s="102" t="s">
        <v>60</v>
      </c>
      <c r="P215" s="101" t="s">
        <v>60</v>
      </c>
      <c r="Q215" s="103" t="s">
        <v>60</v>
      </c>
      <c r="R215" s="101" t="s">
        <v>60</v>
      </c>
      <c r="S215" s="103" t="s">
        <v>60</v>
      </c>
      <c r="T215" s="101" t="s">
        <v>60</v>
      </c>
      <c r="U215" s="103" t="s">
        <v>60</v>
      </c>
      <c r="V215" s="101" t="s">
        <v>60</v>
      </c>
      <c r="W215" s="103" t="s">
        <v>60</v>
      </c>
      <c r="X215" s="101" t="s">
        <v>60</v>
      </c>
      <c r="Y215" s="103" t="s">
        <v>60</v>
      </c>
      <c r="Z215" s="101" t="s">
        <v>60</v>
      </c>
      <c r="AA215" s="103" t="s">
        <v>60</v>
      </c>
      <c r="AB215" s="101" t="s">
        <v>60</v>
      </c>
      <c r="AC215" s="103" t="s">
        <v>60</v>
      </c>
      <c r="AD215" s="101" t="s">
        <v>60</v>
      </c>
      <c r="AE215" s="103" t="s">
        <v>60</v>
      </c>
      <c r="AF215" s="101" t="s">
        <v>60</v>
      </c>
      <c r="AG215" s="103" t="s">
        <v>60</v>
      </c>
      <c r="AH215" s="101" t="s">
        <v>60</v>
      </c>
      <c r="AI215" s="103" t="s">
        <v>60</v>
      </c>
      <c r="AJ215" s="68"/>
      <c r="AK215" s="166"/>
      <c r="AL215" s="326"/>
      <c r="AM215" s="157"/>
    </row>
    <row r="216" spans="1:39" s="94" customFormat="1" ht="22.9" customHeight="1" thickTop="1">
      <c r="A216" s="330"/>
      <c r="B216" s="333"/>
      <c r="C216" s="336"/>
      <c r="D216" s="465"/>
      <c r="E216" s="341"/>
      <c r="F216" s="345"/>
      <c r="G216" s="345"/>
      <c r="H216" s="345"/>
      <c r="I216" s="349"/>
      <c r="J216" s="352"/>
      <c r="K216" s="316" t="s">
        <v>74</v>
      </c>
      <c r="L216" s="104">
        <v>463501</v>
      </c>
      <c r="M216" s="105">
        <v>40208</v>
      </c>
      <c r="N216" s="105">
        <v>35848</v>
      </c>
      <c r="O216" s="106">
        <f>+M216+N216</f>
        <v>76056</v>
      </c>
      <c r="P216" s="105">
        <v>43028</v>
      </c>
      <c r="Q216" s="106">
        <f>+O216+P216</f>
        <v>119084</v>
      </c>
      <c r="R216" s="105">
        <v>41331</v>
      </c>
      <c r="S216" s="106">
        <f>+Q216+R216</f>
        <v>160415</v>
      </c>
      <c r="T216" s="105">
        <v>40050</v>
      </c>
      <c r="U216" s="106">
        <f>+S216+T216</f>
        <v>200465</v>
      </c>
      <c r="V216" s="105">
        <v>32248</v>
      </c>
      <c r="W216" s="106">
        <f>+U216+V216</f>
        <v>232713</v>
      </c>
      <c r="X216" s="105">
        <v>54017</v>
      </c>
      <c r="Y216" s="106">
        <f>+W216+X216</f>
        <v>286730</v>
      </c>
      <c r="Z216" s="105">
        <v>35711</v>
      </c>
      <c r="AA216" s="106">
        <f>+Y216+Z216</f>
        <v>322441</v>
      </c>
      <c r="AB216" s="105">
        <v>30638</v>
      </c>
      <c r="AC216" s="106">
        <f>+AA216+AB216</f>
        <v>353079</v>
      </c>
      <c r="AD216" s="105">
        <v>45387</v>
      </c>
      <c r="AE216" s="106">
        <f>+AC216+AD216</f>
        <v>398466</v>
      </c>
      <c r="AF216" s="105">
        <v>33841</v>
      </c>
      <c r="AG216" s="106">
        <f>+AE216+AF216</f>
        <v>432307</v>
      </c>
      <c r="AH216" s="105">
        <v>31194</v>
      </c>
      <c r="AI216" s="106">
        <f>+AG216+AH216</f>
        <v>463501</v>
      </c>
      <c r="AJ216" s="29">
        <f>+AI214/L214</f>
        <v>1</v>
      </c>
      <c r="AK216" s="166"/>
      <c r="AL216" s="326"/>
      <c r="AM216" s="157"/>
    </row>
    <row r="217" spans="1:39" s="94" customFormat="1" ht="22.9" customHeight="1">
      <c r="A217" s="330"/>
      <c r="B217" s="333"/>
      <c r="C217" s="336"/>
      <c r="D217" s="465"/>
      <c r="E217" s="341"/>
      <c r="F217" s="345"/>
      <c r="G217" s="345"/>
      <c r="H217" s="345"/>
      <c r="I217" s="349"/>
      <c r="J217" s="352"/>
      <c r="K217" s="347"/>
      <c r="L217" s="99" t="s">
        <v>126</v>
      </c>
      <c r="M217" s="107" t="s">
        <v>62</v>
      </c>
      <c r="N217" s="107" t="s">
        <v>62</v>
      </c>
      <c r="O217" s="108" t="s">
        <v>62</v>
      </c>
      <c r="P217" s="107" t="s">
        <v>62</v>
      </c>
      <c r="Q217" s="109" t="s">
        <v>62</v>
      </c>
      <c r="R217" s="107" t="s">
        <v>62</v>
      </c>
      <c r="S217" s="109" t="s">
        <v>62</v>
      </c>
      <c r="T217" s="107" t="s">
        <v>62</v>
      </c>
      <c r="U217" s="109" t="s">
        <v>62</v>
      </c>
      <c r="V217" s="107" t="s">
        <v>62</v>
      </c>
      <c r="W217" s="109" t="s">
        <v>62</v>
      </c>
      <c r="X217" s="107" t="s">
        <v>62</v>
      </c>
      <c r="Y217" s="109" t="s">
        <v>62</v>
      </c>
      <c r="Z217" s="107" t="s">
        <v>62</v>
      </c>
      <c r="AA217" s="109" t="s">
        <v>62</v>
      </c>
      <c r="AB217" s="107" t="s">
        <v>62</v>
      </c>
      <c r="AC217" s="109" t="s">
        <v>62</v>
      </c>
      <c r="AD217" s="107" t="s">
        <v>62</v>
      </c>
      <c r="AE217" s="109" t="s">
        <v>62</v>
      </c>
      <c r="AF217" s="107" t="s">
        <v>62</v>
      </c>
      <c r="AG217" s="109" t="s">
        <v>62</v>
      </c>
      <c r="AH217" s="107" t="s">
        <v>62</v>
      </c>
      <c r="AI217" s="109" t="s">
        <v>62</v>
      </c>
      <c r="AJ217" s="68"/>
      <c r="AK217" s="166"/>
      <c r="AL217" s="326"/>
      <c r="AM217" s="157"/>
    </row>
    <row r="218" spans="1:39" s="94" customFormat="1" ht="22.9" customHeight="1" thickBot="1">
      <c r="A218" s="331"/>
      <c r="B218" s="334"/>
      <c r="C218" s="337"/>
      <c r="D218" s="466"/>
      <c r="E218" s="342"/>
      <c r="F218" s="346"/>
      <c r="G218" s="346"/>
      <c r="H218" s="346"/>
      <c r="I218" s="350"/>
      <c r="J218" s="353"/>
      <c r="K218" s="317"/>
      <c r="L218" s="110">
        <v>495117</v>
      </c>
      <c r="M218" s="111">
        <v>42435</v>
      </c>
      <c r="N218" s="111">
        <v>37753</v>
      </c>
      <c r="O218" s="112">
        <f>+M218+N218</f>
        <v>80188</v>
      </c>
      <c r="P218" s="111">
        <v>45341</v>
      </c>
      <c r="Q218" s="112">
        <f>+O218+P218</f>
        <v>125529</v>
      </c>
      <c r="R218" s="111">
        <v>43476</v>
      </c>
      <c r="S218" s="112">
        <f>+Q218+R218</f>
        <v>169005</v>
      </c>
      <c r="T218" s="111">
        <v>42433</v>
      </c>
      <c r="U218" s="112">
        <f>+S218+T218</f>
        <v>211438</v>
      </c>
      <c r="V218" s="111">
        <v>34614</v>
      </c>
      <c r="W218" s="112">
        <f>+U218+V218</f>
        <v>246052</v>
      </c>
      <c r="X218" s="111">
        <v>59491</v>
      </c>
      <c r="Y218" s="112">
        <f>+W218+X218</f>
        <v>305543</v>
      </c>
      <c r="Z218" s="111">
        <v>37949</v>
      </c>
      <c r="AA218" s="112">
        <f>+Y218+Z218</f>
        <v>343492</v>
      </c>
      <c r="AB218" s="111">
        <v>32877</v>
      </c>
      <c r="AC218" s="112">
        <f>+AA218+AB218</f>
        <v>376369</v>
      </c>
      <c r="AD218" s="111">
        <v>49424</v>
      </c>
      <c r="AE218" s="112">
        <f>+AC218+AD218</f>
        <v>425793</v>
      </c>
      <c r="AF218" s="111">
        <v>36187</v>
      </c>
      <c r="AG218" s="112">
        <f>+AE218+AF218</f>
        <v>461980</v>
      </c>
      <c r="AH218" s="111">
        <v>33137</v>
      </c>
      <c r="AI218" s="112">
        <f>+AG218+AH218</f>
        <v>495117</v>
      </c>
      <c r="AJ218" s="69"/>
      <c r="AK218" s="167"/>
      <c r="AL218" s="327"/>
      <c r="AM218" s="158"/>
    </row>
    <row r="219" spans="1:39" ht="12.95" thickTop="1"/>
    <row r="220" spans="1:39" s="89" customFormat="1" ht="20.45" thickBot="1">
      <c r="A220" s="114" t="s">
        <v>127</v>
      </c>
      <c r="L220" s="90"/>
      <c r="M220" s="90"/>
      <c r="N220" s="90"/>
      <c r="O220" s="90"/>
      <c r="P220" s="90"/>
      <c r="Q220" s="90"/>
      <c r="R220" s="90"/>
      <c r="S220" s="90"/>
      <c r="T220" s="90"/>
      <c r="U220" s="90"/>
      <c r="V220" s="90"/>
      <c r="W220" s="90"/>
      <c r="X220" s="90"/>
      <c r="Y220" s="90"/>
      <c r="Z220" s="90"/>
      <c r="AA220" s="90"/>
      <c r="AB220" s="90"/>
      <c r="AC220" s="90"/>
      <c r="AD220" s="90"/>
      <c r="AE220" s="90"/>
      <c r="AF220" s="90"/>
      <c r="AG220" s="90"/>
      <c r="AH220" s="90"/>
      <c r="AI220" s="90"/>
      <c r="AJ220" s="90"/>
      <c r="AK220" s="90"/>
      <c r="AL220" s="90"/>
      <c r="AM220" s="90"/>
    </row>
    <row r="221" spans="1:39" s="94" customFormat="1" ht="22.9" customHeight="1" thickTop="1">
      <c r="A221" s="311" t="s">
        <v>10</v>
      </c>
      <c r="B221" s="311" t="s">
        <v>11</v>
      </c>
      <c r="C221" s="311" t="s">
        <v>12</v>
      </c>
      <c r="D221" s="241" t="s">
        <v>13</v>
      </c>
      <c r="E221" s="241" t="s">
        <v>14</v>
      </c>
      <c r="F221" s="241" t="s">
        <v>15</v>
      </c>
      <c r="G221" s="241" t="s">
        <v>16</v>
      </c>
      <c r="H221" s="241" t="s">
        <v>17</v>
      </c>
      <c r="I221" s="241" t="s">
        <v>118</v>
      </c>
      <c r="J221" s="241" t="s">
        <v>19</v>
      </c>
      <c r="K221" s="241" t="s">
        <v>20</v>
      </c>
      <c r="L221" s="241" t="s">
        <v>21</v>
      </c>
      <c r="M221" s="241" t="s">
        <v>22</v>
      </c>
      <c r="N221" s="241" t="s">
        <v>23</v>
      </c>
      <c r="O221" s="311" t="s">
        <v>24</v>
      </c>
      <c r="P221" s="241" t="s">
        <v>25</v>
      </c>
      <c r="Q221" s="241" t="s">
        <v>26</v>
      </c>
      <c r="R221" s="241" t="s">
        <v>27</v>
      </c>
      <c r="S221" s="241" t="s">
        <v>28</v>
      </c>
      <c r="T221" s="241" t="s">
        <v>29</v>
      </c>
      <c r="U221" s="311" t="s">
        <v>30</v>
      </c>
      <c r="V221" s="311" t="s">
        <v>31</v>
      </c>
      <c r="W221" s="241" t="s">
        <v>32</v>
      </c>
      <c r="X221" s="339" t="s">
        <v>33</v>
      </c>
      <c r="Y221" s="241" t="s">
        <v>34</v>
      </c>
      <c r="Z221" s="241" t="s">
        <v>35</v>
      </c>
      <c r="AA221" s="241" t="s">
        <v>36</v>
      </c>
      <c r="AB221" s="241" t="s">
        <v>37</v>
      </c>
      <c r="AC221" s="241" t="s">
        <v>38</v>
      </c>
      <c r="AD221" s="241" t="s">
        <v>39</v>
      </c>
      <c r="AE221" s="241" t="s">
        <v>40</v>
      </c>
      <c r="AF221" s="311" t="s">
        <v>41</v>
      </c>
      <c r="AG221" s="241" t="s">
        <v>42</v>
      </c>
      <c r="AH221" s="241" t="s">
        <v>43</v>
      </c>
      <c r="AI221" s="241" t="s">
        <v>143</v>
      </c>
      <c r="AJ221" s="241" t="s">
        <v>45</v>
      </c>
      <c r="AK221" s="241" t="s">
        <v>46</v>
      </c>
      <c r="AL221" s="241" t="s">
        <v>47</v>
      </c>
      <c r="AM221" s="241" t="s">
        <v>48</v>
      </c>
    </row>
    <row r="222" spans="1:39" s="94" customFormat="1" ht="22.9" customHeight="1" thickBot="1">
      <c r="A222" s="314"/>
      <c r="B222" s="314"/>
      <c r="C222" s="314"/>
      <c r="D222" s="242"/>
      <c r="E222" s="242"/>
      <c r="F222" s="242"/>
      <c r="G222" s="242"/>
      <c r="H222" s="242"/>
      <c r="I222" s="242"/>
      <c r="J222" s="242"/>
      <c r="K222" s="242"/>
      <c r="L222" s="313"/>
      <c r="M222" s="242"/>
      <c r="N222" s="242"/>
      <c r="O222" s="314"/>
      <c r="P222" s="242"/>
      <c r="Q222" s="242"/>
      <c r="R222" s="242"/>
      <c r="S222" s="310"/>
      <c r="T222" s="242"/>
      <c r="U222" s="312"/>
      <c r="V222" s="312"/>
      <c r="W222" s="310"/>
      <c r="X222" s="340"/>
      <c r="Y222" s="242"/>
      <c r="Z222" s="310"/>
      <c r="AA222" s="310"/>
      <c r="AB222" s="310"/>
      <c r="AC222" s="310"/>
      <c r="AD222" s="310"/>
      <c r="AE222" s="310"/>
      <c r="AF222" s="312"/>
      <c r="AG222" s="310"/>
      <c r="AH222" s="242"/>
      <c r="AI222" s="242">
        <v>2018</v>
      </c>
      <c r="AJ222" s="242"/>
      <c r="AK222" s="328"/>
      <c r="AL222" s="242"/>
      <c r="AM222" s="242"/>
    </row>
    <row r="223" spans="1:39" s="94" customFormat="1" ht="22.9" customHeight="1" thickTop="1">
      <c r="A223" s="329" t="s">
        <v>155</v>
      </c>
      <c r="B223" s="332" t="s">
        <v>64</v>
      </c>
      <c r="C223" s="382" t="s">
        <v>121</v>
      </c>
      <c r="D223" s="338" t="s">
        <v>122</v>
      </c>
      <c r="E223" s="338" t="s">
        <v>156</v>
      </c>
      <c r="F223" s="344" t="s">
        <v>157</v>
      </c>
      <c r="G223" s="344" t="s">
        <v>158</v>
      </c>
      <c r="H223" s="344" t="s">
        <v>157</v>
      </c>
      <c r="I223" s="348">
        <f>+L224</f>
        <v>0.93525881821157475</v>
      </c>
      <c r="J223" s="351">
        <v>0.1</v>
      </c>
      <c r="K223" s="315" t="s">
        <v>124</v>
      </c>
      <c r="L223" s="95" t="s">
        <v>57</v>
      </c>
      <c r="M223" s="96" t="s">
        <v>57</v>
      </c>
      <c r="N223" s="96" t="s">
        <v>57</v>
      </c>
      <c r="O223" s="97" t="s">
        <v>57</v>
      </c>
      <c r="P223" s="96" t="s">
        <v>57</v>
      </c>
      <c r="Q223" s="98" t="s">
        <v>57</v>
      </c>
      <c r="R223" s="96" t="s">
        <v>57</v>
      </c>
      <c r="S223" s="98" t="s">
        <v>57</v>
      </c>
      <c r="T223" s="96" t="s">
        <v>57</v>
      </c>
      <c r="U223" s="98" t="s">
        <v>57</v>
      </c>
      <c r="V223" s="96" t="s">
        <v>57</v>
      </c>
      <c r="W223" s="98" t="s">
        <v>57</v>
      </c>
      <c r="X223" s="96" t="s">
        <v>57</v>
      </c>
      <c r="Y223" s="98" t="s">
        <v>57</v>
      </c>
      <c r="Z223" s="96" t="s">
        <v>57</v>
      </c>
      <c r="AA223" s="98" t="s">
        <v>57</v>
      </c>
      <c r="AB223" s="96" t="s">
        <v>57</v>
      </c>
      <c r="AC223" s="98" t="s">
        <v>57</v>
      </c>
      <c r="AD223" s="96" t="s">
        <v>57</v>
      </c>
      <c r="AE223" s="98" t="s">
        <v>57</v>
      </c>
      <c r="AF223" s="96" t="s">
        <v>57</v>
      </c>
      <c r="AG223" s="98" t="s">
        <v>57</v>
      </c>
      <c r="AH223" s="96" t="s">
        <v>57</v>
      </c>
      <c r="AI223" s="98" t="s">
        <v>57</v>
      </c>
      <c r="AJ223" s="67"/>
      <c r="AK223" s="165" t="s">
        <v>72</v>
      </c>
      <c r="AL223" s="325"/>
      <c r="AM223" s="156" t="s">
        <v>125</v>
      </c>
    </row>
    <row r="224" spans="1:39" s="94" customFormat="1" ht="22.9" customHeight="1">
      <c r="A224" s="330"/>
      <c r="B224" s="333"/>
      <c r="C224" s="336"/>
      <c r="D224" s="465"/>
      <c r="E224" s="341"/>
      <c r="F224" s="345"/>
      <c r="G224" s="345"/>
      <c r="H224" s="345"/>
      <c r="I224" s="349"/>
      <c r="J224" s="352"/>
      <c r="K224" s="316"/>
      <c r="L224" s="41">
        <f>IF(L226&lt;&gt;0,+L226/L228,0%)</f>
        <v>0.93525881821157475</v>
      </c>
      <c r="M224" s="58">
        <f>IF(M226&lt;&gt;0,+M226/M228,0%)</f>
        <v>0.94668445121951217</v>
      </c>
      <c r="N224" s="61">
        <f>IF(N226&lt;&gt;0,+N226/N228,0%)</f>
        <v>0.94976781748435291</v>
      </c>
      <c r="O224" s="57">
        <f t="shared" ref="O224" si="310">IF(O226&lt;&gt;0,+O226/O228,0%)</f>
        <v>0.94818155082835021</v>
      </c>
      <c r="P224" s="61">
        <f>IF(P226&lt;&gt;0,ROUND(+P226/P228,4),0%)</f>
        <v>0.94920000000000004</v>
      </c>
      <c r="Q224" s="62">
        <f t="shared" ref="Q224" si="311">IF(Q226&lt;&gt;0,+Q226/Q228,0%)</f>
        <v>0.94856213097982178</v>
      </c>
      <c r="R224" s="63">
        <f>IF(R226&lt;&gt;0,ROUND(+R226/R228,4),0%)</f>
        <v>0.95140000000000002</v>
      </c>
      <c r="S224" s="62">
        <f t="shared" ref="S224" si="312">IF(S226&lt;&gt;0,+S226/S228,0%)</f>
        <v>0.94929151189984873</v>
      </c>
      <c r="T224" s="63">
        <f>IF(T226&lt;&gt;0,ROUND(+T226/T228,4),0%)</f>
        <v>0.94320000000000004</v>
      </c>
      <c r="U224" s="62">
        <f t="shared" ref="U224" si="313">IF(U226&lt;&gt;0,+U226/U228,0%)</f>
        <v>0.94811798354852295</v>
      </c>
      <c r="V224" s="63">
        <f>IF(V226&lt;&gt;0,ROUND(+V226/V228,4),0%)</f>
        <v>0.9325</v>
      </c>
      <c r="W224" s="62">
        <f t="shared" ref="W224" si="314">IF(W226&lt;&gt;0,+W226/W228,0%)</f>
        <v>0.94596593227254178</v>
      </c>
      <c r="X224" s="63">
        <f>IF(X226&lt;&gt;0,ROUND(+X226/X228,4),0%)</f>
        <v>0.90449999999999997</v>
      </c>
      <c r="Y224" s="62">
        <f t="shared" ref="Y224" si="315">IF(Y226&lt;&gt;0,+Y226/Y228,0%)</f>
        <v>0.93770900235358989</v>
      </c>
      <c r="Z224" s="64">
        <f>IF(Z226&lt;&gt;0,ROUND(+Z226/Z228,4),0%)</f>
        <v>0.9415</v>
      </c>
      <c r="AA224" s="62">
        <f t="shared" ref="AA224" si="316">IF(AA226&lt;&gt;0,+AA226/AA228,0%)</f>
        <v>0.93812594132930482</v>
      </c>
      <c r="AB224" s="63">
        <f>IF(AB226&lt;&gt;0,ROUND(+AB226/AB228,4),0%)</f>
        <v>0.93110000000000004</v>
      </c>
      <c r="AC224" s="62">
        <f t="shared" ref="AC224" si="317">IF(AC226&lt;&gt;0,+AC226/AC228,0%)</f>
        <v>0.93749534072742635</v>
      </c>
      <c r="AD224" s="63">
        <f>IF(AD226&lt;&gt;0,ROUND(+AD226/AD228,4),0%)</f>
        <v>0.91690000000000005</v>
      </c>
      <c r="AE224" s="62">
        <f t="shared" ref="AE224" si="318">IF(AE226&lt;&gt;0,+AE226/AE228,0%)</f>
        <v>0.93493287300631744</v>
      </c>
      <c r="AF224" s="63">
        <f>IF(AF226&lt;&gt;0,ROUND(+AF226/AF228,4),0%)</f>
        <v>0.93520000000000003</v>
      </c>
      <c r="AG224" s="62">
        <f t="shared" ref="AG224" si="319">IF(AG226&lt;&gt;0,+AG226/AG228,0%)</f>
        <v>0.93495826510909763</v>
      </c>
      <c r="AH224" s="63">
        <f>IF(AH226&lt;&gt;0,ROUND(+AH226/AH228,4),0%)</f>
        <v>0.93959999999999999</v>
      </c>
      <c r="AI224" s="62">
        <f>IF(AI226&lt;&gt;0,+AI226/AI228,0%)</f>
        <v>0.93525881821157475</v>
      </c>
      <c r="AJ224" s="68"/>
      <c r="AK224" s="166"/>
      <c r="AL224" s="326"/>
      <c r="AM224" s="157"/>
    </row>
    <row r="225" spans="1:41" s="94" customFormat="1" ht="22.9" customHeight="1" thickBot="1">
      <c r="A225" s="330"/>
      <c r="B225" s="333"/>
      <c r="C225" s="336"/>
      <c r="D225" s="465"/>
      <c r="E225" s="341"/>
      <c r="F225" s="345"/>
      <c r="G225" s="345"/>
      <c r="H225" s="345"/>
      <c r="I225" s="349"/>
      <c r="J225" s="352"/>
      <c r="K225" s="317"/>
      <c r="L225" s="99"/>
      <c r="M225" s="101" t="s">
        <v>60</v>
      </c>
      <c r="N225" s="101" t="s">
        <v>60</v>
      </c>
      <c r="O225" s="102" t="s">
        <v>60</v>
      </c>
      <c r="P225" s="101" t="s">
        <v>60</v>
      </c>
      <c r="Q225" s="103" t="s">
        <v>60</v>
      </c>
      <c r="R225" s="101" t="s">
        <v>60</v>
      </c>
      <c r="S225" s="103" t="s">
        <v>60</v>
      </c>
      <c r="T225" s="101" t="s">
        <v>60</v>
      </c>
      <c r="U225" s="103" t="s">
        <v>60</v>
      </c>
      <c r="V225" s="101" t="s">
        <v>60</v>
      </c>
      <c r="W225" s="103" t="s">
        <v>60</v>
      </c>
      <c r="X225" s="101" t="s">
        <v>60</v>
      </c>
      <c r="Y225" s="103" t="s">
        <v>60</v>
      </c>
      <c r="Z225" s="101" t="s">
        <v>60</v>
      </c>
      <c r="AA225" s="103" t="s">
        <v>60</v>
      </c>
      <c r="AB225" s="101" t="s">
        <v>60</v>
      </c>
      <c r="AC225" s="103" t="s">
        <v>60</v>
      </c>
      <c r="AD225" s="101" t="s">
        <v>60</v>
      </c>
      <c r="AE225" s="103" t="s">
        <v>60</v>
      </c>
      <c r="AF225" s="101" t="s">
        <v>60</v>
      </c>
      <c r="AG225" s="103" t="s">
        <v>60</v>
      </c>
      <c r="AH225" s="101" t="s">
        <v>60</v>
      </c>
      <c r="AI225" s="103" t="s">
        <v>60</v>
      </c>
      <c r="AJ225" s="68"/>
      <c r="AK225" s="166"/>
      <c r="AL225" s="326"/>
      <c r="AM225" s="157"/>
    </row>
    <row r="226" spans="1:41" s="94" customFormat="1" ht="22.9" customHeight="1" thickTop="1">
      <c r="A226" s="330"/>
      <c r="B226" s="333"/>
      <c r="C226" s="336"/>
      <c r="D226" s="465"/>
      <c r="E226" s="341"/>
      <c r="F226" s="345"/>
      <c r="G226" s="345"/>
      <c r="H226" s="345"/>
      <c r="I226" s="349"/>
      <c r="J226" s="352"/>
      <c r="K226" s="316" t="s">
        <v>74</v>
      </c>
      <c r="L226" s="104">
        <v>300017</v>
      </c>
      <c r="M226" s="105">
        <v>24841</v>
      </c>
      <c r="N226" s="105">
        <v>23521</v>
      </c>
      <c r="O226" s="106">
        <f>+M226+N226</f>
        <v>48362</v>
      </c>
      <c r="P226" s="105">
        <v>28592</v>
      </c>
      <c r="Q226" s="106">
        <f>+O226+P226</f>
        <v>76954</v>
      </c>
      <c r="R226" s="105">
        <v>26552</v>
      </c>
      <c r="S226" s="106">
        <f>+Q226+R226</f>
        <v>103506</v>
      </c>
      <c r="T226" s="105">
        <v>24781</v>
      </c>
      <c r="U226" s="106">
        <f>+S226+T226</f>
        <v>128287</v>
      </c>
      <c r="V226" s="105">
        <v>20101</v>
      </c>
      <c r="W226" s="106">
        <f>+U226+V226</f>
        <v>148388</v>
      </c>
      <c r="X226" s="105">
        <v>35282</v>
      </c>
      <c r="Y226" s="106">
        <f>+W226+X226</f>
        <v>183670</v>
      </c>
      <c r="Z226" s="105">
        <v>22501</v>
      </c>
      <c r="AA226" s="106">
        <f>+Y226+Z226</f>
        <v>206171</v>
      </c>
      <c r="AB226" s="105">
        <v>20191</v>
      </c>
      <c r="AC226" s="106">
        <f>+AA226+AB226</f>
        <v>226362</v>
      </c>
      <c r="AD226" s="105">
        <v>31442</v>
      </c>
      <c r="AE226" s="106">
        <f>+AC226+AD226</f>
        <v>257804</v>
      </c>
      <c r="AF226" s="105">
        <v>22561</v>
      </c>
      <c r="AG226" s="106">
        <f>+AE226+AF226</f>
        <v>280365</v>
      </c>
      <c r="AH226" s="105">
        <v>19652</v>
      </c>
      <c r="AI226" s="106">
        <f>SUM(AG226:AH226)</f>
        <v>300017</v>
      </c>
      <c r="AJ226" s="29">
        <f>+AI224/L224</f>
        <v>1</v>
      </c>
      <c r="AK226" s="166"/>
      <c r="AL226" s="326"/>
      <c r="AM226" s="157"/>
    </row>
    <row r="227" spans="1:41" s="94" customFormat="1" ht="22.9" customHeight="1">
      <c r="A227" s="330"/>
      <c r="B227" s="333"/>
      <c r="C227" s="336"/>
      <c r="D227" s="465"/>
      <c r="E227" s="341"/>
      <c r="F227" s="345"/>
      <c r="G227" s="345"/>
      <c r="H227" s="345"/>
      <c r="I227" s="349"/>
      <c r="J227" s="352"/>
      <c r="K227" s="347"/>
      <c r="L227" s="99" t="s">
        <v>126</v>
      </c>
      <c r="M227" s="107" t="s">
        <v>62</v>
      </c>
      <c r="N227" s="107" t="s">
        <v>62</v>
      </c>
      <c r="O227" s="108" t="s">
        <v>62</v>
      </c>
      <c r="P227" s="107" t="s">
        <v>62</v>
      </c>
      <c r="Q227" s="109" t="s">
        <v>62</v>
      </c>
      <c r="R227" s="107"/>
      <c r="S227" s="109" t="s">
        <v>62</v>
      </c>
      <c r="T227" s="107" t="s">
        <v>62</v>
      </c>
      <c r="U227" s="109" t="s">
        <v>62</v>
      </c>
      <c r="V227" s="107" t="s">
        <v>62</v>
      </c>
      <c r="W227" s="109" t="s">
        <v>62</v>
      </c>
      <c r="X227" s="107" t="s">
        <v>62</v>
      </c>
      <c r="Y227" s="109" t="s">
        <v>62</v>
      </c>
      <c r="Z227" s="107" t="s">
        <v>62</v>
      </c>
      <c r="AA227" s="109" t="s">
        <v>62</v>
      </c>
      <c r="AB227" s="107" t="s">
        <v>62</v>
      </c>
      <c r="AC227" s="109" t="s">
        <v>62</v>
      </c>
      <c r="AD227" s="107" t="s">
        <v>62</v>
      </c>
      <c r="AE227" s="109" t="s">
        <v>62</v>
      </c>
      <c r="AF227" s="107" t="s">
        <v>62</v>
      </c>
      <c r="AG227" s="109" t="s">
        <v>62</v>
      </c>
      <c r="AH227" s="107" t="s">
        <v>62</v>
      </c>
      <c r="AI227" s="108" t="s">
        <v>62</v>
      </c>
      <c r="AJ227" s="68"/>
      <c r="AK227" s="166"/>
      <c r="AL227" s="326"/>
      <c r="AM227" s="157"/>
    </row>
    <row r="228" spans="1:41" s="94" customFormat="1" ht="22.9" customHeight="1" thickBot="1">
      <c r="A228" s="331"/>
      <c r="B228" s="334"/>
      <c r="C228" s="337"/>
      <c r="D228" s="466"/>
      <c r="E228" s="342"/>
      <c r="F228" s="346"/>
      <c r="G228" s="346"/>
      <c r="H228" s="346"/>
      <c r="I228" s="350"/>
      <c r="J228" s="353"/>
      <c r="K228" s="317"/>
      <c r="L228" s="110">
        <v>320785</v>
      </c>
      <c r="M228" s="111">
        <v>26240</v>
      </c>
      <c r="N228" s="111">
        <v>24765</v>
      </c>
      <c r="O228" s="112">
        <f t="shared" ref="O228" si="320">+M228+N228</f>
        <v>51005</v>
      </c>
      <c r="P228" s="111">
        <v>30122</v>
      </c>
      <c r="Q228" s="112">
        <f t="shared" ref="Q228" si="321">+O228+P228</f>
        <v>81127</v>
      </c>
      <c r="R228" s="111">
        <v>27908</v>
      </c>
      <c r="S228" s="112">
        <f t="shared" ref="S228" si="322">+Q228+R228</f>
        <v>109035</v>
      </c>
      <c r="T228" s="111">
        <v>26272</v>
      </c>
      <c r="U228" s="112">
        <f t="shared" ref="U228" si="323">+S228+T228</f>
        <v>135307</v>
      </c>
      <c r="V228" s="111">
        <v>21557</v>
      </c>
      <c r="W228" s="112">
        <f t="shared" ref="W228" si="324">+U228+V228</f>
        <v>156864</v>
      </c>
      <c r="X228" s="111">
        <v>39007</v>
      </c>
      <c r="Y228" s="112">
        <f t="shared" ref="Y228" si="325">+W228+X228</f>
        <v>195871</v>
      </c>
      <c r="Z228" s="111">
        <v>23898</v>
      </c>
      <c r="AA228" s="112">
        <f t="shared" ref="AA228" si="326">+Y228+Z228</f>
        <v>219769</v>
      </c>
      <c r="AB228" s="111">
        <v>21685</v>
      </c>
      <c r="AC228" s="112">
        <f t="shared" ref="AC228" si="327">+AA228+AB228</f>
        <v>241454</v>
      </c>
      <c r="AD228" s="111">
        <v>34292</v>
      </c>
      <c r="AE228" s="112">
        <f t="shared" ref="AE228" si="328">+AC228+AD228</f>
        <v>275746</v>
      </c>
      <c r="AF228" s="111">
        <v>24123</v>
      </c>
      <c r="AG228" s="112">
        <f t="shared" ref="AG228" si="329">+AE228+AF228</f>
        <v>299869</v>
      </c>
      <c r="AH228" s="111">
        <v>20916</v>
      </c>
      <c r="AI228" s="112">
        <f>SUM(AG228:AH228)</f>
        <v>320785</v>
      </c>
      <c r="AJ228" s="69"/>
      <c r="AK228" s="167"/>
      <c r="AL228" s="327"/>
      <c r="AM228" s="158"/>
      <c r="AO228" s="115"/>
    </row>
    <row r="229" spans="1:41" ht="12.95" thickTop="1"/>
    <row r="230" spans="1:41" s="89" customFormat="1" ht="20.45" thickBot="1">
      <c r="A230" s="114" t="s">
        <v>128</v>
      </c>
      <c r="L230" s="90"/>
      <c r="M230" s="90"/>
      <c r="N230" s="90"/>
      <c r="O230" s="90"/>
      <c r="P230" s="90"/>
      <c r="Q230" s="90"/>
      <c r="R230" s="90"/>
      <c r="S230" s="90"/>
      <c r="T230" s="90"/>
      <c r="U230" s="90"/>
      <c r="V230" s="90"/>
      <c r="W230" s="90"/>
      <c r="X230" s="90"/>
      <c r="Y230" s="90"/>
      <c r="Z230" s="90"/>
      <c r="AA230" s="90"/>
      <c r="AB230" s="90"/>
      <c r="AC230" s="90"/>
      <c r="AD230" s="90"/>
      <c r="AE230" s="90"/>
      <c r="AF230" s="90"/>
      <c r="AG230" s="90"/>
      <c r="AH230" s="90"/>
      <c r="AI230" s="90"/>
      <c r="AJ230" s="90"/>
      <c r="AK230" s="90"/>
      <c r="AL230" s="90"/>
      <c r="AM230" s="90"/>
    </row>
    <row r="231" spans="1:41" s="94" customFormat="1" ht="22.9" customHeight="1" thickTop="1">
      <c r="A231" s="311" t="s">
        <v>10</v>
      </c>
      <c r="B231" s="311" t="s">
        <v>11</v>
      </c>
      <c r="C231" s="311" t="s">
        <v>12</v>
      </c>
      <c r="D231" s="241" t="s">
        <v>13</v>
      </c>
      <c r="E231" s="241" t="s">
        <v>14</v>
      </c>
      <c r="F231" s="241" t="s">
        <v>15</v>
      </c>
      <c r="G231" s="241" t="s">
        <v>16</v>
      </c>
      <c r="H231" s="241" t="s">
        <v>17</v>
      </c>
      <c r="I231" s="241" t="s">
        <v>118</v>
      </c>
      <c r="J231" s="241" t="s">
        <v>19</v>
      </c>
      <c r="K231" s="241" t="s">
        <v>20</v>
      </c>
      <c r="L231" s="241" t="s">
        <v>21</v>
      </c>
      <c r="M231" s="241" t="s">
        <v>22</v>
      </c>
      <c r="N231" s="241" t="s">
        <v>23</v>
      </c>
      <c r="O231" s="311" t="s">
        <v>24</v>
      </c>
      <c r="P231" s="241" t="s">
        <v>25</v>
      </c>
      <c r="Q231" s="241" t="s">
        <v>26</v>
      </c>
      <c r="R231" s="241" t="s">
        <v>27</v>
      </c>
      <c r="S231" s="241" t="s">
        <v>28</v>
      </c>
      <c r="T231" s="241" t="s">
        <v>29</v>
      </c>
      <c r="U231" s="311" t="s">
        <v>30</v>
      </c>
      <c r="V231" s="311" t="s">
        <v>31</v>
      </c>
      <c r="W231" s="241" t="s">
        <v>32</v>
      </c>
      <c r="X231" s="339" t="s">
        <v>33</v>
      </c>
      <c r="Y231" s="241" t="s">
        <v>34</v>
      </c>
      <c r="Z231" s="241" t="s">
        <v>35</v>
      </c>
      <c r="AA231" s="241" t="s">
        <v>36</v>
      </c>
      <c r="AB231" s="241" t="s">
        <v>37</v>
      </c>
      <c r="AC231" s="241" t="s">
        <v>38</v>
      </c>
      <c r="AD231" s="241" t="s">
        <v>39</v>
      </c>
      <c r="AE231" s="241" t="s">
        <v>40</v>
      </c>
      <c r="AF231" s="311" t="s">
        <v>41</v>
      </c>
      <c r="AG231" s="241" t="s">
        <v>42</v>
      </c>
      <c r="AH231" s="241" t="s">
        <v>43</v>
      </c>
      <c r="AI231" s="241" t="s">
        <v>143</v>
      </c>
      <c r="AJ231" s="241" t="s">
        <v>45</v>
      </c>
      <c r="AK231" s="241" t="s">
        <v>46</v>
      </c>
      <c r="AL231" s="241" t="s">
        <v>47</v>
      </c>
      <c r="AM231" s="241" t="s">
        <v>48</v>
      </c>
    </row>
    <row r="232" spans="1:41" s="94" customFormat="1" ht="22.9" customHeight="1" thickBot="1">
      <c r="A232" s="314"/>
      <c r="B232" s="314"/>
      <c r="C232" s="314"/>
      <c r="D232" s="242"/>
      <c r="E232" s="242"/>
      <c r="F232" s="242"/>
      <c r="G232" s="242"/>
      <c r="H232" s="242"/>
      <c r="I232" s="242"/>
      <c r="J232" s="242"/>
      <c r="K232" s="242"/>
      <c r="L232" s="313"/>
      <c r="M232" s="242"/>
      <c r="N232" s="242"/>
      <c r="O232" s="314"/>
      <c r="P232" s="242"/>
      <c r="Q232" s="242"/>
      <c r="R232" s="242"/>
      <c r="S232" s="310"/>
      <c r="T232" s="242"/>
      <c r="U232" s="312"/>
      <c r="V232" s="312"/>
      <c r="W232" s="310"/>
      <c r="X232" s="340"/>
      <c r="Y232" s="242"/>
      <c r="Z232" s="310"/>
      <c r="AA232" s="310"/>
      <c r="AB232" s="310"/>
      <c r="AC232" s="310"/>
      <c r="AD232" s="310"/>
      <c r="AE232" s="310"/>
      <c r="AF232" s="312"/>
      <c r="AG232" s="310"/>
      <c r="AH232" s="242"/>
      <c r="AI232" s="242">
        <v>2018</v>
      </c>
      <c r="AJ232" s="242"/>
      <c r="AK232" s="328"/>
      <c r="AL232" s="242"/>
      <c r="AM232" s="242"/>
    </row>
    <row r="233" spans="1:41" s="94" customFormat="1" ht="22.9" customHeight="1" thickTop="1">
      <c r="A233" s="329" t="s">
        <v>155</v>
      </c>
      <c r="B233" s="332" t="s">
        <v>64</v>
      </c>
      <c r="C233" s="382" t="s">
        <v>121</v>
      </c>
      <c r="D233" s="338" t="s">
        <v>122</v>
      </c>
      <c r="E233" s="338" t="s">
        <v>156</v>
      </c>
      <c r="F233" s="344" t="s">
        <v>157</v>
      </c>
      <c r="G233" s="344" t="s">
        <v>158</v>
      </c>
      <c r="H233" s="344" t="s">
        <v>157</v>
      </c>
      <c r="I233" s="348">
        <f>+L234</f>
        <v>0.9377739026684716</v>
      </c>
      <c r="J233" s="351">
        <v>0.1</v>
      </c>
      <c r="K233" s="315" t="s">
        <v>124</v>
      </c>
      <c r="L233" s="95" t="s">
        <v>57</v>
      </c>
      <c r="M233" s="96" t="s">
        <v>57</v>
      </c>
      <c r="N233" s="96" t="s">
        <v>57</v>
      </c>
      <c r="O233" s="97" t="s">
        <v>57</v>
      </c>
      <c r="P233" s="96" t="s">
        <v>57</v>
      </c>
      <c r="Q233" s="98" t="s">
        <v>57</v>
      </c>
      <c r="R233" s="96" t="s">
        <v>57</v>
      </c>
      <c r="S233" s="98" t="s">
        <v>57</v>
      </c>
      <c r="T233" s="96" t="s">
        <v>57</v>
      </c>
      <c r="U233" s="98" t="s">
        <v>57</v>
      </c>
      <c r="V233" s="96" t="s">
        <v>57</v>
      </c>
      <c r="W233" s="98" t="s">
        <v>57</v>
      </c>
      <c r="X233" s="96" t="s">
        <v>57</v>
      </c>
      <c r="Y233" s="98" t="s">
        <v>57</v>
      </c>
      <c r="Z233" s="96" t="s">
        <v>57</v>
      </c>
      <c r="AA233" s="98" t="s">
        <v>57</v>
      </c>
      <c r="AB233" s="96" t="s">
        <v>57</v>
      </c>
      <c r="AC233" s="98" t="s">
        <v>57</v>
      </c>
      <c r="AD233" s="96" t="s">
        <v>57</v>
      </c>
      <c r="AE233" s="98" t="s">
        <v>57</v>
      </c>
      <c r="AF233" s="96" t="s">
        <v>57</v>
      </c>
      <c r="AG233" s="98" t="s">
        <v>57</v>
      </c>
      <c r="AH233" s="96" t="s">
        <v>57</v>
      </c>
      <c r="AI233" s="98" t="s">
        <v>57</v>
      </c>
      <c r="AJ233" s="67"/>
      <c r="AK233" s="165" t="s">
        <v>72</v>
      </c>
      <c r="AL233" s="325"/>
      <c r="AM233" s="156" t="s">
        <v>125</v>
      </c>
    </row>
    <row r="234" spans="1:41" s="94" customFormat="1" ht="22.9" customHeight="1">
      <c r="A234" s="330"/>
      <c r="B234" s="333"/>
      <c r="C234" s="336"/>
      <c r="D234" s="465"/>
      <c r="E234" s="341"/>
      <c r="F234" s="345"/>
      <c r="G234" s="345"/>
      <c r="H234" s="345"/>
      <c r="I234" s="349"/>
      <c r="J234" s="352"/>
      <c r="K234" s="316"/>
      <c r="L234" s="41">
        <f>IF(L236&lt;&gt;0,+L236/L238,0%)</f>
        <v>0.9377739026684716</v>
      </c>
      <c r="M234" s="58">
        <f>IF(M236&lt;&gt;0,+M236/M238,0%)</f>
        <v>0.94887310898425437</v>
      </c>
      <c r="N234" s="61">
        <f>IF(N236&lt;&gt;0,+N236/N238,0%)</f>
        <v>0.94910686787804122</v>
      </c>
      <c r="O234" s="57">
        <f t="shared" ref="O234" si="330">IF(O236&lt;&gt;0,+O236/O238,0%)</f>
        <v>0.94897714422780388</v>
      </c>
      <c r="P234" s="61">
        <f>IF(P236&lt;&gt;0,ROUND(+P236/P238,4),0%)</f>
        <v>0.9486</v>
      </c>
      <c r="Q234" s="62">
        <f t="shared" ref="Q234" si="331">IF(Q236&lt;&gt;0,+Q236/Q238,0%)</f>
        <v>0.94883113373271477</v>
      </c>
      <c r="R234" s="63">
        <f>IF(R236&lt;&gt;0,ROUND(+R236/R238,4),0%)</f>
        <v>0.94930000000000003</v>
      </c>
      <c r="S234" s="62">
        <f t="shared" ref="S234" si="332">IF(S236&lt;&gt;0,+S236/S238,0%)</f>
        <v>0.94895781223945308</v>
      </c>
      <c r="T234" s="63">
        <f>IF(T236&lt;&gt;0,ROUND(+T236/T238,4),0%)</f>
        <v>0.94479999999999997</v>
      </c>
      <c r="U234" s="62">
        <f t="shared" ref="U234" si="333">IF(U236&lt;&gt;0,+U236/U238,0%)</f>
        <v>0.94807634209454761</v>
      </c>
      <c r="V234" s="63">
        <f>IF(V236&lt;&gt;0,ROUND(+V236/V238,4),0%)</f>
        <v>0.93030000000000002</v>
      </c>
      <c r="W234" s="62">
        <f t="shared" ref="W234" si="334">IF(W236&lt;&gt;0,+W236/W238,0%)</f>
        <v>0.94547472754182182</v>
      </c>
      <c r="X234" s="63">
        <f>IF(X236&lt;&gt;0,ROUND(+X236/X238,4),0%)</f>
        <v>0.91459999999999997</v>
      </c>
      <c r="Y234" s="62">
        <f t="shared" ref="Y234" si="335">IF(Y236&lt;&gt;0,+Y236/Y238,0%)</f>
        <v>0.93971113866802836</v>
      </c>
      <c r="Z234" s="64">
        <f>IF(Z236&lt;&gt;0,ROUND(+Z236/Z238,4),0%)</f>
        <v>0.94010000000000005</v>
      </c>
      <c r="AA234" s="62">
        <f t="shared" ref="AA234" si="336">IF(AA236&lt;&gt;0,+AA236/AA238,0%)</f>
        <v>0.93976059423066038</v>
      </c>
      <c r="AB234" s="63">
        <f>IF(AB236&lt;&gt;0,ROUND(+AB236/AB238,4),0%)</f>
        <v>0.93340000000000001</v>
      </c>
      <c r="AC234" s="62">
        <f t="shared" ref="AC234" si="337">IF(AC236&lt;&gt;0,+AC236/AC238,0%)</f>
        <v>0.93923581514286769</v>
      </c>
      <c r="AD234" s="63">
        <f>IF(AD236&lt;&gt;0,ROUND(+AD236/AD238,4),0%)</f>
        <v>0.92159999999999997</v>
      </c>
      <c r="AE234" s="62">
        <f t="shared" ref="AE234" si="338">IF(AE236&lt;&gt;0,+AE236/AE238,0%)</f>
        <v>0.93745293141482333</v>
      </c>
      <c r="AF234" s="63">
        <f>IF(AF236&lt;&gt;0,ROUND(+AF236/AF238,4),0%)</f>
        <v>0.93500000000000005</v>
      </c>
      <c r="AG234" s="62">
        <f t="shared" ref="AG234" si="339">IF(AG236&lt;&gt;0,+AG236/AG238,0%)</f>
        <v>0.93727137578572706</v>
      </c>
      <c r="AH234" s="63">
        <f>IF(AH236&lt;&gt;0,ROUND(+AH236/AH238,4),0%)</f>
        <v>0.94440000000000002</v>
      </c>
      <c r="AI234" s="62">
        <f>IF(AI236&lt;&gt;0,+AI236/AI238,0%)</f>
        <v>0.9377739026684716</v>
      </c>
      <c r="AJ234" s="68"/>
      <c r="AK234" s="166"/>
      <c r="AL234" s="326"/>
      <c r="AM234" s="157"/>
    </row>
    <row r="235" spans="1:41" s="94" customFormat="1" ht="22.9" customHeight="1" thickBot="1">
      <c r="A235" s="330"/>
      <c r="B235" s="333"/>
      <c r="C235" s="336"/>
      <c r="D235" s="465"/>
      <c r="E235" s="341"/>
      <c r="F235" s="345"/>
      <c r="G235" s="345"/>
      <c r="H235" s="345"/>
      <c r="I235" s="349"/>
      <c r="J235" s="352"/>
      <c r="K235" s="317"/>
      <c r="L235" s="99"/>
      <c r="M235" s="101" t="s">
        <v>60</v>
      </c>
      <c r="N235" s="101" t="s">
        <v>60</v>
      </c>
      <c r="O235" s="102" t="s">
        <v>60</v>
      </c>
      <c r="P235" s="101" t="s">
        <v>60</v>
      </c>
      <c r="Q235" s="103" t="s">
        <v>60</v>
      </c>
      <c r="R235" s="101" t="s">
        <v>60</v>
      </c>
      <c r="S235" s="103" t="s">
        <v>60</v>
      </c>
      <c r="T235" s="101" t="s">
        <v>60</v>
      </c>
      <c r="U235" s="103" t="s">
        <v>60</v>
      </c>
      <c r="V235" s="101" t="s">
        <v>60</v>
      </c>
      <c r="W235" s="103" t="s">
        <v>60</v>
      </c>
      <c r="X235" s="101" t="s">
        <v>60</v>
      </c>
      <c r="Y235" s="103" t="s">
        <v>60</v>
      </c>
      <c r="Z235" s="101" t="s">
        <v>60</v>
      </c>
      <c r="AA235" s="103" t="s">
        <v>60</v>
      </c>
      <c r="AB235" s="101" t="s">
        <v>60</v>
      </c>
      <c r="AC235" s="103" t="s">
        <v>60</v>
      </c>
      <c r="AD235" s="101" t="s">
        <v>60</v>
      </c>
      <c r="AE235" s="103" t="s">
        <v>60</v>
      </c>
      <c r="AF235" s="101" t="s">
        <v>60</v>
      </c>
      <c r="AG235" s="103" t="s">
        <v>60</v>
      </c>
      <c r="AH235" s="101" t="s">
        <v>60</v>
      </c>
      <c r="AI235" s="103" t="s">
        <v>60</v>
      </c>
      <c r="AJ235" s="68"/>
      <c r="AK235" s="166"/>
      <c r="AL235" s="326"/>
      <c r="AM235" s="157"/>
    </row>
    <row r="236" spans="1:41" s="94" customFormat="1" ht="22.9" customHeight="1" thickTop="1">
      <c r="A236" s="330"/>
      <c r="B236" s="333"/>
      <c r="C236" s="336"/>
      <c r="D236" s="465"/>
      <c r="E236" s="341"/>
      <c r="F236" s="345"/>
      <c r="G236" s="345"/>
      <c r="H236" s="345"/>
      <c r="I236" s="349"/>
      <c r="J236" s="352"/>
      <c r="K236" s="316" t="s">
        <v>74</v>
      </c>
      <c r="L236" s="104">
        <v>163484</v>
      </c>
      <c r="M236" s="105">
        <v>15367</v>
      </c>
      <c r="N236" s="105">
        <v>12327</v>
      </c>
      <c r="O236" s="106">
        <f>+M236+N236</f>
        <v>27694</v>
      </c>
      <c r="P236" s="105">
        <v>14436</v>
      </c>
      <c r="Q236" s="106">
        <f>+O236+P236</f>
        <v>42130</v>
      </c>
      <c r="R236" s="105">
        <v>14779</v>
      </c>
      <c r="S236" s="106">
        <f>+Q236+R236</f>
        <v>56909</v>
      </c>
      <c r="T236" s="105">
        <v>15269</v>
      </c>
      <c r="U236" s="106">
        <f>+S236+T236</f>
        <v>72178</v>
      </c>
      <c r="V236" s="105">
        <v>12147</v>
      </c>
      <c r="W236" s="106">
        <f>+U236+V236</f>
        <v>84325</v>
      </c>
      <c r="X236" s="105">
        <v>18735</v>
      </c>
      <c r="Y236" s="106">
        <f>+W236+X236</f>
        <v>103060</v>
      </c>
      <c r="Z236" s="105">
        <v>13210</v>
      </c>
      <c r="AA236" s="106">
        <f>+Y236+Z236</f>
        <v>116270</v>
      </c>
      <c r="AB236" s="105">
        <v>10447</v>
      </c>
      <c r="AC236" s="106">
        <f>+AA236+AB236</f>
        <v>126717</v>
      </c>
      <c r="AD236" s="105">
        <v>13945</v>
      </c>
      <c r="AE236" s="106">
        <f>+AC236+AD236</f>
        <v>140662</v>
      </c>
      <c r="AF236" s="105">
        <v>11280</v>
      </c>
      <c r="AG236" s="106">
        <f>+AE236+AF236</f>
        <v>151942</v>
      </c>
      <c r="AH236" s="105">
        <v>11542</v>
      </c>
      <c r="AI236" s="106">
        <f>SUM(AG236:AH236)</f>
        <v>163484</v>
      </c>
      <c r="AJ236" s="29">
        <f>+AI234/L234</f>
        <v>1</v>
      </c>
      <c r="AK236" s="166"/>
      <c r="AL236" s="326"/>
      <c r="AM236" s="157"/>
    </row>
    <row r="237" spans="1:41" s="94" customFormat="1" ht="22.9" customHeight="1">
      <c r="A237" s="330"/>
      <c r="B237" s="333"/>
      <c r="C237" s="336"/>
      <c r="D237" s="465"/>
      <c r="E237" s="341"/>
      <c r="F237" s="345"/>
      <c r="G237" s="345"/>
      <c r="H237" s="345"/>
      <c r="I237" s="349"/>
      <c r="J237" s="352"/>
      <c r="K237" s="347"/>
      <c r="L237" s="99" t="s">
        <v>126</v>
      </c>
      <c r="M237" s="107" t="s">
        <v>62</v>
      </c>
      <c r="N237" s="107" t="s">
        <v>62</v>
      </c>
      <c r="O237" s="108" t="s">
        <v>62</v>
      </c>
      <c r="P237" s="107" t="s">
        <v>62</v>
      </c>
      <c r="Q237" s="109" t="s">
        <v>62</v>
      </c>
      <c r="R237" s="107"/>
      <c r="S237" s="109" t="s">
        <v>62</v>
      </c>
      <c r="T237" s="107" t="s">
        <v>62</v>
      </c>
      <c r="U237" s="109" t="s">
        <v>62</v>
      </c>
      <c r="V237" s="107" t="s">
        <v>62</v>
      </c>
      <c r="W237" s="109" t="s">
        <v>62</v>
      </c>
      <c r="X237" s="107" t="s">
        <v>62</v>
      </c>
      <c r="Y237" s="109" t="s">
        <v>62</v>
      </c>
      <c r="Z237" s="107" t="s">
        <v>62</v>
      </c>
      <c r="AA237" s="109" t="s">
        <v>62</v>
      </c>
      <c r="AB237" s="107" t="s">
        <v>62</v>
      </c>
      <c r="AC237" s="109" t="s">
        <v>62</v>
      </c>
      <c r="AD237" s="107" t="s">
        <v>62</v>
      </c>
      <c r="AE237" s="109" t="s">
        <v>62</v>
      </c>
      <c r="AF237" s="107" t="s">
        <v>62</v>
      </c>
      <c r="AG237" s="109" t="s">
        <v>62</v>
      </c>
      <c r="AH237" s="107" t="s">
        <v>62</v>
      </c>
      <c r="AI237" s="108" t="s">
        <v>62</v>
      </c>
      <c r="AJ237" s="68"/>
      <c r="AK237" s="166"/>
      <c r="AL237" s="326"/>
      <c r="AM237" s="157"/>
    </row>
    <row r="238" spans="1:41" s="94" customFormat="1" ht="22.9" customHeight="1" thickBot="1">
      <c r="A238" s="331"/>
      <c r="B238" s="334"/>
      <c r="C238" s="337"/>
      <c r="D238" s="466"/>
      <c r="E238" s="342"/>
      <c r="F238" s="346"/>
      <c r="G238" s="346"/>
      <c r="H238" s="346"/>
      <c r="I238" s="350"/>
      <c r="J238" s="353"/>
      <c r="K238" s="317"/>
      <c r="L238" s="110">
        <v>174332</v>
      </c>
      <c r="M238" s="111">
        <v>16195</v>
      </c>
      <c r="N238" s="111">
        <v>12988</v>
      </c>
      <c r="O238" s="112">
        <f t="shared" ref="O238" si="340">+M238+N238</f>
        <v>29183</v>
      </c>
      <c r="P238" s="111">
        <v>15219</v>
      </c>
      <c r="Q238" s="112">
        <f t="shared" ref="Q238" si="341">+O238+P238</f>
        <v>44402</v>
      </c>
      <c r="R238" s="111">
        <v>15568</v>
      </c>
      <c r="S238" s="112">
        <f t="shared" ref="S238" si="342">+Q238+R238</f>
        <v>59970</v>
      </c>
      <c r="T238" s="111">
        <v>16161</v>
      </c>
      <c r="U238" s="112">
        <f t="shared" ref="U238" si="343">+S238+T238</f>
        <v>76131</v>
      </c>
      <c r="V238" s="111">
        <v>13057</v>
      </c>
      <c r="W238" s="112">
        <f t="shared" ref="W238" si="344">+U238+V238</f>
        <v>89188</v>
      </c>
      <c r="X238" s="111">
        <v>20484</v>
      </c>
      <c r="Y238" s="112">
        <f t="shared" ref="Y238" si="345">+W238+X238</f>
        <v>109672</v>
      </c>
      <c r="Z238" s="111">
        <v>14051</v>
      </c>
      <c r="AA238" s="112">
        <f t="shared" ref="AA238" si="346">+Y238+Z238</f>
        <v>123723</v>
      </c>
      <c r="AB238" s="111">
        <v>11192</v>
      </c>
      <c r="AC238" s="112">
        <f t="shared" ref="AC238" si="347">+AA238+AB238</f>
        <v>134915</v>
      </c>
      <c r="AD238" s="111">
        <v>15132</v>
      </c>
      <c r="AE238" s="112">
        <f t="shared" ref="AE238" si="348">+AC238+AD238</f>
        <v>150047</v>
      </c>
      <c r="AF238" s="111">
        <v>12064</v>
      </c>
      <c r="AG238" s="112">
        <f t="shared" ref="AG238" si="349">+AE238+AF238</f>
        <v>162111</v>
      </c>
      <c r="AH238" s="111">
        <v>12221</v>
      </c>
      <c r="AI238" s="112">
        <f>SUM(AG238:AH238)</f>
        <v>174332</v>
      </c>
      <c r="AJ238" s="69"/>
      <c r="AK238" s="167"/>
      <c r="AL238" s="327"/>
      <c r="AM238" s="158"/>
    </row>
    <row r="239" spans="1:41" ht="12.95" thickTop="1"/>
    <row r="242" spans="1:39" s="89" customFormat="1" ht="15.6">
      <c r="C242" s="343" t="s">
        <v>159</v>
      </c>
      <c r="D242" s="343"/>
      <c r="E242" s="343"/>
      <c r="F242" s="343"/>
      <c r="G242" s="343"/>
      <c r="H242" s="343"/>
      <c r="I242" s="343"/>
      <c r="J242" s="343"/>
      <c r="K242" s="343"/>
      <c r="L242" s="93"/>
      <c r="M242" s="81"/>
      <c r="N242" s="93"/>
      <c r="O242" s="81"/>
      <c r="P242" s="93"/>
      <c r="Q242" s="81"/>
      <c r="R242" s="93"/>
      <c r="S242" s="81"/>
      <c r="T242" s="93"/>
      <c r="U242" s="81"/>
      <c r="V242" s="93"/>
      <c r="W242" s="81"/>
      <c r="X242" s="93"/>
      <c r="Y242" s="81"/>
      <c r="Z242" s="93"/>
      <c r="AA242" s="81"/>
      <c r="AB242" s="93"/>
      <c r="AC242" s="81"/>
      <c r="AD242" s="93"/>
      <c r="AE242" s="81"/>
      <c r="AF242" s="93"/>
      <c r="AG242" s="81"/>
      <c r="AH242" s="93"/>
      <c r="AI242" s="81"/>
      <c r="AJ242" s="121"/>
      <c r="AK242" s="90"/>
      <c r="AL242" s="90"/>
      <c r="AM242" s="90"/>
    </row>
    <row r="243" spans="1:39" s="89" customFormat="1" ht="15.95" thickBot="1">
      <c r="L243" s="90"/>
      <c r="M243" s="90"/>
      <c r="N243" s="90"/>
      <c r="O243" s="90"/>
      <c r="P243" s="90"/>
      <c r="Q243" s="90"/>
      <c r="R243" s="90"/>
      <c r="S243" s="90"/>
      <c r="T243" s="90"/>
      <c r="U243" s="90"/>
      <c r="V243" s="90"/>
      <c r="W243" s="90"/>
      <c r="X243" s="90"/>
      <c r="Y243" s="90"/>
      <c r="Z243" s="90"/>
      <c r="AA243" s="90"/>
      <c r="AB243" s="90"/>
      <c r="AC243" s="90"/>
      <c r="AD243" s="90"/>
      <c r="AE243" s="90"/>
      <c r="AF243" s="90"/>
      <c r="AG243" s="90"/>
      <c r="AH243" s="90"/>
      <c r="AI243" s="90"/>
      <c r="AJ243" s="90"/>
      <c r="AK243" s="90"/>
      <c r="AL243" s="90"/>
      <c r="AM243" s="90"/>
    </row>
    <row r="244" spans="1:39" s="94" customFormat="1" ht="22.9" customHeight="1" thickTop="1">
      <c r="A244" s="311" t="s">
        <v>10</v>
      </c>
      <c r="B244" s="311" t="s">
        <v>11</v>
      </c>
      <c r="C244" s="311" t="s">
        <v>12</v>
      </c>
      <c r="D244" s="241" t="s">
        <v>13</v>
      </c>
      <c r="E244" s="241" t="s">
        <v>14</v>
      </c>
      <c r="F244" s="241" t="s">
        <v>15</v>
      </c>
      <c r="G244" s="241" t="s">
        <v>16</v>
      </c>
      <c r="H244" s="241" t="s">
        <v>17</v>
      </c>
      <c r="I244" s="241" t="s">
        <v>118</v>
      </c>
      <c r="J244" s="241" t="s">
        <v>19</v>
      </c>
      <c r="K244" s="241" t="s">
        <v>20</v>
      </c>
      <c r="L244" s="241" t="s">
        <v>21</v>
      </c>
      <c r="M244" s="241" t="s">
        <v>22</v>
      </c>
      <c r="N244" s="241" t="s">
        <v>23</v>
      </c>
      <c r="O244" s="311" t="s">
        <v>24</v>
      </c>
      <c r="P244" s="241" t="s">
        <v>25</v>
      </c>
      <c r="Q244" s="241" t="s">
        <v>26</v>
      </c>
      <c r="R244" s="241" t="s">
        <v>27</v>
      </c>
      <c r="S244" s="241" t="s">
        <v>28</v>
      </c>
      <c r="T244" s="241" t="s">
        <v>29</v>
      </c>
      <c r="U244" s="311" t="s">
        <v>30</v>
      </c>
      <c r="V244" s="311" t="s">
        <v>31</v>
      </c>
      <c r="W244" s="241" t="s">
        <v>32</v>
      </c>
      <c r="X244" s="339" t="s">
        <v>33</v>
      </c>
      <c r="Y244" s="241" t="s">
        <v>34</v>
      </c>
      <c r="Z244" s="241" t="s">
        <v>35</v>
      </c>
      <c r="AA244" s="241" t="s">
        <v>36</v>
      </c>
      <c r="AB244" s="241" t="s">
        <v>37</v>
      </c>
      <c r="AC244" s="241" t="s">
        <v>38</v>
      </c>
      <c r="AD244" s="241" t="s">
        <v>39</v>
      </c>
      <c r="AE244" s="241" t="s">
        <v>40</v>
      </c>
      <c r="AF244" s="311" t="s">
        <v>41</v>
      </c>
      <c r="AG244" s="241" t="s">
        <v>42</v>
      </c>
      <c r="AH244" s="241" t="s">
        <v>43</v>
      </c>
      <c r="AI244" s="241" t="s">
        <v>143</v>
      </c>
      <c r="AJ244" s="241" t="s">
        <v>45</v>
      </c>
      <c r="AK244" s="241" t="s">
        <v>46</v>
      </c>
      <c r="AL244" s="241" t="s">
        <v>47</v>
      </c>
      <c r="AM244" s="241" t="s">
        <v>48</v>
      </c>
    </row>
    <row r="245" spans="1:39" s="94" customFormat="1" ht="22.9" customHeight="1" thickBot="1">
      <c r="A245" s="314"/>
      <c r="B245" s="314"/>
      <c r="C245" s="314"/>
      <c r="D245" s="242"/>
      <c r="E245" s="242"/>
      <c r="F245" s="242"/>
      <c r="G245" s="242"/>
      <c r="H245" s="242"/>
      <c r="I245" s="242"/>
      <c r="J245" s="242"/>
      <c r="K245" s="242"/>
      <c r="L245" s="313"/>
      <c r="M245" s="242"/>
      <c r="N245" s="242"/>
      <c r="O245" s="314"/>
      <c r="P245" s="242"/>
      <c r="Q245" s="242"/>
      <c r="R245" s="242"/>
      <c r="S245" s="310"/>
      <c r="T245" s="242"/>
      <c r="U245" s="312"/>
      <c r="V245" s="312"/>
      <c r="W245" s="310"/>
      <c r="X245" s="340"/>
      <c r="Y245" s="242"/>
      <c r="Z245" s="310"/>
      <c r="AA245" s="310"/>
      <c r="AB245" s="310"/>
      <c r="AC245" s="310"/>
      <c r="AD245" s="310"/>
      <c r="AE245" s="310"/>
      <c r="AF245" s="312"/>
      <c r="AG245" s="310"/>
      <c r="AH245" s="242"/>
      <c r="AI245" s="242">
        <v>2018</v>
      </c>
      <c r="AJ245" s="242"/>
      <c r="AK245" s="328"/>
      <c r="AL245" s="242"/>
      <c r="AM245" s="242"/>
    </row>
    <row r="246" spans="1:39" s="94" customFormat="1" ht="22.9" customHeight="1" thickTop="1">
      <c r="A246" s="329" t="s">
        <v>160</v>
      </c>
      <c r="B246" s="332" t="s">
        <v>64</v>
      </c>
      <c r="C246" s="382" t="s">
        <v>161</v>
      </c>
      <c r="D246" s="338" t="s">
        <v>122</v>
      </c>
      <c r="E246" s="338" t="s">
        <v>162</v>
      </c>
      <c r="F246" s="344" t="s">
        <v>163</v>
      </c>
      <c r="G246" s="344" t="s">
        <v>164</v>
      </c>
      <c r="H246" s="344" t="s">
        <v>163</v>
      </c>
      <c r="I246" s="348">
        <f>+L247</f>
        <v>0.96587247015549793</v>
      </c>
      <c r="J246" s="351">
        <v>0.1</v>
      </c>
      <c r="K246" s="315" t="s">
        <v>124</v>
      </c>
      <c r="L246" s="96" t="s">
        <v>57</v>
      </c>
      <c r="M246" s="96" t="s">
        <v>57</v>
      </c>
      <c r="N246" s="96" t="s">
        <v>57</v>
      </c>
      <c r="O246" s="97" t="s">
        <v>57</v>
      </c>
      <c r="P246" s="96" t="s">
        <v>57</v>
      </c>
      <c r="Q246" s="98" t="s">
        <v>57</v>
      </c>
      <c r="R246" s="96" t="s">
        <v>57</v>
      </c>
      <c r="S246" s="98" t="s">
        <v>57</v>
      </c>
      <c r="T246" s="96" t="s">
        <v>57</v>
      </c>
      <c r="U246" s="98" t="s">
        <v>57</v>
      </c>
      <c r="V246" s="96" t="s">
        <v>57</v>
      </c>
      <c r="W246" s="98" t="s">
        <v>57</v>
      </c>
      <c r="X246" s="96" t="s">
        <v>57</v>
      </c>
      <c r="Y246" s="98" t="s">
        <v>57</v>
      </c>
      <c r="Z246" s="96" t="s">
        <v>57</v>
      </c>
      <c r="AA246" s="98" t="s">
        <v>57</v>
      </c>
      <c r="AB246" s="96" t="s">
        <v>57</v>
      </c>
      <c r="AC246" s="98" t="s">
        <v>57</v>
      </c>
      <c r="AD246" s="96" t="s">
        <v>57</v>
      </c>
      <c r="AE246" s="98" t="s">
        <v>57</v>
      </c>
      <c r="AF246" s="96" t="s">
        <v>57</v>
      </c>
      <c r="AG246" s="98" t="s">
        <v>57</v>
      </c>
      <c r="AH246" s="96" t="s">
        <v>57</v>
      </c>
      <c r="AI246" s="98" t="s">
        <v>57</v>
      </c>
      <c r="AJ246" s="67"/>
      <c r="AK246" s="165" t="s">
        <v>72</v>
      </c>
      <c r="AL246" s="325"/>
      <c r="AM246" s="156" t="s">
        <v>125</v>
      </c>
    </row>
    <row r="247" spans="1:39" s="94" customFormat="1" ht="22.9" customHeight="1">
      <c r="A247" s="330"/>
      <c r="B247" s="333"/>
      <c r="C247" s="336"/>
      <c r="D247" s="465"/>
      <c r="E247" s="341"/>
      <c r="F247" s="345"/>
      <c r="G247" s="345"/>
      <c r="H247" s="345"/>
      <c r="I247" s="349"/>
      <c r="J247" s="352"/>
      <c r="K247" s="316"/>
      <c r="L247" s="41">
        <f>IF(L249&lt;&gt;0,+L249/L251,0%)</f>
        <v>0.96587247015549793</v>
      </c>
      <c r="M247" s="58">
        <f>IF(M249&lt;&gt;0,+M249/M251,0%)</f>
        <v>0.96034210660286112</v>
      </c>
      <c r="N247" s="61">
        <f>IF(N249&lt;&gt;0,+N249/N251,0%)</f>
        <v>0.97957746478873242</v>
      </c>
      <c r="O247" s="57">
        <f t="shared" ref="O247" si="350">IF(O249&lt;&gt;0,+O249/O251,0%)</f>
        <v>0.9696611815342624</v>
      </c>
      <c r="P247" s="61">
        <f>IF(P249&lt;&gt;0,ROUND(+P249/P251,4),0%)</f>
        <v>0.97440000000000004</v>
      </c>
      <c r="Q247" s="62">
        <f t="shared" ref="Q247" si="351">IF(Q249&lt;&gt;0,+Q249/Q251,0%)</f>
        <v>0.97137430242721712</v>
      </c>
      <c r="R247" s="63">
        <f>IF(R249&lt;&gt;0,ROUND(+R249/R251,4),0%)</f>
        <v>0.97819999999999996</v>
      </c>
      <c r="S247" s="62">
        <f t="shared" ref="S247" si="352">IF(S249&lt;&gt;0,+S249/S251,0%)</f>
        <v>0.97314041875567614</v>
      </c>
      <c r="T247" s="63">
        <f>IF(T249&lt;&gt;0,ROUND(+T249/T251,4),0%)</f>
        <v>0.9708</v>
      </c>
      <c r="U247" s="62">
        <f t="shared" ref="U247" si="353">IF(U249&lt;&gt;0,+U249/U251,0%)</f>
        <v>0.97265821288167653</v>
      </c>
      <c r="V247" s="63">
        <f>IF(V249&lt;&gt;0,ROUND(+V249/V251,4),0%)</f>
        <v>0.96860000000000002</v>
      </c>
      <c r="W247" s="62">
        <f t="shared" ref="W247" si="354">IF(W249&lt;&gt;0,+W249/W251,0%)</f>
        <v>0.97207108565653166</v>
      </c>
      <c r="X247" s="63">
        <f>IF(X249&lt;&gt;0,ROUND(+X249/X251,4),0%)</f>
        <v>0.96530000000000005</v>
      </c>
      <c r="Y247" s="62">
        <f t="shared" ref="Y247" si="355">IF(Y249&lt;&gt;0,+Y249/Y251,0%)</f>
        <v>0.97070848351175432</v>
      </c>
      <c r="Z247" s="64">
        <f>IF(Z249&lt;&gt;0,ROUND(+Z249/Z251,4),0%)</f>
        <v>0.94789999999999996</v>
      </c>
      <c r="AA247" s="62">
        <f t="shared" ref="AA247" si="356">IF(AA249&lt;&gt;0,+AA249/AA251,0%)</f>
        <v>0.96812411679476251</v>
      </c>
      <c r="AB247" s="63">
        <f>IF(AB249&lt;&gt;0,ROUND(+AB249/AB251,4),0%)</f>
        <v>0.95640000000000003</v>
      </c>
      <c r="AC247" s="62">
        <f t="shared" ref="AC247" si="357">IF(AC249&lt;&gt;0,+AC249/AC251,0%)</f>
        <v>0.96708966747134684</v>
      </c>
      <c r="AD247" s="63">
        <f>IF(AD249&lt;&gt;0,ROUND(+AD249/AD251,4),0%)</f>
        <v>0.94489999999999996</v>
      </c>
      <c r="AE247" s="62">
        <f t="shared" ref="AE247" si="358">IF(AE249&lt;&gt;0,+AE249/AE251,0%)</f>
        <v>0.9645041193284174</v>
      </c>
      <c r="AF247" s="63">
        <f>IF(AF249&lt;&gt;0,ROUND(+AF249/AF251,4),0%)</f>
        <v>0.9667</v>
      </c>
      <c r="AG247" s="62">
        <f t="shared" ref="AG247" si="359">IF(AG249&lt;&gt;0,+AG249/AG251,0%)</f>
        <v>0.9646753338827887</v>
      </c>
      <c r="AH247" s="63">
        <f>IF(AH249&lt;&gt;0,ROUND(+AH249/AH251,4),0%)</f>
        <v>0.98299999999999998</v>
      </c>
      <c r="AI247" s="62">
        <f>IF(AI249&lt;&gt;0,+AI249/AI251,0%)</f>
        <v>0.96587247015549793</v>
      </c>
      <c r="AJ247" s="68"/>
      <c r="AK247" s="166"/>
      <c r="AL247" s="326"/>
      <c r="AM247" s="157"/>
    </row>
    <row r="248" spans="1:39" s="94" customFormat="1" ht="22.9" customHeight="1" thickBot="1">
      <c r="A248" s="330"/>
      <c r="B248" s="333"/>
      <c r="C248" s="336"/>
      <c r="D248" s="465"/>
      <c r="E248" s="341"/>
      <c r="F248" s="345"/>
      <c r="G248" s="345"/>
      <c r="H248" s="345"/>
      <c r="I248" s="349"/>
      <c r="J248" s="352"/>
      <c r="K248" s="317"/>
      <c r="L248" s="101" t="s">
        <v>60</v>
      </c>
      <c r="M248" s="101" t="s">
        <v>60</v>
      </c>
      <c r="N248" s="101" t="s">
        <v>60</v>
      </c>
      <c r="O248" s="102" t="s">
        <v>60</v>
      </c>
      <c r="P248" s="101" t="s">
        <v>60</v>
      </c>
      <c r="Q248" s="103" t="s">
        <v>60</v>
      </c>
      <c r="R248" s="101" t="s">
        <v>60</v>
      </c>
      <c r="S248" s="103" t="s">
        <v>60</v>
      </c>
      <c r="T248" s="101" t="s">
        <v>60</v>
      </c>
      <c r="U248" s="103" t="s">
        <v>60</v>
      </c>
      <c r="V248" s="101" t="s">
        <v>60</v>
      </c>
      <c r="W248" s="103" t="s">
        <v>60</v>
      </c>
      <c r="X248" s="101" t="s">
        <v>60</v>
      </c>
      <c r="Y248" s="103" t="s">
        <v>60</v>
      </c>
      <c r="Z248" s="101" t="s">
        <v>60</v>
      </c>
      <c r="AA248" s="103" t="s">
        <v>60</v>
      </c>
      <c r="AB248" s="101" t="s">
        <v>60</v>
      </c>
      <c r="AC248" s="103" t="s">
        <v>60</v>
      </c>
      <c r="AD248" s="101" t="s">
        <v>60</v>
      </c>
      <c r="AE248" s="103" t="s">
        <v>60</v>
      </c>
      <c r="AF248" s="101" t="s">
        <v>60</v>
      </c>
      <c r="AG248" s="103" t="s">
        <v>60</v>
      </c>
      <c r="AH248" s="101" t="s">
        <v>60</v>
      </c>
      <c r="AI248" s="103" t="s">
        <v>60</v>
      </c>
      <c r="AJ248" s="68"/>
      <c r="AK248" s="166"/>
      <c r="AL248" s="326"/>
      <c r="AM248" s="157"/>
    </row>
    <row r="249" spans="1:39" s="94" customFormat="1" ht="22.9" customHeight="1" thickTop="1">
      <c r="A249" s="330"/>
      <c r="B249" s="333"/>
      <c r="C249" s="336"/>
      <c r="D249" s="465"/>
      <c r="E249" s="341"/>
      <c r="F249" s="345"/>
      <c r="G249" s="345"/>
      <c r="H249" s="345"/>
      <c r="I249" s="349"/>
      <c r="J249" s="352"/>
      <c r="K249" s="316" t="s">
        <v>74</v>
      </c>
      <c r="L249" s="104">
        <v>233179</v>
      </c>
      <c r="M249" s="105">
        <v>18864</v>
      </c>
      <c r="N249" s="105">
        <v>18083</v>
      </c>
      <c r="O249" s="106">
        <f>+M249+N249</f>
        <v>36947</v>
      </c>
      <c r="P249" s="105">
        <v>20842</v>
      </c>
      <c r="Q249" s="106">
        <f>+O249+P249</f>
        <v>57789</v>
      </c>
      <c r="R249" s="105">
        <v>20433</v>
      </c>
      <c r="S249" s="106">
        <f>+Q249+R249</f>
        <v>78222</v>
      </c>
      <c r="T249" s="105">
        <v>20496</v>
      </c>
      <c r="U249" s="106">
        <f>+S249+T249</f>
        <v>98718</v>
      </c>
      <c r="V249" s="105">
        <v>16696</v>
      </c>
      <c r="W249" s="106">
        <f>+U249+V249</f>
        <v>115414</v>
      </c>
      <c r="X249" s="105">
        <v>28942</v>
      </c>
      <c r="Y249" s="106">
        <f>+W249+X249</f>
        <v>144356</v>
      </c>
      <c r="Z249" s="105">
        <v>18011</v>
      </c>
      <c r="AA249" s="106">
        <f>+Y249+Z249</f>
        <v>162367</v>
      </c>
      <c r="AB249" s="105">
        <v>15504</v>
      </c>
      <c r="AC249" s="106">
        <f>+AA249+AB249</f>
        <v>177871</v>
      </c>
      <c r="AD249" s="105">
        <v>22905</v>
      </c>
      <c r="AE249" s="106">
        <f>+AC249+AD249</f>
        <v>200776</v>
      </c>
      <c r="AF249" s="105">
        <v>16930</v>
      </c>
      <c r="AG249" s="106">
        <f>+AE249+AF249</f>
        <v>217706</v>
      </c>
      <c r="AH249" s="105">
        <v>15473</v>
      </c>
      <c r="AI249" s="106">
        <f>+AG249+AH249</f>
        <v>233179</v>
      </c>
      <c r="AJ249" s="29">
        <f>+AI247/L247</f>
        <v>1</v>
      </c>
      <c r="AK249" s="166"/>
      <c r="AL249" s="326"/>
      <c r="AM249" s="157"/>
    </row>
    <row r="250" spans="1:39" s="94" customFormat="1" ht="22.9" customHeight="1">
      <c r="A250" s="330"/>
      <c r="B250" s="333"/>
      <c r="C250" s="336"/>
      <c r="D250" s="465"/>
      <c r="E250" s="341"/>
      <c r="F250" s="345"/>
      <c r="G250" s="345"/>
      <c r="H250" s="345"/>
      <c r="I250" s="349"/>
      <c r="J250" s="352"/>
      <c r="K250" s="347"/>
      <c r="L250" s="99" t="s">
        <v>126</v>
      </c>
      <c r="M250" s="107" t="s">
        <v>62</v>
      </c>
      <c r="N250" s="107" t="s">
        <v>62</v>
      </c>
      <c r="O250" s="108" t="s">
        <v>62</v>
      </c>
      <c r="P250" s="107" t="s">
        <v>62</v>
      </c>
      <c r="Q250" s="109" t="s">
        <v>62</v>
      </c>
      <c r="R250" s="107" t="s">
        <v>62</v>
      </c>
      <c r="S250" s="109" t="s">
        <v>62</v>
      </c>
      <c r="T250" s="107" t="s">
        <v>62</v>
      </c>
      <c r="U250" s="109" t="s">
        <v>62</v>
      </c>
      <c r="V250" s="107" t="s">
        <v>62</v>
      </c>
      <c r="W250" s="109" t="s">
        <v>62</v>
      </c>
      <c r="X250" s="107" t="s">
        <v>62</v>
      </c>
      <c r="Y250" s="109" t="s">
        <v>62</v>
      </c>
      <c r="Z250" s="107" t="s">
        <v>62</v>
      </c>
      <c r="AA250" s="109" t="s">
        <v>62</v>
      </c>
      <c r="AB250" s="107" t="s">
        <v>62</v>
      </c>
      <c r="AC250" s="109" t="s">
        <v>62</v>
      </c>
      <c r="AD250" s="107" t="s">
        <v>62</v>
      </c>
      <c r="AE250" s="109" t="s">
        <v>62</v>
      </c>
      <c r="AF250" s="107" t="s">
        <v>62</v>
      </c>
      <c r="AG250" s="109" t="s">
        <v>62</v>
      </c>
      <c r="AH250" s="107" t="s">
        <v>62</v>
      </c>
      <c r="AI250" s="109" t="s">
        <v>62</v>
      </c>
      <c r="AJ250" s="68"/>
      <c r="AK250" s="166"/>
      <c r="AL250" s="326"/>
      <c r="AM250" s="157"/>
    </row>
    <row r="251" spans="1:39" s="94" customFormat="1" ht="22.9" customHeight="1" thickBot="1">
      <c r="A251" s="331"/>
      <c r="B251" s="334"/>
      <c r="C251" s="337"/>
      <c r="D251" s="466"/>
      <c r="E251" s="342"/>
      <c r="F251" s="346"/>
      <c r="G251" s="346"/>
      <c r="H251" s="346"/>
      <c r="I251" s="350"/>
      <c r="J251" s="353"/>
      <c r="K251" s="317"/>
      <c r="L251" s="110">
        <v>241418</v>
      </c>
      <c r="M251" s="111">
        <v>19643</v>
      </c>
      <c r="N251" s="111">
        <v>18460</v>
      </c>
      <c r="O251" s="112">
        <f>+M251+N251</f>
        <v>38103</v>
      </c>
      <c r="P251" s="111">
        <v>21389</v>
      </c>
      <c r="Q251" s="112">
        <f>+O251+P251</f>
        <v>59492</v>
      </c>
      <c r="R251" s="111">
        <v>20889</v>
      </c>
      <c r="S251" s="112">
        <f>+Q251+R251</f>
        <v>80381</v>
      </c>
      <c r="T251" s="111">
        <v>21112</v>
      </c>
      <c r="U251" s="112">
        <f>+S251+T251</f>
        <v>101493</v>
      </c>
      <c r="V251" s="111">
        <v>17237</v>
      </c>
      <c r="W251" s="112">
        <f>+U251+V251</f>
        <v>118730</v>
      </c>
      <c r="X251" s="111">
        <v>29982</v>
      </c>
      <c r="Y251" s="112">
        <f>+W251+X251</f>
        <v>148712</v>
      </c>
      <c r="Z251" s="111">
        <v>19001</v>
      </c>
      <c r="AA251" s="112">
        <f>+Y251+Z251</f>
        <v>167713</v>
      </c>
      <c r="AB251" s="111">
        <v>16211</v>
      </c>
      <c r="AC251" s="112">
        <f>+AA251+AB251</f>
        <v>183924</v>
      </c>
      <c r="AD251" s="111">
        <v>24241</v>
      </c>
      <c r="AE251" s="112">
        <f>+AC251+AD251</f>
        <v>208165</v>
      </c>
      <c r="AF251" s="111">
        <v>17513</v>
      </c>
      <c r="AG251" s="112">
        <f>+AE251+AF251</f>
        <v>225678</v>
      </c>
      <c r="AH251" s="111">
        <v>15740</v>
      </c>
      <c r="AI251" s="112">
        <f>+AG251+AH251</f>
        <v>241418</v>
      </c>
      <c r="AJ251" s="69"/>
      <c r="AK251" s="167"/>
      <c r="AL251" s="327"/>
      <c r="AM251" s="158"/>
    </row>
    <row r="252" spans="1:39" ht="12.95" thickTop="1"/>
    <row r="253" spans="1:39" s="89" customFormat="1" ht="20.45" thickBot="1">
      <c r="A253" s="114" t="s">
        <v>127</v>
      </c>
      <c r="L253" s="90"/>
      <c r="M253" s="90"/>
      <c r="N253" s="90"/>
      <c r="O253" s="90"/>
      <c r="P253" s="90"/>
      <c r="Q253" s="90"/>
      <c r="R253" s="90"/>
      <c r="S253" s="90"/>
      <c r="T253" s="90"/>
      <c r="U253" s="90"/>
      <c r="V253" s="90"/>
      <c r="W253" s="90"/>
      <c r="X253" s="90"/>
      <c r="Y253" s="90"/>
      <c r="Z253" s="90"/>
      <c r="AA253" s="90"/>
      <c r="AB253" s="90"/>
      <c r="AC253" s="90"/>
      <c r="AD253" s="90"/>
      <c r="AE253" s="90"/>
      <c r="AF253" s="90"/>
      <c r="AG253" s="90"/>
      <c r="AH253" s="90"/>
      <c r="AI253" s="90"/>
      <c r="AJ253" s="90"/>
      <c r="AK253" s="90"/>
      <c r="AL253" s="90"/>
      <c r="AM253" s="90"/>
    </row>
    <row r="254" spans="1:39" s="94" customFormat="1" ht="22.9" customHeight="1" thickTop="1">
      <c r="A254" s="311" t="s">
        <v>10</v>
      </c>
      <c r="B254" s="311" t="s">
        <v>11</v>
      </c>
      <c r="C254" s="311" t="s">
        <v>12</v>
      </c>
      <c r="D254" s="241" t="s">
        <v>13</v>
      </c>
      <c r="E254" s="241" t="s">
        <v>14</v>
      </c>
      <c r="F254" s="241" t="s">
        <v>15</v>
      </c>
      <c r="G254" s="241" t="s">
        <v>16</v>
      </c>
      <c r="H254" s="241" t="s">
        <v>17</v>
      </c>
      <c r="I254" s="241" t="s">
        <v>118</v>
      </c>
      <c r="J254" s="241" t="s">
        <v>19</v>
      </c>
      <c r="K254" s="241" t="s">
        <v>20</v>
      </c>
      <c r="L254" s="241" t="s">
        <v>21</v>
      </c>
      <c r="M254" s="241" t="s">
        <v>22</v>
      </c>
      <c r="N254" s="241" t="s">
        <v>23</v>
      </c>
      <c r="O254" s="311" t="s">
        <v>24</v>
      </c>
      <c r="P254" s="241" t="s">
        <v>25</v>
      </c>
      <c r="Q254" s="241" t="s">
        <v>26</v>
      </c>
      <c r="R254" s="241" t="s">
        <v>27</v>
      </c>
      <c r="S254" s="241" t="s">
        <v>28</v>
      </c>
      <c r="T254" s="241" t="s">
        <v>29</v>
      </c>
      <c r="U254" s="311" t="s">
        <v>30</v>
      </c>
      <c r="V254" s="311" t="s">
        <v>31</v>
      </c>
      <c r="W254" s="241" t="s">
        <v>32</v>
      </c>
      <c r="X254" s="339" t="s">
        <v>33</v>
      </c>
      <c r="Y254" s="241" t="s">
        <v>34</v>
      </c>
      <c r="Z254" s="241" t="s">
        <v>35</v>
      </c>
      <c r="AA254" s="241" t="s">
        <v>36</v>
      </c>
      <c r="AB254" s="241" t="s">
        <v>37</v>
      </c>
      <c r="AC254" s="241" t="s">
        <v>38</v>
      </c>
      <c r="AD254" s="241" t="s">
        <v>39</v>
      </c>
      <c r="AE254" s="241" t="s">
        <v>40</v>
      </c>
      <c r="AF254" s="311" t="s">
        <v>41</v>
      </c>
      <c r="AG254" s="241" t="s">
        <v>42</v>
      </c>
      <c r="AH254" s="241" t="s">
        <v>43</v>
      </c>
      <c r="AI254" s="241" t="s">
        <v>143</v>
      </c>
      <c r="AJ254" s="241" t="s">
        <v>45</v>
      </c>
      <c r="AK254" s="241" t="s">
        <v>46</v>
      </c>
      <c r="AL254" s="241" t="s">
        <v>47</v>
      </c>
      <c r="AM254" s="241" t="s">
        <v>48</v>
      </c>
    </row>
    <row r="255" spans="1:39" s="94" customFormat="1" ht="22.9" customHeight="1" thickBot="1">
      <c r="A255" s="314"/>
      <c r="B255" s="314"/>
      <c r="C255" s="314"/>
      <c r="D255" s="242"/>
      <c r="E255" s="242"/>
      <c r="F255" s="242"/>
      <c r="G255" s="242"/>
      <c r="H255" s="242"/>
      <c r="I255" s="242"/>
      <c r="J255" s="242"/>
      <c r="K255" s="242"/>
      <c r="L255" s="313"/>
      <c r="M255" s="242"/>
      <c r="N255" s="242"/>
      <c r="O255" s="314"/>
      <c r="P255" s="242"/>
      <c r="Q255" s="242"/>
      <c r="R255" s="242"/>
      <c r="S255" s="310"/>
      <c r="T255" s="242"/>
      <c r="U255" s="312"/>
      <c r="V255" s="312"/>
      <c r="W255" s="310"/>
      <c r="X255" s="340"/>
      <c r="Y255" s="242"/>
      <c r="Z255" s="310"/>
      <c r="AA255" s="310"/>
      <c r="AB255" s="310"/>
      <c r="AC255" s="310"/>
      <c r="AD255" s="310"/>
      <c r="AE255" s="310"/>
      <c r="AF255" s="312"/>
      <c r="AG255" s="310"/>
      <c r="AH255" s="242"/>
      <c r="AI255" s="242">
        <v>2018</v>
      </c>
      <c r="AJ255" s="242"/>
      <c r="AK255" s="328"/>
      <c r="AL255" s="242"/>
      <c r="AM255" s="242"/>
    </row>
    <row r="256" spans="1:39" s="94" customFormat="1" ht="22.9" customHeight="1" thickTop="1">
      <c r="A256" s="329" t="s">
        <v>160</v>
      </c>
      <c r="B256" s="332" t="s">
        <v>64</v>
      </c>
      <c r="C256" s="382" t="s">
        <v>161</v>
      </c>
      <c r="D256" s="338" t="s">
        <v>122</v>
      </c>
      <c r="E256" s="338" t="s">
        <v>162</v>
      </c>
      <c r="F256" s="344" t="s">
        <v>163</v>
      </c>
      <c r="G256" s="344" t="s">
        <v>164</v>
      </c>
      <c r="H256" s="344" t="s">
        <v>163</v>
      </c>
      <c r="I256" s="348">
        <f>+L257</f>
        <v>0.96561125183308893</v>
      </c>
      <c r="J256" s="351">
        <v>0.1</v>
      </c>
      <c r="K256" s="315" t="s">
        <v>124</v>
      </c>
      <c r="L256" s="95" t="s">
        <v>57</v>
      </c>
      <c r="M256" s="96" t="s">
        <v>57</v>
      </c>
      <c r="N256" s="96" t="s">
        <v>57</v>
      </c>
      <c r="O256" s="97" t="s">
        <v>57</v>
      </c>
      <c r="P256" s="96" t="s">
        <v>57</v>
      </c>
      <c r="Q256" s="98" t="s">
        <v>57</v>
      </c>
      <c r="R256" s="96" t="s">
        <v>57</v>
      </c>
      <c r="S256" s="98" t="s">
        <v>57</v>
      </c>
      <c r="T256" s="96" t="s">
        <v>57</v>
      </c>
      <c r="U256" s="98" t="s">
        <v>57</v>
      </c>
      <c r="V256" s="96" t="s">
        <v>57</v>
      </c>
      <c r="W256" s="98" t="s">
        <v>57</v>
      </c>
      <c r="X256" s="96" t="s">
        <v>57</v>
      </c>
      <c r="Y256" s="98" t="s">
        <v>57</v>
      </c>
      <c r="Z256" s="96" t="s">
        <v>57</v>
      </c>
      <c r="AA256" s="98" t="s">
        <v>57</v>
      </c>
      <c r="AB256" s="96" t="s">
        <v>57</v>
      </c>
      <c r="AC256" s="98" t="s">
        <v>57</v>
      </c>
      <c r="AD256" s="96" t="s">
        <v>57</v>
      </c>
      <c r="AE256" s="98" t="s">
        <v>57</v>
      </c>
      <c r="AF256" s="96" t="s">
        <v>57</v>
      </c>
      <c r="AG256" s="98" t="s">
        <v>57</v>
      </c>
      <c r="AH256" s="96" t="s">
        <v>57</v>
      </c>
      <c r="AI256" s="98" t="s">
        <v>57</v>
      </c>
      <c r="AJ256" s="67"/>
      <c r="AK256" s="165" t="s">
        <v>72</v>
      </c>
      <c r="AL256" s="325"/>
      <c r="AM256" s="156" t="s">
        <v>125</v>
      </c>
    </row>
    <row r="257" spans="1:41" s="94" customFormat="1" ht="22.9" customHeight="1">
      <c r="A257" s="330"/>
      <c r="B257" s="333"/>
      <c r="C257" s="336"/>
      <c r="D257" s="465"/>
      <c r="E257" s="341"/>
      <c r="F257" s="345"/>
      <c r="G257" s="345"/>
      <c r="H257" s="345"/>
      <c r="I257" s="349"/>
      <c r="J257" s="352"/>
      <c r="K257" s="316"/>
      <c r="L257" s="41">
        <f>IF(L259&lt;&gt;0,+L259/L261,0%)</f>
        <v>0.96561125183308893</v>
      </c>
      <c r="M257" s="58">
        <f>IF(M259&lt;&gt;0,+M259/M261,0%)</f>
        <v>0.95962987225679663</v>
      </c>
      <c r="N257" s="61">
        <f>IF(N259&lt;&gt;0,+N259/N261,0%)</f>
        <v>0.98049114400616066</v>
      </c>
      <c r="O257" s="57">
        <f t="shared" ref="O257" si="360">IF(O259&lt;&gt;0,+O259/O261,0%)</f>
        <v>0.96983137369764427</v>
      </c>
      <c r="P257" s="61">
        <f>IF(P259&lt;&gt;0,ROUND(+P259/P261,4),0%)</f>
        <v>0.97509999999999997</v>
      </c>
      <c r="Q257" s="62">
        <f t="shared" ref="Q257" si="361">IF(Q259&lt;&gt;0,+Q259/Q261,0%)</f>
        <v>0.97174421074994688</v>
      </c>
      <c r="R257" s="63">
        <f>IF(R259&lt;&gt;0,ROUND(+R259/R261,4),0%)</f>
        <v>0.97770000000000001</v>
      </c>
      <c r="S257" s="62">
        <f t="shared" ref="S257" si="362">IF(S259&lt;&gt;0,+S259/S261,0%)</f>
        <v>0.97329423572707774</v>
      </c>
      <c r="T257" s="63">
        <f>IF(T259&lt;&gt;0,ROUND(+T259/T261,4),0%)</f>
        <v>0.97250000000000003</v>
      </c>
      <c r="U257" s="62">
        <f t="shared" ref="U257" si="363">IF(U259&lt;&gt;0,+U259/U261,0%)</f>
        <v>0.97314186523591606</v>
      </c>
      <c r="V257" s="63">
        <f>IF(V259&lt;&gt;0,ROUND(+V259/V261,4),0%)</f>
        <v>0.96840000000000004</v>
      </c>
      <c r="W257" s="62">
        <f t="shared" ref="W257" si="364">IF(W259&lt;&gt;0,+W259/W261,0%)</f>
        <v>0.97248204613024536</v>
      </c>
      <c r="X257" s="63">
        <f>IF(X259&lt;&gt;0,ROUND(+X259/X261,4),0%)</f>
        <v>0.9657</v>
      </c>
      <c r="Y257" s="62">
        <f t="shared" ref="Y257" si="365">IF(Y259&lt;&gt;0,+Y259/Y261,0%)</f>
        <v>0.97109857874284233</v>
      </c>
      <c r="Z257" s="64">
        <f>IF(Z259&lt;&gt;0,ROUND(+Z259/Z261,4),0%)</f>
        <v>0.94679999999999997</v>
      </c>
      <c r="AA257" s="62">
        <f t="shared" ref="AA257" si="366">IF(AA259&lt;&gt;0,+AA259/AA261,0%)</f>
        <v>0.96839370760571508</v>
      </c>
      <c r="AB257" s="63">
        <f>IF(AB259&lt;&gt;0,ROUND(+AB259/AB261,4),0%)</f>
        <v>0.95550000000000002</v>
      </c>
      <c r="AC257" s="62">
        <f t="shared" ref="AC257" si="367">IF(AC259&lt;&gt;0,+AC259/AC261,0%)</f>
        <v>0.96725913708701072</v>
      </c>
      <c r="AD257" s="63">
        <f>IF(AD259&lt;&gt;0,ROUND(+AD259/AD261,4),0%)</f>
        <v>0.94089999999999996</v>
      </c>
      <c r="AE257" s="62">
        <f t="shared" ref="AE257" si="368">IF(AE259&lt;&gt;0,+AE259/AE261,0%)</f>
        <v>0.96415279744357529</v>
      </c>
      <c r="AF257" s="63">
        <f>IF(AF259&lt;&gt;0,ROUND(+AF259/AF261,4),0%)</f>
        <v>0.96689999999999998</v>
      </c>
      <c r="AG257" s="62">
        <f t="shared" ref="AG257" si="369">IF(AG259&lt;&gt;0,+AG259/AG261,0%)</f>
        <v>0.96437080046221668</v>
      </c>
      <c r="AH257" s="63">
        <f>IF(AH259&lt;&gt;0,ROUND(+AH259/AH261,4),0%)</f>
        <v>0.98329999999999995</v>
      </c>
      <c r="AI257" s="62">
        <f>IF(AI259&lt;&gt;0,+AI259/AI261,0%)</f>
        <v>0.96561125183308893</v>
      </c>
      <c r="AJ257" s="68"/>
      <c r="AK257" s="166"/>
      <c r="AL257" s="326"/>
      <c r="AM257" s="157"/>
    </row>
    <row r="258" spans="1:41" s="94" customFormat="1" ht="22.9" customHeight="1" thickBot="1">
      <c r="A258" s="330"/>
      <c r="B258" s="333"/>
      <c r="C258" s="336"/>
      <c r="D258" s="465"/>
      <c r="E258" s="341"/>
      <c r="F258" s="345"/>
      <c r="G258" s="345"/>
      <c r="H258" s="345"/>
      <c r="I258" s="349"/>
      <c r="J258" s="352"/>
      <c r="K258" s="317"/>
      <c r="L258" s="99"/>
      <c r="M258" s="101" t="s">
        <v>60</v>
      </c>
      <c r="N258" s="101" t="s">
        <v>60</v>
      </c>
      <c r="O258" s="102" t="s">
        <v>60</v>
      </c>
      <c r="P258" s="101" t="s">
        <v>60</v>
      </c>
      <c r="Q258" s="103" t="s">
        <v>60</v>
      </c>
      <c r="R258" s="101" t="s">
        <v>60</v>
      </c>
      <c r="S258" s="103" t="s">
        <v>60</v>
      </c>
      <c r="T258" s="101" t="s">
        <v>60</v>
      </c>
      <c r="U258" s="103" t="s">
        <v>60</v>
      </c>
      <c r="V258" s="101" t="s">
        <v>60</v>
      </c>
      <c r="W258" s="103" t="s">
        <v>60</v>
      </c>
      <c r="X258" s="101" t="s">
        <v>60</v>
      </c>
      <c r="Y258" s="103" t="s">
        <v>60</v>
      </c>
      <c r="Z258" s="101" t="s">
        <v>60</v>
      </c>
      <c r="AA258" s="103" t="s">
        <v>60</v>
      </c>
      <c r="AB258" s="101" t="s">
        <v>60</v>
      </c>
      <c r="AC258" s="103" t="s">
        <v>60</v>
      </c>
      <c r="AD258" s="101" t="s">
        <v>60</v>
      </c>
      <c r="AE258" s="103" t="s">
        <v>60</v>
      </c>
      <c r="AF258" s="101" t="s">
        <v>60</v>
      </c>
      <c r="AG258" s="103" t="s">
        <v>60</v>
      </c>
      <c r="AH258" s="101" t="s">
        <v>60</v>
      </c>
      <c r="AI258" s="103" t="s">
        <v>60</v>
      </c>
      <c r="AJ258" s="68"/>
      <c r="AK258" s="166"/>
      <c r="AL258" s="326"/>
      <c r="AM258" s="157"/>
    </row>
    <row r="259" spans="1:41" s="94" customFormat="1" ht="22.9" customHeight="1" thickTop="1">
      <c r="A259" s="330"/>
      <c r="B259" s="333"/>
      <c r="C259" s="336"/>
      <c r="D259" s="465"/>
      <c r="E259" s="341"/>
      <c r="F259" s="345"/>
      <c r="G259" s="345"/>
      <c r="H259" s="345"/>
      <c r="I259" s="349"/>
      <c r="J259" s="352"/>
      <c r="K259" s="316" t="s">
        <v>74</v>
      </c>
      <c r="L259" s="104">
        <v>144861</v>
      </c>
      <c r="M259" s="105">
        <v>11719</v>
      </c>
      <c r="N259" s="105">
        <v>11459</v>
      </c>
      <c r="O259" s="106">
        <f>+M259+N259</f>
        <v>23178</v>
      </c>
      <c r="P259" s="105">
        <v>13414</v>
      </c>
      <c r="Q259" s="106">
        <f>+O259+P259</f>
        <v>36592</v>
      </c>
      <c r="R259" s="105">
        <v>12864</v>
      </c>
      <c r="S259" s="106">
        <f>+Q259+R259</f>
        <v>49456</v>
      </c>
      <c r="T259" s="105">
        <v>12212</v>
      </c>
      <c r="U259" s="106">
        <f>+S259+T259</f>
        <v>61668</v>
      </c>
      <c r="V259" s="105">
        <v>9966</v>
      </c>
      <c r="W259" s="106">
        <f>+U259+V259</f>
        <v>71634</v>
      </c>
      <c r="X259" s="105">
        <v>18079</v>
      </c>
      <c r="Y259" s="106">
        <f>+W259+X259</f>
        <v>89713</v>
      </c>
      <c r="Z259" s="105">
        <v>10937</v>
      </c>
      <c r="AA259" s="106">
        <f>+Y259+Z259</f>
        <v>100650</v>
      </c>
      <c r="AB259" s="105">
        <v>9604</v>
      </c>
      <c r="AC259" s="106">
        <f>+AA259+AB259</f>
        <v>110254</v>
      </c>
      <c r="AD259" s="105">
        <v>14356</v>
      </c>
      <c r="AE259" s="106">
        <f>+AC259+AD259</f>
        <v>124610</v>
      </c>
      <c r="AF259" s="105">
        <v>10589</v>
      </c>
      <c r="AG259" s="106">
        <f>+AE259+AF259</f>
        <v>135199</v>
      </c>
      <c r="AH259" s="105">
        <v>9662</v>
      </c>
      <c r="AI259" s="106">
        <f>SUM(AG259:AH259)</f>
        <v>144861</v>
      </c>
      <c r="AJ259" s="29">
        <f>+AI257/L257</f>
        <v>1</v>
      </c>
      <c r="AK259" s="166"/>
      <c r="AL259" s="326"/>
      <c r="AM259" s="157"/>
    </row>
    <row r="260" spans="1:41" s="94" customFormat="1" ht="22.9" customHeight="1">
      <c r="A260" s="330"/>
      <c r="B260" s="333"/>
      <c r="C260" s="336"/>
      <c r="D260" s="465"/>
      <c r="E260" s="341"/>
      <c r="F260" s="345"/>
      <c r="G260" s="345"/>
      <c r="H260" s="345"/>
      <c r="I260" s="349"/>
      <c r="J260" s="352"/>
      <c r="K260" s="347"/>
      <c r="L260" s="99" t="s">
        <v>126</v>
      </c>
      <c r="M260" s="107" t="s">
        <v>62</v>
      </c>
      <c r="N260" s="107" t="s">
        <v>62</v>
      </c>
      <c r="O260" s="108" t="s">
        <v>62</v>
      </c>
      <c r="P260" s="107" t="s">
        <v>62</v>
      </c>
      <c r="Q260" s="109" t="s">
        <v>62</v>
      </c>
      <c r="R260" s="107"/>
      <c r="S260" s="109" t="s">
        <v>62</v>
      </c>
      <c r="T260" s="107" t="s">
        <v>62</v>
      </c>
      <c r="U260" s="109" t="s">
        <v>62</v>
      </c>
      <c r="V260" s="107" t="s">
        <v>62</v>
      </c>
      <c r="W260" s="109" t="s">
        <v>62</v>
      </c>
      <c r="X260" s="107" t="s">
        <v>62</v>
      </c>
      <c r="Y260" s="109" t="s">
        <v>62</v>
      </c>
      <c r="Z260" s="107" t="s">
        <v>62</v>
      </c>
      <c r="AA260" s="109" t="s">
        <v>62</v>
      </c>
      <c r="AB260" s="107" t="s">
        <v>62</v>
      </c>
      <c r="AC260" s="109" t="s">
        <v>62</v>
      </c>
      <c r="AD260" s="107" t="s">
        <v>62</v>
      </c>
      <c r="AE260" s="109" t="s">
        <v>62</v>
      </c>
      <c r="AF260" s="107" t="s">
        <v>62</v>
      </c>
      <c r="AG260" s="109" t="s">
        <v>62</v>
      </c>
      <c r="AH260" s="107" t="s">
        <v>62</v>
      </c>
      <c r="AI260" s="108" t="s">
        <v>62</v>
      </c>
      <c r="AJ260" s="68"/>
      <c r="AK260" s="166"/>
      <c r="AL260" s="326"/>
      <c r="AM260" s="157"/>
    </row>
    <row r="261" spans="1:41" s="94" customFormat="1" ht="22.9" customHeight="1" thickBot="1">
      <c r="A261" s="331"/>
      <c r="B261" s="334"/>
      <c r="C261" s="337"/>
      <c r="D261" s="466"/>
      <c r="E261" s="342"/>
      <c r="F261" s="346"/>
      <c r="G261" s="346"/>
      <c r="H261" s="346"/>
      <c r="I261" s="350"/>
      <c r="J261" s="353"/>
      <c r="K261" s="317"/>
      <c r="L261" s="110">
        <v>150020</v>
      </c>
      <c r="M261" s="111">
        <v>12212</v>
      </c>
      <c r="N261" s="111">
        <v>11687</v>
      </c>
      <c r="O261" s="112">
        <f t="shared" ref="O261" si="370">+M261+N261</f>
        <v>23899</v>
      </c>
      <c r="P261" s="111">
        <v>13757</v>
      </c>
      <c r="Q261" s="112">
        <f t="shared" ref="Q261" si="371">+O261+P261</f>
        <v>37656</v>
      </c>
      <c r="R261" s="111">
        <v>13157</v>
      </c>
      <c r="S261" s="112">
        <f t="shared" ref="S261" si="372">+Q261+R261</f>
        <v>50813</v>
      </c>
      <c r="T261" s="111">
        <v>12557</v>
      </c>
      <c r="U261" s="112">
        <f t="shared" ref="U261" si="373">+S261+T261</f>
        <v>63370</v>
      </c>
      <c r="V261" s="111">
        <v>10291</v>
      </c>
      <c r="W261" s="112">
        <f t="shared" ref="W261" si="374">+U261+V261</f>
        <v>73661</v>
      </c>
      <c r="X261" s="111">
        <v>18722</v>
      </c>
      <c r="Y261" s="112">
        <f t="shared" ref="Y261" si="375">+W261+X261</f>
        <v>92383</v>
      </c>
      <c r="Z261" s="111">
        <v>11552</v>
      </c>
      <c r="AA261" s="112">
        <f t="shared" ref="AA261" si="376">+Y261+Z261</f>
        <v>103935</v>
      </c>
      <c r="AB261" s="111">
        <v>10051</v>
      </c>
      <c r="AC261" s="112">
        <f t="shared" ref="AC261" si="377">+AA261+AB261</f>
        <v>113986</v>
      </c>
      <c r="AD261" s="111">
        <v>15257</v>
      </c>
      <c r="AE261" s="112">
        <f t="shared" ref="AE261" si="378">+AC261+AD261</f>
        <v>129243</v>
      </c>
      <c r="AF261" s="111">
        <v>10951</v>
      </c>
      <c r="AG261" s="112">
        <f t="shared" ref="AG261" si="379">+AE261+AF261</f>
        <v>140194</v>
      </c>
      <c r="AH261" s="111">
        <v>9826</v>
      </c>
      <c r="AI261" s="112">
        <f>SUM(AG261:AH261)</f>
        <v>150020</v>
      </c>
      <c r="AJ261" s="69"/>
      <c r="AK261" s="167"/>
      <c r="AL261" s="327"/>
      <c r="AM261" s="158"/>
      <c r="AO261" s="115"/>
    </row>
    <row r="262" spans="1:41" ht="12.95" thickTop="1"/>
    <row r="263" spans="1:41" s="89" customFormat="1" ht="20.45" thickBot="1">
      <c r="A263" s="114" t="s">
        <v>128</v>
      </c>
      <c r="L263" s="90"/>
      <c r="M263" s="90"/>
      <c r="N263" s="90"/>
      <c r="O263" s="90"/>
      <c r="P263" s="90"/>
      <c r="Q263" s="90"/>
      <c r="R263" s="90"/>
      <c r="S263" s="90"/>
      <c r="T263" s="90"/>
      <c r="U263" s="90"/>
      <c r="V263" s="90"/>
      <c r="W263" s="90"/>
      <c r="X263" s="90"/>
      <c r="Y263" s="90"/>
      <c r="Z263" s="90"/>
      <c r="AA263" s="90"/>
      <c r="AB263" s="90"/>
      <c r="AC263" s="90"/>
      <c r="AD263" s="90"/>
      <c r="AE263" s="90"/>
      <c r="AF263" s="90"/>
      <c r="AG263" s="90"/>
      <c r="AH263" s="90"/>
      <c r="AI263" s="90"/>
      <c r="AJ263" s="90"/>
      <c r="AK263" s="90"/>
      <c r="AL263" s="90"/>
      <c r="AM263" s="90"/>
    </row>
    <row r="264" spans="1:41" s="94" customFormat="1" ht="22.9" customHeight="1" thickTop="1">
      <c r="A264" s="311" t="s">
        <v>10</v>
      </c>
      <c r="B264" s="311" t="s">
        <v>11</v>
      </c>
      <c r="C264" s="311" t="s">
        <v>12</v>
      </c>
      <c r="D264" s="241" t="s">
        <v>13</v>
      </c>
      <c r="E264" s="241" t="s">
        <v>14</v>
      </c>
      <c r="F264" s="241" t="s">
        <v>15</v>
      </c>
      <c r="G264" s="241" t="s">
        <v>16</v>
      </c>
      <c r="H264" s="241" t="s">
        <v>17</v>
      </c>
      <c r="I264" s="241" t="s">
        <v>118</v>
      </c>
      <c r="J264" s="241" t="s">
        <v>19</v>
      </c>
      <c r="K264" s="241" t="s">
        <v>20</v>
      </c>
      <c r="L264" s="241" t="s">
        <v>21</v>
      </c>
      <c r="M264" s="241" t="s">
        <v>22</v>
      </c>
      <c r="N264" s="241" t="s">
        <v>23</v>
      </c>
      <c r="O264" s="311" t="s">
        <v>24</v>
      </c>
      <c r="P264" s="241" t="s">
        <v>25</v>
      </c>
      <c r="Q264" s="241" t="s">
        <v>26</v>
      </c>
      <c r="R264" s="241" t="s">
        <v>27</v>
      </c>
      <c r="S264" s="241" t="s">
        <v>28</v>
      </c>
      <c r="T264" s="241" t="s">
        <v>29</v>
      </c>
      <c r="U264" s="311" t="s">
        <v>30</v>
      </c>
      <c r="V264" s="311" t="s">
        <v>31</v>
      </c>
      <c r="W264" s="241" t="s">
        <v>32</v>
      </c>
      <c r="X264" s="339" t="s">
        <v>33</v>
      </c>
      <c r="Y264" s="241" t="s">
        <v>34</v>
      </c>
      <c r="Z264" s="241" t="s">
        <v>35</v>
      </c>
      <c r="AA264" s="241" t="s">
        <v>36</v>
      </c>
      <c r="AB264" s="241" t="s">
        <v>37</v>
      </c>
      <c r="AC264" s="241" t="s">
        <v>38</v>
      </c>
      <c r="AD264" s="241" t="s">
        <v>39</v>
      </c>
      <c r="AE264" s="241" t="s">
        <v>40</v>
      </c>
      <c r="AF264" s="311" t="s">
        <v>41</v>
      </c>
      <c r="AG264" s="241" t="s">
        <v>42</v>
      </c>
      <c r="AH264" s="241" t="s">
        <v>43</v>
      </c>
      <c r="AI264" s="241" t="s">
        <v>143</v>
      </c>
      <c r="AJ264" s="241" t="s">
        <v>45</v>
      </c>
      <c r="AK264" s="241" t="s">
        <v>46</v>
      </c>
      <c r="AL264" s="241" t="s">
        <v>47</v>
      </c>
      <c r="AM264" s="241" t="s">
        <v>48</v>
      </c>
    </row>
    <row r="265" spans="1:41" s="94" customFormat="1" ht="22.9" customHeight="1" thickBot="1">
      <c r="A265" s="314"/>
      <c r="B265" s="314"/>
      <c r="C265" s="314"/>
      <c r="D265" s="242"/>
      <c r="E265" s="242"/>
      <c r="F265" s="242"/>
      <c r="G265" s="242"/>
      <c r="H265" s="242"/>
      <c r="I265" s="242"/>
      <c r="J265" s="242"/>
      <c r="K265" s="242"/>
      <c r="L265" s="313"/>
      <c r="M265" s="242"/>
      <c r="N265" s="242"/>
      <c r="O265" s="314"/>
      <c r="P265" s="242"/>
      <c r="Q265" s="242"/>
      <c r="R265" s="242"/>
      <c r="S265" s="310"/>
      <c r="T265" s="242"/>
      <c r="U265" s="312"/>
      <c r="V265" s="312"/>
      <c r="W265" s="310"/>
      <c r="X265" s="340"/>
      <c r="Y265" s="242"/>
      <c r="Z265" s="310"/>
      <c r="AA265" s="310"/>
      <c r="AB265" s="310"/>
      <c r="AC265" s="310"/>
      <c r="AD265" s="310"/>
      <c r="AE265" s="310"/>
      <c r="AF265" s="312"/>
      <c r="AG265" s="310"/>
      <c r="AH265" s="242"/>
      <c r="AI265" s="242">
        <v>2018</v>
      </c>
      <c r="AJ265" s="242"/>
      <c r="AK265" s="328"/>
      <c r="AL265" s="242"/>
      <c r="AM265" s="242"/>
    </row>
    <row r="266" spans="1:41" s="94" customFormat="1" ht="22.9" customHeight="1" thickTop="1">
      <c r="A266" s="329" t="s">
        <v>160</v>
      </c>
      <c r="B266" s="332" t="s">
        <v>64</v>
      </c>
      <c r="C266" s="382" t="s">
        <v>161</v>
      </c>
      <c r="D266" s="338" t="s">
        <v>122</v>
      </c>
      <c r="E266" s="338" t="s">
        <v>162</v>
      </c>
      <c r="F266" s="344" t="s">
        <v>163</v>
      </c>
      <c r="G266" s="344" t="s">
        <v>164</v>
      </c>
      <c r="H266" s="344" t="s">
        <v>163</v>
      </c>
      <c r="I266" s="348">
        <f>+L267</f>
        <v>0.9663012319744414</v>
      </c>
      <c r="J266" s="351">
        <v>0.1</v>
      </c>
      <c r="K266" s="315" t="s">
        <v>124</v>
      </c>
      <c r="L266" s="95" t="s">
        <v>57</v>
      </c>
      <c r="M266" s="96" t="s">
        <v>57</v>
      </c>
      <c r="N266" s="96" t="s">
        <v>57</v>
      </c>
      <c r="O266" s="97" t="s">
        <v>57</v>
      </c>
      <c r="P266" s="96" t="s">
        <v>57</v>
      </c>
      <c r="Q266" s="98" t="s">
        <v>57</v>
      </c>
      <c r="R266" s="96" t="s">
        <v>57</v>
      </c>
      <c r="S266" s="98" t="s">
        <v>57</v>
      </c>
      <c r="T266" s="96" t="s">
        <v>57</v>
      </c>
      <c r="U266" s="98" t="s">
        <v>57</v>
      </c>
      <c r="V266" s="96" t="s">
        <v>57</v>
      </c>
      <c r="W266" s="98" t="s">
        <v>57</v>
      </c>
      <c r="X266" s="96" t="s">
        <v>57</v>
      </c>
      <c r="Y266" s="98" t="s">
        <v>57</v>
      </c>
      <c r="Z266" s="96" t="s">
        <v>57</v>
      </c>
      <c r="AA266" s="98" t="s">
        <v>57</v>
      </c>
      <c r="AB266" s="96" t="s">
        <v>57</v>
      </c>
      <c r="AC266" s="98" t="s">
        <v>57</v>
      </c>
      <c r="AD266" s="96" t="s">
        <v>57</v>
      </c>
      <c r="AE266" s="98" t="s">
        <v>57</v>
      </c>
      <c r="AF266" s="96" t="s">
        <v>57</v>
      </c>
      <c r="AG266" s="98" t="s">
        <v>57</v>
      </c>
      <c r="AH266" s="96" t="s">
        <v>57</v>
      </c>
      <c r="AI266" s="98" t="s">
        <v>57</v>
      </c>
      <c r="AJ266" s="67"/>
      <c r="AK266" s="165" t="s">
        <v>72</v>
      </c>
      <c r="AL266" s="325"/>
      <c r="AM266" s="156" t="s">
        <v>125</v>
      </c>
    </row>
    <row r="267" spans="1:41" s="94" customFormat="1" ht="22.9" customHeight="1">
      <c r="A267" s="330"/>
      <c r="B267" s="333"/>
      <c r="C267" s="336"/>
      <c r="D267" s="465"/>
      <c r="E267" s="341"/>
      <c r="F267" s="345"/>
      <c r="G267" s="345"/>
      <c r="H267" s="345"/>
      <c r="I267" s="349"/>
      <c r="J267" s="352"/>
      <c r="K267" s="316"/>
      <c r="L267" s="41">
        <f>IF(L269&lt;&gt;0,+L269/L271,0%)</f>
        <v>0.9663012319744414</v>
      </c>
      <c r="M267" s="58">
        <f>IF(M269&lt;&gt;0,+M269/M271,0%)</f>
        <v>0.9615125824249765</v>
      </c>
      <c r="N267" s="61">
        <f>IF(N269&lt;&gt;0,+N269/N271,0%)</f>
        <v>0.9780008858703676</v>
      </c>
      <c r="O267" s="57">
        <f t="shared" ref="O267" si="380">IF(O269&lt;&gt;0,+O269/O271,0%)</f>
        <v>0.96937482399324137</v>
      </c>
      <c r="P267" s="61">
        <f>IF(P269&lt;&gt;0,ROUND(+P269/P271,4),0%)</f>
        <v>0.97330000000000005</v>
      </c>
      <c r="Q267" s="62">
        <f t="shared" ref="Q267" si="381">IF(Q269&lt;&gt;0,+Q269/Q271,0%)</f>
        <v>0.97073639860780359</v>
      </c>
      <c r="R267" s="63">
        <f>IF(R269&lt;&gt;0,ROUND(+R269/R271,4),0%)</f>
        <v>0.97889999999999999</v>
      </c>
      <c r="S267" s="62">
        <f t="shared" ref="S267" si="382">IF(S269&lt;&gt;0,+S269/S271,0%)</f>
        <v>0.97287608225108224</v>
      </c>
      <c r="T267" s="63">
        <f>IF(T269&lt;&gt;0,ROUND(+T269/T271,4),0%)</f>
        <v>0.96830000000000005</v>
      </c>
      <c r="U267" s="62">
        <f t="shared" ref="U267" si="383">IF(U269&lt;&gt;0,+U269/U271,0%)</f>
        <v>0.97185426120714524</v>
      </c>
      <c r="V267" s="63">
        <f>IF(V269&lt;&gt;0,ROUND(+V269/V271,4),0%)</f>
        <v>0.96889999999999998</v>
      </c>
      <c r="W267" s="62">
        <f t="shared" ref="W267" si="384">IF(W269&lt;&gt;0,+W269/W271,0%)</f>
        <v>0.97139940979387163</v>
      </c>
      <c r="X267" s="63">
        <f>IF(X269&lt;&gt;0,ROUND(+X269/X271,4),0%)</f>
        <v>0.9647</v>
      </c>
      <c r="Y267" s="62">
        <f t="shared" ref="Y267" si="385">IF(Y269&lt;&gt;0,+Y269/Y271,0%)</f>
        <v>0.9700687035097374</v>
      </c>
      <c r="Z267" s="64">
        <f>IF(Z269&lt;&gt;0,ROUND(+Z269/Z271,4),0%)</f>
        <v>0.94969999999999999</v>
      </c>
      <c r="AA267" s="62">
        <f t="shared" ref="AA267" si="386">IF(AA269&lt;&gt;0,+AA269/AA271,0%)</f>
        <v>0.96768478158612692</v>
      </c>
      <c r="AB267" s="63">
        <f>IF(AB269&lt;&gt;0,ROUND(+AB269/AB271,4),0%)</f>
        <v>0.95779999999999998</v>
      </c>
      <c r="AC267" s="62">
        <f t="shared" ref="AC267" si="387">IF(AC269&lt;&gt;0,+AC269/AC271,0%)</f>
        <v>0.96681346335325569</v>
      </c>
      <c r="AD267" s="63">
        <f>IF(AD269&lt;&gt;0,ROUND(+AD269/AD271,4),0%)</f>
        <v>0.9516</v>
      </c>
      <c r="AE267" s="62">
        <f t="shared" ref="AE267" si="388">IF(AE269&lt;&gt;0,+AE269/AE271,0%)</f>
        <v>0.96507944552849645</v>
      </c>
      <c r="AF267" s="63">
        <f>IF(AF269&lt;&gt;0,ROUND(+AF269/AF271,4),0%)</f>
        <v>0.96630000000000005</v>
      </c>
      <c r="AG267" s="62">
        <f t="shared" ref="AG267" si="389">IF(AG269&lt;&gt;0,+AG269/AG271,0%)</f>
        <v>0.96517476954751769</v>
      </c>
      <c r="AH267" s="63">
        <f>IF(AH269&lt;&gt;0,ROUND(+AH269/AH271,4),0%)</f>
        <v>0.98260000000000003</v>
      </c>
      <c r="AI267" s="62">
        <f>IF(AI269&lt;&gt;0,+AI269/AI271,0%)</f>
        <v>0.9663012319744414</v>
      </c>
      <c r="AJ267" s="68"/>
      <c r="AK267" s="166"/>
      <c r="AL267" s="326"/>
      <c r="AM267" s="157"/>
    </row>
    <row r="268" spans="1:41" s="94" customFormat="1" ht="22.9" customHeight="1" thickBot="1">
      <c r="A268" s="330"/>
      <c r="B268" s="333"/>
      <c r="C268" s="336"/>
      <c r="D268" s="465"/>
      <c r="E268" s="341"/>
      <c r="F268" s="345"/>
      <c r="G268" s="345"/>
      <c r="H268" s="345"/>
      <c r="I268" s="349"/>
      <c r="J268" s="352"/>
      <c r="K268" s="317"/>
      <c r="L268" s="99"/>
      <c r="M268" s="101" t="s">
        <v>60</v>
      </c>
      <c r="N268" s="101" t="s">
        <v>60</v>
      </c>
      <c r="O268" s="102" t="s">
        <v>60</v>
      </c>
      <c r="P268" s="101" t="s">
        <v>60</v>
      </c>
      <c r="Q268" s="103" t="s">
        <v>60</v>
      </c>
      <c r="R268" s="101" t="s">
        <v>60</v>
      </c>
      <c r="S268" s="103" t="s">
        <v>60</v>
      </c>
      <c r="T268" s="101" t="s">
        <v>60</v>
      </c>
      <c r="U268" s="103" t="s">
        <v>60</v>
      </c>
      <c r="V268" s="101" t="s">
        <v>60</v>
      </c>
      <c r="W268" s="103" t="s">
        <v>60</v>
      </c>
      <c r="X268" s="101" t="s">
        <v>60</v>
      </c>
      <c r="Y268" s="103" t="s">
        <v>60</v>
      </c>
      <c r="Z268" s="101" t="s">
        <v>60</v>
      </c>
      <c r="AA268" s="103" t="s">
        <v>60</v>
      </c>
      <c r="AB268" s="101" t="s">
        <v>60</v>
      </c>
      <c r="AC268" s="103" t="s">
        <v>60</v>
      </c>
      <c r="AD268" s="101" t="s">
        <v>60</v>
      </c>
      <c r="AE268" s="103" t="s">
        <v>60</v>
      </c>
      <c r="AF268" s="101" t="s">
        <v>60</v>
      </c>
      <c r="AG268" s="103" t="s">
        <v>60</v>
      </c>
      <c r="AH268" s="101" t="s">
        <v>60</v>
      </c>
      <c r="AI268" s="103" t="s">
        <v>60</v>
      </c>
      <c r="AJ268" s="68"/>
      <c r="AK268" s="166"/>
      <c r="AL268" s="326"/>
      <c r="AM268" s="157"/>
    </row>
    <row r="269" spans="1:41" s="94" customFormat="1" ht="22.9" customHeight="1" thickTop="1">
      <c r="A269" s="330"/>
      <c r="B269" s="333"/>
      <c r="C269" s="336"/>
      <c r="D269" s="465"/>
      <c r="E269" s="341"/>
      <c r="F269" s="345"/>
      <c r="G269" s="345"/>
      <c r="H269" s="345"/>
      <c r="I269" s="349"/>
      <c r="J269" s="352"/>
      <c r="K269" s="316" t="s">
        <v>74</v>
      </c>
      <c r="L269" s="104">
        <v>88318</v>
      </c>
      <c r="M269" s="105">
        <v>7145</v>
      </c>
      <c r="N269" s="105">
        <v>6624</v>
      </c>
      <c r="O269" s="106">
        <f>+M269+N269</f>
        <v>13769</v>
      </c>
      <c r="P269" s="105">
        <v>7428</v>
      </c>
      <c r="Q269" s="106">
        <f>+O269+P269</f>
        <v>21197</v>
      </c>
      <c r="R269" s="105">
        <v>7569</v>
      </c>
      <c r="S269" s="106">
        <f>+Q269+R269</f>
        <v>28766</v>
      </c>
      <c r="T269" s="105">
        <v>8284</v>
      </c>
      <c r="U269" s="106">
        <f>+S269+T269</f>
        <v>37050</v>
      </c>
      <c r="V269" s="105">
        <v>6730</v>
      </c>
      <c r="W269" s="106">
        <f>+U269+V269</f>
        <v>43780</v>
      </c>
      <c r="X269" s="105">
        <v>10863</v>
      </c>
      <c r="Y269" s="106">
        <f>+W269+X269</f>
        <v>54643</v>
      </c>
      <c r="Z269" s="105">
        <v>7074</v>
      </c>
      <c r="AA269" s="106">
        <f>+Y269+Z269</f>
        <v>61717</v>
      </c>
      <c r="AB269" s="105">
        <v>5900</v>
      </c>
      <c r="AC269" s="106">
        <f>+AA269+AB269</f>
        <v>67617</v>
      </c>
      <c r="AD269" s="105">
        <v>8549</v>
      </c>
      <c r="AE269" s="106">
        <f>+AC269+AD269</f>
        <v>76166</v>
      </c>
      <c r="AF269" s="105">
        <v>6341</v>
      </c>
      <c r="AG269" s="106">
        <f>+AE269+AF269</f>
        <v>82507</v>
      </c>
      <c r="AH269" s="105">
        <v>5811</v>
      </c>
      <c r="AI269" s="106">
        <f>SUM(AG269:AH269)</f>
        <v>88318</v>
      </c>
      <c r="AJ269" s="29">
        <f>+AI267/L267</f>
        <v>1</v>
      </c>
      <c r="AK269" s="166"/>
      <c r="AL269" s="326"/>
      <c r="AM269" s="157"/>
    </row>
    <row r="270" spans="1:41" s="94" customFormat="1" ht="22.9" customHeight="1">
      <c r="A270" s="330"/>
      <c r="B270" s="333"/>
      <c r="C270" s="336"/>
      <c r="D270" s="465"/>
      <c r="E270" s="341"/>
      <c r="F270" s="345"/>
      <c r="G270" s="345"/>
      <c r="H270" s="345"/>
      <c r="I270" s="349"/>
      <c r="J270" s="352"/>
      <c r="K270" s="347"/>
      <c r="L270" s="99" t="s">
        <v>126</v>
      </c>
      <c r="M270" s="107" t="s">
        <v>62</v>
      </c>
      <c r="N270" s="107" t="s">
        <v>62</v>
      </c>
      <c r="O270" s="108" t="s">
        <v>62</v>
      </c>
      <c r="P270" s="107" t="s">
        <v>62</v>
      </c>
      <c r="Q270" s="109" t="s">
        <v>62</v>
      </c>
      <c r="R270" s="107"/>
      <c r="S270" s="109" t="s">
        <v>62</v>
      </c>
      <c r="T270" s="107" t="s">
        <v>62</v>
      </c>
      <c r="U270" s="109" t="s">
        <v>62</v>
      </c>
      <c r="V270" s="107" t="s">
        <v>62</v>
      </c>
      <c r="W270" s="109" t="s">
        <v>62</v>
      </c>
      <c r="X270" s="107" t="s">
        <v>62</v>
      </c>
      <c r="Y270" s="109" t="s">
        <v>62</v>
      </c>
      <c r="Z270" s="107" t="s">
        <v>62</v>
      </c>
      <c r="AA270" s="109" t="s">
        <v>62</v>
      </c>
      <c r="AB270" s="107" t="s">
        <v>62</v>
      </c>
      <c r="AC270" s="109" t="s">
        <v>62</v>
      </c>
      <c r="AD270" s="107" t="s">
        <v>62</v>
      </c>
      <c r="AE270" s="109" t="s">
        <v>62</v>
      </c>
      <c r="AF270" s="107" t="s">
        <v>62</v>
      </c>
      <c r="AG270" s="109" t="s">
        <v>62</v>
      </c>
      <c r="AH270" s="107" t="s">
        <v>62</v>
      </c>
      <c r="AI270" s="108" t="s">
        <v>62</v>
      </c>
      <c r="AJ270" s="68"/>
      <c r="AK270" s="166"/>
      <c r="AL270" s="326"/>
      <c r="AM270" s="157"/>
    </row>
    <row r="271" spans="1:41" s="94" customFormat="1" ht="22.9" customHeight="1" thickBot="1">
      <c r="A271" s="331"/>
      <c r="B271" s="334"/>
      <c r="C271" s="337"/>
      <c r="D271" s="466"/>
      <c r="E271" s="342"/>
      <c r="F271" s="346"/>
      <c r="G271" s="346"/>
      <c r="H271" s="346"/>
      <c r="I271" s="350"/>
      <c r="J271" s="353"/>
      <c r="K271" s="317"/>
      <c r="L271" s="110">
        <v>91398</v>
      </c>
      <c r="M271" s="111">
        <v>7431</v>
      </c>
      <c r="N271" s="111">
        <v>6773</v>
      </c>
      <c r="O271" s="112">
        <f t="shared" ref="O271" si="390">+M271+N271</f>
        <v>14204</v>
      </c>
      <c r="P271" s="111">
        <v>7632</v>
      </c>
      <c r="Q271" s="112">
        <f t="shared" ref="Q271" si="391">+O271+P271</f>
        <v>21836</v>
      </c>
      <c r="R271" s="111">
        <v>7732</v>
      </c>
      <c r="S271" s="112">
        <f t="shared" ref="S271" si="392">+Q271+R271</f>
        <v>29568</v>
      </c>
      <c r="T271" s="111">
        <v>8555</v>
      </c>
      <c r="U271" s="112">
        <f t="shared" ref="U271" si="393">+S271+T271</f>
        <v>38123</v>
      </c>
      <c r="V271" s="111">
        <v>6946</v>
      </c>
      <c r="W271" s="112">
        <f t="shared" ref="W271" si="394">+U271+V271</f>
        <v>45069</v>
      </c>
      <c r="X271" s="111">
        <v>11260</v>
      </c>
      <c r="Y271" s="112">
        <f t="shared" ref="Y271" si="395">+W271+X271</f>
        <v>56329</v>
      </c>
      <c r="Z271" s="111">
        <v>7449</v>
      </c>
      <c r="AA271" s="112">
        <f t="shared" ref="AA271" si="396">+Y271+Z271</f>
        <v>63778</v>
      </c>
      <c r="AB271" s="111">
        <v>6160</v>
      </c>
      <c r="AC271" s="112">
        <f t="shared" ref="AC271" si="397">+AA271+AB271</f>
        <v>69938</v>
      </c>
      <c r="AD271" s="111">
        <v>8984</v>
      </c>
      <c r="AE271" s="112">
        <f t="shared" ref="AE271" si="398">+AC271+AD271</f>
        <v>78922</v>
      </c>
      <c r="AF271" s="111">
        <v>6562</v>
      </c>
      <c r="AG271" s="112">
        <f t="shared" ref="AG271" si="399">+AE271+AF271</f>
        <v>85484</v>
      </c>
      <c r="AH271" s="111">
        <v>5914</v>
      </c>
      <c r="AI271" s="112">
        <f>SUM(AG271:AH271)</f>
        <v>91398</v>
      </c>
      <c r="AJ271" s="69"/>
      <c r="AK271" s="167"/>
      <c r="AL271" s="327"/>
      <c r="AM271" s="158"/>
    </row>
    <row r="272" spans="1:41" ht="12.95" thickTop="1"/>
    <row r="275" spans="1:41" s="126" customFormat="1" ht="15.6">
      <c r="C275" s="381" t="s">
        <v>165</v>
      </c>
      <c r="D275" s="381"/>
      <c r="E275" s="381"/>
      <c r="F275" s="381"/>
      <c r="G275" s="381"/>
      <c r="H275" s="381"/>
      <c r="I275" s="381"/>
      <c r="J275" s="381"/>
      <c r="K275" s="381"/>
      <c r="L275" s="118"/>
      <c r="M275" s="82"/>
      <c r="N275" s="118"/>
      <c r="O275" s="82"/>
      <c r="P275" s="118"/>
      <c r="Q275" s="82"/>
      <c r="R275" s="118"/>
      <c r="S275" s="82"/>
      <c r="T275" s="118"/>
      <c r="U275" s="82"/>
      <c r="V275" s="118"/>
      <c r="W275" s="82"/>
      <c r="X275" s="118"/>
      <c r="Y275" s="82"/>
      <c r="Z275" s="118"/>
      <c r="AA275" s="82"/>
      <c r="AB275" s="118"/>
      <c r="AC275" s="82"/>
      <c r="AD275" s="118"/>
      <c r="AE275" s="82"/>
      <c r="AF275" s="118"/>
      <c r="AG275" s="82"/>
      <c r="AH275" s="118"/>
      <c r="AI275" s="82"/>
      <c r="AJ275" s="119"/>
      <c r="AK275" s="116"/>
      <c r="AL275" s="116"/>
      <c r="AM275" s="116"/>
    </row>
    <row r="276" spans="1:41" s="126" customFormat="1" ht="15.95" thickBot="1">
      <c r="L276" s="116"/>
      <c r="M276" s="90"/>
      <c r="N276" s="90"/>
      <c r="O276" s="90"/>
      <c r="P276" s="90"/>
      <c r="Q276" s="90"/>
      <c r="R276" s="90"/>
      <c r="S276" s="90"/>
      <c r="T276" s="90"/>
      <c r="U276" s="90"/>
      <c r="V276" s="90"/>
      <c r="W276" s="90"/>
      <c r="X276" s="90"/>
      <c r="Y276" s="90"/>
      <c r="Z276" s="90"/>
      <c r="AA276" s="90"/>
      <c r="AB276" s="90"/>
      <c r="AC276" s="90"/>
      <c r="AD276" s="90"/>
      <c r="AE276" s="90"/>
      <c r="AF276" s="90"/>
      <c r="AG276" s="90"/>
      <c r="AH276" s="90"/>
      <c r="AI276" s="116"/>
      <c r="AJ276" s="116"/>
      <c r="AK276" s="116"/>
      <c r="AL276" s="116"/>
      <c r="AM276" s="116"/>
    </row>
    <row r="277" spans="1:41" s="94" customFormat="1" ht="22.9" customHeight="1" thickTop="1">
      <c r="A277" s="311" t="s">
        <v>10</v>
      </c>
      <c r="B277" s="311" t="s">
        <v>11</v>
      </c>
      <c r="C277" s="311" t="s">
        <v>12</v>
      </c>
      <c r="D277" s="241" t="s">
        <v>13</v>
      </c>
      <c r="E277" s="241" t="s">
        <v>14</v>
      </c>
      <c r="F277" s="241" t="s">
        <v>15</v>
      </c>
      <c r="G277" s="241" t="s">
        <v>16</v>
      </c>
      <c r="H277" s="241" t="s">
        <v>17</v>
      </c>
      <c r="I277" s="241" t="s">
        <v>118</v>
      </c>
      <c r="J277" s="241" t="s">
        <v>19</v>
      </c>
      <c r="K277" s="241" t="s">
        <v>20</v>
      </c>
      <c r="L277" s="241" t="s">
        <v>21</v>
      </c>
      <c r="M277" s="241" t="s">
        <v>22</v>
      </c>
      <c r="N277" s="241" t="s">
        <v>23</v>
      </c>
      <c r="O277" s="311" t="s">
        <v>24</v>
      </c>
      <c r="P277" s="241" t="s">
        <v>25</v>
      </c>
      <c r="Q277" s="241" t="s">
        <v>26</v>
      </c>
      <c r="R277" s="241" t="s">
        <v>27</v>
      </c>
      <c r="S277" s="241" t="s">
        <v>28</v>
      </c>
      <c r="T277" s="241" t="s">
        <v>29</v>
      </c>
      <c r="U277" s="311" t="s">
        <v>30</v>
      </c>
      <c r="V277" s="311" t="s">
        <v>31</v>
      </c>
      <c r="W277" s="241" t="s">
        <v>32</v>
      </c>
      <c r="X277" s="339" t="s">
        <v>33</v>
      </c>
      <c r="Y277" s="241" t="s">
        <v>34</v>
      </c>
      <c r="Z277" s="241" t="s">
        <v>35</v>
      </c>
      <c r="AA277" s="241" t="s">
        <v>36</v>
      </c>
      <c r="AB277" s="241" t="s">
        <v>37</v>
      </c>
      <c r="AC277" s="241" t="s">
        <v>38</v>
      </c>
      <c r="AD277" s="241" t="s">
        <v>39</v>
      </c>
      <c r="AE277" s="241" t="s">
        <v>40</v>
      </c>
      <c r="AF277" s="311" t="s">
        <v>41</v>
      </c>
      <c r="AG277" s="241" t="s">
        <v>42</v>
      </c>
      <c r="AH277" s="241" t="s">
        <v>43</v>
      </c>
      <c r="AI277" s="241" t="s">
        <v>143</v>
      </c>
      <c r="AJ277" s="241" t="s">
        <v>45</v>
      </c>
      <c r="AK277" s="241" t="s">
        <v>46</v>
      </c>
      <c r="AL277" s="241" t="s">
        <v>47</v>
      </c>
      <c r="AM277" s="241" t="s">
        <v>48</v>
      </c>
    </row>
    <row r="278" spans="1:41" s="94" customFormat="1" ht="22.9" customHeight="1" thickBot="1">
      <c r="A278" s="314"/>
      <c r="B278" s="314"/>
      <c r="C278" s="314"/>
      <c r="D278" s="242"/>
      <c r="E278" s="242"/>
      <c r="F278" s="242"/>
      <c r="G278" s="242"/>
      <c r="H278" s="242"/>
      <c r="I278" s="242"/>
      <c r="J278" s="242"/>
      <c r="K278" s="242"/>
      <c r="L278" s="313"/>
      <c r="M278" s="242"/>
      <c r="N278" s="242"/>
      <c r="O278" s="314"/>
      <c r="P278" s="242"/>
      <c r="Q278" s="242"/>
      <c r="R278" s="242"/>
      <c r="S278" s="310"/>
      <c r="T278" s="242"/>
      <c r="U278" s="312"/>
      <c r="V278" s="312"/>
      <c r="W278" s="310"/>
      <c r="X278" s="340"/>
      <c r="Y278" s="242"/>
      <c r="Z278" s="310"/>
      <c r="AA278" s="310"/>
      <c r="AB278" s="310"/>
      <c r="AC278" s="310"/>
      <c r="AD278" s="310"/>
      <c r="AE278" s="310"/>
      <c r="AF278" s="312"/>
      <c r="AG278" s="310"/>
      <c r="AH278" s="242"/>
      <c r="AI278" s="242">
        <v>2018</v>
      </c>
      <c r="AJ278" s="242"/>
      <c r="AK278" s="328"/>
      <c r="AL278" s="242"/>
      <c r="AM278" s="242"/>
    </row>
    <row r="279" spans="1:41" s="120" customFormat="1" ht="22.9" customHeight="1" thickTop="1">
      <c r="A279" s="357" t="s">
        <v>166</v>
      </c>
      <c r="B279" s="360" t="s">
        <v>64</v>
      </c>
      <c r="C279" s="363" t="s">
        <v>167</v>
      </c>
      <c r="D279" s="156" t="s">
        <v>122</v>
      </c>
      <c r="E279" s="156" t="s">
        <v>168</v>
      </c>
      <c r="F279" s="344" t="s">
        <v>169</v>
      </c>
      <c r="G279" s="344" t="s">
        <v>170</v>
      </c>
      <c r="H279" s="344" t="s">
        <v>169</v>
      </c>
      <c r="I279" s="368">
        <f>+L280</f>
        <v>0.96167516411200338</v>
      </c>
      <c r="J279" s="371">
        <v>0.1</v>
      </c>
      <c r="K279" s="374" t="s">
        <v>124</v>
      </c>
      <c r="L279" s="96" t="s">
        <v>57</v>
      </c>
      <c r="M279" s="96" t="s">
        <v>57</v>
      </c>
      <c r="N279" s="96" t="s">
        <v>57</v>
      </c>
      <c r="O279" s="97" t="s">
        <v>57</v>
      </c>
      <c r="P279" s="96" t="s">
        <v>57</v>
      </c>
      <c r="Q279" s="98" t="s">
        <v>57</v>
      </c>
      <c r="R279" s="96" t="s">
        <v>57</v>
      </c>
      <c r="S279" s="98" t="s">
        <v>57</v>
      </c>
      <c r="T279" s="96" t="s">
        <v>57</v>
      </c>
      <c r="U279" s="98" t="s">
        <v>57</v>
      </c>
      <c r="V279" s="96" t="s">
        <v>57</v>
      </c>
      <c r="W279" s="98" t="s">
        <v>57</v>
      </c>
      <c r="X279" s="96" t="s">
        <v>57</v>
      </c>
      <c r="Y279" s="98" t="s">
        <v>57</v>
      </c>
      <c r="Z279" s="96" t="s">
        <v>57</v>
      </c>
      <c r="AA279" s="98" t="s">
        <v>57</v>
      </c>
      <c r="AB279" s="96" t="s">
        <v>57</v>
      </c>
      <c r="AC279" s="98" t="s">
        <v>57</v>
      </c>
      <c r="AD279" s="96" t="s">
        <v>57</v>
      </c>
      <c r="AE279" s="98" t="s">
        <v>57</v>
      </c>
      <c r="AF279" s="96" t="s">
        <v>57</v>
      </c>
      <c r="AG279" s="98" t="s">
        <v>57</v>
      </c>
      <c r="AH279" s="96" t="s">
        <v>57</v>
      </c>
      <c r="AI279" s="98" t="s">
        <v>57</v>
      </c>
      <c r="AJ279" s="70"/>
      <c r="AK279" s="165" t="s">
        <v>72</v>
      </c>
      <c r="AL279" s="325"/>
      <c r="AM279" s="156" t="s">
        <v>125</v>
      </c>
      <c r="AO279" s="94"/>
    </row>
    <row r="280" spans="1:41" s="120" customFormat="1" ht="22.9" customHeight="1">
      <c r="A280" s="358"/>
      <c r="B280" s="361"/>
      <c r="C280" s="364"/>
      <c r="D280" s="467"/>
      <c r="E280" s="157"/>
      <c r="F280" s="345"/>
      <c r="G280" s="345"/>
      <c r="H280" s="345"/>
      <c r="I280" s="369"/>
      <c r="J280" s="372"/>
      <c r="K280" s="354"/>
      <c r="L280" s="41">
        <f>IF(L282&lt;&gt;0,+L282/L284,0%)</f>
        <v>0.96167516411200338</v>
      </c>
      <c r="M280" s="58">
        <f>IF(M282&lt;&gt;0,+M282/M284,0%)</f>
        <v>0.96566488931976091</v>
      </c>
      <c r="N280" s="61">
        <f>IF(N282&lt;&gt;0,+N282/N284,0%)</f>
        <v>0.96462054044881851</v>
      </c>
      <c r="O280" s="57">
        <f t="shared" ref="O280" si="400">IF(O282&lt;&gt;0,+O282/O284,0%)</f>
        <v>0.96515549669970413</v>
      </c>
      <c r="P280" s="61">
        <f>IF(P282&lt;&gt;0,ROUND(+P282/P284,4),0%)</f>
        <v>0.96609999999999996</v>
      </c>
      <c r="Q280" s="62">
        <f t="shared" ref="Q280" si="401">IF(Q282&lt;&gt;0,+Q282/Q284,0%)</f>
        <v>0.96549192364170333</v>
      </c>
      <c r="R280" s="63">
        <f>IF(R282&lt;&gt;0,ROUND(+R282/R284,4),0%)</f>
        <v>0.96650000000000003</v>
      </c>
      <c r="S280" s="62">
        <f t="shared" ref="S280" si="402">IF(S282&lt;&gt;0,+S282/S284,0%)</f>
        <v>0.96576589052206774</v>
      </c>
      <c r="T280" s="63">
        <f>IF(T282&lt;&gt;0,ROUND(+T282/T284,4),0%)</f>
        <v>0.96330000000000005</v>
      </c>
      <c r="U280" s="62">
        <f t="shared" ref="U280" si="403">IF(U282&lt;&gt;0,+U282/U284,0%)</f>
        <v>0.96526864512857891</v>
      </c>
      <c r="V280" s="63">
        <f>IF(V282&lt;&gt;0,ROUND(+V282/V284,4),0%)</f>
        <v>0.96519999999999995</v>
      </c>
      <c r="W280" s="62">
        <f t="shared" ref="W280" si="404">IF(W282&lt;&gt;0,+W282/W284,0%)</f>
        <v>0.9652549314498261</v>
      </c>
      <c r="X280" s="63">
        <f>IF(X282&lt;&gt;0,ROUND(+X282/X284,4),0%)</f>
        <v>0.95909999999999995</v>
      </c>
      <c r="Y280" s="62">
        <f t="shared" ref="Y280" si="405">IF(Y282&lt;&gt;0,+Y282/Y284,0%)</f>
        <v>0.96397732043127315</v>
      </c>
      <c r="Z280" s="64">
        <f>IF(Z282&lt;&gt;0,ROUND(+Z282/Z284,4),0%)</f>
        <v>0.96440000000000003</v>
      </c>
      <c r="AA280" s="62">
        <f t="shared" ref="AA280" si="406">IF(AA282&lt;&gt;0,+AA282/AA284,0%)</f>
        <v>0.96402698913588813</v>
      </c>
      <c r="AB280" s="63">
        <f>IF(AB282&lt;&gt;0,ROUND(+AB282/AB284,4),0%)</f>
        <v>0.96589999999999998</v>
      </c>
      <c r="AC280" s="62">
        <f t="shared" ref="AC280" si="407">IF(AC282&lt;&gt;0,+AC282/AC284,0%)</f>
        <v>0.96419590468207406</v>
      </c>
      <c r="AD280" s="63">
        <f>IF(AD282&lt;&gt;0,ROUND(+AD282/AD284,4),0%)</f>
        <v>0.93959999999999999</v>
      </c>
      <c r="AE280" s="62">
        <f t="shared" ref="AE280" si="408">IF(AE282&lt;&gt;0,+AE282/AE284,0%)</f>
        <v>0.96123086182898843</v>
      </c>
      <c r="AF280" s="63">
        <f>IF(AF282&lt;&gt;0,ROUND(+AF282/AF284,4),0%)</f>
        <v>0.96260000000000001</v>
      </c>
      <c r="AG280" s="62">
        <f t="shared" ref="AG280" si="409">IF(AG282&lt;&gt;0,+AG282/AG284,0%)</f>
        <v>0.96133426232363695</v>
      </c>
      <c r="AH280" s="63">
        <f>IF(AH282&lt;&gt;0,ROUND(+AH282/AH284,4),0%)</f>
        <v>0.96660000000000001</v>
      </c>
      <c r="AI280" s="62">
        <f>IF(AI282&lt;&gt;0,+AI282/AI284,0%)</f>
        <v>0.96167516411200338</v>
      </c>
      <c r="AJ280" s="71"/>
      <c r="AK280" s="166"/>
      <c r="AL280" s="326"/>
      <c r="AM280" s="157"/>
      <c r="AO280" s="94"/>
    </row>
    <row r="281" spans="1:41" s="120" customFormat="1" ht="22.9" customHeight="1" thickBot="1">
      <c r="A281" s="358"/>
      <c r="B281" s="361"/>
      <c r="C281" s="364"/>
      <c r="D281" s="467"/>
      <c r="E281" s="157"/>
      <c r="F281" s="345"/>
      <c r="G281" s="345"/>
      <c r="H281" s="345"/>
      <c r="I281" s="369"/>
      <c r="J281" s="372"/>
      <c r="K281" s="376"/>
      <c r="L281" s="101" t="s">
        <v>60</v>
      </c>
      <c r="M281" s="101" t="s">
        <v>60</v>
      </c>
      <c r="N281" s="101" t="s">
        <v>60</v>
      </c>
      <c r="O281" s="102" t="s">
        <v>60</v>
      </c>
      <c r="P281" s="101" t="s">
        <v>60</v>
      </c>
      <c r="Q281" s="103" t="s">
        <v>60</v>
      </c>
      <c r="R281" s="101" t="s">
        <v>60</v>
      </c>
      <c r="S281" s="103" t="s">
        <v>60</v>
      </c>
      <c r="T281" s="101" t="s">
        <v>60</v>
      </c>
      <c r="U281" s="103" t="s">
        <v>60</v>
      </c>
      <c r="V281" s="101" t="s">
        <v>60</v>
      </c>
      <c r="W281" s="103" t="s">
        <v>60</v>
      </c>
      <c r="X281" s="101" t="s">
        <v>60</v>
      </c>
      <c r="Y281" s="103" t="s">
        <v>60</v>
      </c>
      <c r="Z281" s="101" t="s">
        <v>60</v>
      </c>
      <c r="AA281" s="103" t="s">
        <v>60</v>
      </c>
      <c r="AB281" s="101" t="s">
        <v>60</v>
      </c>
      <c r="AC281" s="103" t="s">
        <v>60</v>
      </c>
      <c r="AD281" s="101" t="s">
        <v>60</v>
      </c>
      <c r="AE281" s="103" t="s">
        <v>60</v>
      </c>
      <c r="AF281" s="101" t="s">
        <v>60</v>
      </c>
      <c r="AG281" s="103" t="s">
        <v>60</v>
      </c>
      <c r="AH281" s="101" t="s">
        <v>60</v>
      </c>
      <c r="AI281" s="103" t="s">
        <v>60</v>
      </c>
      <c r="AJ281" s="71"/>
      <c r="AK281" s="166"/>
      <c r="AL281" s="326"/>
      <c r="AM281" s="157"/>
      <c r="AO281" s="94"/>
    </row>
    <row r="282" spans="1:41" s="120" customFormat="1" ht="22.9" customHeight="1" thickTop="1">
      <c r="A282" s="358"/>
      <c r="B282" s="361"/>
      <c r="C282" s="364"/>
      <c r="D282" s="467"/>
      <c r="E282" s="157"/>
      <c r="F282" s="345"/>
      <c r="G282" s="345"/>
      <c r="H282" s="345"/>
      <c r="I282" s="369"/>
      <c r="J282" s="372"/>
      <c r="K282" s="354" t="s">
        <v>74</v>
      </c>
      <c r="L282" s="104">
        <v>295191</v>
      </c>
      <c r="M282" s="105">
        <v>23906</v>
      </c>
      <c r="N282" s="105">
        <v>22739</v>
      </c>
      <c r="O282" s="106">
        <f>+M282+N282</f>
        <v>46645</v>
      </c>
      <c r="P282" s="105">
        <v>25680</v>
      </c>
      <c r="Q282" s="106">
        <f>+O282+P282</f>
        <v>72325</v>
      </c>
      <c r="R282" s="105">
        <v>25312</v>
      </c>
      <c r="S282" s="106">
        <f>+Q282+R282</f>
        <v>97637</v>
      </c>
      <c r="T282" s="105">
        <v>24205</v>
      </c>
      <c r="U282" s="106">
        <f>+S282+T282</f>
        <v>121842</v>
      </c>
      <c r="V282" s="105">
        <v>21925</v>
      </c>
      <c r="W282" s="106">
        <f>+U282+V282</f>
        <v>143767</v>
      </c>
      <c r="X282" s="105">
        <v>37641</v>
      </c>
      <c r="Y282" s="106">
        <f>+W282+X282</f>
        <v>181408</v>
      </c>
      <c r="Z282" s="105">
        <v>24191</v>
      </c>
      <c r="AA282" s="106">
        <f>+Y282+Z282</f>
        <v>205599</v>
      </c>
      <c r="AB282" s="105">
        <v>19857</v>
      </c>
      <c r="AC282" s="106">
        <f>+AA282+AB282</f>
        <v>225456</v>
      </c>
      <c r="AD282" s="105">
        <v>30068</v>
      </c>
      <c r="AE282" s="106">
        <f>+AC282+AD282</f>
        <v>255524</v>
      </c>
      <c r="AF282" s="105">
        <v>20427</v>
      </c>
      <c r="AG282" s="106">
        <f>+AE282+AF282</f>
        <v>275951</v>
      </c>
      <c r="AH282" s="105">
        <v>19240</v>
      </c>
      <c r="AI282" s="106">
        <f>+AG282+AH282</f>
        <v>295191</v>
      </c>
      <c r="AJ282" s="55">
        <f>+AI280/L280</f>
        <v>1</v>
      </c>
      <c r="AK282" s="166"/>
      <c r="AL282" s="326"/>
      <c r="AM282" s="157"/>
      <c r="AO282" s="94"/>
    </row>
    <row r="283" spans="1:41" s="120" customFormat="1" ht="22.9" customHeight="1">
      <c r="A283" s="358"/>
      <c r="B283" s="361"/>
      <c r="C283" s="364"/>
      <c r="D283" s="467"/>
      <c r="E283" s="157"/>
      <c r="F283" s="345"/>
      <c r="G283" s="345"/>
      <c r="H283" s="345"/>
      <c r="I283" s="369"/>
      <c r="J283" s="372"/>
      <c r="K283" s="375"/>
      <c r="L283" s="99" t="s">
        <v>126</v>
      </c>
      <c r="M283" s="107" t="s">
        <v>62</v>
      </c>
      <c r="N283" s="107" t="s">
        <v>62</v>
      </c>
      <c r="O283" s="108" t="s">
        <v>62</v>
      </c>
      <c r="P283" s="107" t="s">
        <v>62</v>
      </c>
      <c r="Q283" s="109" t="s">
        <v>62</v>
      </c>
      <c r="R283" s="107" t="s">
        <v>62</v>
      </c>
      <c r="S283" s="109" t="s">
        <v>62</v>
      </c>
      <c r="T283" s="107" t="s">
        <v>62</v>
      </c>
      <c r="U283" s="109" t="s">
        <v>62</v>
      </c>
      <c r="V283" s="107" t="s">
        <v>62</v>
      </c>
      <c r="W283" s="109" t="s">
        <v>62</v>
      </c>
      <c r="X283" s="107" t="s">
        <v>62</v>
      </c>
      <c r="Y283" s="109" t="s">
        <v>62</v>
      </c>
      <c r="Z283" s="107" t="s">
        <v>62</v>
      </c>
      <c r="AA283" s="109" t="s">
        <v>62</v>
      </c>
      <c r="AB283" s="107" t="s">
        <v>62</v>
      </c>
      <c r="AC283" s="109" t="s">
        <v>62</v>
      </c>
      <c r="AD283" s="107" t="s">
        <v>62</v>
      </c>
      <c r="AE283" s="109" t="s">
        <v>62</v>
      </c>
      <c r="AF283" s="107" t="s">
        <v>62</v>
      </c>
      <c r="AG283" s="109" t="s">
        <v>62</v>
      </c>
      <c r="AH283" s="107" t="s">
        <v>62</v>
      </c>
      <c r="AI283" s="109" t="s">
        <v>62</v>
      </c>
      <c r="AJ283" s="71"/>
      <c r="AK283" s="166"/>
      <c r="AL283" s="326"/>
      <c r="AM283" s="157"/>
      <c r="AO283" s="94"/>
    </row>
    <row r="284" spans="1:41" s="120" customFormat="1" ht="22.9" customHeight="1" thickBot="1">
      <c r="A284" s="359"/>
      <c r="B284" s="362"/>
      <c r="C284" s="365"/>
      <c r="D284" s="468"/>
      <c r="E284" s="158"/>
      <c r="F284" s="346"/>
      <c r="G284" s="346"/>
      <c r="H284" s="346"/>
      <c r="I284" s="370"/>
      <c r="J284" s="373"/>
      <c r="K284" s="376"/>
      <c r="L284" s="110">
        <v>306955</v>
      </c>
      <c r="M284" s="111">
        <v>24756</v>
      </c>
      <c r="N284" s="111">
        <v>23573</v>
      </c>
      <c r="O284" s="112">
        <f>+M284+N284</f>
        <v>48329</v>
      </c>
      <c r="P284" s="111">
        <v>26581</v>
      </c>
      <c r="Q284" s="112">
        <f>+O284+P284</f>
        <v>74910</v>
      </c>
      <c r="R284" s="111">
        <v>26188</v>
      </c>
      <c r="S284" s="112">
        <f>+Q284+R284</f>
        <v>101098</v>
      </c>
      <c r="T284" s="111">
        <v>25128</v>
      </c>
      <c r="U284" s="112">
        <f>+S284+T284</f>
        <v>126226</v>
      </c>
      <c r="V284" s="111">
        <v>22716</v>
      </c>
      <c r="W284" s="112">
        <f>+U284+V284</f>
        <v>148942</v>
      </c>
      <c r="X284" s="111">
        <v>39245</v>
      </c>
      <c r="Y284" s="112">
        <f>+W284+X284</f>
        <v>188187</v>
      </c>
      <c r="Z284" s="111">
        <v>25084</v>
      </c>
      <c r="AA284" s="112">
        <f>+Y284+Z284</f>
        <v>213271</v>
      </c>
      <c r="AB284" s="111">
        <v>20557</v>
      </c>
      <c r="AC284" s="112">
        <f>+AA284+AB284</f>
        <v>233828</v>
      </c>
      <c r="AD284" s="111">
        <v>32002</v>
      </c>
      <c r="AE284" s="112">
        <f>+AC284+AD284</f>
        <v>265830</v>
      </c>
      <c r="AF284" s="111">
        <v>21220</v>
      </c>
      <c r="AG284" s="112">
        <f>+AE284+AF284</f>
        <v>287050</v>
      </c>
      <c r="AH284" s="111">
        <v>19905</v>
      </c>
      <c r="AI284" s="112">
        <f>+AG284+AH284</f>
        <v>306955</v>
      </c>
      <c r="AJ284" s="72"/>
      <c r="AK284" s="167"/>
      <c r="AL284" s="327"/>
      <c r="AM284" s="158"/>
      <c r="AO284" s="94"/>
    </row>
    <row r="285" spans="1:41" ht="12.95" thickTop="1"/>
    <row r="286" spans="1:41" s="89" customFormat="1" ht="20.45" thickBot="1">
      <c r="A286" s="114" t="s">
        <v>127</v>
      </c>
      <c r="L286" s="90"/>
      <c r="M286" s="90"/>
      <c r="N286" s="90"/>
      <c r="O286" s="90"/>
      <c r="P286" s="90"/>
      <c r="Q286" s="90"/>
      <c r="R286" s="90"/>
      <c r="S286" s="90"/>
      <c r="T286" s="90"/>
      <c r="U286" s="90"/>
      <c r="V286" s="90"/>
      <c r="W286" s="90"/>
      <c r="X286" s="90"/>
      <c r="Y286" s="90"/>
      <c r="Z286" s="90"/>
      <c r="AA286" s="90"/>
      <c r="AB286" s="90"/>
      <c r="AC286" s="90"/>
      <c r="AD286" s="90"/>
      <c r="AE286" s="90"/>
      <c r="AF286" s="90"/>
      <c r="AG286" s="90"/>
      <c r="AH286" s="90"/>
      <c r="AI286" s="90"/>
      <c r="AJ286" s="90"/>
      <c r="AK286" s="90"/>
      <c r="AL286" s="90"/>
      <c r="AM286" s="90"/>
    </row>
    <row r="287" spans="1:41" s="94" customFormat="1" ht="22.9" customHeight="1" thickTop="1">
      <c r="A287" s="311" t="s">
        <v>10</v>
      </c>
      <c r="B287" s="311" t="s">
        <v>11</v>
      </c>
      <c r="C287" s="311" t="s">
        <v>12</v>
      </c>
      <c r="D287" s="241" t="s">
        <v>13</v>
      </c>
      <c r="E287" s="241" t="s">
        <v>14</v>
      </c>
      <c r="F287" s="241" t="s">
        <v>15</v>
      </c>
      <c r="G287" s="241" t="s">
        <v>16</v>
      </c>
      <c r="H287" s="241" t="s">
        <v>17</v>
      </c>
      <c r="I287" s="241" t="s">
        <v>118</v>
      </c>
      <c r="J287" s="241" t="s">
        <v>19</v>
      </c>
      <c r="K287" s="241" t="s">
        <v>20</v>
      </c>
      <c r="L287" s="241" t="s">
        <v>21</v>
      </c>
      <c r="M287" s="241" t="s">
        <v>22</v>
      </c>
      <c r="N287" s="241" t="s">
        <v>23</v>
      </c>
      <c r="O287" s="311" t="s">
        <v>24</v>
      </c>
      <c r="P287" s="241" t="s">
        <v>25</v>
      </c>
      <c r="Q287" s="241" t="s">
        <v>26</v>
      </c>
      <c r="R287" s="241" t="s">
        <v>27</v>
      </c>
      <c r="S287" s="241" t="s">
        <v>28</v>
      </c>
      <c r="T287" s="241" t="s">
        <v>29</v>
      </c>
      <c r="U287" s="311" t="s">
        <v>30</v>
      </c>
      <c r="V287" s="311" t="s">
        <v>31</v>
      </c>
      <c r="W287" s="241" t="s">
        <v>32</v>
      </c>
      <c r="X287" s="339" t="s">
        <v>33</v>
      </c>
      <c r="Y287" s="241" t="s">
        <v>34</v>
      </c>
      <c r="Z287" s="241" t="s">
        <v>35</v>
      </c>
      <c r="AA287" s="241" t="s">
        <v>36</v>
      </c>
      <c r="AB287" s="241" t="s">
        <v>37</v>
      </c>
      <c r="AC287" s="241" t="s">
        <v>38</v>
      </c>
      <c r="AD287" s="241" t="s">
        <v>39</v>
      </c>
      <c r="AE287" s="241" t="s">
        <v>40</v>
      </c>
      <c r="AF287" s="311" t="s">
        <v>41</v>
      </c>
      <c r="AG287" s="241" t="s">
        <v>42</v>
      </c>
      <c r="AH287" s="241" t="s">
        <v>43</v>
      </c>
      <c r="AI287" s="241" t="s">
        <v>143</v>
      </c>
      <c r="AJ287" s="241" t="s">
        <v>45</v>
      </c>
      <c r="AK287" s="241" t="s">
        <v>46</v>
      </c>
      <c r="AL287" s="241" t="s">
        <v>47</v>
      </c>
      <c r="AM287" s="241" t="s">
        <v>48</v>
      </c>
    </row>
    <row r="288" spans="1:41" s="94" customFormat="1" ht="22.9" customHeight="1" thickBot="1">
      <c r="A288" s="314"/>
      <c r="B288" s="314"/>
      <c r="C288" s="314"/>
      <c r="D288" s="242"/>
      <c r="E288" s="242"/>
      <c r="F288" s="242"/>
      <c r="G288" s="242"/>
      <c r="H288" s="242"/>
      <c r="I288" s="242"/>
      <c r="J288" s="242"/>
      <c r="K288" s="242"/>
      <c r="L288" s="313"/>
      <c r="M288" s="242"/>
      <c r="N288" s="242"/>
      <c r="O288" s="314"/>
      <c r="P288" s="242"/>
      <c r="Q288" s="242"/>
      <c r="R288" s="242"/>
      <c r="S288" s="310"/>
      <c r="T288" s="242"/>
      <c r="U288" s="312"/>
      <c r="V288" s="312"/>
      <c r="W288" s="310"/>
      <c r="X288" s="340"/>
      <c r="Y288" s="242"/>
      <c r="Z288" s="310"/>
      <c r="AA288" s="310"/>
      <c r="AB288" s="310"/>
      <c r="AC288" s="310"/>
      <c r="AD288" s="310"/>
      <c r="AE288" s="310"/>
      <c r="AF288" s="312"/>
      <c r="AG288" s="310"/>
      <c r="AH288" s="242"/>
      <c r="AI288" s="242">
        <v>2018</v>
      </c>
      <c r="AJ288" s="242"/>
      <c r="AK288" s="328"/>
      <c r="AL288" s="242"/>
      <c r="AM288" s="242"/>
    </row>
    <row r="289" spans="1:41" s="94" customFormat="1" ht="22.9" customHeight="1" thickTop="1">
      <c r="A289" s="357" t="s">
        <v>166</v>
      </c>
      <c r="B289" s="360" t="s">
        <v>64</v>
      </c>
      <c r="C289" s="363" t="s">
        <v>167</v>
      </c>
      <c r="D289" s="156" t="s">
        <v>122</v>
      </c>
      <c r="E289" s="156" t="s">
        <v>168</v>
      </c>
      <c r="F289" s="344" t="s">
        <v>169</v>
      </c>
      <c r="G289" s="344" t="s">
        <v>170</v>
      </c>
      <c r="H289" s="344" t="s">
        <v>169</v>
      </c>
      <c r="I289" s="368">
        <f>+L290</f>
        <v>0.96151164688023816</v>
      </c>
      <c r="J289" s="371">
        <v>0.1</v>
      </c>
      <c r="K289" s="374" t="s">
        <v>124</v>
      </c>
      <c r="L289" s="95" t="s">
        <v>57</v>
      </c>
      <c r="M289" s="96" t="s">
        <v>57</v>
      </c>
      <c r="N289" s="96" t="s">
        <v>57</v>
      </c>
      <c r="O289" s="97" t="s">
        <v>57</v>
      </c>
      <c r="P289" s="96" t="s">
        <v>57</v>
      </c>
      <c r="Q289" s="98" t="s">
        <v>57</v>
      </c>
      <c r="R289" s="96" t="s">
        <v>57</v>
      </c>
      <c r="S289" s="98" t="s">
        <v>57</v>
      </c>
      <c r="T289" s="96" t="s">
        <v>57</v>
      </c>
      <c r="U289" s="98" t="s">
        <v>57</v>
      </c>
      <c r="V289" s="96" t="s">
        <v>57</v>
      </c>
      <c r="W289" s="98" t="s">
        <v>57</v>
      </c>
      <c r="X289" s="96" t="s">
        <v>57</v>
      </c>
      <c r="Y289" s="98" t="s">
        <v>57</v>
      </c>
      <c r="Z289" s="96" t="s">
        <v>57</v>
      </c>
      <c r="AA289" s="98" t="s">
        <v>57</v>
      </c>
      <c r="AB289" s="96" t="s">
        <v>57</v>
      </c>
      <c r="AC289" s="98" t="s">
        <v>57</v>
      </c>
      <c r="AD289" s="96" t="s">
        <v>57</v>
      </c>
      <c r="AE289" s="98" t="s">
        <v>57</v>
      </c>
      <c r="AF289" s="96" t="s">
        <v>57</v>
      </c>
      <c r="AG289" s="98" t="s">
        <v>57</v>
      </c>
      <c r="AH289" s="96" t="s">
        <v>57</v>
      </c>
      <c r="AI289" s="98" t="s">
        <v>57</v>
      </c>
      <c r="AJ289" s="67"/>
      <c r="AK289" s="165" t="s">
        <v>72</v>
      </c>
      <c r="AL289" s="325"/>
      <c r="AM289" s="156" t="s">
        <v>125</v>
      </c>
    </row>
    <row r="290" spans="1:41" s="94" customFormat="1" ht="22.9" customHeight="1">
      <c r="A290" s="358"/>
      <c r="B290" s="361"/>
      <c r="C290" s="364"/>
      <c r="D290" s="467"/>
      <c r="E290" s="157"/>
      <c r="F290" s="345"/>
      <c r="G290" s="345"/>
      <c r="H290" s="345"/>
      <c r="I290" s="369"/>
      <c r="J290" s="372"/>
      <c r="K290" s="354"/>
      <c r="L290" s="41">
        <f>IF(L292&lt;&gt;0,+L292/L294,0%)</f>
        <v>0.96151164688023816</v>
      </c>
      <c r="M290" s="58">
        <f>IF(M292&lt;&gt;0,+M292/M294,0%)</f>
        <v>0.96515873507023953</v>
      </c>
      <c r="N290" s="61">
        <f>IF(N292&lt;&gt;0,+N292/N294,0%)</f>
        <v>0.96405606995884774</v>
      </c>
      <c r="O290" s="57">
        <f t="shared" ref="O290" si="410">IF(O292&lt;&gt;0,+O292/O294,0%)</f>
        <v>0.96461795591435151</v>
      </c>
      <c r="P290" s="61">
        <f>IF(P292&lt;&gt;0,ROUND(+P292/P294,4),0%)</f>
        <v>0.96579999999999999</v>
      </c>
      <c r="Q290" s="62">
        <f t="shared" ref="Q290" si="411">IF(Q292&lt;&gt;0,+Q292/Q294,0%)</f>
        <v>0.96505656743962132</v>
      </c>
      <c r="R290" s="63">
        <f>IF(R292&lt;&gt;0,ROUND(+R292/R294,4),0%)</f>
        <v>0.96709999999999996</v>
      </c>
      <c r="S290" s="62">
        <f t="shared" ref="S290" si="412">IF(S292&lt;&gt;0,+S292/S294,0%)</f>
        <v>0.96558388463539735</v>
      </c>
      <c r="T290" s="63">
        <f>IF(T292&lt;&gt;0,ROUND(+T292/T294,4),0%)</f>
        <v>0.9627</v>
      </c>
      <c r="U290" s="62">
        <f t="shared" ref="U290" si="413">IF(U292&lt;&gt;0,+U292/U294,0%)</f>
        <v>0.96503488106816515</v>
      </c>
      <c r="V290" s="63">
        <f>IF(V292&lt;&gt;0,ROUND(+V292/V294,4),0%)</f>
        <v>0.96419999999999995</v>
      </c>
      <c r="W290" s="62">
        <f t="shared" ref="W290" si="414">IF(W292&lt;&gt;0,+W292/W294,0%)</f>
        <v>0.96490475460905978</v>
      </c>
      <c r="X290" s="63">
        <f>IF(X292&lt;&gt;0,ROUND(+X292/X294,4),0%)</f>
        <v>0.96</v>
      </c>
      <c r="Y290" s="62">
        <f t="shared" ref="Y290" si="415">IF(Y292&lt;&gt;0,+Y292/Y294,0%)</f>
        <v>0.963880572861882</v>
      </c>
      <c r="Z290" s="64">
        <f>IF(Z292&lt;&gt;0,ROUND(+Z292/Z294,4),0%)</f>
        <v>0.96389999999999998</v>
      </c>
      <c r="AA290" s="62">
        <f t="shared" ref="AA290" si="416">IF(AA292&lt;&gt;0,+AA292/AA294,0%)</f>
        <v>0.96387848998371106</v>
      </c>
      <c r="AB290" s="63">
        <f>IF(AB292&lt;&gt;0,ROUND(+AB292/AB294,4),0%)</f>
        <v>0.96740000000000004</v>
      </c>
      <c r="AC290" s="62">
        <f t="shared" ref="AC290" si="417">IF(AC292&lt;&gt;0,+AC292/AC294,0%)</f>
        <v>0.96418545744166917</v>
      </c>
      <c r="AD290" s="63">
        <f>IF(AD292&lt;&gt;0,ROUND(+AD292/AD294,4),0%)</f>
        <v>0.93830000000000002</v>
      </c>
      <c r="AE290" s="62">
        <f t="shared" ref="AE290" si="418">IF(AE292&lt;&gt;0,+AE292/AE294,0%)</f>
        <v>0.96096250571559216</v>
      </c>
      <c r="AF290" s="63">
        <f>IF(AF292&lt;&gt;0,ROUND(+AF292/AF294,4),0%)</f>
        <v>0.96289999999999998</v>
      </c>
      <c r="AG290" s="62">
        <f t="shared" ref="AG290" si="419">IF(AG292&lt;&gt;0,+AG292/AG294,0%)</f>
        <v>0.96110714191209545</v>
      </c>
      <c r="AH290" s="63">
        <f>IF(AH292&lt;&gt;0,ROUND(+AH292/AH294,4),0%)</f>
        <v>0.96730000000000005</v>
      </c>
      <c r="AI290" s="62">
        <f>IF(AI292&lt;&gt;0,+AI292/AI294,0%)</f>
        <v>0.96151164688023816</v>
      </c>
      <c r="AJ290" s="68"/>
      <c r="AK290" s="166"/>
      <c r="AL290" s="326"/>
      <c r="AM290" s="157"/>
    </row>
    <row r="291" spans="1:41" s="94" customFormat="1" ht="22.9" customHeight="1" thickBot="1">
      <c r="A291" s="358"/>
      <c r="B291" s="361"/>
      <c r="C291" s="364"/>
      <c r="D291" s="467"/>
      <c r="E291" s="157"/>
      <c r="F291" s="345"/>
      <c r="G291" s="345"/>
      <c r="H291" s="345"/>
      <c r="I291" s="369"/>
      <c r="J291" s="372"/>
      <c r="K291" s="376"/>
      <c r="L291" s="99"/>
      <c r="M291" s="101" t="s">
        <v>60</v>
      </c>
      <c r="N291" s="101" t="s">
        <v>60</v>
      </c>
      <c r="O291" s="102" t="s">
        <v>60</v>
      </c>
      <c r="P291" s="101" t="s">
        <v>60</v>
      </c>
      <c r="Q291" s="103" t="s">
        <v>60</v>
      </c>
      <c r="R291" s="101" t="s">
        <v>60</v>
      </c>
      <c r="S291" s="103" t="s">
        <v>60</v>
      </c>
      <c r="T291" s="101" t="s">
        <v>60</v>
      </c>
      <c r="U291" s="103" t="s">
        <v>60</v>
      </c>
      <c r="V291" s="101" t="s">
        <v>60</v>
      </c>
      <c r="W291" s="103" t="s">
        <v>60</v>
      </c>
      <c r="X291" s="101" t="s">
        <v>60</v>
      </c>
      <c r="Y291" s="103" t="s">
        <v>60</v>
      </c>
      <c r="Z291" s="101" t="s">
        <v>60</v>
      </c>
      <c r="AA291" s="103" t="s">
        <v>60</v>
      </c>
      <c r="AB291" s="101" t="s">
        <v>60</v>
      </c>
      <c r="AC291" s="103" t="s">
        <v>60</v>
      </c>
      <c r="AD291" s="101" t="s">
        <v>60</v>
      </c>
      <c r="AE291" s="103" t="s">
        <v>60</v>
      </c>
      <c r="AF291" s="101" t="s">
        <v>60</v>
      </c>
      <c r="AG291" s="103" t="s">
        <v>60</v>
      </c>
      <c r="AH291" s="101" t="s">
        <v>60</v>
      </c>
      <c r="AI291" s="103" t="s">
        <v>60</v>
      </c>
      <c r="AJ291" s="68"/>
      <c r="AK291" s="166"/>
      <c r="AL291" s="326"/>
      <c r="AM291" s="157"/>
    </row>
    <row r="292" spans="1:41" s="94" customFormat="1" ht="22.9" customHeight="1" thickTop="1">
      <c r="A292" s="358"/>
      <c r="B292" s="361"/>
      <c r="C292" s="364"/>
      <c r="D292" s="467"/>
      <c r="E292" s="157"/>
      <c r="F292" s="345"/>
      <c r="G292" s="345"/>
      <c r="H292" s="345"/>
      <c r="I292" s="369"/>
      <c r="J292" s="372"/>
      <c r="K292" s="354" t="s">
        <v>74</v>
      </c>
      <c r="L292" s="104">
        <v>194459</v>
      </c>
      <c r="M292" s="105">
        <v>15596</v>
      </c>
      <c r="N292" s="105">
        <v>14993</v>
      </c>
      <c r="O292" s="106">
        <f>+M292+N292</f>
        <v>30589</v>
      </c>
      <c r="P292" s="105">
        <v>17521</v>
      </c>
      <c r="Q292" s="106">
        <f>+O292+P292</f>
        <v>48110</v>
      </c>
      <c r="R292" s="105">
        <v>16840</v>
      </c>
      <c r="S292" s="106">
        <f>+Q292+R292</f>
        <v>64950</v>
      </c>
      <c r="T292" s="105">
        <v>15421</v>
      </c>
      <c r="U292" s="106">
        <f>+S292+T292</f>
        <v>80371</v>
      </c>
      <c r="V292" s="105">
        <v>14098</v>
      </c>
      <c r="W292" s="106">
        <f>+U292+V292</f>
        <v>94469</v>
      </c>
      <c r="X292" s="105">
        <v>24657</v>
      </c>
      <c r="Y292" s="106">
        <f>+W292+X292</f>
        <v>119126</v>
      </c>
      <c r="Z292" s="105">
        <v>15790</v>
      </c>
      <c r="AA292" s="106">
        <f>+Y292+Z292</f>
        <v>134916</v>
      </c>
      <c r="AB292" s="105">
        <v>12776</v>
      </c>
      <c r="AC292" s="106">
        <f>+AA292+AB292</f>
        <v>147692</v>
      </c>
      <c r="AD292" s="105">
        <v>20438</v>
      </c>
      <c r="AE292" s="106">
        <f>+AC292+AD292</f>
        <v>168130</v>
      </c>
      <c r="AF292" s="105">
        <v>13476</v>
      </c>
      <c r="AG292" s="106">
        <f>+AE292+AF292</f>
        <v>181606</v>
      </c>
      <c r="AH292" s="105">
        <v>12853</v>
      </c>
      <c r="AI292" s="106">
        <f>SUM(AG292:AH292)</f>
        <v>194459</v>
      </c>
      <c r="AJ292" s="29">
        <f>+AI290/L290</f>
        <v>1</v>
      </c>
      <c r="AK292" s="166"/>
      <c r="AL292" s="326"/>
      <c r="AM292" s="157"/>
    </row>
    <row r="293" spans="1:41" s="94" customFormat="1" ht="22.9" customHeight="1">
      <c r="A293" s="358"/>
      <c r="B293" s="361"/>
      <c r="C293" s="364"/>
      <c r="D293" s="467"/>
      <c r="E293" s="157"/>
      <c r="F293" s="345"/>
      <c r="G293" s="345"/>
      <c r="H293" s="345"/>
      <c r="I293" s="369"/>
      <c r="J293" s="372"/>
      <c r="K293" s="375"/>
      <c r="L293" s="99" t="s">
        <v>126</v>
      </c>
      <c r="M293" s="107" t="s">
        <v>62</v>
      </c>
      <c r="N293" s="107" t="s">
        <v>62</v>
      </c>
      <c r="O293" s="108" t="s">
        <v>62</v>
      </c>
      <c r="P293" s="107" t="s">
        <v>62</v>
      </c>
      <c r="Q293" s="109" t="s">
        <v>62</v>
      </c>
      <c r="R293" s="107"/>
      <c r="S293" s="109" t="s">
        <v>62</v>
      </c>
      <c r="T293" s="107" t="s">
        <v>62</v>
      </c>
      <c r="U293" s="109" t="s">
        <v>62</v>
      </c>
      <c r="V293" s="107" t="s">
        <v>62</v>
      </c>
      <c r="W293" s="109" t="s">
        <v>62</v>
      </c>
      <c r="X293" s="107" t="s">
        <v>62</v>
      </c>
      <c r="Y293" s="109" t="s">
        <v>62</v>
      </c>
      <c r="Z293" s="107" t="s">
        <v>62</v>
      </c>
      <c r="AA293" s="109" t="s">
        <v>62</v>
      </c>
      <c r="AB293" s="107" t="s">
        <v>62</v>
      </c>
      <c r="AC293" s="109" t="s">
        <v>62</v>
      </c>
      <c r="AD293" s="107" t="s">
        <v>62</v>
      </c>
      <c r="AE293" s="109" t="s">
        <v>62</v>
      </c>
      <c r="AF293" s="107" t="s">
        <v>62</v>
      </c>
      <c r="AG293" s="109" t="s">
        <v>62</v>
      </c>
      <c r="AH293" s="107" t="s">
        <v>62</v>
      </c>
      <c r="AI293" s="108" t="s">
        <v>62</v>
      </c>
      <c r="AJ293" s="68"/>
      <c r="AK293" s="166"/>
      <c r="AL293" s="326"/>
      <c r="AM293" s="157"/>
    </row>
    <row r="294" spans="1:41" s="94" customFormat="1" ht="22.9" customHeight="1" thickBot="1">
      <c r="A294" s="359"/>
      <c r="B294" s="362"/>
      <c r="C294" s="365"/>
      <c r="D294" s="468"/>
      <c r="E294" s="158"/>
      <c r="F294" s="346"/>
      <c r="G294" s="346"/>
      <c r="H294" s="346"/>
      <c r="I294" s="370"/>
      <c r="J294" s="373"/>
      <c r="K294" s="376"/>
      <c r="L294" s="110">
        <v>202243</v>
      </c>
      <c r="M294" s="111">
        <v>16159</v>
      </c>
      <c r="N294" s="111">
        <v>15552</v>
      </c>
      <c r="O294" s="112">
        <f t="shared" ref="O294" si="420">+M294+N294</f>
        <v>31711</v>
      </c>
      <c r="P294" s="111">
        <v>18141</v>
      </c>
      <c r="Q294" s="112">
        <f t="shared" ref="Q294" si="421">+O294+P294</f>
        <v>49852</v>
      </c>
      <c r="R294" s="111">
        <v>17413</v>
      </c>
      <c r="S294" s="112">
        <f t="shared" ref="S294" si="422">+Q294+R294</f>
        <v>67265</v>
      </c>
      <c r="T294" s="111">
        <v>16018</v>
      </c>
      <c r="U294" s="112">
        <f t="shared" ref="U294" si="423">+S294+T294</f>
        <v>83283</v>
      </c>
      <c r="V294" s="111">
        <v>14622</v>
      </c>
      <c r="W294" s="112">
        <f t="shared" ref="W294" si="424">+U294+V294</f>
        <v>97905</v>
      </c>
      <c r="X294" s="111">
        <v>25685</v>
      </c>
      <c r="Y294" s="112">
        <f t="shared" ref="Y294" si="425">+W294+X294</f>
        <v>123590</v>
      </c>
      <c r="Z294" s="111">
        <v>16382</v>
      </c>
      <c r="AA294" s="112">
        <f t="shared" ref="AA294" si="426">+Y294+Z294</f>
        <v>139972</v>
      </c>
      <c r="AB294" s="111">
        <v>13206</v>
      </c>
      <c r="AC294" s="112">
        <f t="shared" ref="AC294" si="427">+AA294+AB294</f>
        <v>153178</v>
      </c>
      <c r="AD294" s="111">
        <v>21782</v>
      </c>
      <c r="AE294" s="112">
        <f t="shared" ref="AE294" si="428">+AC294+AD294</f>
        <v>174960</v>
      </c>
      <c r="AF294" s="111">
        <v>13995</v>
      </c>
      <c r="AG294" s="112">
        <f t="shared" ref="AG294" si="429">+AE294+AF294</f>
        <v>188955</v>
      </c>
      <c r="AH294" s="111">
        <v>13288</v>
      </c>
      <c r="AI294" s="112">
        <f>SUM(AG294:AH294)</f>
        <v>202243</v>
      </c>
      <c r="AJ294" s="69"/>
      <c r="AK294" s="167"/>
      <c r="AL294" s="327"/>
      <c r="AM294" s="158"/>
      <c r="AO294" s="115"/>
    </row>
    <row r="295" spans="1:41" ht="12.95" thickTop="1"/>
    <row r="296" spans="1:41" s="89" customFormat="1" ht="20.45" thickBot="1">
      <c r="A296" s="114" t="s">
        <v>128</v>
      </c>
      <c r="L296" s="90"/>
      <c r="M296" s="90"/>
      <c r="N296" s="90"/>
      <c r="O296" s="90"/>
      <c r="P296" s="90"/>
      <c r="Q296" s="90"/>
      <c r="R296" s="90"/>
      <c r="S296" s="90"/>
      <c r="T296" s="90"/>
      <c r="U296" s="90"/>
      <c r="V296" s="90"/>
      <c r="W296" s="90"/>
      <c r="X296" s="90"/>
      <c r="Y296" s="90"/>
      <c r="Z296" s="90"/>
      <c r="AA296" s="90"/>
      <c r="AB296" s="90"/>
      <c r="AC296" s="90"/>
      <c r="AD296" s="90"/>
      <c r="AE296" s="90"/>
      <c r="AF296" s="90"/>
      <c r="AG296" s="90"/>
      <c r="AH296" s="90"/>
      <c r="AI296" s="90"/>
      <c r="AJ296" s="90"/>
      <c r="AK296" s="90"/>
      <c r="AL296" s="90"/>
      <c r="AM296" s="90"/>
    </row>
    <row r="297" spans="1:41" s="94" customFormat="1" ht="22.9" customHeight="1" thickTop="1">
      <c r="A297" s="311" t="s">
        <v>10</v>
      </c>
      <c r="B297" s="311" t="s">
        <v>11</v>
      </c>
      <c r="C297" s="311" t="s">
        <v>12</v>
      </c>
      <c r="D297" s="241" t="s">
        <v>13</v>
      </c>
      <c r="E297" s="241" t="s">
        <v>14</v>
      </c>
      <c r="F297" s="241" t="s">
        <v>15</v>
      </c>
      <c r="G297" s="241" t="s">
        <v>16</v>
      </c>
      <c r="H297" s="241" t="s">
        <v>17</v>
      </c>
      <c r="I297" s="241" t="s">
        <v>118</v>
      </c>
      <c r="J297" s="241" t="s">
        <v>19</v>
      </c>
      <c r="K297" s="241" t="s">
        <v>20</v>
      </c>
      <c r="L297" s="241" t="s">
        <v>21</v>
      </c>
      <c r="M297" s="241" t="s">
        <v>22</v>
      </c>
      <c r="N297" s="241" t="s">
        <v>23</v>
      </c>
      <c r="O297" s="311" t="s">
        <v>24</v>
      </c>
      <c r="P297" s="241" t="s">
        <v>25</v>
      </c>
      <c r="Q297" s="241" t="s">
        <v>26</v>
      </c>
      <c r="R297" s="241" t="s">
        <v>27</v>
      </c>
      <c r="S297" s="241" t="s">
        <v>28</v>
      </c>
      <c r="T297" s="241" t="s">
        <v>29</v>
      </c>
      <c r="U297" s="311" t="s">
        <v>30</v>
      </c>
      <c r="V297" s="311" t="s">
        <v>31</v>
      </c>
      <c r="W297" s="241" t="s">
        <v>32</v>
      </c>
      <c r="X297" s="339" t="s">
        <v>33</v>
      </c>
      <c r="Y297" s="241" t="s">
        <v>34</v>
      </c>
      <c r="Z297" s="241" t="s">
        <v>35</v>
      </c>
      <c r="AA297" s="241" t="s">
        <v>36</v>
      </c>
      <c r="AB297" s="241" t="s">
        <v>37</v>
      </c>
      <c r="AC297" s="241" t="s">
        <v>38</v>
      </c>
      <c r="AD297" s="241" t="s">
        <v>39</v>
      </c>
      <c r="AE297" s="241" t="s">
        <v>40</v>
      </c>
      <c r="AF297" s="311" t="s">
        <v>41</v>
      </c>
      <c r="AG297" s="241" t="s">
        <v>42</v>
      </c>
      <c r="AH297" s="241" t="s">
        <v>43</v>
      </c>
      <c r="AI297" s="241" t="s">
        <v>143</v>
      </c>
      <c r="AJ297" s="241" t="s">
        <v>45</v>
      </c>
      <c r="AK297" s="241" t="s">
        <v>46</v>
      </c>
      <c r="AL297" s="241" t="s">
        <v>47</v>
      </c>
      <c r="AM297" s="241" t="s">
        <v>48</v>
      </c>
    </row>
    <row r="298" spans="1:41" s="94" customFormat="1" ht="22.9" customHeight="1" thickBot="1">
      <c r="A298" s="314"/>
      <c r="B298" s="314"/>
      <c r="C298" s="314"/>
      <c r="D298" s="242"/>
      <c r="E298" s="242"/>
      <c r="F298" s="242"/>
      <c r="G298" s="242"/>
      <c r="H298" s="242"/>
      <c r="I298" s="242"/>
      <c r="J298" s="242"/>
      <c r="K298" s="242"/>
      <c r="L298" s="313"/>
      <c r="M298" s="242"/>
      <c r="N298" s="242"/>
      <c r="O298" s="314"/>
      <c r="P298" s="242"/>
      <c r="Q298" s="242"/>
      <c r="R298" s="242"/>
      <c r="S298" s="310"/>
      <c r="T298" s="242"/>
      <c r="U298" s="312"/>
      <c r="V298" s="312"/>
      <c r="W298" s="310"/>
      <c r="X298" s="340"/>
      <c r="Y298" s="242"/>
      <c r="Z298" s="310"/>
      <c r="AA298" s="310"/>
      <c r="AB298" s="310"/>
      <c r="AC298" s="310"/>
      <c r="AD298" s="310"/>
      <c r="AE298" s="310"/>
      <c r="AF298" s="312"/>
      <c r="AG298" s="310"/>
      <c r="AH298" s="242"/>
      <c r="AI298" s="242">
        <v>2018</v>
      </c>
      <c r="AJ298" s="242"/>
      <c r="AK298" s="328"/>
      <c r="AL298" s="242"/>
      <c r="AM298" s="242"/>
    </row>
    <row r="299" spans="1:41" s="94" customFormat="1" ht="22.9" customHeight="1" thickTop="1">
      <c r="A299" s="357" t="s">
        <v>166</v>
      </c>
      <c r="B299" s="360" t="s">
        <v>64</v>
      </c>
      <c r="C299" s="363" t="s">
        <v>167</v>
      </c>
      <c r="D299" s="156" t="s">
        <v>122</v>
      </c>
      <c r="E299" s="156" t="s">
        <v>168</v>
      </c>
      <c r="F299" s="344" t="s">
        <v>169</v>
      </c>
      <c r="G299" s="344" t="s">
        <v>170</v>
      </c>
      <c r="H299" s="344" t="s">
        <v>169</v>
      </c>
      <c r="I299" s="368">
        <f>+L300</f>
        <v>0.96199098479639389</v>
      </c>
      <c r="J299" s="371">
        <v>0.1</v>
      </c>
      <c r="K299" s="374" t="s">
        <v>124</v>
      </c>
      <c r="L299" s="95" t="s">
        <v>57</v>
      </c>
      <c r="M299" s="96" t="s">
        <v>57</v>
      </c>
      <c r="N299" s="96" t="s">
        <v>57</v>
      </c>
      <c r="O299" s="97" t="s">
        <v>57</v>
      </c>
      <c r="P299" s="96" t="s">
        <v>57</v>
      </c>
      <c r="Q299" s="98" t="s">
        <v>57</v>
      </c>
      <c r="R299" s="96" t="s">
        <v>57</v>
      </c>
      <c r="S299" s="98" t="s">
        <v>57</v>
      </c>
      <c r="T299" s="96" t="s">
        <v>57</v>
      </c>
      <c r="U299" s="98" t="s">
        <v>57</v>
      </c>
      <c r="V299" s="96" t="s">
        <v>57</v>
      </c>
      <c r="W299" s="98" t="s">
        <v>57</v>
      </c>
      <c r="X299" s="96" t="s">
        <v>57</v>
      </c>
      <c r="Y299" s="98" t="s">
        <v>57</v>
      </c>
      <c r="Z299" s="96" t="s">
        <v>57</v>
      </c>
      <c r="AA299" s="98" t="s">
        <v>57</v>
      </c>
      <c r="AB299" s="96" t="s">
        <v>57</v>
      </c>
      <c r="AC299" s="98" t="s">
        <v>57</v>
      </c>
      <c r="AD299" s="96" t="s">
        <v>57</v>
      </c>
      <c r="AE299" s="98" t="s">
        <v>57</v>
      </c>
      <c r="AF299" s="96" t="s">
        <v>57</v>
      </c>
      <c r="AG299" s="98" t="s">
        <v>57</v>
      </c>
      <c r="AH299" s="96" t="s">
        <v>57</v>
      </c>
      <c r="AI299" s="98" t="s">
        <v>57</v>
      </c>
      <c r="AJ299" s="67"/>
      <c r="AK299" s="165" t="s">
        <v>72</v>
      </c>
      <c r="AL299" s="325"/>
      <c r="AM299" s="156" t="s">
        <v>125</v>
      </c>
    </row>
    <row r="300" spans="1:41" s="94" customFormat="1" ht="22.9" customHeight="1">
      <c r="A300" s="358"/>
      <c r="B300" s="361"/>
      <c r="C300" s="364"/>
      <c r="D300" s="467"/>
      <c r="E300" s="157"/>
      <c r="F300" s="345"/>
      <c r="G300" s="345"/>
      <c r="H300" s="345"/>
      <c r="I300" s="369"/>
      <c r="J300" s="372"/>
      <c r="K300" s="354"/>
      <c r="L300" s="41">
        <f>IF(L302&lt;&gt;0,+L302/L304,0%)</f>
        <v>0.96199098479639389</v>
      </c>
      <c r="M300" s="58">
        <f>IF(M302&lt;&gt;0,+M302/M304,0%)</f>
        <v>0.9666162614865651</v>
      </c>
      <c r="N300" s="61">
        <f>IF(N302&lt;&gt;0,+N302/N304,0%)</f>
        <v>0.96571499812990902</v>
      </c>
      <c r="O300" s="57">
        <f t="shared" ref="O300" si="430">IF(O302&lt;&gt;0,+O302/O304,0%)</f>
        <v>0.96618124924780358</v>
      </c>
      <c r="P300" s="61">
        <f>IF(P302&lt;&gt;0,ROUND(+P302/P304,4),0%)</f>
        <v>0.9667</v>
      </c>
      <c r="Q300" s="62">
        <f t="shared" ref="Q300" si="431">IF(Q302&lt;&gt;0,+Q302/Q304,0%)</f>
        <v>0.96635804932556468</v>
      </c>
      <c r="R300" s="63">
        <f>IF(R302&lt;&gt;0,ROUND(+R302/R304,4),0%)</f>
        <v>0.96550000000000002</v>
      </c>
      <c r="S300" s="62">
        <f t="shared" ref="S300" si="432">IF(S302&lt;&gt;0,+S302/S304,0%)</f>
        <v>0.96612774510093691</v>
      </c>
      <c r="T300" s="63">
        <f>IF(T302&lt;&gt;0,ROUND(+T302/T304,4),0%)</f>
        <v>0.96419999999999995</v>
      </c>
      <c r="U300" s="62">
        <f t="shared" ref="U300" si="433">IF(U302&lt;&gt;0,+U302/U304,0%)</f>
        <v>0.96572200358614912</v>
      </c>
      <c r="V300" s="63">
        <f>IF(V302&lt;&gt;0,ROUND(+V302/V304,4),0%)</f>
        <v>0.96699999999999997</v>
      </c>
      <c r="W300" s="62">
        <f t="shared" ref="W300" si="434">IF(W302&lt;&gt;0,+W302/W304,0%)</f>
        <v>0.96592668064345477</v>
      </c>
      <c r="X300" s="63">
        <f>IF(X302&lt;&gt;0,ROUND(+X302/X304,4),0%)</f>
        <v>0.95750000000000002</v>
      </c>
      <c r="Y300" s="62">
        <f t="shared" ref="Y300" si="435">IF(Y302&lt;&gt;0,+Y302/Y304,0%)</f>
        <v>0.96416242240351724</v>
      </c>
      <c r="Z300" s="64">
        <f>IF(Z302&lt;&gt;0,ROUND(+Z302/Z304,4),0%)</f>
        <v>0.96540000000000004</v>
      </c>
      <c r="AA300" s="62">
        <f t="shared" ref="AA300" si="436">IF(AA302&lt;&gt;0,+AA302/AA304,0%)</f>
        <v>0.9643105635820407</v>
      </c>
      <c r="AB300" s="63">
        <f>IF(AB302&lt;&gt;0,ROUND(+AB302/AB304,4),0%)</f>
        <v>0.96330000000000005</v>
      </c>
      <c r="AC300" s="62">
        <f t="shared" ref="AC300" si="437">IF(AC302&lt;&gt;0,+AC302/AC304,0%)</f>
        <v>0.96421574705517665</v>
      </c>
      <c r="AD300" s="63">
        <f>IF(AD302&lt;&gt;0,ROUND(+AD302/AD304,4),0%)</f>
        <v>0.94230000000000003</v>
      </c>
      <c r="AE300" s="62">
        <f t="shared" ref="AE300" si="438">IF(AE302&lt;&gt;0,+AE302/AE304,0%)</f>
        <v>0.96174755144712232</v>
      </c>
      <c r="AF300" s="63">
        <f>IF(AF302&lt;&gt;0,ROUND(+AF302/AF304,4),0%)</f>
        <v>0.96209999999999996</v>
      </c>
      <c r="AG300" s="62">
        <f t="shared" ref="AG300" si="439">IF(AG302&lt;&gt;0,+AG302/AG304,0%)</f>
        <v>0.9617717518731842</v>
      </c>
      <c r="AH300" s="63">
        <f>IF(AH302&lt;&gt;0,ROUND(+AH302/AH304,4),0%)</f>
        <v>0.96519999999999995</v>
      </c>
      <c r="AI300" s="62">
        <f>IF(AI302&lt;&gt;0,+AI302/AI304,0%)</f>
        <v>0.96199098479639389</v>
      </c>
      <c r="AJ300" s="68"/>
      <c r="AK300" s="166"/>
      <c r="AL300" s="326"/>
      <c r="AM300" s="157"/>
    </row>
    <row r="301" spans="1:41" s="94" customFormat="1" ht="22.9" customHeight="1" thickBot="1">
      <c r="A301" s="358"/>
      <c r="B301" s="361"/>
      <c r="C301" s="364"/>
      <c r="D301" s="467"/>
      <c r="E301" s="157"/>
      <c r="F301" s="345"/>
      <c r="G301" s="345"/>
      <c r="H301" s="345"/>
      <c r="I301" s="369"/>
      <c r="J301" s="372"/>
      <c r="K301" s="376"/>
      <c r="L301" s="99"/>
      <c r="M301" s="101" t="s">
        <v>60</v>
      </c>
      <c r="N301" s="101" t="s">
        <v>60</v>
      </c>
      <c r="O301" s="102" t="s">
        <v>60</v>
      </c>
      <c r="P301" s="101" t="s">
        <v>60</v>
      </c>
      <c r="Q301" s="103" t="s">
        <v>60</v>
      </c>
      <c r="R301" s="101" t="s">
        <v>60</v>
      </c>
      <c r="S301" s="103" t="s">
        <v>60</v>
      </c>
      <c r="T301" s="101" t="s">
        <v>60</v>
      </c>
      <c r="U301" s="103" t="s">
        <v>60</v>
      </c>
      <c r="V301" s="101" t="s">
        <v>60</v>
      </c>
      <c r="W301" s="103" t="s">
        <v>60</v>
      </c>
      <c r="X301" s="101" t="s">
        <v>60</v>
      </c>
      <c r="Y301" s="103" t="s">
        <v>60</v>
      </c>
      <c r="Z301" s="101" t="s">
        <v>60</v>
      </c>
      <c r="AA301" s="103" t="s">
        <v>60</v>
      </c>
      <c r="AB301" s="101" t="s">
        <v>60</v>
      </c>
      <c r="AC301" s="103" t="s">
        <v>60</v>
      </c>
      <c r="AD301" s="101" t="s">
        <v>60</v>
      </c>
      <c r="AE301" s="103" t="s">
        <v>60</v>
      </c>
      <c r="AF301" s="101" t="s">
        <v>60</v>
      </c>
      <c r="AG301" s="103" t="s">
        <v>60</v>
      </c>
      <c r="AH301" s="101" t="s">
        <v>60</v>
      </c>
      <c r="AI301" s="103" t="s">
        <v>60</v>
      </c>
      <c r="AJ301" s="68"/>
      <c r="AK301" s="166"/>
      <c r="AL301" s="326"/>
      <c r="AM301" s="157"/>
    </row>
    <row r="302" spans="1:41" s="94" customFormat="1" ht="22.9" customHeight="1" thickTop="1">
      <c r="A302" s="358"/>
      <c r="B302" s="361"/>
      <c r="C302" s="364"/>
      <c r="D302" s="467"/>
      <c r="E302" s="157"/>
      <c r="F302" s="345"/>
      <c r="G302" s="345"/>
      <c r="H302" s="345"/>
      <c r="I302" s="369"/>
      <c r="J302" s="372"/>
      <c r="K302" s="354" t="s">
        <v>74</v>
      </c>
      <c r="L302" s="104">
        <v>100732</v>
      </c>
      <c r="M302" s="105">
        <v>8310</v>
      </c>
      <c r="N302" s="105">
        <v>7746</v>
      </c>
      <c r="O302" s="106">
        <f>+M302+N302</f>
        <v>16056</v>
      </c>
      <c r="P302" s="105">
        <v>8159</v>
      </c>
      <c r="Q302" s="106">
        <f>+O302+P302</f>
        <v>24215</v>
      </c>
      <c r="R302" s="105">
        <v>8472</v>
      </c>
      <c r="S302" s="106">
        <f>+Q302+R302</f>
        <v>32687</v>
      </c>
      <c r="T302" s="105">
        <v>8784</v>
      </c>
      <c r="U302" s="106">
        <f>+S302+T302</f>
        <v>41471</v>
      </c>
      <c r="V302" s="105">
        <v>7827</v>
      </c>
      <c r="W302" s="106">
        <f>+U302+V302</f>
        <v>49298</v>
      </c>
      <c r="X302" s="105">
        <v>12984</v>
      </c>
      <c r="Y302" s="106">
        <f>+W302+X302</f>
        <v>62282</v>
      </c>
      <c r="Z302" s="105">
        <v>8401</v>
      </c>
      <c r="AA302" s="106">
        <f>+Y302+Z302</f>
        <v>70683</v>
      </c>
      <c r="AB302" s="105">
        <v>7081</v>
      </c>
      <c r="AC302" s="106">
        <f>+AA302+AB302</f>
        <v>77764</v>
      </c>
      <c r="AD302" s="105">
        <v>9630</v>
      </c>
      <c r="AE302" s="106">
        <f>+AC302+AD302</f>
        <v>87394</v>
      </c>
      <c r="AF302" s="105">
        <v>6951</v>
      </c>
      <c r="AG302" s="106">
        <f>+AE302+AF302</f>
        <v>94345</v>
      </c>
      <c r="AH302" s="105">
        <v>6387</v>
      </c>
      <c r="AI302" s="106">
        <f>SUM(AG302:AH302)</f>
        <v>100732</v>
      </c>
      <c r="AJ302" s="29">
        <f>+AI300/L300</f>
        <v>1</v>
      </c>
      <c r="AK302" s="166"/>
      <c r="AL302" s="326"/>
      <c r="AM302" s="157"/>
    </row>
    <row r="303" spans="1:41" s="94" customFormat="1" ht="22.9" customHeight="1">
      <c r="A303" s="358"/>
      <c r="B303" s="361"/>
      <c r="C303" s="364"/>
      <c r="D303" s="467"/>
      <c r="E303" s="157"/>
      <c r="F303" s="345"/>
      <c r="G303" s="345"/>
      <c r="H303" s="345"/>
      <c r="I303" s="369"/>
      <c r="J303" s="372"/>
      <c r="K303" s="375"/>
      <c r="L303" s="99" t="s">
        <v>126</v>
      </c>
      <c r="M303" s="107" t="s">
        <v>62</v>
      </c>
      <c r="N303" s="107" t="s">
        <v>62</v>
      </c>
      <c r="O303" s="108" t="s">
        <v>62</v>
      </c>
      <c r="P303" s="107" t="s">
        <v>62</v>
      </c>
      <c r="Q303" s="109" t="s">
        <v>62</v>
      </c>
      <c r="R303" s="107"/>
      <c r="S303" s="109" t="s">
        <v>62</v>
      </c>
      <c r="T303" s="107" t="s">
        <v>62</v>
      </c>
      <c r="U303" s="109" t="s">
        <v>62</v>
      </c>
      <c r="V303" s="107" t="s">
        <v>62</v>
      </c>
      <c r="W303" s="109" t="s">
        <v>62</v>
      </c>
      <c r="X303" s="107" t="s">
        <v>62</v>
      </c>
      <c r="Y303" s="109" t="s">
        <v>62</v>
      </c>
      <c r="Z303" s="107" t="s">
        <v>62</v>
      </c>
      <c r="AA303" s="109" t="s">
        <v>62</v>
      </c>
      <c r="AB303" s="107" t="s">
        <v>62</v>
      </c>
      <c r="AC303" s="109" t="s">
        <v>62</v>
      </c>
      <c r="AD303" s="107" t="s">
        <v>62</v>
      </c>
      <c r="AE303" s="109" t="s">
        <v>62</v>
      </c>
      <c r="AF303" s="107" t="s">
        <v>62</v>
      </c>
      <c r="AG303" s="109" t="s">
        <v>62</v>
      </c>
      <c r="AH303" s="107" t="s">
        <v>62</v>
      </c>
      <c r="AI303" s="108" t="s">
        <v>62</v>
      </c>
      <c r="AJ303" s="68"/>
      <c r="AK303" s="166"/>
      <c r="AL303" s="326"/>
      <c r="AM303" s="157"/>
    </row>
    <row r="304" spans="1:41" s="94" customFormat="1" ht="22.9" customHeight="1" thickBot="1">
      <c r="A304" s="359"/>
      <c r="B304" s="362"/>
      <c r="C304" s="365"/>
      <c r="D304" s="468"/>
      <c r="E304" s="158"/>
      <c r="F304" s="346"/>
      <c r="G304" s="346"/>
      <c r="H304" s="346"/>
      <c r="I304" s="370"/>
      <c r="J304" s="373"/>
      <c r="K304" s="376"/>
      <c r="L304" s="110">
        <v>104712</v>
      </c>
      <c r="M304" s="111">
        <v>8597</v>
      </c>
      <c r="N304" s="111">
        <v>8021</v>
      </c>
      <c r="O304" s="112">
        <f t="shared" ref="O304" si="440">+M304+N304</f>
        <v>16618</v>
      </c>
      <c r="P304" s="111">
        <v>8440</v>
      </c>
      <c r="Q304" s="112">
        <f t="shared" ref="Q304" si="441">+O304+P304</f>
        <v>25058</v>
      </c>
      <c r="R304" s="111">
        <v>8775</v>
      </c>
      <c r="S304" s="112">
        <f t="shared" ref="S304" si="442">+Q304+R304</f>
        <v>33833</v>
      </c>
      <c r="T304" s="111">
        <v>9110</v>
      </c>
      <c r="U304" s="112">
        <f t="shared" ref="U304" si="443">+S304+T304</f>
        <v>42943</v>
      </c>
      <c r="V304" s="111">
        <v>8094</v>
      </c>
      <c r="W304" s="112">
        <f t="shared" ref="W304" si="444">+U304+V304</f>
        <v>51037</v>
      </c>
      <c r="X304" s="111">
        <v>13560</v>
      </c>
      <c r="Y304" s="112">
        <f t="shared" ref="Y304" si="445">+W304+X304</f>
        <v>64597</v>
      </c>
      <c r="Z304" s="111">
        <v>8702</v>
      </c>
      <c r="AA304" s="112">
        <f t="shared" ref="AA304" si="446">+Y304+Z304</f>
        <v>73299</v>
      </c>
      <c r="AB304" s="111">
        <v>7351</v>
      </c>
      <c r="AC304" s="112">
        <f t="shared" ref="AC304" si="447">+AA304+AB304</f>
        <v>80650</v>
      </c>
      <c r="AD304" s="111">
        <v>10220</v>
      </c>
      <c r="AE304" s="112">
        <f t="shared" ref="AE304" si="448">+AC304+AD304</f>
        <v>90870</v>
      </c>
      <c r="AF304" s="111">
        <v>7225</v>
      </c>
      <c r="AG304" s="112">
        <f t="shared" ref="AG304" si="449">+AE304+AF304</f>
        <v>98095</v>
      </c>
      <c r="AH304" s="111">
        <v>6617</v>
      </c>
      <c r="AI304" s="112">
        <f>SUM(AG304:AH304)</f>
        <v>104712</v>
      </c>
      <c r="AJ304" s="69"/>
      <c r="AK304" s="167"/>
      <c r="AL304" s="327"/>
      <c r="AM304" s="158"/>
    </row>
    <row r="305" spans="1:41" ht="12.95" thickTop="1"/>
    <row r="308" spans="1:41" s="120" customFormat="1" ht="15.6">
      <c r="C308" s="381" t="s">
        <v>171</v>
      </c>
      <c r="D308" s="381"/>
      <c r="E308" s="381"/>
      <c r="F308" s="381"/>
      <c r="G308" s="381"/>
      <c r="H308" s="381"/>
      <c r="I308" s="381"/>
      <c r="J308" s="381"/>
      <c r="K308" s="381"/>
      <c r="L308" s="127"/>
      <c r="M308" s="74"/>
      <c r="N308" s="127"/>
      <c r="O308" s="74"/>
      <c r="P308" s="127"/>
      <c r="Q308" s="74"/>
      <c r="R308" s="127"/>
      <c r="S308" s="74"/>
      <c r="T308" s="127"/>
      <c r="U308" s="74"/>
      <c r="V308" s="127"/>
      <c r="W308" s="74"/>
      <c r="X308" s="127"/>
      <c r="Y308" s="74"/>
      <c r="Z308" s="127"/>
      <c r="AA308" s="74"/>
      <c r="AB308" s="127"/>
      <c r="AC308" s="74"/>
      <c r="AD308" s="127"/>
      <c r="AE308" s="74"/>
      <c r="AF308" s="127"/>
      <c r="AG308" s="74"/>
      <c r="AH308" s="127"/>
      <c r="AI308" s="74"/>
      <c r="AJ308" s="128"/>
      <c r="AM308" s="90"/>
    </row>
    <row r="309" spans="1:41" s="120" customFormat="1" ht="15.95" thickBot="1">
      <c r="C309" s="117"/>
      <c r="D309" s="117"/>
      <c r="E309" s="117"/>
      <c r="F309" s="117"/>
      <c r="G309" s="117"/>
      <c r="H309" s="117"/>
      <c r="I309" s="117"/>
      <c r="J309" s="117"/>
      <c r="K309" s="117"/>
      <c r="L309" s="127"/>
      <c r="M309" s="90"/>
      <c r="N309" s="90"/>
      <c r="O309" s="90"/>
      <c r="P309" s="90"/>
      <c r="Q309" s="90"/>
      <c r="R309" s="90"/>
      <c r="S309" s="90"/>
      <c r="T309" s="90"/>
      <c r="U309" s="90"/>
      <c r="V309" s="90"/>
      <c r="W309" s="90"/>
      <c r="X309" s="90"/>
      <c r="Y309" s="90"/>
      <c r="Z309" s="90"/>
      <c r="AA309" s="90"/>
      <c r="AB309" s="90"/>
      <c r="AC309" s="90"/>
      <c r="AD309" s="90"/>
      <c r="AE309" s="90"/>
      <c r="AF309" s="90"/>
      <c r="AG309" s="90"/>
      <c r="AH309" s="90"/>
      <c r="AI309" s="74"/>
      <c r="AJ309" s="128"/>
      <c r="AM309" s="90"/>
    </row>
    <row r="310" spans="1:41" s="94" customFormat="1" ht="22.9" customHeight="1" thickTop="1">
      <c r="A310" s="311" t="s">
        <v>10</v>
      </c>
      <c r="B310" s="311" t="s">
        <v>11</v>
      </c>
      <c r="C310" s="311" t="s">
        <v>12</v>
      </c>
      <c r="D310" s="241" t="s">
        <v>13</v>
      </c>
      <c r="E310" s="241" t="s">
        <v>14</v>
      </c>
      <c r="F310" s="241" t="s">
        <v>15</v>
      </c>
      <c r="G310" s="241" t="s">
        <v>16</v>
      </c>
      <c r="H310" s="241" t="s">
        <v>17</v>
      </c>
      <c r="I310" s="241" t="s">
        <v>118</v>
      </c>
      <c r="J310" s="241" t="s">
        <v>19</v>
      </c>
      <c r="K310" s="241" t="s">
        <v>20</v>
      </c>
      <c r="L310" s="241" t="s">
        <v>21</v>
      </c>
      <c r="M310" s="241" t="s">
        <v>22</v>
      </c>
      <c r="N310" s="241" t="s">
        <v>23</v>
      </c>
      <c r="O310" s="311" t="s">
        <v>24</v>
      </c>
      <c r="P310" s="241" t="s">
        <v>25</v>
      </c>
      <c r="Q310" s="241" t="s">
        <v>26</v>
      </c>
      <c r="R310" s="241" t="s">
        <v>27</v>
      </c>
      <c r="S310" s="241" t="s">
        <v>28</v>
      </c>
      <c r="T310" s="241" t="s">
        <v>29</v>
      </c>
      <c r="U310" s="311" t="s">
        <v>30</v>
      </c>
      <c r="V310" s="311" t="s">
        <v>31</v>
      </c>
      <c r="W310" s="241" t="s">
        <v>32</v>
      </c>
      <c r="X310" s="339" t="s">
        <v>33</v>
      </c>
      <c r="Y310" s="241" t="s">
        <v>34</v>
      </c>
      <c r="Z310" s="241" t="s">
        <v>35</v>
      </c>
      <c r="AA310" s="241" t="s">
        <v>36</v>
      </c>
      <c r="AB310" s="241" t="s">
        <v>37</v>
      </c>
      <c r="AC310" s="241" t="s">
        <v>38</v>
      </c>
      <c r="AD310" s="241" t="s">
        <v>39</v>
      </c>
      <c r="AE310" s="241" t="s">
        <v>40</v>
      </c>
      <c r="AF310" s="311" t="s">
        <v>41</v>
      </c>
      <c r="AG310" s="241" t="s">
        <v>42</v>
      </c>
      <c r="AH310" s="241" t="s">
        <v>43</v>
      </c>
      <c r="AI310" s="241" t="s">
        <v>143</v>
      </c>
      <c r="AJ310" s="241" t="s">
        <v>45</v>
      </c>
      <c r="AK310" s="241" t="s">
        <v>46</v>
      </c>
      <c r="AL310" s="241" t="s">
        <v>47</v>
      </c>
      <c r="AM310" s="241" t="s">
        <v>48</v>
      </c>
    </row>
    <row r="311" spans="1:41" s="94" customFormat="1" ht="22.9" customHeight="1" thickBot="1">
      <c r="A311" s="314"/>
      <c r="B311" s="314"/>
      <c r="C311" s="314"/>
      <c r="D311" s="242"/>
      <c r="E311" s="242"/>
      <c r="F311" s="242"/>
      <c r="G311" s="242"/>
      <c r="H311" s="242"/>
      <c r="I311" s="242"/>
      <c r="J311" s="242"/>
      <c r="K311" s="242"/>
      <c r="L311" s="313"/>
      <c r="M311" s="242"/>
      <c r="N311" s="242"/>
      <c r="O311" s="314"/>
      <c r="P311" s="242"/>
      <c r="Q311" s="242"/>
      <c r="R311" s="242"/>
      <c r="S311" s="310"/>
      <c r="T311" s="242"/>
      <c r="U311" s="312"/>
      <c r="V311" s="312"/>
      <c r="W311" s="310"/>
      <c r="X311" s="340"/>
      <c r="Y311" s="242"/>
      <c r="Z311" s="310"/>
      <c r="AA311" s="310"/>
      <c r="AB311" s="310"/>
      <c r="AC311" s="310"/>
      <c r="AD311" s="310"/>
      <c r="AE311" s="310"/>
      <c r="AF311" s="312"/>
      <c r="AG311" s="310"/>
      <c r="AH311" s="242"/>
      <c r="AI311" s="242">
        <v>2018</v>
      </c>
      <c r="AJ311" s="242"/>
      <c r="AK311" s="328"/>
      <c r="AL311" s="242"/>
      <c r="AM311" s="242"/>
    </row>
    <row r="312" spans="1:41" s="120" customFormat="1" ht="22.9" customHeight="1" thickTop="1">
      <c r="A312" s="357" t="s">
        <v>172</v>
      </c>
      <c r="B312" s="378" t="s">
        <v>173</v>
      </c>
      <c r="C312" s="378" t="s">
        <v>174</v>
      </c>
      <c r="D312" s="156" t="s">
        <v>122</v>
      </c>
      <c r="E312" s="156" t="s">
        <v>175</v>
      </c>
      <c r="F312" s="344" t="s">
        <v>176</v>
      </c>
      <c r="G312" s="344" t="s">
        <v>177</v>
      </c>
      <c r="H312" s="344" t="s">
        <v>176</v>
      </c>
      <c r="I312" s="368">
        <f>+L313</f>
        <v>0.95832574792159719</v>
      </c>
      <c r="J312" s="371">
        <v>0.1</v>
      </c>
      <c r="K312" s="374" t="s">
        <v>124</v>
      </c>
      <c r="L312" s="96" t="s">
        <v>57</v>
      </c>
      <c r="M312" s="96" t="s">
        <v>57</v>
      </c>
      <c r="N312" s="96" t="s">
        <v>57</v>
      </c>
      <c r="O312" s="97" t="s">
        <v>57</v>
      </c>
      <c r="P312" s="96" t="s">
        <v>57</v>
      </c>
      <c r="Q312" s="98" t="s">
        <v>57</v>
      </c>
      <c r="R312" s="96" t="s">
        <v>57</v>
      </c>
      <c r="S312" s="98" t="s">
        <v>57</v>
      </c>
      <c r="T312" s="96" t="s">
        <v>57</v>
      </c>
      <c r="U312" s="98" t="s">
        <v>57</v>
      </c>
      <c r="V312" s="96" t="s">
        <v>57</v>
      </c>
      <c r="W312" s="98" t="s">
        <v>57</v>
      </c>
      <c r="X312" s="96" t="s">
        <v>57</v>
      </c>
      <c r="Y312" s="98" t="s">
        <v>57</v>
      </c>
      <c r="Z312" s="96" t="s">
        <v>57</v>
      </c>
      <c r="AA312" s="98" t="s">
        <v>57</v>
      </c>
      <c r="AB312" s="96" t="s">
        <v>57</v>
      </c>
      <c r="AC312" s="98" t="s">
        <v>57</v>
      </c>
      <c r="AD312" s="96" t="s">
        <v>57</v>
      </c>
      <c r="AE312" s="98" t="s">
        <v>57</v>
      </c>
      <c r="AF312" s="96" t="s">
        <v>57</v>
      </c>
      <c r="AG312" s="98" t="s">
        <v>57</v>
      </c>
      <c r="AH312" s="96" t="s">
        <v>57</v>
      </c>
      <c r="AI312" s="98" t="s">
        <v>57</v>
      </c>
      <c r="AJ312" s="70"/>
      <c r="AK312" s="165" t="s">
        <v>72</v>
      </c>
      <c r="AL312" s="325"/>
      <c r="AM312" s="156" t="s">
        <v>125</v>
      </c>
      <c r="AO312" s="94"/>
    </row>
    <row r="313" spans="1:41" s="120" customFormat="1" ht="22.9" customHeight="1">
      <c r="A313" s="358"/>
      <c r="B313" s="379"/>
      <c r="C313" s="379"/>
      <c r="D313" s="157"/>
      <c r="E313" s="157"/>
      <c r="F313" s="345"/>
      <c r="G313" s="345"/>
      <c r="H313" s="345"/>
      <c r="I313" s="369"/>
      <c r="J313" s="372"/>
      <c r="K313" s="354"/>
      <c r="L313" s="41">
        <f>IF(L315&lt;&gt;0,+L315/L317,0%)</f>
        <v>0.95832574792159719</v>
      </c>
      <c r="M313" s="58">
        <f>IF(M315&lt;&gt;0,+M315/M317,0%)</f>
        <v>0.96052393857271912</v>
      </c>
      <c r="N313" s="61">
        <f>IF(N315&lt;&gt;0,+N315/N317,0%)</f>
        <v>0.96218117854001761</v>
      </c>
      <c r="O313" s="57">
        <f t="shared" ref="O313" si="450">IF(O315&lt;&gt;0,+O315/O317,0%)</f>
        <v>0.96132000187766986</v>
      </c>
      <c r="P313" s="61">
        <f>IF(P315&lt;&gt;0,ROUND(+P315/P317,4),0%)</f>
        <v>0.95779999999999998</v>
      </c>
      <c r="Q313" s="62">
        <f t="shared" ref="Q313" si="451">IF(Q315&lt;&gt;0,+Q315/Q317,0%)</f>
        <v>0.96002269063115786</v>
      </c>
      <c r="R313" s="63">
        <f>IF(R315&lt;&gt;0,ROUND(+R315/R317,4),0%)</f>
        <v>0.94569999999999999</v>
      </c>
      <c r="S313" s="62">
        <f t="shared" ref="S313" si="452">IF(S315&lt;&gt;0,+S315/S317,0%)</f>
        <v>0.95632413257953663</v>
      </c>
      <c r="T313" s="63">
        <f>IF(T315&lt;&gt;0,ROUND(+T315/T317,4),0%)</f>
        <v>0.96819999999999995</v>
      </c>
      <c r="U313" s="62">
        <f t="shared" ref="U313" si="453">IF(U315&lt;&gt;0,+U315/U317,0%)</f>
        <v>0.9587547129920011</v>
      </c>
      <c r="V313" s="63">
        <f>IF(V315&lt;&gt;0,ROUND(+V315/V317,4),0%)</f>
        <v>0.94879999999999998</v>
      </c>
      <c r="W313" s="62">
        <f t="shared" ref="W313" si="454">IF(W315&lt;&gt;0,+W315/W317,0%)</f>
        <v>0.95746902301586079</v>
      </c>
      <c r="X313" s="63">
        <f>IF(X315&lt;&gt;0,ROUND(+X315/X317,4),0%)</f>
        <v>0.93410000000000004</v>
      </c>
      <c r="Y313" s="62">
        <f t="shared" ref="Y313" si="455">IF(Y315&lt;&gt;0,+Y315/Y317,0%)</f>
        <v>0.9525361704190195</v>
      </c>
      <c r="Z313" s="64">
        <f>IF(Z315&lt;&gt;0,ROUND(+Z315/Z317,4),0%)</f>
        <v>0.95279999999999998</v>
      </c>
      <c r="AA313" s="62">
        <f t="shared" ref="AA313" si="456">IF(AA315&lt;&gt;0,+AA315/AA317,0%)</f>
        <v>0.9525615673053025</v>
      </c>
      <c r="AB313" s="63">
        <f>IF(AB315&lt;&gt;0,ROUND(+AB315/AB317,4),0%)</f>
        <v>0.96730000000000005</v>
      </c>
      <c r="AC313" s="62">
        <f t="shared" ref="AC313" si="457">IF(AC315&lt;&gt;0,+AC315/AC317,0%)</f>
        <v>0.95379694818247529</v>
      </c>
      <c r="AD313" s="63">
        <f>IF(AD315&lt;&gt;0,ROUND(+AD315/AD317,4),0%)</f>
        <v>0.95579999999999998</v>
      </c>
      <c r="AE313" s="62">
        <f t="shared" ref="AE313" si="458">IF(AE315&lt;&gt;0,+AE315/AE317,0%)</f>
        <v>0.95402339160777849</v>
      </c>
      <c r="AF313" s="63">
        <f>IF(AF315&lt;&gt;0,ROUND(+AF315/AF317,4),0%)</f>
        <v>0.98250000000000004</v>
      </c>
      <c r="AG313" s="62">
        <f t="shared" ref="AG313" si="459">IF(AG315&lt;&gt;0,+AG315/AG317,0%)</f>
        <v>0.95596883269626576</v>
      </c>
      <c r="AH313" s="63">
        <f>IF(AH315&lt;&gt;0,ROUND(+AH315/AH317,4),0%)</f>
        <v>0.98899999999999999</v>
      </c>
      <c r="AI313" s="62">
        <f>IF(AI315&lt;&gt;0,+AI315/AI317,0%)</f>
        <v>0.95832574792159719</v>
      </c>
      <c r="AJ313" s="71"/>
      <c r="AK313" s="166"/>
      <c r="AL313" s="326"/>
      <c r="AM313" s="157"/>
      <c r="AO313" s="94"/>
    </row>
    <row r="314" spans="1:41" s="120" customFormat="1" ht="22.9" customHeight="1" thickBot="1">
      <c r="A314" s="358"/>
      <c r="B314" s="379"/>
      <c r="C314" s="379"/>
      <c r="D314" s="157"/>
      <c r="E314" s="157"/>
      <c r="F314" s="345"/>
      <c r="G314" s="345"/>
      <c r="H314" s="345"/>
      <c r="I314" s="369"/>
      <c r="J314" s="372"/>
      <c r="K314" s="376"/>
      <c r="L314" s="101" t="s">
        <v>60</v>
      </c>
      <c r="M314" s="101" t="s">
        <v>60</v>
      </c>
      <c r="N314" s="101" t="s">
        <v>60</v>
      </c>
      <c r="O314" s="102" t="s">
        <v>60</v>
      </c>
      <c r="P314" s="101" t="s">
        <v>60</v>
      </c>
      <c r="Q314" s="103" t="s">
        <v>60</v>
      </c>
      <c r="R314" s="101" t="s">
        <v>60</v>
      </c>
      <c r="S314" s="103" t="s">
        <v>60</v>
      </c>
      <c r="T314" s="101" t="s">
        <v>60</v>
      </c>
      <c r="U314" s="103" t="s">
        <v>60</v>
      </c>
      <c r="V314" s="101" t="s">
        <v>60</v>
      </c>
      <c r="W314" s="103" t="s">
        <v>60</v>
      </c>
      <c r="X314" s="101" t="s">
        <v>60</v>
      </c>
      <c r="Y314" s="103" t="s">
        <v>60</v>
      </c>
      <c r="Z314" s="101" t="s">
        <v>60</v>
      </c>
      <c r="AA314" s="103" t="s">
        <v>60</v>
      </c>
      <c r="AB314" s="101" t="s">
        <v>60</v>
      </c>
      <c r="AC314" s="103" t="s">
        <v>60</v>
      </c>
      <c r="AD314" s="101" t="s">
        <v>60</v>
      </c>
      <c r="AE314" s="103" t="s">
        <v>60</v>
      </c>
      <c r="AF314" s="101" t="s">
        <v>60</v>
      </c>
      <c r="AG314" s="103" t="s">
        <v>60</v>
      </c>
      <c r="AH314" s="101" t="s">
        <v>60</v>
      </c>
      <c r="AI314" s="103" t="s">
        <v>60</v>
      </c>
      <c r="AJ314" s="71"/>
      <c r="AK314" s="166"/>
      <c r="AL314" s="326"/>
      <c r="AM314" s="157"/>
      <c r="AO314" s="94"/>
    </row>
    <row r="315" spans="1:41" s="120" customFormat="1" ht="22.9" customHeight="1" thickTop="1">
      <c r="A315" s="358"/>
      <c r="B315" s="379"/>
      <c r="C315" s="379"/>
      <c r="D315" s="157"/>
      <c r="E315" s="157"/>
      <c r="F315" s="345"/>
      <c r="G315" s="345"/>
      <c r="H315" s="345"/>
      <c r="I315" s="369"/>
      <c r="J315" s="372"/>
      <c r="K315" s="354" t="s">
        <v>74</v>
      </c>
      <c r="L315" s="104">
        <v>126338</v>
      </c>
      <c r="M315" s="105">
        <v>10633</v>
      </c>
      <c r="N315" s="105">
        <v>9846</v>
      </c>
      <c r="O315" s="106">
        <f>+M315+N315</f>
        <v>20479</v>
      </c>
      <c r="P315" s="105">
        <v>11676</v>
      </c>
      <c r="Q315" s="106">
        <f>+O315+P315</f>
        <v>32155</v>
      </c>
      <c r="R315" s="105">
        <v>10980</v>
      </c>
      <c r="S315" s="106">
        <f>+Q315+R315</f>
        <v>43135</v>
      </c>
      <c r="T315" s="105">
        <v>11282</v>
      </c>
      <c r="U315" s="106">
        <f>+S315+T315</f>
        <v>54417</v>
      </c>
      <c r="V315" s="105">
        <v>7942</v>
      </c>
      <c r="W315" s="106">
        <f>+U315+V315</f>
        <v>62359</v>
      </c>
      <c r="X315" s="105">
        <v>16250</v>
      </c>
      <c r="Y315" s="106">
        <f>+W315+X315</f>
        <v>78609</v>
      </c>
      <c r="Z315" s="105">
        <v>9542</v>
      </c>
      <c r="AA315" s="106">
        <f>+Y315+Z315</f>
        <v>88151</v>
      </c>
      <c r="AB315" s="105">
        <v>8172</v>
      </c>
      <c r="AC315" s="106">
        <f>+AA315+AB315</f>
        <v>96323</v>
      </c>
      <c r="AD315" s="105">
        <v>12491</v>
      </c>
      <c r="AE315" s="106">
        <f>+AC315+AD315</f>
        <v>108814</v>
      </c>
      <c r="AF315" s="105">
        <v>8231</v>
      </c>
      <c r="AG315" s="106">
        <f>+AE315+AF315</f>
        <v>117045</v>
      </c>
      <c r="AH315" s="105">
        <v>9293</v>
      </c>
      <c r="AI315" s="106">
        <f>+AG315+AH315</f>
        <v>126338</v>
      </c>
      <c r="AJ315" s="55">
        <f>+AI313/L313</f>
        <v>1</v>
      </c>
      <c r="AK315" s="166"/>
      <c r="AL315" s="326"/>
      <c r="AM315" s="157"/>
      <c r="AO315" s="94"/>
    </row>
    <row r="316" spans="1:41" s="120" customFormat="1" ht="22.9" customHeight="1">
      <c r="A316" s="358"/>
      <c r="B316" s="379"/>
      <c r="C316" s="379"/>
      <c r="D316" s="157"/>
      <c r="E316" s="157"/>
      <c r="F316" s="345"/>
      <c r="G316" s="345"/>
      <c r="H316" s="345"/>
      <c r="I316" s="369"/>
      <c r="J316" s="372"/>
      <c r="K316" s="375"/>
      <c r="L316" s="99" t="s">
        <v>126</v>
      </c>
      <c r="M316" s="107" t="s">
        <v>62</v>
      </c>
      <c r="N316" s="107" t="s">
        <v>62</v>
      </c>
      <c r="O316" s="108" t="s">
        <v>62</v>
      </c>
      <c r="P316" s="107" t="s">
        <v>62</v>
      </c>
      <c r="Q316" s="109" t="s">
        <v>62</v>
      </c>
      <c r="R316" s="107" t="s">
        <v>62</v>
      </c>
      <c r="S316" s="109" t="s">
        <v>62</v>
      </c>
      <c r="T316" s="107" t="s">
        <v>62</v>
      </c>
      <c r="U316" s="109" t="s">
        <v>62</v>
      </c>
      <c r="V316" s="107" t="s">
        <v>62</v>
      </c>
      <c r="W316" s="109" t="s">
        <v>62</v>
      </c>
      <c r="X316" s="107" t="s">
        <v>62</v>
      </c>
      <c r="Y316" s="109" t="s">
        <v>62</v>
      </c>
      <c r="Z316" s="107" t="s">
        <v>62</v>
      </c>
      <c r="AA316" s="109" t="s">
        <v>62</v>
      </c>
      <c r="AB316" s="107" t="s">
        <v>62</v>
      </c>
      <c r="AC316" s="109" t="s">
        <v>62</v>
      </c>
      <c r="AD316" s="107" t="s">
        <v>62</v>
      </c>
      <c r="AE316" s="109" t="s">
        <v>62</v>
      </c>
      <c r="AF316" s="107" t="s">
        <v>62</v>
      </c>
      <c r="AG316" s="109" t="s">
        <v>62</v>
      </c>
      <c r="AH316" s="107" t="s">
        <v>62</v>
      </c>
      <c r="AI316" s="109" t="s">
        <v>62</v>
      </c>
      <c r="AJ316" s="71"/>
      <c r="AK316" s="166"/>
      <c r="AL316" s="326"/>
      <c r="AM316" s="157"/>
      <c r="AO316" s="94"/>
    </row>
    <row r="317" spans="1:41" s="120" customFormat="1" ht="22.9" customHeight="1" thickBot="1">
      <c r="A317" s="359"/>
      <c r="B317" s="380"/>
      <c r="C317" s="380"/>
      <c r="D317" s="158"/>
      <c r="E317" s="158"/>
      <c r="F317" s="346"/>
      <c r="G317" s="346"/>
      <c r="H317" s="346"/>
      <c r="I317" s="370"/>
      <c r="J317" s="373"/>
      <c r="K317" s="376"/>
      <c r="L317" s="110">
        <v>131832</v>
      </c>
      <c r="M317" s="111">
        <v>11070</v>
      </c>
      <c r="N317" s="111">
        <v>10233</v>
      </c>
      <c r="O317" s="112">
        <f>+M317+N317</f>
        <v>21303</v>
      </c>
      <c r="P317" s="111">
        <v>12191</v>
      </c>
      <c r="Q317" s="112">
        <f>+O317+P317</f>
        <v>33494</v>
      </c>
      <c r="R317" s="111">
        <v>11611</v>
      </c>
      <c r="S317" s="112">
        <f>+Q317+R317</f>
        <v>45105</v>
      </c>
      <c r="T317" s="111">
        <v>11653</v>
      </c>
      <c r="U317" s="112">
        <f>+S317+T317</f>
        <v>56758</v>
      </c>
      <c r="V317" s="111">
        <v>8371</v>
      </c>
      <c r="W317" s="112">
        <f>+U317+V317</f>
        <v>65129</v>
      </c>
      <c r="X317" s="111">
        <v>17397</v>
      </c>
      <c r="Y317" s="112">
        <f>+W317+X317</f>
        <v>82526</v>
      </c>
      <c r="Z317" s="111">
        <v>10015</v>
      </c>
      <c r="AA317" s="112">
        <f>+Y317+Z317</f>
        <v>92541</v>
      </c>
      <c r="AB317" s="111">
        <v>8448</v>
      </c>
      <c r="AC317" s="112">
        <f>+AA317+AB317</f>
        <v>100989</v>
      </c>
      <c r="AD317" s="111">
        <v>13069</v>
      </c>
      <c r="AE317" s="112">
        <f>+AC317+AD317</f>
        <v>114058</v>
      </c>
      <c r="AF317" s="111">
        <v>8378</v>
      </c>
      <c r="AG317" s="112">
        <f>+AE317+AF317</f>
        <v>122436</v>
      </c>
      <c r="AH317" s="111">
        <v>9396</v>
      </c>
      <c r="AI317" s="112">
        <f>+AG317+AH317</f>
        <v>131832</v>
      </c>
      <c r="AJ317" s="72"/>
      <c r="AK317" s="167"/>
      <c r="AL317" s="327"/>
      <c r="AM317" s="158"/>
      <c r="AO317" s="94"/>
    </row>
    <row r="318" spans="1:41" ht="12.95" thickTop="1"/>
    <row r="319" spans="1:41" s="89" customFormat="1" ht="20.45" thickBot="1">
      <c r="A319" s="114" t="s">
        <v>127</v>
      </c>
      <c r="L319" s="90"/>
      <c r="M319" s="90"/>
      <c r="N319" s="90"/>
      <c r="O319" s="90"/>
      <c r="P319" s="90"/>
      <c r="Q319" s="90"/>
      <c r="R319" s="90"/>
      <c r="S319" s="90"/>
      <c r="T319" s="90"/>
      <c r="U319" s="90"/>
      <c r="V319" s="90"/>
      <c r="W319" s="90"/>
      <c r="X319" s="90"/>
      <c r="Y319" s="90"/>
      <c r="Z319" s="90"/>
      <c r="AA319" s="90"/>
      <c r="AB319" s="90"/>
      <c r="AC319" s="90"/>
      <c r="AD319" s="90"/>
      <c r="AE319" s="90"/>
      <c r="AF319" s="90"/>
      <c r="AG319" s="90"/>
      <c r="AH319" s="90"/>
      <c r="AI319" s="90"/>
      <c r="AJ319" s="90"/>
      <c r="AK319" s="90"/>
      <c r="AL319" s="90"/>
      <c r="AM319" s="90"/>
    </row>
    <row r="320" spans="1:41" s="94" customFormat="1" ht="22.9" customHeight="1" thickTop="1">
      <c r="A320" s="311" t="s">
        <v>10</v>
      </c>
      <c r="B320" s="311" t="s">
        <v>11</v>
      </c>
      <c r="C320" s="311" t="s">
        <v>12</v>
      </c>
      <c r="D320" s="241" t="s">
        <v>13</v>
      </c>
      <c r="E320" s="241" t="s">
        <v>14</v>
      </c>
      <c r="F320" s="241" t="s">
        <v>15</v>
      </c>
      <c r="G320" s="241" t="s">
        <v>16</v>
      </c>
      <c r="H320" s="241" t="s">
        <v>17</v>
      </c>
      <c r="I320" s="241" t="s">
        <v>118</v>
      </c>
      <c r="J320" s="241" t="s">
        <v>19</v>
      </c>
      <c r="K320" s="241" t="s">
        <v>20</v>
      </c>
      <c r="L320" s="241" t="s">
        <v>21</v>
      </c>
      <c r="M320" s="241" t="s">
        <v>22</v>
      </c>
      <c r="N320" s="241" t="s">
        <v>23</v>
      </c>
      <c r="O320" s="311" t="s">
        <v>24</v>
      </c>
      <c r="P320" s="241" t="s">
        <v>25</v>
      </c>
      <c r="Q320" s="241" t="s">
        <v>26</v>
      </c>
      <c r="R320" s="241" t="s">
        <v>27</v>
      </c>
      <c r="S320" s="241" t="s">
        <v>28</v>
      </c>
      <c r="T320" s="241" t="s">
        <v>29</v>
      </c>
      <c r="U320" s="311" t="s">
        <v>30</v>
      </c>
      <c r="V320" s="311" t="s">
        <v>31</v>
      </c>
      <c r="W320" s="241" t="s">
        <v>32</v>
      </c>
      <c r="X320" s="339" t="s">
        <v>33</v>
      </c>
      <c r="Y320" s="241" t="s">
        <v>34</v>
      </c>
      <c r="Z320" s="241" t="s">
        <v>35</v>
      </c>
      <c r="AA320" s="241" t="s">
        <v>36</v>
      </c>
      <c r="AB320" s="241" t="s">
        <v>37</v>
      </c>
      <c r="AC320" s="241" t="s">
        <v>38</v>
      </c>
      <c r="AD320" s="241" t="s">
        <v>39</v>
      </c>
      <c r="AE320" s="241" t="s">
        <v>40</v>
      </c>
      <c r="AF320" s="311" t="s">
        <v>41</v>
      </c>
      <c r="AG320" s="241" t="s">
        <v>42</v>
      </c>
      <c r="AH320" s="241" t="s">
        <v>43</v>
      </c>
      <c r="AI320" s="241" t="s">
        <v>143</v>
      </c>
      <c r="AJ320" s="241" t="s">
        <v>45</v>
      </c>
      <c r="AK320" s="241" t="s">
        <v>46</v>
      </c>
      <c r="AL320" s="241" t="s">
        <v>47</v>
      </c>
      <c r="AM320" s="241" t="s">
        <v>48</v>
      </c>
    </row>
    <row r="321" spans="1:41" s="94" customFormat="1" ht="22.9" customHeight="1" thickBot="1">
      <c r="A321" s="314"/>
      <c r="B321" s="314"/>
      <c r="C321" s="314"/>
      <c r="D321" s="242"/>
      <c r="E321" s="242"/>
      <c r="F321" s="242"/>
      <c r="G321" s="242"/>
      <c r="H321" s="242"/>
      <c r="I321" s="242"/>
      <c r="J321" s="242"/>
      <c r="K321" s="242"/>
      <c r="L321" s="313"/>
      <c r="M321" s="242"/>
      <c r="N321" s="242"/>
      <c r="O321" s="314"/>
      <c r="P321" s="242"/>
      <c r="Q321" s="242"/>
      <c r="R321" s="242"/>
      <c r="S321" s="310"/>
      <c r="T321" s="242"/>
      <c r="U321" s="312"/>
      <c r="V321" s="312"/>
      <c r="W321" s="310"/>
      <c r="X321" s="340"/>
      <c r="Y321" s="242"/>
      <c r="Z321" s="310"/>
      <c r="AA321" s="310"/>
      <c r="AB321" s="310"/>
      <c r="AC321" s="310"/>
      <c r="AD321" s="310"/>
      <c r="AE321" s="310"/>
      <c r="AF321" s="312"/>
      <c r="AG321" s="310"/>
      <c r="AH321" s="242"/>
      <c r="AI321" s="242">
        <v>2018</v>
      </c>
      <c r="AJ321" s="242"/>
      <c r="AK321" s="328"/>
      <c r="AL321" s="242"/>
      <c r="AM321" s="242"/>
    </row>
    <row r="322" spans="1:41" s="94" customFormat="1" ht="22.9" customHeight="1" thickTop="1">
      <c r="A322" s="357" t="s">
        <v>172</v>
      </c>
      <c r="B322" s="378" t="s">
        <v>173</v>
      </c>
      <c r="C322" s="378" t="s">
        <v>174</v>
      </c>
      <c r="D322" s="156" t="s">
        <v>122</v>
      </c>
      <c r="E322" s="156" t="s">
        <v>175</v>
      </c>
      <c r="F322" s="344" t="s">
        <v>176</v>
      </c>
      <c r="G322" s="344" t="s">
        <v>177</v>
      </c>
      <c r="H322" s="344" t="s">
        <v>176</v>
      </c>
      <c r="I322" s="368">
        <f>+L323</f>
        <v>0.95754867891224005</v>
      </c>
      <c r="J322" s="371">
        <v>0.1</v>
      </c>
      <c r="K322" s="374" t="s">
        <v>124</v>
      </c>
      <c r="L322" s="95" t="s">
        <v>57</v>
      </c>
      <c r="M322" s="96" t="s">
        <v>57</v>
      </c>
      <c r="N322" s="96" t="s">
        <v>57</v>
      </c>
      <c r="O322" s="97" t="s">
        <v>57</v>
      </c>
      <c r="P322" s="96" t="s">
        <v>57</v>
      </c>
      <c r="Q322" s="98" t="s">
        <v>57</v>
      </c>
      <c r="R322" s="96" t="s">
        <v>57</v>
      </c>
      <c r="S322" s="98" t="s">
        <v>57</v>
      </c>
      <c r="T322" s="96" t="s">
        <v>57</v>
      </c>
      <c r="U322" s="98" t="s">
        <v>57</v>
      </c>
      <c r="V322" s="96" t="s">
        <v>57</v>
      </c>
      <c r="W322" s="98" t="s">
        <v>57</v>
      </c>
      <c r="X322" s="96" t="s">
        <v>57</v>
      </c>
      <c r="Y322" s="98" t="s">
        <v>57</v>
      </c>
      <c r="Z322" s="96" t="s">
        <v>57</v>
      </c>
      <c r="AA322" s="98" t="s">
        <v>57</v>
      </c>
      <c r="AB322" s="96" t="s">
        <v>57</v>
      </c>
      <c r="AC322" s="98" t="s">
        <v>57</v>
      </c>
      <c r="AD322" s="96" t="s">
        <v>57</v>
      </c>
      <c r="AE322" s="98" t="s">
        <v>57</v>
      </c>
      <c r="AF322" s="96" t="s">
        <v>57</v>
      </c>
      <c r="AG322" s="98" t="s">
        <v>57</v>
      </c>
      <c r="AH322" s="96" t="s">
        <v>57</v>
      </c>
      <c r="AI322" s="98" t="s">
        <v>57</v>
      </c>
      <c r="AJ322" s="67"/>
      <c r="AK322" s="165" t="s">
        <v>72</v>
      </c>
      <c r="AL322" s="325"/>
      <c r="AM322" s="156" t="s">
        <v>125</v>
      </c>
    </row>
    <row r="323" spans="1:41" s="94" customFormat="1" ht="22.9" customHeight="1">
      <c r="A323" s="358"/>
      <c r="B323" s="379"/>
      <c r="C323" s="379"/>
      <c r="D323" s="157"/>
      <c r="E323" s="157"/>
      <c r="F323" s="345"/>
      <c r="G323" s="345"/>
      <c r="H323" s="345"/>
      <c r="I323" s="369"/>
      <c r="J323" s="372"/>
      <c r="K323" s="354"/>
      <c r="L323" s="41">
        <f>IF(L325&lt;&gt;0,+L325/L327,0%)</f>
        <v>0.95754867891224005</v>
      </c>
      <c r="M323" s="58">
        <f>IF(M325&lt;&gt;0,+M325/M327,0%)</f>
        <v>0.95760898635998926</v>
      </c>
      <c r="N323" s="61">
        <f>IF(N325&lt;&gt;0,+N325/N327,0%)</f>
        <v>0.96145925272138866</v>
      </c>
      <c r="O323" s="57">
        <f t="shared" ref="O323" si="460">IF(O325&lt;&gt;0,+O325/O327,0%)</f>
        <v>0.95944242084617537</v>
      </c>
      <c r="P323" s="61">
        <f>IF(P325&lt;&gt;0,ROUND(+P325/P327,4),0%)</f>
        <v>0.95740000000000003</v>
      </c>
      <c r="Q323" s="62">
        <f t="shared" ref="Q323" si="461">IF(Q325&lt;&gt;0,+Q325/Q327,0%)</f>
        <v>0.95872530044560467</v>
      </c>
      <c r="R323" s="63">
        <f>IF(R325&lt;&gt;0,ROUND(+R325/R327,4),0%)</f>
        <v>0.94410000000000005</v>
      </c>
      <c r="S323" s="62">
        <f t="shared" ref="S323" si="462">IF(S325&lt;&gt;0,+S325/S327,0%)</f>
        <v>0.9549432197728791</v>
      </c>
      <c r="T323" s="63">
        <f>IF(T325&lt;&gt;0,ROUND(+T325/T327,4),0%)</f>
        <v>0.9667</v>
      </c>
      <c r="U323" s="62">
        <f t="shared" ref="U323" si="463">IF(U325&lt;&gt;0,+U325/U327,0%)</f>
        <v>0.95732907688214952</v>
      </c>
      <c r="V323" s="63">
        <f>IF(V325&lt;&gt;0,ROUND(+V325/V327,4),0%)</f>
        <v>0.94469999999999998</v>
      </c>
      <c r="W323" s="62">
        <f t="shared" ref="W323" si="464">IF(W325&lt;&gt;0,+W325/W327,0%)</f>
        <v>0.95574994765372356</v>
      </c>
      <c r="X323" s="63">
        <f>IF(X325&lt;&gt;0,ROUND(+X325/X327,4),0%)</f>
        <v>0.93789999999999996</v>
      </c>
      <c r="Y323" s="62">
        <f t="shared" ref="Y323" si="465">IF(Y325&lt;&gt;0,+Y325/Y327,0%)</f>
        <v>0.95175890292156762</v>
      </c>
      <c r="Z323" s="64">
        <f>IF(Z325&lt;&gt;0,ROUND(+Z325/Z327,4),0%)</f>
        <v>0.95630000000000004</v>
      </c>
      <c r="AA323" s="62">
        <f t="shared" ref="AA323" si="466">IF(AA325&lt;&gt;0,+AA325/AA327,0%)</f>
        <v>0.95226787748487818</v>
      </c>
      <c r="AB323" s="63">
        <f>IF(AB325&lt;&gt;0,ROUND(+AB325/AB327,4),0%)</f>
        <v>0.96650000000000003</v>
      </c>
      <c r="AC323" s="62">
        <f t="shared" ref="AC323" si="467">IF(AC325&lt;&gt;0,+AC325/AC327,0%)</f>
        <v>0.9534904180290612</v>
      </c>
      <c r="AD323" s="63">
        <f>IF(AD325&lt;&gt;0,ROUND(+AD325/AD327,4),0%)</f>
        <v>0.9496</v>
      </c>
      <c r="AE323" s="62">
        <f t="shared" ref="AE323" si="468">IF(AE325&lt;&gt;0,+AE325/AE327,0%)</f>
        <v>0.95300294531950314</v>
      </c>
      <c r="AF323" s="63">
        <f>IF(AF325&lt;&gt;0,ROUND(+AF325/AF327,4),0%)</f>
        <v>0.98199999999999998</v>
      </c>
      <c r="AG323" s="62">
        <f t="shared" ref="AG323" si="469">IF(AG325&lt;&gt;0,+AG325/AG327,0%)</f>
        <v>0.95507728894173605</v>
      </c>
      <c r="AH323" s="63">
        <f>IF(AH325&lt;&gt;0,ROUND(+AH325/AH327,4),0%)</f>
        <v>0.98929999999999996</v>
      </c>
      <c r="AI323" s="62">
        <f>IF(AI325&lt;&gt;0,+AI325/AI327,0%)</f>
        <v>0.95754867891224005</v>
      </c>
      <c r="AJ323" s="68"/>
      <c r="AK323" s="166"/>
      <c r="AL323" s="326"/>
      <c r="AM323" s="157"/>
    </row>
    <row r="324" spans="1:41" s="94" customFormat="1" ht="22.9" customHeight="1" thickBot="1">
      <c r="A324" s="358"/>
      <c r="B324" s="379"/>
      <c r="C324" s="379"/>
      <c r="D324" s="157"/>
      <c r="E324" s="157"/>
      <c r="F324" s="345"/>
      <c r="G324" s="345"/>
      <c r="H324" s="345"/>
      <c r="I324" s="369"/>
      <c r="J324" s="372"/>
      <c r="K324" s="376"/>
      <c r="L324" s="99"/>
      <c r="M324" s="101" t="s">
        <v>60</v>
      </c>
      <c r="N324" s="101" t="s">
        <v>60</v>
      </c>
      <c r="O324" s="102" t="s">
        <v>60</v>
      </c>
      <c r="P324" s="101" t="s">
        <v>60</v>
      </c>
      <c r="Q324" s="103" t="s">
        <v>60</v>
      </c>
      <c r="R324" s="101" t="s">
        <v>60</v>
      </c>
      <c r="S324" s="103" t="s">
        <v>60</v>
      </c>
      <c r="T324" s="101" t="s">
        <v>60</v>
      </c>
      <c r="U324" s="103" t="s">
        <v>60</v>
      </c>
      <c r="V324" s="101" t="s">
        <v>60</v>
      </c>
      <c r="W324" s="103" t="s">
        <v>60</v>
      </c>
      <c r="X324" s="101" t="s">
        <v>60</v>
      </c>
      <c r="Y324" s="103" t="s">
        <v>60</v>
      </c>
      <c r="Z324" s="101" t="s">
        <v>60</v>
      </c>
      <c r="AA324" s="103" t="s">
        <v>60</v>
      </c>
      <c r="AB324" s="101" t="s">
        <v>60</v>
      </c>
      <c r="AC324" s="103" t="s">
        <v>60</v>
      </c>
      <c r="AD324" s="101" t="s">
        <v>60</v>
      </c>
      <c r="AE324" s="103" t="s">
        <v>60</v>
      </c>
      <c r="AF324" s="101" t="s">
        <v>60</v>
      </c>
      <c r="AG324" s="103" t="s">
        <v>60</v>
      </c>
      <c r="AH324" s="101" t="s">
        <v>60</v>
      </c>
      <c r="AI324" s="103" t="s">
        <v>60</v>
      </c>
      <c r="AJ324" s="68"/>
      <c r="AK324" s="166"/>
      <c r="AL324" s="326"/>
      <c r="AM324" s="157"/>
    </row>
    <row r="325" spans="1:41" s="94" customFormat="1" ht="22.9" customHeight="1" thickTop="1">
      <c r="A325" s="358"/>
      <c r="B325" s="379"/>
      <c r="C325" s="379"/>
      <c r="D325" s="157"/>
      <c r="E325" s="157"/>
      <c r="F325" s="345"/>
      <c r="G325" s="345"/>
      <c r="H325" s="345"/>
      <c r="I325" s="369"/>
      <c r="J325" s="372"/>
      <c r="K325" s="354" t="s">
        <v>74</v>
      </c>
      <c r="L325" s="104">
        <v>86797</v>
      </c>
      <c r="M325" s="105">
        <v>7161</v>
      </c>
      <c r="N325" s="105">
        <v>6536</v>
      </c>
      <c r="O325" s="106">
        <f>+M325+N325</f>
        <v>13697</v>
      </c>
      <c r="P325" s="105">
        <v>7603</v>
      </c>
      <c r="Q325" s="106">
        <f>+O325+P325</f>
        <v>21300</v>
      </c>
      <c r="R325" s="105">
        <v>7291</v>
      </c>
      <c r="S325" s="106">
        <f>+Q325+R325</f>
        <v>28591</v>
      </c>
      <c r="T325" s="105">
        <v>7395</v>
      </c>
      <c r="U325" s="106">
        <f>+S325+T325</f>
        <v>35986</v>
      </c>
      <c r="V325" s="105">
        <v>5095</v>
      </c>
      <c r="W325" s="106">
        <f>+U325+V325</f>
        <v>41081</v>
      </c>
      <c r="X325" s="105">
        <v>11596</v>
      </c>
      <c r="Y325" s="106">
        <f>+W325+X325</f>
        <v>52677</v>
      </c>
      <c r="Z325" s="105">
        <v>6675</v>
      </c>
      <c r="AA325" s="106">
        <f>+Y325+Z325</f>
        <v>59352</v>
      </c>
      <c r="AB325" s="105">
        <v>5677</v>
      </c>
      <c r="AC325" s="106">
        <f>+AA325+AB325</f>
        <v>65029</v>
      </c>
      <c r="AD325" s="105">
        <v>9391</v>
      </c>
      <c r="AE325" s="106">
        <f>+AC325+AD325</f>
        <v>74420</v>
      </c>
      <c r="AF325" s="105">
        <v>5902</v>
      </c>
      <c r="AG325" s="106">
        <f>+AE325+AF325</f>
        <v>80322</v>
      </c>
      <c r="AH325" s="105">
        <v>6475</v>
      </c>
      <c r="AI325" s="106">
        <f>SUM(AG325:AH325)</f>
        <v>86797</v>
      </c>
      <c r="AJ325" s="29">
        <f>+AI323/L323</f>
        <v>1</v>
      </c>
      <c r="AK325" s="166"/>
      <c r="AL325" s="326"/>
      <c r="AM325" s="157"/>
    </row>
    <row r="326" spans="1:41" s="94" customFormat="1" ht="22.9" customHeight="1">
      <c r="A326" s="358"/>
      <c r="B326" s="379"/>
      <c r="C326" s="379"/>
      <c r="D326" s="157"/>
      <c r="E326" s="157"/>
      <c r="F326" s="345"/>
      <c r="G326" s="345"/>
      <c r="H326" s="345"/>
      <c r="I326" s="369"/>
      <c r="J326" s="372"/>
      <c r="K326" s="375"/>
      <c r="L326" s="99" t="s">
        <v>126</v>
      </c>
      <c r="M326" s="107" t="s">
        <v>62</v>
      </c>
      <c r="N326" s="107" t="s">
        <v>62</v>
      </c>
      <c r="O326" s="108" t="s">
        <v>62</v>
      </c>
      <c r="P326" s="107" t="s">
        <v>62</v>
      </c>
      <c r="Q326" s="109" t="s">
        <v>62</v>
      </c>
      <c r="R326" s="107"/>
      <c r="S326" s="109" t="s">
        <v>62</v>
      </c>
      <c r="T326" s="107" t="s">
        <v>62</v>
      </c>
      <c r="U326" s="109" t="s">
        <v>62</v>
      </c>
      <c r="V326" s="107" t="s">
        <v>62</v>
      </c>
      <c r="W326" s="109" t="s">
        <v>62</v>
      </c>
      <c r="X326" s="107" t="s">
        <v>62</v>
      </c>
      <c r="Y326" s="109" t="s">
        <v>62</v>
      </c>
      <c r="Z326" s="107" t="s">
        <v>62</v>
      </c>
      <c r="AA326" s="109" t="s">
        <v>62</v>
      </c>
      <c r="AB326" s="107" t="s">
        <v>62</v>
      </c>
      <c r="AC326" s="109" t="s">
        <v>62</v>
      </c>
      <c r="AD326" s="107" t="s">
        <v>62</v>
      </c>
      <c r="AE326" s="109" t="s">
        <v>62</v>
      </c>
      <c r="AF326" s="107" t="s">
        <v>62</v>
      </c>
      <c r="AG326" s="109" t="s">
        <v>62</v>
      </c>
      <c r="AH326" s="107" t="s">
        <v>62</v>
      </c>
      <c r="AI326" s="108" t="s">
        <v>62</v>
      </c>
      <c r="AJ326" s="68"/>
      <c r="AK326" s="166"/>
      <c r="AL326" s="326"/>
      <c r="AM326" s="157"/>
    </row>
    <row r="327" spans="1:41" s="94" customFormat="1" ht="22.9" customHeight="1" thickBot="1">
      <c r="A327" s="359"/>
      <c r="B327" s="380"/>
      <c r="C327" s="380"/>
      <c r="D327" s="158"/>
      <c r="E327" s="158"/>
      <c r="F327" s="346"/>
      <c r="G327" s="346"/>
      <c r="H327" s="346"/>
      <c r="I327" s="370"/>
      <c r="J327" s="373"/>
      <c r="K327" s="376"/>
      <c r="L327" s="110">
        <v>90645</v>
      </c>
      <c r="M327" s="111">
        <v>7478</v>
      </c>
      <c r="N327" s="111">
        <v>6798</v>
      </c>
      <c r="O327" s="112">
        <f t="shared" ref="O327" si="470">+M327+N327</f>
        <v>14276</v>
      </c>
      <c r="P327" s="111">
        <v>7941</v>
      </c>
      <c r="Q327" s="112">
        <f t="shared" ref="Q327" si="471">+O327+P327</f>
        <v>22217</v>
      </c>
      <c r="R327" s="111">
        <v>7723</v>
      </c>
      <c r="S327" s="112">
        <f t="shared" ref="S327" si="472">+Q327+R327</f>
        <v>29940</v>
      </c>
      <c r="T327" s="111">
        <v>7650</v>
      </c>
      <c r="U327" s="112">
        <f t="shared" ref="U327" si="473">+S327+T327</f>
        <v>37590</v>
      </c>
      <c r="V327" s="111">
        <v>5393</v>
      </c>
      <c r="W327" s="112">
        <f t="shared" ref="W327" si="474">+U327+V327</f>
        <v>42983</v>
      </c>
      <c r="X327" s="111">
        <v>12364</v>
      </c>
      <c r="Y327" s="112">
        <f t="shared" ref="Y327" si="475">+W327+X327</f>
        <v>55347</v>
      </c>
      <c r="Z327" s="111">
        <v>6980</v>
      </c>
      <c r="AA327" s="112">
        <f t="shared" ref="AA327" si="476">+Y327+Z327</f>
        <v>62327</v>
      </c>
      <c r="AB327" s="111">
        <v>5874</v>
      </c>
      <c r="AC327" s="112">
        <f t="shared" ref="AC327" si="477">+AA327+AB327</f>
        <v>68201</v>
      </c>
      <c r="AD327" s="111">
        <v>9889</v>
      </c>
      <c r="AE327" s="112">
        <f t="shared" ref="AE327" si="478">+AC327+AD327</f>
        <v>78090</v>
      </c>
      <c r="AF327" s="111">
        <v>6010</v>
      </c>
      <c r="AG327" s="112">
        <f t="shared" ref="AG327" si="479">+AE327+AF327</f>
        <v>84100</v>
      </c>
      <c r="AH327" s="111">
        <v>6545</v>
      </c>
      <c r="AI327" s="112">
        <f>SUM(AG327:AH327)</f>
        <v>90645</v>
      </c>
      <c r="AJ327" s="69"/>
      <c r="AK327" s="167"/>
      <c r="AL327" s="327"/>
      <c r="AM327" s="158"/>
      <c r="AO327" s="115"/>
    </row>
    <row r="328" spans="1:41" ht="12.95" thickTop="1"/>
    <row r="329" spans="1:41" s="89" customFormat="1" ht="20.45" thickBot="1">
      <c r="A329" s="114" t="s">
        <v>128</v>
      </c>
      <c r="C329" s="89">
        <v>0</v>
      </c>
      <c r="L329" s="90"/>
      <c r="M329" s="90"/>
      <c r="N329" s="90"/>
      <c r="O329" s="90"/>
      <c r="P329" s="90"/>
      <c r="Q329" s="90"/>
      <c r="R329" s="90"/>
      <c r="S329" s="90"/>
      <c r="T329" s="90"/>
      <c r="U329" s="90"/>
      <c r="V329" s="90"/>
      <c r="W329" s="90"/>
      <c r="X329" s="90"/>
      <c r="Y329" s="90"/>
      <c r="Z329" s="90"/>
      <c r="AA329" s="90"/>
      <c r="AB329" s="90"/>
      <c r="AC329" s="90"/>
      <c r="AD329" s="90"/>
      <c r="AE329" s="90"/>
      <c r="AF329" s="90"/>
      <c r="AG329" s="90"/>
      <c r="AH329" s="90"/>
      <c r="AI329" s="90"/>
      <c r="AJ329" s="90"/>
      <c r="AK329" s="90"/>
      <c r="AL329" s="90"/>
      <c r="AM329" s="90"/>
    </row>
    <row r="330" spans="1:41" s="94" customFormat="1" ht="22.9" customHeight="1" thickTop="1">
      <c r="A330" s="311" t="s">
        <v>10</v>
      </c>
      <c r="B330" s="311" t="s">
        <v>11</v>
      </c>
      <c r="C330" s="311" t="s">
        <v>12</v>
      </c>
      <c r="D330" s="241" t="s">
        <v>13</v>
      </c>
      <c r="E330" s="241" t="s">
        <v>14</v>
      </c>
      <c r="F330" s="241" t="s">
        <v>15</v>
      </c>
      <c r="G330" s="241" t="s">
        <v>16</v>
      </c>
      <c r="H330" s="241" t="s">
        <v>17</v>
      </c>
      <c r="I330" s="241" t="s">
        <v>118</v>
      </c>
      <c r="J330" s="241" t="s">
        <v>19</v>
      </c>
      <c r="K330" s="241" t="s">
        <v>20</v>
      </c>
      <c r="L330" s="241" t="s">
        <v>21</v>
      </c>
      <c r="M330" s="241" t="s">
        <v>22</v>
      </c>
      <c r="N330" s="241" t="s">
        <v>23</v>
      </c>
      <c r="O330" s="311" t="s">
        <v>24</v>
      </c>
      <c r="P330" s="241" t="s">
        <v>25</v>
      </c>
      <c r="Q330" s="241" t="s">
        <v>26</v>
      </c>
      <c r="R330" s="241" t="s">
        <v>27</v>
      </c>
      <c r="S330" s="241" t="s">
        <v>28</v>
      </c>
      <c r="T330" s="241" t="s">
        <v>29</v>
      </c>
      <c r="U330" s="311" t="s">
        <v>30</v>
      </c>
      <c r="V330" s="311" t="s">
        <v>31</v>
      </c>
      <c r="W330" s="241" t="s">
        <v>32</v>
      </c>
      <c r="X330" s="339" t="s">
        <v>33</v>
      </c>
      <c r="Y330" s="241" t="s">
        <v>34</v>
      </c>
      <c r="Z330" s="241" t="s">
        <v>35</v>
      </c>
      <c r="AA330" s="241" t="s">
        <v>36</v>
      </c>
      <c r="AB330" s="241" t="s">
        <v>37</v>
      </c>
      <c r="AC330" s="241" t="s">
        <v>38</v>
      </c>
      <c r="AD330" s="241" t="s">
        <v>39</v>
      </c>
      <c r="AE330" s="241" t="s">
        <v>40</v>
      </c>
      <c r="AF330" s="311" t="s">
        <v>41</v>
      </c>
      <c r="AG330" s="241" t="s">
        <v>42</v>
      </c>
      <c r="AH330" s="241" t="s">
        <v>43</v>
      </c>
      <c r="AI330" s="241" t="s">
        <v>143</v>
      </c>
      <c r="AJ330" s="241" t="s">
        <v>45</v>
      </c>
      <c r="AK330" s="241" t="s">
        <v>46</v>
      </c>
      <c r="AL330" s="241" t="s">
        <v>47</v>
      </c>
      <c r="AM330" s="241" t="s">
        <v>48</v>
      </c>
    </row>
    <row r="331" spans="1:41" s="94" customFormat="1" ht="22.9" customHeight="1" thickBot="1">
      <c r="A331" s="314"/>
      <c r="B331" s="314"/>
      <c r="C331" s="314"/>
      <c r="D331" s="242"/>
      <c r="E331" s="242"/>
      <c r="F331" s="242"/>
      <c r="G331" s="242"/>
      <c r="H331" s="242"/>
      <c r="I331" s="242"/>
      <c r="J331" s="242"/>
      <c r="K331" s="242"/>
      <c r="L331" s="313"/>
      <c r="M331" s="242"/>
      <c r="N331" s="242"/>
      <c r="O331" s="314"/>
      <c r="P331" s="242"/>
      <c r="Q331" s="242"/>
      <c r="R331" s="242"/>
      <c r="S331" s="310"/>
      <c r="T331" s="242"/>
      <c r="U331" s="312"/>
      <c r="V331" s="312"/>
      <c r="W331" s="310"/>
      <c r="X331" s="340"/>
      <c r="Y331" s="242"/>
      <c r="Z331" s="310"/>
      <c r="AA331" s="310"/>
      <c r="AB331" s="310"/>
      <c r="AC331" s="310"/>
      <c r="AD331" s="310"/>
      <c r="AE331" s="310"/>
      <c r="AF331" s="312"/>
      <c r="AG331" s="310"/>
      <c r="AH331" s="242"/>
      <c r="AI331" s="242">
        <v>2018</v>
      </c>
      <c r="AJ331" s="242"/>
      <c r="AK331" s="328"/>
      <c r="AL331" s="242"/>
      <c r="AM331" s="242"/>
    </row>
    <row r="332" spans="1:41" s="94" customFormat="1" ht="22.9" customHeight="1" thickTop="1">
      <c r="A332" s="357" t="s">
        <v>172</v>
      </c>
      <c r="B332" s="378" t="s">
        <v>173</v>
      </c>
      <c r="C332" s="378" t="s">
        <v>174</v>
      </c>
      <c r="D332" s="156" t="s">
        <v>122</v>
      </c>
      <c r="E332" s="156" t="s">
        <v>175</v>
      </c>
      <c r="F332" s="344" t="s">
        <v>176</v>
      </c>
      <c r="G332" s="344" t="s">
        <v>177</v>
      </c>
      <c r="H332" s="344" t="s">
        <v>176</v>
      </c>
      <c r="I332" s="368">
        <f>+L333</f>
        <v>0.96003593366839046</v>
      </c>
      <c r="J332" s="371">
        <v>0.1</v>
      </c>
      <c r="K332" s="374" t="s">
        <v>124</v>
      </c>
      <c r="L332" s="95" t="s">
        <v>57</v>
      </c>
      <c r="M332" s="96" t="s">
        <v>57</v>
      </c>
      <c r="N332" s="96" t="s">
        <v>57</v>
      </c>
      <c r="O332" s="97" t="s">
        <v>57</v>
      </c>
      <c r="P332" s="96" t="s">
        <v>57</v>
      </c>
      <c r="Q332" s="98" t="s">
        <v>57</v>
      </c>
      <c r="R332" s="96" t="s">
        <v>57</v>
      </c>
      <c r="S332" s="98" t="s">
        <v>57</v>
      </c>
      <c r="T332" s="96" t="s">
        <v>57</v>
      </c>
      <c r="U332" s="98" t="s">
        <v>57</v>
      </c>
      <c r="V332" s="96" t="s">
        <v>57</v>
      </c>
      <c r="W332" s="98" t="s">
        <v>57</v>
      </c>
      <c r="X332" s="96" t="s">
        <v>57</v>
      </c>
      <c r="Y332" s="98" t="s">
        <v>57</v>
      </c>
      <c r="Z332" s="96" t="s">
        <v>57</v>
      </c>
      <c r="AA332" s="98" t="s">
        <v>57</v>
      </c>
      <c r="AB332" s="96" t="s">
        <v>57</v>
      </c>
      <c r="AC332" s="98" t="s">
        <v>57</v>
      </c>
      <c r="AD332" s="96" t="s">
        <v>57</v>
      </c>
      <c r="AE332" s="98" t="s">
        <v>57</v>
      </c>
      <c r="AF332" s="96" t="s">
        <v>57</v>
      </c>
      <c r="AG332" s="98" t="s">
        <v>57</v>
      </c>
      <c r="AH332" s="96" t="s">
        <v>57</v>
      </c>
      <c r="AI332" s="98" t="s">
        <v>57</v>
      </c>
      <c r="AJ332" s="67"/>
      <c r="AK332" s="165" t="s">
        <v>72</v>
      </c>
      <c r="AL332" s="325"/>
      <c r="AM332" s="156" t="s">
        <v>125</v>
      </c>
    </row>
    <row r="333" spans="1:41" s="94" customFormat="1" ht="22.9" customHeight="1">
      <c r="A333" s="358"/>
      <c r="B333" s="379"/>
      <c r="C333" s="379"/>
      <c r="D333" s="157"/>
      <c r="E333" s="157"/>
      <c r="F333" s="345"/>
      <c r="G333" s="345"/>
      <c r="H333" s="345"/>
      <c r="I333" s="369"/>
      <c r="J333" s="372"/>
      <c r="K333" s="354"/>
      <c r="L333" s="41">
        <f>IF(L335&lt;&gt;0,+L335/L337,0%)</f>
        <v>0.96003593366839046</v>
      </c>
      <c r="M333" s="58">
        <f>IF(M335&lt;&gt;0,+M335/M337,0%)</f>
        <v>0.96659242761692654</v>
      </c>
      <c r="N333" s="61">
        <f>IF(N335&lt;&gt;0,+N335/N337,0%)</f>
        <v>0.96360989810771469</v>
      </c>
      <c r="O333" s="57">
        <f t="shared" ref="O333" si="480">IF(O335&lt;&gt;0,+O335/O337,0%)</f>
        <v>0.96513448128646651</v>
      </c>
      <c r="P333" s="61">
        <f>IF(P335&lt;&gt;0,ROUND(+P335/P337,4),0%)</f>
        <v>0.95840000000000003</v>
      </c>
      <c r="Q333" s="62">
        <f t="shared" ref="Q333" si="481">IF(Q335&lt;&gt;0,+Q335/Q337,0%)</f>
        <v>0.96257870000886758</v>
      </c>
      <c r="R333" s="63">
        <f>IF(R335&lt;&gt;0,ROUND(+R335/R337,4),0%)</f>
        <v>0.94879999999999998</v>
      </c>
      <c r="S333" s="62">
        <f t="shared" ref="S333" si="482">IF(S335&lt;&gt;0,+S335/S337,0%)</f>
        <v>0.95905044510385762</v>
      </c>
      <c r="T333" s="63">
        <f>IF(T335&lt;&gt;0,ROUND(+T335/T337,4),0%)</f>
        <v>0.97099999999999997</v>
      </c>
      <c r="U333" s="62">
        <f t="shared" ref="U333" si="483">IF(U335&lt;&gt;0,+U335/U337,0%)</f>
        <v>0.96155050083472449</v>
      </c>
      <c r="V333" s="63">
        <f>IF(V335&lt;&gt;0,ROUND(+V335/V337,4),0%)</f>
        <v>0.95599999999999996</v>
      </c>
      <c r="W333" s="62">
        <f t="shared" ref="W333" si="484">IF(W335&lt;&gt;0,+W335/W337,0%)</f>
        <v>0.96080556308136911</v>
      </c>
      <c r="X333" s="63">
        <f>IF(X335&lt;&gt;0,ROUND(+X335/X337,4),0%)</f>
        <v>0.92469999999999997</v>
      </c>
      <c r="Y333" s="62">
        <f t="shared" ref="Y333" si="485">IF(Y335&lt;&gt;0,+Y335/Y337,0%)</f>
        <v>0.95411898892527314</v>
      </c>
      <c r="Z333" s="64">
        <f>IF(Z335&lt;&gt;0,ROUND(+Z335/Z337,4),0%)</f>
        <v>0.9446</v>
      </c>
      <c r="AA333" s="62">
        <f t="shared" ref="AA333" si="486">IF(AA335&lt;&gt;0,+AA335/AA337,0%)</f>
        <v>0.95316740583835313</v>
      </c>
      <c r="AB333" s="63">
        <f>IF(AB335&lt;&gt;0,ROUND(+AB335/AB337,4),0%)</f>
        <v>0.96930000000000005</v>
      </c>
      <c r="AC333" s="62">
        <f t="shared" ref="AC333" si="487">IF(AC335&lt;&gt;0,+AC335/AC337,0%)</f>
        <v>0.95443454922532633</v>
      </c>
      <c r="AD333" s="63">
        <f>IF(AD335&lt;&gt;0,ROUND(+AD335/AD337,4),0%)</f>
        <v>0.9748</v>
      </c>
      <c r="AE333" s="62">
        <f t="shared" ref="AE333" si="488">IF(AE335&lt;&gt;0,+AE335/AE337,0%)</f>
        <v>0.95623887900355875</v>
      </c>
      <c r="AF333" s="63">
        <f>IF(AF335&lt;&gt;0,ROUND(+AF335/AF337,4),0%)</f>
        <v>0.98350000000000004</v>
      </c>
      <c r="AG333" s="62">
        <f t="shared" ref="AG333" si="489">IF(AG335&lt;&gt;0,+AG335/AG337,0%)</f>
        <v>0.95792466611018368</v>
      </c>
      <c r="AH333" s="63">
        <f>IF(AH335&lt;&gt;0,ROUND(+AH335/AH337,4),0%)</f>
        <v>0.98839999999999995</v>
      </c>
      <c r="AI333" s="62">
        <f>IF(AI335&lt;&gt;0,+AI335/AI337,0%)</f>
        <v>0.96003593366839046</v>
      </c>
      <c r="AJ333" s="68"/>
      <c r="AK333" s="166"/>
      <c r="AL333" s="326"/>
      <c r="AM333" s="157"/>
    </row>
    <row r="334" spans="1:41" s="94" customFormat="1" ht="22.9" customHeight="1" thickBot="1">
      <c r="A334" s="358"/>
      <c r="B334" s="379"/>
      <c r="C334" s="379"/>
      <c r="D334" s="157"/>
      <c r="E334" s="157"/>
      <c r="F334" s="345"/>
      <c r="G334" s="345"/>
      <c r="H334" s="345"/>
      <c r="I334" s="369"/>
      <c r="J334" s="372"/>
      <c r="K334" s="376"/>
      <c r="L334" s="99"/>
      <c r="M334" s="101" t="s">
        <v>60</v>
      </c>
      <c r="N334" s="101" t="s">
        <v>60</v>
      </c>
      <c r="O334" s="102" t="s">
        <v>60</v>
      </c>
      <c r="P334" s="101" t="s">
        <v>60</v>
      </c>
      <c r="Q334" s="103" t="s">
        <v>60</v>
      </c>
      <c r="R334" s="101" t="s">
        <v>60</v>
      </c>
      <c r="S334" s="103" t="s">
        <v>60</v>
      </c>
      <c r="T334" s="101" t="s">
        <v>60</v>
      </c>
      <c r="U334" s="103" t="s">
        <v>60</v>
      </c>
      <c r="V334" s="101" t="s">
        <v>60</v>
      </c>
      <c r="W334" s="103" t="s">
        <v>60</v>
      </c>
      <c r="X334" s="101" t="s">
        <v>60</v>
      </c>
      <c r="Y334" s="103" t="s">
        <v>60</v>
      </c>
      <c r="Z334" s="101" t="s">
        <v>60</v>
      </c>
      <c r="AA334" s="103" t="s">
        <v>60</v>
      </c>
      <c r="AB334" s="101" t="s">
        <v>60</v>
      </c>
      <c r="AC334" s="103" t="s">
        <v>60</v>
      </c>
      <c r="AD334" s="101" t="s">
        <v>60</v>
      </c>
      <c r="AE334" s="103" t="s">
        <v>60</v>
      </c>
      <c r="AF334" s="101" t="s">
        <v>60</v>
      </c>
      <c r="AG334" s="103" t="s">
        <v>60</v>
      </c>
      <c r="AH334" s="101" t="s">
        <v>60</v>
      </c>
      <c r="AI334" s="103" t="s">
        <v>60</v>
      </c>
      <c r="AJ334" s="68"/>
      <c r="AK334" s="166"/>
      <c r="AL334" s="326"/>
      <c r="AM334" s="157"/>
    </row>
    <row r="335" spans="1:41" s="94" customFormat="1" ht="22.9" customHeight="1" thickTop="1">
      <c r="A335" s="358"/>
      <c r="B335" s="379"/>
      <c r="C335" s="379"/>
      <c r="D335" s="157"/>
      <c r="E335" s="157"/>
      <c r="F335" s="345"/>
      <c r="G335" s="345"/>
      <c r="H335" s="345"/>
      <c r="I335" s="369"/>
      <c r="J335" s="372"/>
      <c r="K335" s="354" t="s">
        <v>74</v>
      </c>
      <c r="L335" s="104">
        <v>39541</v>
      </c>
      <c r="M335" s="105">
        <v>3472</v>
      </c>
      <c r="N335" s="105">
        <v>3310</v>
      </c>
      <c r="O335" s="106">
        <f>+M335+N335</f>
        <v>6782</v>
      </c>
      <c r="P335" s="105">
        <v>4073</v>
      </c>
      <c r="Q335" s="106">
        <f>+O335+P335</f>
        <v>10855</v>
      </c>
      <c r="R335" s="105">
        <v>3689</v>
      </c>
      <c r="S335" s="106">
        <f>+Q335+R335</f>
        <v>14544</v>
      </c>
      <c r="T335" s="105">
        <v>3887</v>
      </c>
      <c r="U335" s="106">
        <f>+S335+T335</f>
        <v>18431</v>
      </c>
      <c r="V335" s="105">
        <v>2847</v>
      </c>
      <c r="W335" s="106">
        <f>+U335+V335</f>
        <v>21278</v>
      </c>
      <c r="X335" s="105">
        <v>4654</v>
      </c>
      <c r="Y335" s="106">
        <f>+W335+X335</f>
        <v>25932</v>
      </c>
      <c r="Z335" s="105">
        <v>2867</v>
      </c>
      <c r="AA335" s="106">
        <f>+Y335+Z335</f>
        <v>28799</v>
      </c>
      <c r="AB335" s="105">
        <v>2495</v>
      </c>
      <c r="AC335" s="106">
        <f>+AA335+AB335</f>
        <v>31294</v>
      </c>
      <c r="AD335" s="105">
        <v>3100</v>
      </c>
      <c r="AE335" s="106">
        <f>+AC335+AD335</f>
        <v>34394</v>
      </c>
      <c r="AF335" s="105">
        <v>2329</v>
      </c>
      <c r="AG335" s="106">
        <f>+AE335+AF335</f>
        <v>36723</v>
      </c>
      <c r="AH335" s="105">
        <v>2818</v>
      </c>
      <c r="AI335" s="106">
        <f>SUM(AG335:AH335)</f>
        <v>39541</v>
      </c>
      <c r="AJ335" s="29">
        <f>+AI333/L333</f>
        <v>1</v>
      </c>
      <c r="AK335" s="166"/>
      <c r="AL335" s="326"/>
      <c r="AM335" s="157"/>
    </row>
    <row r="336" spans="1:41" s="94" customFormat="1" ht="22.9" customHeight="1">
      <c r="A336" s="358"/>
      <c r="B336" s="379"/>
      <c r="C336" s="379"/>
      <c r="D336" s="157"/>
      <c r="E336" s="157"/>
      <c r="F336" s="345"/>
      <c r="G336" s="345"/>
      <c r="H336" s="345"/>
      <c r="I336" s="369"/>
      <c r="J336" s="372"/>
      <c r="K336" s="375"/>
      <c r="L336" s="99" t="s">
        <v>126</v>
      </c>
      <c r="M336" s="107" t="s">
        <v>62</v>
      </c>
      <c r="N336" s="107" t="s">
        <v>62</v>
      </c>
      <c r="O336" s="108" t="s">
        <v>62</v>
      </c>
      <c r="P336" s="107" t="s">
        <v>62</v>
      </c>
      <c r="Q336" s="109" t="s">
        <v>62</v>
      </c>
      <c r="R336" s="107"/>
      <c r="S336" s="109" t="s">
        <v>62</v>
      </c>
      <c r="T336" s="107" t="s">
        <v>62</v>
      </c>
      <c r="U336" s="109" t="s">
        <v>62</v>
      </c>
      <c r="V336" s="107" t="s">
        <v>62</v>
      </c>
      <c r="W336" s="109" t="s">
        <v>62</v>
      </c>
      <c r="X336" s="107" t="s">
        <v>62</v>
      </c>
      <c r="Y336" s="109" t="s">
        <v>62</v>
      </c>
      <c r="Z336" s="107" t="s">
        <v>62</v>
      </c>
      <c r="AA336" s="109" t="s">
        <v>62</v>
      </c>
      <c r="AB336" s="107" t="s">
        <v>62</v>
      </c>
      <c r="AC336" s="109" t="s">
        <v>62</v>
      </c>
      <c r="AD336" s="107" t="s">
        <v>62</v>
      </c>
      <c r="AE336" s="109" t="s">
        <v>62</v>
      </c>
      <c r="AF336" s="107" t="s">
        <v>62</v>
      </c>
      <c r="AG336" s="109" t="s">
        <v>62</v>
      </c>
      <c r="AH336" s="107" t="s">
        <v>62</v>
      </c>
      <c r="AI336" s="108" t="s">
        <v>62</v>
      </c>
      <c r="AJ336" s="68"/>
      <c r="AK336" s="166"/>
      <c r="AL336" s="326"/>
      <c r="AM336" s="157"/>
    </row>
    <row r="337" spans="1:41" s="94" customFormat="1" ht="22.9" customHeight="1" thickBot="1">
      <c r="A337" s="359"/>
      <c r="B337" s="380"/>
      <c r="C337" s="380"/>
      <c r="D337" s="158"/>
      <c r="E337" s="158"/>
      <c r="F337" s="346"/>
      <c r="G337" s="346"/>
      <c r="H337" s="346"/>
      <c r="I337" s="370"/>
      <c r="J337" s="373"/>
      <c r="K337" s="376"/>
      <c r="L337" s="110">
        <v>41187</v>
      </c>
      <c r="M337" s="111">
        <v>3592</v>
      </c>
      <c r="N337" s="111">
        <v>3435</v>
      </c>
      <c r="O337" s="112">
        <f t="shared" ref="O337" si="490">+M337+N337</f>
        <v>7027</v>
      </c>
      <c r="P337" s="111">
        <v>4250</v>
      </c>
      <c r="Q337" s="112">
        <f t="shared" ref="Q337" si="491">+O337+P337</f>
        <v>11277</v>
      </c>
      <c r="R337" s="111">
        <v>3888</v>
      </c>
      <c r="S337" s="112">
        <f t="shared" ref="S337" si="492">+Q337+R337</f>
        <v>15165</v>
      </c>
      <c r="T337" s="111">
        <v>4003</v>
      </c>
      <c r="U337" s="112">
        <f t="shared" ref="U337" si="493">+S337+T337</f>
        <v>19168</v>
      </c>
      <c r="V337" s="111">
        <v>2978</v>
      </c>
      <c r="W337" s="112">
        <f t="shared" ref="W337" si="494">+U337+V337</f>
        <v>22146</v>
      </c>
      <c r="X337" s="111">
        <v>5033</v>
      </c>
      <c r="Y337" s="112">
        <f t="shared" ref="Y337" si="495">+W337+X337</f>
        <v>27179</v>
      </c>
      <c r="Z337" s="111">
        <v>3035</v>
      </c>
      <c r="AA337" s="112">
        <f t="shared" ref="AA337" si="496">+Y337+Z337</f>
        <v>30214</v>
      </c>
      <c r="AB337" s="111">
        <v>2574</v>
      </c>
      <c r="AC337" s="112">
        <f t="shared" ref="AC337" si="497">+AA337+AB337</f>
        <v>32788</v>
      </c>
      <c r="AD337" s="111">
        <v>3180</v>
      </c>
      <c r="AE337" s="112">
        <f t="shared" ref="AE337" si="498">+AC337+AD337</f>
        <v>35968</v>
      </c>
      <c r="AF337" s="111">
        <v>2368</v>
      </c>
      <c r="AG337" s="112">
        <f t="shared" ref="AG337" si="499">+AE337+AF337</f>
        <v>38336</v>
      </c>
      <c r="AH337" s="111">
        <v>2851</v>
      </c>
      <c r="AI337" s="112">
        <f>SUM(AG337:AH337)</f>
        <v>41187</v>
      </c>
      <c r="AJ337" s="69"/>
      <c r="AK337" s="167"/>
      <c r="AL337" s="327"/>
      <c r="AM337" s="158"/>
    </row>
    <row r="338" spans="1:41" ht="12.95" thickTop="1"/>
    <row r="341" spans="1:41" s="126" customFormat="1" ht="15.6">
      <c r="C341" s="381" t="s">
        <v>178</v>
      </c>
      <c r="D341" s="381"/>
      <c r="E341" s="381"/>
      <c r="F341" s="381"/>
      <c r="G341" s="381"/>
      <c r="H341" s="381"/>
      <c r="I341" s="381"/>
      <c r="J341" s="381"/>
      <c r="K341" s="381"/>
      <c r="L341" s="118"/>
      <c r="M341" s="82"/>
      <c r="N341" s="118"/>
      <c r="O341" s="82"/>
      <c r="P341" s="118"/>
      <c r="Q341" s="82"/>
      <c r="R341" s="118"/>
      <c r="S341" s="82"/>
      <c r="T341" s="118"/>
      <c r="U341" s="82"/>
      <c r="V341" s="118"/>
      <c r="W341" s="82"/>
      <c r="X341" s="118"/>
      <c r="Y341" s="82"/>
      <c r="Z341" s="118"/>
      <c r="AA341" s="82"/>
      <c r="AB341" s="118"/>
      <c r="AC341" s="82"/>
      <c r="AD341" s="118"/>
      <c r="AE341" s="82"/>
      <c r="AF341" s="118"/>
      <c r="AG341" s="82"/>
      <c r="AH341" s="118"/>
      <c r="AI341" s="82"/>
      <c r="AJ341" s="119"/>
      <c r="AK341" s="116"/>
      <c r="AL341" s="116"/>
      <c r="AM341" s="116"/>
    </row>
    <row r="342" spans="1:41" s="126" customFormat="1" ht="15.95" thickBot="1">
      <c r="L342" s="116"/>
      <c r="M342" s="90"/>
      <c r="N342" s="90"/>
      <c r="O342" s="90"/>
      <c r="P342" s="90"/>
      <c r="Q342" s="90"/>
      <c r="R342" s="90"/>
      <c r="S342" s="90"/>
      <c r="T342" s="90"/>
      <c r="U342" s="90"/>
      <c r="V342" s="90"/>
      <c r="W342" s="90"/>
      <c r="X342" s="90"/>
      <c r="Y342" s="90"/>
      <c r="Z342" s="90"/>
      <c r="AA342" s="90"/>
      <c r="AB342" s="90"/>
      <c r="AC342" s="90"/>
      <c r="AD342" s="90"/>
      <c r="AE342" s="90"/>
      <c r="AF342" s="90"/>
      <c r="AG342" s="90"/>
      <c r="AH342" s="90"/>
      <c r="AI342" s="116"/>
      <c r="AJ342" s="116"/>
      <c r="AK342" s="116"/>
      <c r="AL342" s="116"/>
      <c r="AM342" s="116"/>
    </row>
    <row r="343" spans="1:41" s="94" customFormat="1" ht="22.9" customHeight="1" thickTop="1">
      <c r="A343" s="311" t="s">
        <v>10</v>
      </c>
      <c r="B343" s="311" t="s">
        <v>11</v>
      </c>
      <c r="C343" s="311" t="s">
        <v>12</v>
      </c>
      <c r="D343" s="241" t="s">
        <v>13</v>
      </c>
      <c r="E343" s="241" t="s">
        <v>14</v>
      </c>
      <c r="F343" s="241" t="s">
        <v>15</v>
      </c>
      <c r="G343" s="241" t="s">
        <v>16</v>
      </c>
      <c r="H343" s="241" t="s">
        <v>17</v>
      </c>
      <c r="I343" s="241" t="s">
        <v>118</v>
      </c>
      <c r="J343" s="241" t="s">
        <v>19</v>
      </c>
      <c r="K343" s="241" t="s">
        <v>20</v>
      </c>
      <c r="L343" s="241" t="s">
        <v>21</v>
      </c>
      <c r="M343" s="241" t="s">
        <v>22</v>
      </c>
      <c r="N343" s="241" t="s">
        <v>23</v>
      </c>
      <c r="O343" s="311" t="s">
        <v>24</v>
      </c>
      <c r="P343" s="241" t="s">
        <v>25</v>
      </c>
      <c r="Q343" s="241" t="s">
        <v>26</v>
      </c>
      <c r="R343" s="241" t="s">
        <v>27</v>
      </c>
      <c r="S343" s="241" t="s">
        <v>28</v>
      </c>
      <c r="T343" s="241" t="s">
        <v>29</v>
      </c>
      <c r="U343" s="311" t="s">
        <v>30</v>
      </c>
      <c r="V343" s="311" t="s">
        <v>31</v>
      </c>
      <c r="W343" s="241" t="s">
        <v>32</v>
      </c>
      <c r="X343" s="339" t="s">
        <v>33</v>
      </c>
      <c r="Y343" s="241" t="s">
        <v>34</v>
      </c>
      <c r="Z343" s="241" t="s">
        <v>35</v>
      </c>
      <c r="AA343" s="241" t="s">
        <v>36</v>
      </c>
      <c r="AB343" s="241" t="s">
        <v>37</v>
      </c>
      <c r="AC343" s="241" t="s">
        <v>38</v>
      </c>
      <c r="AD343" s="241" t="s">
        <v>39</v>
      </c>
      <c r="AE343" s="241" t="s">
        <v>40</v>
      </c>
      <c r="AF343" s="311" t="s">
        <v>41</v>
      </c>
      <c r="AG343" s="241" t="s">
        <v>42</v>
      </c>
      <c r="AH343" s="241" t="s">
        <v>43</v>
      </c>
      <c r="AI343" s="241" t="s">
        <v>143</v>
      </c>
      <c r="AJ343" s="241" t="s">
        <v>45</v>
      </c>
      <c r="AK343" s="241" t="s">
        <v>46</v>
      </c>
      <c r="AL343" s="241" t="s">
        <v>47</v>
      </c>
      <c r="AM343" s="241" t="s">
        <v>48</v>
      </c>
    </row>
    <row r="344" spans="1:41" s="94" customFormat="1" ht="22.9" customHeight="1" thickBot="1">
      <c r="A344" s="314"/>
      <c r="B344" s="314"/>
      <c r="C344" s="314"/>
      <c r="D344" s="242"/>
      <c r="E344" s="242"/>
      <c r="F344" s="242"/>
      <c r="G344" s="242"/>
      <c r="H344" s="242"/>
      <c r="I344" s="242"/>
      <c r="J344" s="242"/>
      <c r="K344" s="242"/>
      <c r="L344" s="313"/>
      <c r="M344" s="242"/>
      <c r="N344" s="242"/>
      <c r="O344" s="314"/>
      <c r="P344" s="242"/>
      <c r="Q344" s="242"/>
      <c r="R344" s="242"/>
      <c r="S344" s="310"/>
      <c r="T344" s="242"/>
      <c r="U344" s="312"/>
      <c r="V344" s="312"/>
      <c r="W344" s="310"/>
      <c r="X344" s="340"/>
      <c r="Y344" s="242"/>
      <c r="Z344" s="310"/>
      <c r="AA344" s="310"/>
      <c r="AB344" s="310"/>
      <c r="AC344" s="310"/>
      <c r="AD344" s="310"/>
      <c r="AE344" s="310"/>
      <c r="AF344" s="312"/>
      <c r="AG344" s="310"/>
      <c r="AH344" s="242"/>
      <c r="AI344" s="242">
        <v>2018</v>
      </c>
      <c r="AJ344" s="242"/>
      <c r="AK344" s="328"/>
      <c r="AL344" s="242"/>
      <c r="AM344" s="242"/>
    </row>
    <row r="345" spans="1:41" s="120" customFormat="1" ht="22.9" customHeight="1" thickTop="1">
      <c r="A345" s="357" t="s">
        <v>179</v>
      </c>
      <c r="B345" s="360" t="s">
        <v>64</v>
      </c>
      <c r="C345" s="363" t="s">
        <v>134</v>
      </c>
      <c r="D345" s="156" t="s">
        <v>122</v>
      </c>
      <c r="E345" s="156" t="s">
        <v>180</v>
      </c>
      <c r="F345" s="344" t="s">
        <v>181</v>
      </c>
      <c r="G345" s="344" t="s">
        <v>182</v>
      </c>
      <c r="H345" s="344" t="s">
        <v>181</v>
      </c>
      <c r="I345" s="368">
        <f>+L346</f>
        <v>0.94602939193744107</v>
      </c>
      <c r="J345" s="371">
        <v>0.1</v>
      </c>
      <c r="K345" s="374" t="s">
        <v>124</v>
      </c>
      <c r="L345" s="96" t="s">
        <v>57</v>
      </c>
      <c r="M345" s="96" t="s">
        <v>57</v>
      </c>
      <c r="N345" s="96" t="s">
        <v>57</v>
      </c>
      <c r="O345" s="97" t="s">
        <v>57</v>
      </c>
      <c r="P345" s="96" t="s">
        <v>57</v>
      </c>
      <c r="Q345" s="98" t="s">
        <v>57</v>
      </c>
      <c r="R345" s="96" t="s">
        <v>57</v>
      </c>
      <c r="S345" s="98" t="s">
        <v>57</v>
      </c>
      <c r="T345" s="96" t="s">
        <v>57</v>
      </c>
      <c r="U345" s="98" t="s">
        <v>57</v>
      </c>
      <c r="V345" s="96" t="s">
        <v>57</v>
      </c>
      <c r="W345" s="98" t="s">
        <v>57</v>
      </c>
      <c r="X345" s="96" t="s">
        <v>57</v>
      </c>
      <c r="Y345" s="98" t="s">
        <v>57</v>
      </c>
      <c r="Z345" s="96" t="s">
        <v>57</v>
      </c>
      <c r="AA345" s="98" t="s">
        <v>57</v>
      </c>
      <c r="AB345" s="96" t="s">
        <v>57</v>
      </c>
      <c r="AC345" s="98" t="s">
        <v>57</v>
      </c>
      <c r="AD345" s="96" t="s">
        <v>57</v>
      </c>
      <c r="AE345" s="98" t="s">
        <v>57</v>
      </c>
      <c r="AF345" s="96" t="s">
        <v>57</v>
      </c>
      <c r="AG345" s="98" t="s">
        <v>57</v>
      </c>
      <c r="AH345" s="96" t="s">
        <v>57</v>
      </c>
      <c r="AI345" s="98" t="s">
        <v>57</v>
      </c>
      <c r="AJ345" s="70"/>
      <c r="AK345" s="165" t="s">
        <v>72</v>
      </c>
      <c r="AL345" s="325"/>
      <c r="AM345" s="156" t="s">
        <v>125</v>
      </c>
      <c r="AO345" s="94"/>
    </row>
    <row r="346" spans="1:41" s="120" customFormat="1" ht="22.9" customHeight="1">
      <c r="A346" s="358"/>
      <c r="B346" s="361"/>
      <c r="C346" s="364"/>
      <c r="D346" s="467"/>
      <c r="E346" s="157"/>
      <c r="F346" s="345"/>
      <c r="G346" s="345"/>
      <c r="H346" s="345"/>
      <c r="I346" s="369"/>
      <c r="J346" s="372"/>
      <c r="K346" s="354"/>
      <c r="L346" s="41">
        <f>IF(L348&lt;&gt;0,+L348/L350,0%)</f>
        <v>0.94602939193744107</v>
      </c>
      <c r="M346" s="58">
        <f>IF(M348&lt;&gt;0,+M348/M350,0%)</f>
        <v>0.93729214248507431</v>
      </c>
      <c r="N346" s="61">
        <f>IF(N348&lt;&gt;0,+N348/N350,0%)</f>
        <v>0.93892433910665452</v>
      </c>
      <c r="O346" s="57">
        <f t="shared" ref="O346" si="500">IF(O348&lt;&gt;0,+O348/O350,0%)</f>
        <v>0.93805573917308138</v>
      </c>
      <c r="P346" s="61">
        <f>IF(P348&lt;&gt;0,ROUND(+P348/P350,4),0%)</f>
        <v>0.95630000000000004</v>
      </c>
      <c r="Q346" s="62">
        <f t="shared" ref="Q346" si="501">IF(Q348&lt;&gt;0,+Q348/Q350,0%)</f>
        <v>0.94450488164254531</v>
      </c>
      <c r="R346" s="63">
        <f>IF(R348&lt;&gt;0,ROUND(+R348/R350,4),0%)</f>
        <v>0.96419999999999995</v>
      </c>
      <c r="S346" s="62">
        <f t="shared" ref="S346" si="502">IF(S348&lt;&gt;0,+S348/S350,0%)</f>
        <v>0.94947903797051314</v>
      </c>
      <c r="T346" s="63">
        <f>IF(T348&lt;&gt;0,ROUND(+T348/T350,4),0%)</f>
        <v>0.95189999999999997</v>
      </c>
      <c r="U346" s="62">
        <f t="shared" ref="U346" si="503">IF(U348&lt;&gt;0,+U348/U350,0%)</f>
        <v>0.94999394697550543</v>
      </c>
      <c r="V346" s="63">
        <f>IF(V348&lt;&gt;0,ROUND(+V348/V350,4),0%)</f>
        <v>0.95409999999999995</v>
      </c>
      <c r="W346" s="62">
        <f t="shared" ref="W346" si="504">IF(W348&lt;&gt;0,+W348/W350,0%)</f>
        <v>0.9505644706913462</v>
      </c>
      <c r="X346" s="63">
        <f>IF(X348&lt;&gt;0,ROUND(+X348/X350,4),0%)</f>
        <v>0.92020000000000002</v>
      </c>
      <c r="Y346" s="62">
        <f t="shared" ref="Y346" si="505">IF(Y348&lt;&gt;0,+Y348/Y350,0%)</f>
        <v>0.94426077757207083</v>
      </c>
      <c r="Z346" s="64">
        <f>IF(Z348&lt;&gt;0,ROUND(+Z348/Z350,4),0%)</f>
        <v>0.95</v>
      </c>
      <c r="AA346" s="62">
        <f t="shared" ref="AA346" si="506">IF(AA348&lt;&gt;0,+AA348/AA350,0%)</f>
        <v>0.94489451642326816</v>
      </c>
      <c r="AB346" s="63">
        <f>IF(AB348&lt;&gt;0,ROUND(+AB348/AB350,4),0%)</f>
        <v>0.95130000000000003</v>
      </c>
      <c r="AC346" s="62">
        <f t="shared" ref="AC346" si="507">IF(AC348&lt;&gt;0,+AC348/AC350,0%)</f>
        <v>0.94544166378935379</v>
      </c>
      <c r="AD346" s="63">
        <f>IF(AD348&lt;&gt;0,ROUND(+AD348/AD350,4),0%)</f>
        <v>0.94279999999999997</v>
      </c>
      <c r="AE346" s="62">
        <f t="shared" ref="AE346" si="508">IF(AE348&lt;&gt;0,+AE348/AE350,0%)</f>
        <v>0.94511502943983783</v>
      </c>
      <c r="AF346" s="63">
        <f>IF(AF348&lt;&gt;0,ROUND(+AF348/AF350,4),0%)</f>
        <v>0.95240000000000002</v>
      </c>
      <c r="AG346" s="62">
        <f t="shared" ref="AG346" si="509">IF(AG348&lt;&gt;0,+AG348/AG350,0%)</f>
        <v>0.94568697037734484</v>
      </c>
      <c r="AH346" s="63">
        <f>IF(AH348&lt;&gt;0,ROUND(+AH348/AH350,4),0%)</f>
        <v>0.9506</v>
      </c>
      <c r="AI346" s="62">
        <f>IF(AI348&lt;&gt;0,+AI348/AI350,0%)</f>
        <v>0.94602939193744107</v>
      </c>
      <c r="AJ346" s="71"/>
      <c r="AK346" s="166"/>
      <c r="AL346" s="326"/>
      <c r="AM346" s="157"/>
      <c r="AO346" s="94"/>
    </row>
    <row r="347" spans="1:41" s="120" customFormat="1" ht="22.9" customHeight="1" thickBot="1">
      <c r="A347" s="358"/>
      <c r="B347" s="361"/>
      <c r="C347" s="364"/>
      <c r="D347" s="467"/>
      <c r="E347" s="157"/>
      <c r="F347" s="345"/>
      <c r="G347" s="345"/>
      <c r="H347" s="345"/>
      <c r="I347" s="369"/>
      <c r="J347" s="372"/>
      <c r="K347" s="376"/>
      <c r="L347" s="101" t="s">
        <v>60</v>
      </c>
      <c r="M347" s="101" t="s">
        <v>60</v>
      </c>
      <c r="N347" s="101" t="s">
        <v>60</v>
      </c>
      <c r="O347" s="102" t="s">
        <v>60</v>
      </c>
      <c r="P347" s="101" t="s">
        <v>60</v>
      </c>
      <c r="Q347" s="103" t="s">
        <v>60</v>
      </c>
      <c r="R347" s="101" t="s">
        <v>60</v>
      </c>
      <c r="S347" s="103" t="s">
        <v>60</v>
      </c>
      <c r="T347" s="101" t="s">
        <v>60</v>
      </c>
      <c r="U347" s="103" t="s">
        <v>60</v>
      </c>
      <c r="V347" s="101" t="s">
        <v>60</v>
      </c>
      <c r="W347" s="103" t="s">
        <v>60</v>
      </c>
      <c r="X347" s="101" t="s">
        <v>60</v>
      </c>
      <c r="Y347" s="103" t="s">
        <v>60</v>
      </c>
      <c r="Z347" s="101" t="s">
        <v>60</v>
      </c>
      <c r="AA347" s="103" t="s">
        <v>60</v>
      </c>
      <c r="AB347" s="101" t="s">
        <v>60</v>
      </c>
      <c r="AC347" s="103" t="s">
        <v>60</v>
      </c>
      <c r="AD347" s="101" t="s">
        <v>60</v>
      </c>
      <c r="AE347" s="103" t="s">
        <v>60</v>
      </c>
      <c r="AF347" s="101" t="s">
        <v>60</v>
      </c>
      <c r="AG347" s="103" t="s">
        <v>60</v>
      </c>
      <c r="AH347" s="101" t="s">
        <v>60</v>
      </c>
      <c r="AI347" s="103" t="s">
        <v>60</v>
      </c>
      <c r="AJ347" s="71"/>
      <c r="AK347" s="166"/>
      <c r="AL347" s="326"/>
      <c r="AM347" s="157"/>
      <c r="AO347" s="94"/>
    </row>
    <row r="348" spans="1:41" s="120" customFormat="1" ht="22.9" customHeight="1" thickTop="1">
      <c r="A348" s="358"/>
      <c r="B348" s="361"/>
      <c r="C348" s="364"/>
      <c r="D348" s="467"/>
      <c r="E348" s="157"/>
      <c r="F348" s="345"/>
      <c r="G348" s="345"/>
      <c r="H348" s="345"/>
      <c r="I348" s="369"/>
      <c r="J348" s="372"/>
      <c r="K348" s="354" t="s">
        <v>74</v>
      </c>
      <c r="L348" s="104">
        <v>280668</v>
      </c>
      <c r="M348" s="105">
        <v>23392</v>
      </c>
      <c r="N348" s="105">
        <v>20600</v>
      </c>
      <c r="O348" s="106">
        <f>+M348+N348</f>
        <v>43992</v>
      </c>
      <c r="P348" s="105">
        <v>24597</v>
      </c>
      <c r="Q348" s="106">
        <f>+O348+P348</f>
        <v>68589</v>
      </c>
      <c r="R348" s="105">
        <v>23632</v>
      </c>
      <c r="S348" s="106">
        <f>+Q348+R348</f>
        <v>92221</v>
      </c>
      <c r="T348" s="105">
        <v>25488</v>
      </c>
      <c r="U348" s="106">
        <f>+S348+T348</f>
        <v>117709</v>
      </c>
      <c r="V348" s="105">
        <v>18947</v>
      </c>
      <c r="W348" s="106">
        <f>+U348+V348</f>
        <v>136656</v>
      </c>
      <c r="X348" s="105">
        <v>34716</v>
      </c>
      <c r="Y348" s="106">
        <f>+W348+X348</f>
        <v>171372</v>
      </c>
      <c r="Z348" s="105">
        <v>21309</v>
      </c>
      <c r="AA348" s="106">
        <f>+Y348+Z348</f>
        <v>192681</v>
      </c>
      <c r="AB348" s="105">
        <v>18161</v>
      </c>
      <c r="AC348" s="106">
        <f>+AA348+AB348</f>
        <v>210842</v>
      </c>
      <c r="AD348" s="105">
        <v>29772</v>
      </c>
      <c r="AE348" s="106">
        <f>+AC348+AD348</f>
        <v>240614</v>
      </c>
      <c r="AF348" s="105">
        <v>20528</v>
      </c>
      <c r="AG348" s="106">
        <f>+AE348+AF348</f>
        <v>261142</v>
      </c>
      <c r="AH348" s="105">
        <v>19526</v>
      </c>
      <c r="AI348" s="106">
        <f>+AG348+AH348</f>
        <v>280668</v>
      </c>
      <c r="AJ348" s="55">
        <f>+AI346/L346</f>
        <v>1</v>
      </c>
      <c r="AK348" s="166"/>
      <c r="AL348" s="326"/>
      <c r="AM348" s="157"/>
      <c r="AO348" s="94"/>
    </row>
    <row r="349" spans="1:41" s="120" customFormat="1" ht="22.9" customHeight="1">
      <c r="A349" s="358"/>
      <c r="B349" s="361"/>
      <c r="C349" s="364"/>
      <c r="D349" s="467"/>
      <c r="E349" s="157"/>
      <c r="F349" s="345"/>
      <c r="G349" s="345"/>
      <c r="H349" s="345"/>
      <c r="I349" s="369"/>
      <c r="J349" s="372"/>
      <c r="K349" s="375"/>
      <c r="L349" s="99" t="s">
        <v>126</v>
      </c>
      <c r="M349" s="107" t="s">
        <v>62</v>
      </c>
      <c r="N349" s="107" t="s">
        <v>62</v>
      </c>
      <c r="O349" s="108" t="s">
        <v>62</v>
      </c>
      <c r="P349" s="107" t="s">
        <v>62</v>
      </c>
      <c r="Q349" s="109" t="s">
        <v>62</v>
      </c>
      <c r="R349" s="107" t="s">
        <v>62</v>
      </c>
      <c r="S349" s="109" t="s">
        <v>62</v>
      </c>
      <c r="T349" s="107" t="s">
        <v>62</v>
      </c>
      <c r="U349" s="109" t="s">
        <v>62</v>
      </c>
      <c r="V349" s="107" t="s">
        <v>62</v>
      </c>
      <c r="W349" s="109" t="s">
        <v>62</v>
      </c>
      <c r="X349" s="107" t="s">
        <v>62</v>
      </c>
      <c r="Y349" s="109" t="s">
        <v>62</v>
      </c>
      <c r="Z349" s="107" t="s">
        <v>62</v>
      </c>
      <c r="AA349" s="109" t="s">
        <v>62</v>
      </c>
      <c r="AB349" s="107" t="s">
        <v>62</v>
      </c>
      <c r="AC349" s="109" t="s">
        <v>62</v>
      </c>
      <c r="AD349" s="107" t="s">
        <v>62</v>
      </c>
      <c r="AE349" s="109" t="s">
        <v>62</v>
      </c>
      <c r="AF349" s="107" t="s">
        <v>62</v>
      </c>
      <c r="AG349" s="109" t="s">
        <v>62</v>
      </c>
      <c r="AH349" s="107" t="s">
        <v>62</v>
      </c>
      <c r="AI349" s="109" t="s">
        <v>62</v>
      </c>
      <c r="AJ349" s="71"/>
      <c r="AK349" s="166"/>
      <c r="AL349" s="326"/>
      <c r="AM349" s="157"/>
      <c r="AO349" s="94"/>
    </row>
    <row r="350" spans="1:41" s="120" customFormat="1" ht="22.9" customHeight="1" thickBot="1">
      <c r="A350" s="359"/>
      <c r="B350" s="362"/>
      <c r="C350" s="365"/>
      <c r="D350" s="468"/>
      <c r="E350" s="158"/>
      <c r="F350" s="346"/>
      <c r="G350" s="346"/>
      <c r="H350" s="346"/>
      <c r="I350" s="370"/>
      <c r="J350" s="373"/>
      <c r="K350" s="376"/>
      <c r="L350" s="110">
        <v>296680</v>
      </c>
      <c r="M350" s="111">
        <v>24957</v>
      </c>
      <c r="N350" s="111">
        <v>21940</v>
      </c>
      <c r="O350" s="112">
        <f>+M350+N350</f>
        <v>46897</v>
      </c>
      <c r="P350" s="111">
        <v>25722</v>
      </c>
      <c r="Q350" s="112">
        <f>+O350+P350</f>
        <v>72619</v>
      </c>
      <c r="R350" s="111">
        <v>24509</v>
      </c>
      <c r="S350" s="112">
        <f>+Q350+R350</f>
        <v>97128</v>
      </c>
      <c r="T350" s="111">
        <v>26777</v>
      </c>
      <c r="U350" s="112">
        <f>+S350+T350</f>
        <v>123905</v>
      </c>
      <c r="V350" s="111">
        <v>19858</v>
      </c>
      <c r="W350" s="112">
        <f>+U350+V350</f>
        <v>143763</v>
      </c>
      <c r="X350" s="111">
        <v>37725</v>
      </c>
      <c r="Y350" s="112">
        <f>+W350+X350</f>
        <v>181488</v>
      </c>
      <c r="Z350" s="111">
        <v>22430</v>
      </c>
      <c r="AA350" s="112">
        <f>+Y350+Z350</f>
        <v>203918</v>
      </c>
      <c r="AB350" s="111">
        <v>19091</v>
      </c>
      <c r="AC350" s="112">
        <f>+AA350+AB350</f>
        <v>223009</v>
      </c>
      <c r="AD350" s="111">
        <v>31578</v>
      </c>
      <c r="AE350" s="112">
        <f>+AC350+AD350</f>
        <v>254587</v>
      </c>
      <c r="AF350" s="111">
        <v>21553</v>
      </c>
      <c r="AG350" s="112">
        <f>+AE350+AF350</f>
        <v>276140</v>
      </c>
      <c r="AH350" s="111">
        <v>20540</v>
      </c>
      <c r="AI350" s="112">
        <f>+AG350+AH350</f>
        <v>296680</v>
      </c>
      <c r="AJ350" s="72"/>
      <c r="AK350" s="167"/>
      <c r="AL350" s="327"/>
      <c r="AM350" s="158"/>
      <c r="AO350" s="94"/>
    </row>
    <row r="351" spans="1:41" ht="12.95" thickTop="1"/>
    <row r="352" spans="1:41" s="89" customFormat="1" ht="20.45" thickBot="1">
      <c r="A352" s="114" t="s">
        <v>127</v>
      </c>
      <c r="L352" s="90"/>
      <c r="M352" s="90"/>
      <c r="N352" s="90"/>
      <c r="O352" s="90"/>
      <c r="P352" s="90"/>
      <c r="Q352" s="90"/>
      <c r="R352" s="90"/>
      <c r="S352" s="90"/>
      <c r="T352" s="90"/>
      <c r="U352" s="90"/>
      <c r="V352" s="90"/>
      <c r="W352" s="90"/>
      <c r="X352" s="90"/>
      <c r="Y352" s="90"/>
      <c r="Z352" s="90"/>
      <c r="AA352" s="90"/>
      <c r="AB352" s="90"/>
      <c r="AC352" s="90"/>
      <c r="AD352" s="90"/>
      <c r="AE352" s="90"/>
      <c r="AF352" s="90"/>
      <c r="AG352" s="90"/>
      <c r="AH352" s="90"/>
      <c r="AI352" s="90"/>
      <c r="AJ352" s="90"/>
      <c r="AK352" s="90"/>
      <c r="AL352" s="90"/>
      <c r="AM352" s="90"/>
    </row>
    <row r="353" spans="1:41" s="94" customFormat="1" ht="22.9" customHeight="1" thickTop="1">
      <c r="A353" s="311" t="s">
        <v>10</v>
      </c>
      <c r="B353" s="311" t="s">
        <v>11</v>
      </c>
      <c r="C353" s="311" t="s">
        <v>12</v>
      </c>
      <c r="D353" s="241" t="s">
        <v>13</v>
      </c>
      <c r="E353" s="241" t="s">
        <v>14</v>
      </c>
      <c r="F353" s="241" t="s">
        <v>15</v>
      </c>
      <c r="G353" s="241" t="s">
        <v>16</v>
      </c>
      <c r="H353" s="241" t="s">
        <v>17</v>
      </c>
      <c r="I353" s="241" t="s">
        <v>118</v>
      </c>
      <c r="J353" s="241" t="s">
        <v>19</v>
      </c>
      <c r="K353" s="241" t="s">
        <v>20</v>
      </c>
      <c r="L353" s="241" t="s">
        <v>21</v>
      </c>
      <c r="M353" s="241" t="s">
        <v>22</v>
      </c>
      <c r="N353" s="241" t="s">
        <v>23</v>
      </c>
      <c r="O353" s="311" t="s">
        <v>24</v>
      </c>
      <c r="P353" s="241" t="s">
        <v>25</v>
      </c>
      <c r="Q353" s="241" t="s">
        <v>26</v>
      </c>
      <c r="R353" s="241" t="s">
        <v>27</v>
      </c>
      <c r="S353" s="241" t="s">
        <v>28</v>
      </c>
      <c r="T353" s="241" t="s">
        <v>29</v>
      </c>
      <c r="U353" s="311" t="s">
        <v>30</v>
      </c>
      <c r="V353" s="311" t="s">
        <v>31</v>
      </c>
      <c r="W353" s="241" t="s">
        <v>32</v>
      </c>
      <c r="X353" s="339" t="s">
        <v>33</v>
      </c>
      <c r="Y353" s="241" t="s">
        <v>34</v>
      </c>
      <c r="Z353" s="241" t="s">
        <v>35</v>
      </c>
      <c r="AA353" s="241" t="s">
        <v>36</v>
      </c>
      <c r="AB353" s="241" t="s">
        <v>37</v>
      </c>
      <c r="AC353" s="241" t="s">
        <v>38</v>
      </c>
      <c r="AD353" s="241" t="s">
        <v>39</v>
      </c>
      <c r="AE353" s="241" t="s">
        <v>40</v>
      </c>
      <c r="AF353" s="311" t="s">
        <v>41</v>
      </c>
      <c r="AG353" s="241" t="s">
        <v>42</v>
      </c>
      <c r="AH353" s="241" t="s">
        <v>43</v>
      </c>
      <c r="AI353" s="241" t="s">
        <v>143</v>
      </c>
      <c r="AJ353" s="241" t="s">
        <v>45</v>
      </c>
      <c r="AK353" s="241" t="s">
        <v>46</v>
      </c>
      <c r="AL353" s="241" t="s">
        <v>47</v>
      </c>
      <c r="AM353" s="241" t="s">
        <v>48</v>
      </c>
    </row>
    <row r="354" spans="1:41" s="94" customFormat="1" ht="22.9" customHeight="1" thickBot="1">
      <c r="A354" s="314"/>
      <c r="B354" s="314"/>
      <c r="C354" s="314"/>
      <c r="D354" s="242"/>
      <c r="E354" s="242"/>
      <c r="F354" s="242"/>
      <c r="G354" s="242"/>
      <c r="H354" s="242"/>
      <c r="I354" s="242"/>
      <c r="J354" s="242"/>
      <c r="K354" s="242"/>
      <c r="L354" s="313"/>
      <c r="M354" s="242"/>
      <c r="N354" s="242"/>
      <c r="O354" s="314"/>
      <c r="P354" s="242"/>
      <c r="Q354" s="242"/>
      <c r="R354" s="242"/>
      <c r="S354" s="310"/>
      <c r="T354" s="242"/>
      <c r="U354" s="312"/>
      <c r="V354" s="312"/>
      <c r="W354" s="310"/>
      <c r="X354" s="340"/>
      <c r="Y354" s="242"/>
      <c r="Z354" s="310"/>
      <c r="AA354" s="310"/>
      <c r="AB354" s="310"/>
      <c r="AC354" s="310"/>
      <c r="AD354" s="310"/>
      <c r="AE354" s="310"/>
      <c r="AF354" s="312"/>
      <c r="AG354" s="310"/>
      <c r="AH354" s="242"/>
      <c r="AI354" s="242">
        <v>2018</v>
      </c>
      <c r="AJ354" s="242"/>
      <c r="AK354" s="328"/>
      <c r="AL354" s="242"/>
      <c r="AM354" s="242"/>
    </row>
    <row r="355" spans="1:41" s="94" customFormat="1" ht="22.9" customHeight="1" thickTop="1">
      <c r="A355" s="357" t="s">
        <v>179</v>
      </c>
      <c r="B355" s="360" t="s">
        <v>64</v>
      </c>
      <c r="C355" s="363" t="s">
        <v>134</v>
      </c>
      <c r="D355" s="156" t="s">
        <v>122</v>
      </c>
      <c r="E355" s="156" t="s">
        <v>180</v>
      </c>
      <c r="F355" s="344" t="s">
        <v>181</v>
      </c>
      <c r="G355" s="344" t="s">
        <v>182</v>
      </c>
      <c r="H355" s="344" t="s">
        <v>181</v>
      </c>
      <c r="I355" s="368">
        <f>+L356</f>
        <v>0.94352194176335047</v>
      </c>
      <c r="J355" s="371">
        <v>0.1</v>
      </c>
      <c r="K355" s="374" t="s">
        <v>124</v>
      </c>
      <c r="L355" s="95" t="s">
        <v>57</v>
      </c>
      <c r="M355" s="96" t="s">
        <v>57</v>
      </c>
      <c r="N355" s="96" t="s">
        <v>57</v>
      </c>
      <c r="O355" s="97" t="s">
        <v>57</v>
      </c>
      <c r="P355" s="96" t="s">
        <v>57</v>
      </c>
      <c r="Q355" s="98" t="s">
        <v>57</v>
      </c>
      <c r="R355" s="96" t="s">
        <v>57</v>
      </c>
      <c r="S355" s="98" t="s">
        <v>57</v>
      </c>
      <c r="T355" s="96" t="s">
        <v>57</v>
      </c>
      <c r="U355" s="98" t="s">
        <v>57</v>
      </c>
      <c r="V355" s="96" t="s">
        <v>57</v>
      </c>
      <c r="W355" s="98" t="s">
        <v>57</v>
      </c>
      <c r="X355" s="96" t="s">
        <v>57</v>
      </c>
      <c r="Y355" s="98" t="s">
        <v>57</v>
      </c>
      <c r="Z355" s="96" t="s">
        <v>57</v>
      </c>
      <c r="AA355" s="98" t="s">
        <v>57</v>
      </c>
      <c r="AB355" s="96" t="s">
        <v>57</v>
      </c>
      <c r="AC355" s="98" t="s">
        <v>57</v>
      </c>
      <c r="AD355" s="96" t="s">
        <v>57</v>
      </c>
      <c r="AE355" s="98" t="s">
        <v>57</v>
      </c>
      <c r="AF355" s="96" t="s">
        <v>57</v>
      </c>
      <c r="AG355" s="98" t="s">
        <v>57</v>
      </c>
      <c r="AH355" s="96" t="s">
        <v>57</v>
      </c>
      <c r="AI355" s="98" t="s">
        <v>57</v>
      </c>
      <c r="AJ355" s="67"/>
      <c r="AK355" s="165" t="s">
        <v>72</v>
      </c>
      <c r="AL355" s="325"/>
      <c r="AM355" s="156" t="s">
        <v>125</v>
      </c>
    </row>
    <row r="356" spans="1:41" s="94" customFormat="1" ht="22.9" customHeight="1">
      <c r="A356" s="358"/>
      <c r="B356" s="361"/>
      <c r="C356" s="364"/>
      <c r="D356" s="467"/>
      <c r="E356" s="157"/>
      <c r="F356" s="345"/>
      <c r="G356" s="345"/>
      <c r="H356" s="345"/>
      <c r="I356" s="369"/>
      <c r="J356" s="372"/>
      <c r="K356" s="354"/>
      <c r="L356" s="41">
        <f>IF(L358&lt;&gt;0,+L358/L360,0%)</f>
        <v>0.94352194176335047</v>
      </c>
      <c r="M356" s="58">
        <f>IF(M358&lt;&gt;0,+M358/M360,0%)</f>
        <v>0.93561213812347399</v>
      </c>
      <c r="N356" s="61">
        <f>IF(N358&lt;&gt;0,+N358/N360,0%)</f>
        <v>0.93747195213163803</v>
      </c>
      <c r="O356" s="57">
        <f t="shared" ref="O356" si="510">IF(O358&lt;&gt;0,+O358/O360,0%)</f>
        <v>0.9365096552968778</v>
      </c>
      <c r="P356" s="61">
        <f>IF(P358&lt;&gt;0,ROUND(+P358/P360,4),0%)</f>
        <v>0.95569999999999999</v>
      </c>
      <c r="Q356" s="62">
        <f t="shared" ref="Q356" si="511">IF(Q358&lt;&gt;0,+Q358/Q360,0%)</f>
        <v>0.94316226219382826</v>
      </c>
      <c r="R356" s="63">
        <f>IF(R358&lt;&gt;0,ROUND(+R358/R360,4),0%)</f>
        <v>0.96379999999999999</v>
      </c>
      <c r="S356" s="62">
        <f t="shared" ref="S356" si="512">IF(S358&lt;&gt;0,+S358/S360,0%)</f>
        <v>0.94818301772404689</v>
      </c>
      <c r="T356" s="63">
        <f>IF(T358&lt;&gt;0,ROUND(+T358/T360,4),0%)</f>
        <v>0.95140000000000002</v>
      </c>
      <c r="U356" s="62">
        <f t="shared" ref="U356" si="513">IF(U358&lt;&gt;0,+U358/U360,0%)</f>
        <v>0.94885138967668747</v>
      </c>
      <c r="V356" s="63">
        <f>IF(V358&lt;&gt;0,ROUND(+V358/V360,4),0%)</f>
        <v>0.95250000000000001</v>
      </c>
      <c r="W356" s="62">
        <f t="shared" ref="W356" si="514">IF(W358&lt;&gt;0,+W358/W360,0%)</f>
        <v>0.94933782570736447</v>
      </c>
      <c r="X356" s="63">
        <f>IF(X358&lt;&gt;0,ROUND(+X358/X360,4),0%)</f>
        <v>0.91610000000000003</v>
      </c>
      <c r="Y356" s="62">
        <f t="shared" ref="Y356" si="515">IF(Y358&lt;&gt;0,+Y358/Y360,0%)</f>
        <v>0.94197903202642541</v>
      </c>
      <c r="Z356" s="64">
        <f>IF(Z358&lt;&gt;0,ROUND(+Z358/Z360,4),0%)</f>
        <v>0.94850000000000001</v>
      </c>
      <c r="AA356" s="62">
        <f t="shared" ref="AA356" si="516">IF(AA358&lt;&gt;0,+AA358/AA360,0%)</f>
        <v>0.94270136729565102</v>
      </c>
      <c r="AB356" s="63">
        <f>IF(AB358&lt;&gt;0,ROUND(+AB358/AB360,4),0%)</f>
        <v>0.94940000000000002</v>
      </c>
      <c r="AC356" s="62">
        <f t="shared" ref="AC356" si="517">IF(AC358&lt;&gt;0,+AC358/AC360,0%)</f>
        <v>0.94328288526631132</v>
      </c>
      <c r="AD356" s="63">
        <f>IF(AD358&lt;&gt;0,ROUND(+AD358/AD360,4),0%)</f>
        <v>0.93840000000000001</v>
      </c>
      <c r="AE356" s="62">
        <f t="shared" ref="AE356" si="518">IF(AE358&lt;&gt;0,+AE358/AE360,0%)</f>
        <v>0.94265196517210514</v>
      </c>
      <c r="AF356" s="63">
        <f>IF(AF358&lt;&gt;0,ROUND(+AF358/AF360,4),0%)</f>
        <v>0.94979999999999998</v>
      </c>
      <c r="AG356" s="62">
        <f t="shared" ref="AG356" si="519">IF(AG358&lt;&gt;0,+AG358/AG360,0%)</f>
        <v>0.94322653877097895</v>
      </c>
      <c r="AH356" s="63">
        <f>IF(AH358&lt;&gt;0,ROUND(+AH358/AH360,4),0%)</f>
        <v>0.94750000000000001</v>
      </c>
      <c r="AI356" s="62">
        <f>IF(AI358&lt;&gt;0,+AI358/AI360,0%)</f>
        <v>0.94352194176335047</v>
      </c>
      <c r="AJ356" s="68"/>
      <c r="AK356" s="166"/>
      <c r="AL356" s="326"/>
      <c r="AM356" s="157"/>
    </row>
    <row r="357" spans="1:41" s="94" customFormat="1" ht="22.9" customHeight="1" thickBot="1">
      <c r="A357" s="358"/>
      <c r="B357" s="361"/>
      <c r="C357" s="364"/>
      <c r="D357" s="467"/>
      <c r="E357" s="157"/>
      <c r="F357" s="345"/>
      <c r="G357" s="345"/>
      <c r="H357" s="345"/>
      <c r="I357" s="369"/>
      <c r="J357" s="372"/>
      <c r="K357" s="376"/>
      <c r="L357" s="99"/>
      <c r="M357" s="101" t="s">
        <v>60</v>
      </c>
      <c r="N357" s="101" t="s">
        <v>60</v>
      </c>
      <c r="O357" s="102" t="s">
        <v>60</v>
      </c>
      <c r="P357" s="101" t="s">
        <v>60</v>
      </c>
      <c r="Q357" s="103" t="s">
        <v>60</v>
      </c>
      <c r="R357" s="101" t="s">
        <v>60</v>
      </c>
      <c r="S357" s="103" t="s">
        <v>60</v>
      </c>
      <c r="T357" s="101" t="s">
        <v>60</v>
      </c>
      <c r="U357" s="103" t="s">
        <v>60</v>
      </c>
      <c r="V357" s="101" t="s">
        <v>60</v>
      </c>
      <c r="W357" s="103" t="s">
        <v>60</v>
      </c>
      <c r="X357" s="101" t="s">
        <v>60</v>
      </c>
      <c r="Y357" s="103" t="s">
        <v>60</v>
      </c>
      <c r="Z357" s="101" t="s">
        <v>60</v>
      </c>
      <c r="AA357" s="103" t="s">
        <v>60</v>
      </c>
      <c r="AB357" s="101" t="s">
        <v>60</v>
      </c>
      <c r="AC357" s="103" t="s">
        <v>60</v>
      </c>
      <c r="AD357" s="101" t="s">
        <v>60</v>
      </c>
      <c r="AE357" s="103" t="s">
        <v>60</v>
      </c>
      <c r="AF357" s="101" t="s">
        <v>60</v>
      </c>
      <c r="AG357" s="103" t="s">
        <v>60</v>
      </c>
      <c r="AH357" s="101" t="s">
        <v>60</v>
      </c>
      <c r="AI357" s="103" t="s">
        <v>60</v>
      </c>
      <c r="AJ357" s="68"/>
      <c r="AK357" s="166"/>
      <c r="AL357" s="326"/>
      <c r="AM357" s="157"/>
    </row>
    <row r="358" spans="1:41" s="94" customFormat="1" ht="22.9" customHeight="1" thickTop="1">
      <c r="A358" s="358"/>
      <c r="B358" s="361"/>
      <c r="C358" s="364"/>
      <c r="D358" s="467"/>
      <c r="E358" s="157"/>
      <c r="F358" s="345"/>
      <c r="G358" s="345"/>
      <c r="H358" s="345"/>
      <c r="I358" s="369"/>
      <c r="J358" s="372"/>
      <c r="K358" s="354" t="s">
        <v>74</v>
      </c>
      <c r="L358" s="104">
        <v>162566</v>
      </c>
      <c r="M358" s="105">
        <v>13412</v>
      </c>
      <c r="N358" s="105">
        <v>12534</v>
      </c>
      <c r="O358" s="106">
        <f>+M358+N358</f>
        <v>25946</v>
      </c>
      <c r="P358" s="105">
        <v>14062</v>
      </c>
      <c r="Q358" s="106">
        <f>+O358+P358</f>
        <v>40008</v>
      </c>
      <c r="R358" s="105">
        <v>13168</v>
      </c>
      <c r="S358" s="106">
        <f>+Q358+R358</f>
        <v>53176</v>
      </c>
      <c r="T358" s="105">
        <v>13737</v>
      </c>
      <c r="U358" s="106">
        <f>+S358+T358</f>
        <v>66913</v>
      </c>
      <c r="V358" s="105">
        <v>10290</v>
      </c>
      <c r="W358" s="106">
        <f>+U358+V358</f>
        <v>77203</v>
      </c>
      <c r="X358" s="105">
        <v>21182</v>
      </c>
      <c r="Y358" s="106">
        <f>+W358+X358</f>
        <v>98385</v>
      </c>
      <c r="Z358" s="105">
        <v>12274</v>
      </c>
      <c r="AA358" s="106">
        <f>+Y358+Z358</f>
        <v>110659</v>
      </c>
      <c r="AB358" s="105">
        <v>10567</v>
      </c>
      <c r="AC358" s="106">
        <f>+AA358+AB358</f>
        <v>121226</v>
      </c>
      <c r="AD358" s="105">
        <v>17785</v>
      </c>
      <c r="AE358" s="106">
        <f>+AC358+AD358</f>
        <v>139011</v>
      </c>
      <c r="AF358" s="105">
        <v>12225</v>
      </c>
      <c r="AG358" s="106">
        <f>+AE358+AF358</f>
        <v>151236</v>
      </c>
      <c r="AH358" s="105">
        <v>11330</v>
      </c>
      <c r="AI358" s="106">
        <f>SUM(AG358:AH358)</f>
        <v>162566</v>
      </c>
      <c r="AJ358" s="29">
        <f>+AI356/L356</f>
        <v>1</v>
      </c>
      <c r="AK358" s="166"/>
      <c r="AL358" s="326"/>
      <c r="AM358" s="157"/>
    </row>
    <row r="359" spans="1:41" s="94" customFormat="1" ht="22.9" customHeight="1">
      <c r="A359" s="358"/>
      <c r="B359" s="361"/>
      <c r="C359" s="364"/>
      <c r="D359" s="467"/>
      <c r="E359" s="157"/>
      <c r="F359" s="345"/>
      <c r="G359" s="345"/>
      <c r="H359" s="345"/>
      <c r="I359" s="369"/>
      <c r="J359" s="372"/>
      <c r="K359" s="375"/>
      <c r="L359" s="99" t="s">
        <v>126</v>
      </c>
      <c r="M359" s="107" t="s">
        <v>62</v>
      </c>
      <c r="N359" s="107" t="s">
        <v>62</v>
      </c>
      <c r="O359" s="108" t="s">
        <v>62</v>
      </c>
      <c r="P359" s="107" t="s">
        <v>62</v>
      </c>
      <c r="Q359" s="109" t="s">
        <v>62</v>
      </c>
      <c r="R359" s="107"/>
      <c r="S359" s="109" t="s">
        <v>62</v>
      </c>
      <c r="T359" s="107" t="s">
        <v>62</v>
      </c>
      <c r="U359" s="109" t="s">
        <v>62</v>
      </c>
      <c r="V359" s="107" t="s">
        <v>62</v>
      </c>
      <c r="W359" s="109" t="s">
        <v>62</v>
      </c>
      <c r="X359" s="107" t="s">
        <v>62</v>
      </c>
      <c r="Y359" s="109" t="s">
        <v>62</v>
      </c>
      <c r="Z359" s="107" t="s">
        <v>62</v>
      </c>
      <c r="AA359" s="109" t="s">
        <v>62</v>
      </c>
      <c r="AB359" s="107" t="s">
        <v>62</v>
      </c>
      <c r="AC359" s="109" t="s">
        <v>62</v>
      </c>
      <c r="AD359" s="107" t="s">
        <v>62</v>
      </c>
      <c r="AE359" s="109" t="s">
        <v>62</v>
      </c>
      <c r="AF359" s="107" t="s">
        <v>62</v>
      </c>
      <c r="AG359" s="109" t="s">
        <v>62</v>
      </c>
      <c r="AH359" s="107" t="s">
        <v>62</v>
      </c>
      <c r="AI359" s="108" t="s">
        <v>62</v>
      </c>
      <c r="AJ359" s="68"/>
      <c r="AK359" s="166"/>
      <c r="AL359" s="326"/>
      <c r="AM359" s="157"/>
    </row>
    <row r="360" spans="1:41" s="94" customFormat="1" ht="22.9" customHeight="1" thickBot="1">
      <c r="A360" s="359"/>
      <c r="B360" s="362"/>
      <c r="C360" s="365"/>
      <c r="D360" s="468"/>
      <c r="E360" s="158"/>
      <c r="F360" s="346"/>
      <c r="G360" s="346"/>
      <c r="H360" s="346"/>
      <c r="I360" s="370"/>
      <c r="J360" s="373"/>
      <c r="K360" s="376"/>
      <c r="L360" s="110">
        <v>172297</v>
      </c>
      <c r="M360" s="111">
        <v>14335</v>
      </c>
      <c r="N360" s="111">
        <v>13370</v>
      </c>
      <c r="O360" s="112">
        <f t="shared" ref="O360" si="520">+M360+N360</f>
        <v>27705</v>
      </c>
      <c r="P360" s="111">
        <v>14714</v>
      </c>
      <c r="Q360" s="112">
        <f t="shared" ref="Q360" si="521">+O360+P360</f>
        <v>42419</v>
      </c>
      <c r="R360" s="111">
        <v>13663</v>
      </c>
      <c r="S360" s="112">
        <f t="shared" ref="S360" si="522">+Q360+R360</f>
        <v>56082</v>
      </c>
      <c r="T360" s="111">
        <v>14438</v>
      </c>
      <c r="U360" s="112">
        <f t="shared" ref="U360" si="523">+S360+T360</f>
        <v>70520</v>
      </c>
      <c r="V360" s="111">
        <v>10803</v>
      </c>
      <c r="W360" s="112">
        <f t="shared" ref="W360" si="524">+U360+V360</f>
        <v>81323</v>
      </c>
      <c r="X360" s="111">
        <v>23122</v>
      </c>
      <c r="Y360" s="112">
        <f t="shared" ref="Y360" si="525">+W360+X360</f>
        <v>104445</v>
      </c>
      <c r="Z360" s="111">
        <v>12940</v>
      </c>
      <c r="AA360" s="112">
        <f t="shared" ref="AA360" si="526">+Y360+Z360</f>
        <v>117385</v>
      </c>
      <c r="AB360" s="111">
        <v>11130</v>
      </c>
      <c r="AC360" s="112">
        <f t="shared" ref="AC360" si="527">+AA360+AB360</f>
        <v>128515</v>
      </c>
      <c r="AD360" s="111">
        <v>18953</v>
      </c>
      <c r="AE360" s="112">
        <f t="shared" ref="AE360" si="528">+AC360+AD360</f>
        <v>147468</v>
      </c>
      <c r="AF360" s="111">
        <v>12871</v>
      </c>
      <c r="AG360" s="112">
        <f t="shared" ref="AG360" si="529">+AE360+AF360</f>
        <v>160339</v>
      </c>
      <c r="AH360" s="111">
        <v>11958</v>
      </c>
      <c r="AI360" s="112">
        <f>SUM(AG360:AH360)</f>
        <v>172297</v>
      </c>
      <c r="AJ360" s="69"/>
      <c r="AK360" s="167"/>
      <c r="AL360" s="327"/>
      <c r="AM360" s="158"/>
      <c r="AO360" s="115"/>
    </row>
    <row r="361" spans="1:41" ht="12.95" thickTop="1"/>
    <row r="362" spans="1:41" s="89" customFormat="1" ht="20.45" thickBot="1">
      <c r="A362" s="114" t="s">
        <v>128</v>
      </c>
      <c r="L362" s="90"/>
      <c r="M362" s="90"/>
      <c r="N362" s="90"/>
      <c r="O362" s="90"/>
      <c r="P362" s="90"/>
      <c r="Q362" s="90"/>
      <c r="R362" s="90"/>
      <c r="S362" s="90"/>
      <c r="T362" s="90"/>
      <c r="U362" s="90"/>
      <c r="V362" s="90"/>
      <c r="W362" s="90"/>
      <c r="X362" s="90"/>
      <c r="Y362" s="90"/>
      <c r="Z362" s="90"/>
      <c r="AA362" s="90"/>
      <c r="AB362" s="90"/>
      <c r="AC362" s="90"/>
      <c r="AD362" s="90"/>
      <c r="AE362" s="90"/>
      <c r="AF362" s="90"/>
      <c r="AG362" s="90"/>
      <c r="AH362" s="90"/>
      <c r="AI362" s="90"/>
      <c r="AJ362" s="90"/>
      <c r="AK362" s="90"/>
      <c r="AL362" s="90"/>
      <c r="AM362" s="90"/>
    </row>
    <row r="363" spans="1:41" s="94" customFormat="1" ht="22.9" customHeight="1" thickTop="1">
      <c r="A363" s="311" t="s">
        <v>10</v>
      </c>
      <c r="B363" s="311" t="s">
        <v>11</v>
      </c>
      <c r="C363" s="311" t="s">
        <v>12</v>
      </c>
      <c r="D363" s="241" t="s">
        <v>13</v>
      </c>
      <c r="E363" s="241" t="s">
        <v>14</v>
      </c>
      <c r="F363" s="241" t="s">
        <v>15</v>
      </c>
      <c r="G363" s="241" t="s">
        <v>16</v>
      </c>
      <c r="H363" s="241" t="s">
        <v>17</v>
      </c>
      <c r="I363" s="241" t="s">
        <v>118</v>
      </c>
      <c r="J363" s="241" t="s">
        <v>19</v>
      </c>
      <c r="K363" s="241" t="s">
        <v>20</v>
      </c>
      <c r="L363" s="241" t="s">
        <v>21</v>
      </c>
      <c r="M363" s="241" t="s">
        <v>22</v>
      </c>
      <c r="N363" s="241" t="s">
        <v>23</v>
      </c>
      <c r="O363" s="311" t="s">
        <v>24</v>
      </c>
      <c r="P363" s="241" t="s">
        <v>25</v>
      </c>
      <c r="Q363" s="241" t="s">
        <v>26</v>
      </c>
      <c r="R363" s="241" t="s">
        <v>27</v>
      </c>
      <c r="S363" s="241" t="s">
        <v>28</v>
      </c>
      <c r="T363" s="241" t="s">
        <v>29</v>
      </c>
      <c r="U363" s="311" t="s">
        <v>30</v>
      </c>
      <c r="V363" s="311" t="s">
        <v>31</v>
      </c>
      <c r="W363" s="241" t="s">
        <v>32</v>
      </c>
      <c r="X363" s="339" t="s">
        <v>33</v>
      </c>
      <c r="Y363" s="241" t="s">
        <v>34</v>
      </c>
      <c r="Z363" s="241" t="s">
        <v>35</v>
      </c>
      <c r="AA363" s="241" t="s">
        <v>36</v>
      </c>
      <c r="AB363" s="241" t="s">
        <v>37</v>
      </c>
      <c r="AC363" s="241" t="s">
        <v>38</v>
      </c>
      <c r="AD363" s="241" t="s">
        <v>39</v>
      </c>
      <c r="AE363" s="241" t="s">
        <v>40</v>
      </c>
      <c r="AF363" s="311" t="s">
        <v>41</v>
      </c>
      <c r="AG363" s="241" t="s">
        <v>42</v>
      </c>
      <c r="AH363" s="241" t="s">
        <v>43</v>
      </c>
      <c r="AI363" s="241" t="s">
        <v>143</v>
      </c>
      <c r="AJ363" s="241" t="s">
        <v>45</v>
      </c>
      <c r="AK363" s="241" t="s">
        <v>46</v>
      </c>
      <c r="AL363" s="241" t="s">
        <v>47</v>
      </c>
      <c r="AM363" s="241" t="s">
        <v>48</v>
      </c>
    </row>
    <row r="364" spans="1:41" s="94" customFormat="1" ht="22.9" customHeight="1" thickBot="1">
      <c r="A364" s="314"/>
      <c r="B364" s="314"/>
      <c r="C364" s="314"/>
      <c r="D364" s="242"/>
      <c r="E364" s="242"/>
      <c r="F364" s="242"/>
      <c r="G364" s="242"/>
      <c r="H364" s="242"/>
      <c r="I364" s="242"/>
      <c r="J364" s="242"/>
      <c r="K364" s="242"/>
      <c r="L364" s="313"/>
      <c r="M364" s="242"/>
      <c r="N364" s="242"/>
      <c r="O364" s="314"/>
      <c r="P364" s="242"/>
      <c r="Q364" s="242"/>
      <c r="R364" s="242"/>
      <c r="S364" s="310"/>
      <c r="T364" s="242"/>
      <c r="U364" s="312"/>
      <c r="V364" s="312"/>
      <c r="W364" s="310"/>
      <c r="X364" s="340"/>
      <c r="Y364" s="242"/>
      <c r="Z364" s="310"/>
      <c r="AA364" s="310"/>
      <c r="AB364" s="310"/>
      <c r="AC364" s="310"/>
      <c r="AD364" s="310"/>
      <c r="AE364" s="310"/>
      <c r="AF364" s="312"/>
      <c r="AG364" s="310"/>
      <c r="AH364" s="242"/>
      <c r="AI364" s="242">
        <v>2018</v>
      </c>
      <c r="AJ364" s="242"/>
      <c r="AK364" s="328"/>
      <c r="AL364" s="242"/>
      <c r="AM364" s="242"/>
    </row>
    <row r="365" spans="1:41" s="94" customFormat="1" ht="22.9" customHeight="1" thickTop="1">
      <c r="A365" s="357" t="s">
        <v>179</v>
      </c>
      <c r="B365" s="360" t="s">
        <v>64</v>
      </c>
      <c r="C365" s="363" t="s">
        <v>134</v>
      </c>
      <c r="D365" s="156" t="s">
        <v>122</v>
      </c>
      <c r="E365" s="156" t="s">
        <v>180</v>
      </c>
      <c r="F365" s="344" t="s">
        <v>181</v>
      </c>
      <c r="G365" s="344" t="s">
        <v>182</v>
      </c>
      <c r="H365" s="344" t="s">
        <v>181</v>
      </c>
      <c r="I365" s="368">
        <f>+L366</f>
        <v>0.94950274555204495</v>
      </c>
      <c r="J365" s="371">
        <v>0.1</v>
      </c>
      <c r="K365" s="374" t="s">
        <v>124</v>
      </c>
      <c r="L365" s="95" t="s">
        <v>57</v>
      </c>
      <c r="M365" s="96" t="s">
        <v>57</v>
      </c>
      <c r="N365" s="96" t="s">
        <v>57</v>
      </c>
      <c r="O365" s="97" t="s">
        <v>57</v>
      </c>
      <c r="P365" s="96" t="s">
        <v>57</v>
      </c>
      <c r="Q365" s="98" t="s">
        <v>57</v>
      </c>
      <c r="R365" s="96" t="s">
        <v>57</v>
      </c>
      <c r="S365" s="98" t="s">
        <v>57</v>
      </c>
      <c r="T365" s="96" t="s">
        <v>57</v>
      </c>
      <c r="U365" s="98" t="s">
        <v>57</v>
      </c>
      <c r="V365" s="96" t="s">
        <v>57</v>
      </c>
      <c r="W365" s="98" t="s">
        <v>57</v>
      </c>
      <c r="X365" s="96" t="s">
        <v>57</v>
      </c>
      <c r="Y365" s="98" t="s">
        <v>57</v>
      </c>
      <c r="Z365" s="96" t="s">
        <v>57</v>
      </c>
      <c r="AA365" s="98" t="s">
        <v>57</v>
      </c>
      <c r="AB365" s="96" t="s">
        <v>57</v>
      </c>
      <c r="AC365" s="98" t="s">
        <v>57</v>
      </c>
      <c r="AD365" s="96" t="s">
        <v>57</v>
      </c>
      <c r="AE365" s="98" t="s">
        <v>57</v>
      </c>
      <c r="AF365" s="96" t="s">
        <v>57</v>
      </c>
      <c r="AG365" s="98" t="s">
        <v>57</v>
      </c>
      <c r="AH365" s="96" t="s">
        <v>57</v>
      </c>
      <c r="AI365" s="98" t="s">
        <v>57</v>
      </c>
      <c r="AJ365" s="67"/>
      <c r="AK365" s="165" t="s">
        <v>72</v>
      </c>
      <c r="AL365" s="325"/>
      <c r="AM365" s="156" t="s">
        <v>125</v>
      </c>
    </row>
    <row r="366" spans="1:41" s="94" customFormat="1" ht="22.9" customHeight="1">
      <c r="A366" s="358"/>
      <c r="B366" s="361"/>
      <c r="C366" s="364"/>
      <c r="D366" s="467"/>
      <c r="E366" s="157"/>
      <c r="F366" s="345"/>
      <c r="G366" s="345"/>
      <c r="H366" s="345"/>
      <c r="I366" s="369"/>
      <c r="J366" s="372"/>
      <c r="K366" s="354"/>
      <c r="L366" s="41">
        <f>IF(L368&lt;&gt;0,+L368/L370,0%)</f>
        <v>0.94950274555204495</v>
      </c>
      <c r="M366" s="58">
        <f>IF(M368&lt;&gt;0,+M368/M370,0%)</f>
        <v>0.93955940500847301</v>
      </c>
      <c r="N366" s="61">
        <f>IF(N368&lt;&gt;0,+N368/N370,0%)</f>
        <v>0.94119019836639439</v>
      </c>
      <c r="O366" s="57">
        <f t="shared" ref="O366" si="530">IF(O368&lt;&gt;0,+O368/O370,0%)</f>
        <v>0.9402876198416007</v>
      </c>
      <c r="P366" s="61">
        <f>IF(P368&lt;&gt;0,ROUND(+P368/P370,4),0%)</f>
        <v>0.95699999999999996</v>
      </c>
      <c r="Q366" s="62">
        <f t="shared" ref="Q366" si="531">IF(Q368&lt;&gt;0,+Q368/Q370,0%)</f>
        <v>0.94639072847682115</v>
      </c>
      <c r="R366" s="63">
        <f>IF(R368&lt;&gt;0,ROUND(+R368/R370,4),0%)</f>
        <v>0.96479999999999999</v>
      </c>
      <c r="S366" s="62">
        <f t="shared" ref="S366" si="532">IF(S368&lt;&gt;0,+S368/S370,0%)</f>
        <v>0.9512498172781757</v>
      </c>
      <c r="T366" s="63">
        <f>IF(T368&lt;&gt;0,ROUND(+T368/T370,4),0%)</f>
        <v>0.95230000000000004</v>
      </c>
      <c r="U366" s="62">
        <f t="shared" ref="U366" si="533">IF(U368&lt;&gt;0,+U368/U370,0%)</f>
        <v>0.95150323124473168</v>
      </c>
      <c r="V366" s="63">
        <f>IF(V368&lt;&gt;0,ROUND(+V368/V370,4),0%)</f>
        <v>0.95599999999999996</v>
      </c>
      <c r="W366" s="62">
        <f t="shared" ref="W366" si="534">IF(W368&lt;&gt;0,+W368/W370,0%)</f>
        <v>0.95216207559256882</v>
      </c>
      <c r="X366" s="63">
        <f>IF(X368&lt;&gt;0,ROUND(+X368/X370,4),0%)</f>
        <v>0.92679999999999996</v>
      </c>
      <c r="Y366" s="62">
        <f t="shared" ref="Y366" si="535">IF(Y368&lt;&gt;0,+Y368/Y370,0%)</f>
        <v>0.94735407499707958</v>
      </c>
      <c r="Z366" s="64">
        <f>IF(Z368&lt;&gt;0,ROUND(+Z368/Z370,4),0%)</f>
        <v>0.95209999999999995</v>
      </c>
      <c r="AA366" s="62">
        <f t="shared" ref="AA366" si="536">IF(AA368&lt;&gt;0,+AA368/AA370,0%)</f>
        <v>0.94786959888135158</v>
      </c>
      <c r="AB366" s="63">
        <f>IF(AB368&lt;&gt;0,ROUND(+AB368/AB370,4),0%)</f>
        <v>0.95389999999999997</v>
      </c>
      <c r="AC366" s="62">
        <f t="shared" ref="AC366" si="537">IF(AC368&lt;&gt;0,+AC368/AC370,0%)</f>
        <v>0.9483776747730015</v>
      </c>
      <c r="AD366" s="63">
        <f>IF(AD368&lt;&gt;0,ROUND(+AD368/AD370,4),0%)</f>
        <v>0.94950000000000001</v>
      </c>
      <c r="AE366" s="62">
        <f t="shared" ref="AE366" si="538">IF(AE368&lt;&gt;0,+AE368/AE370,0%)</f>
        <v>0.94850586730645359</v>
      </c>
      <c r="AF366" s="63">
        <f>IF(AF368&lt;&gt;0,ROUND(+AF368/AF370,4),0%)</f>
        <v>0.95630000000000004</v>
      </c>
      <c r="AG366" s="62">
        <f t="shared" ref="AG366" si="539">IF(AG368&lt;&gt;0,+AG368/AG370,0%)</f>
        <v>0.94909370385402547</v>
      </c>
      <c r="AH366" s="63">
        <f>IF(AH368&lt;&gt;0,ROUND(+AH368/AH370,4),0%)</f>
        <v>0.95499999999999996</v>
      </c>
      <c r="AI366" s="62">
        <f>IF(AI368&lt;&gt;0,+AI368/AI370,0%)</f>
        <v>0.94950274555204495</v>
      </c>
      <c r="AJ366" s="68"/>
      <c r="AK366" s="166"/>
      <c r="AL366" s="326"/>
      <c r="AM366" s="157"/>
    </row>
    <row r="367" spans="1:41" s="94" customFormat="1" ht="22.9" customHeight="1" thickBot="1">
      <c r="A367" s="358"/>
      <c r="B367" s="361"/>
      <c r="C367" s="364"/>
      <c r="D367" s="467"/>
      <c r="E367" s="157"/>
      <c r="F367" s="345"/>
      <c r="G367" s="345"/>
      <c r="H367" s="345"/>
      <c r="I367" s="369"/>
      <c r="J367" s="372"/>
      <c r="K367" s="376"/>
      <c r="L367" s="99"/>
      <c r="M367" s="101" t="s">
        <v>60</v>
      </c>
      <c r="N367" s="101" t="s">
        <v>60</v>
      </c>
      <c r="O367" s="102" t="s">
        <v>60</v>
      </c>
      <c r="P367" s="101" t="s">
        <v>60</v>
      </c>
      <c r="Q367" s="103" t="s">
        <v>60</v>
      </c>
      <c r="R367" s="101" t="s">
        <v>60</v>
      </c>
      <c r="S367" s="103" t="s">
        <v>60</v>
      </c>
      <c r="T367" s="101" t="s">
        <v>60</v>
      </c>
      <c r="U367" s="103" t="s">
        <v>60</v>
      </c>
      <c r="V367" s="101" t="s">
        <v>60</v>
      </c>
      <c r="W367" s="103" t="s">
        <v>60</v>
      </c>
      <c r="X367" s="101" t="s">
        <v>60</v>
      </c>
      <c r="Y367" s="103" t="s">
        <v>60</v>
      </c>
      <c r="Z367" s="101" t="s">
        <v>60</v>
      </c>
      <c r="AA367" s="103" t="s">
        <v>60</v>
      </c>
      <c r="AB367" s="101" t="s">
        <v>60</v>
      </c>
      <c r="AC367" s="103" t="s">
        <v>60</v>
      </c>
      <c r="AD367" s="101" t="s">
        <v>60</v>
      </c>
      <c r="AE367" s="103" t="s">
        <v>60</v>
      </c>
      <c r="AF367" s="101" t="s">
        <v>60</v>
      </c>
      <c r="AG367" s="103" t="s">
        <v>60</v>
      </c>
      <c r="AH367" s="101" t="s">
        <v>60</v>
      </c>
      <c r="AI367" s="103" t="s">
        <v>60</v>
      </c>
      <c r="AJ367" s="68"/>
      <c r="AK367" s="166"/>
      <c r="AL367" s="326"/>
      <c r="AM367" s="157"/>
    </row>
    <row r="368" spans="1:41" s="94" customFormat="1" ht="22.9" customHeight="1" thickTop="1">
      <c r="A368" s="358"/>
      <c r="B368" s="361"/>
      <c r="C368" s="364"/>
      <c r="D368" s="467"/>
      <c r="E368" s="157"/>
      <c r="F368" s="345"/>
      <c r="G368" s="345"/>
      <c r="H368" s="345"/>
      <c r="I368" s="369"/>
      <c r="J368" s="372"/>
      <c r="K368" s="354" t="s">
        <v>74</v>
      </c>
      <c r="L368" s="104">
        <v>118102</v>
      </c>
      <c r="M368" s="105">
        <v>9980</v>
      </c>
      <c r="N368" s="105">
        <v>8066</v>
      </c>
      <c r="O368" s="106">
        <f>+M368+N368</f>
        <v>18046</v>
      </c>
      <c r="P368" s="105">
        <v>10535</v>
      </c>
      <c r="Q368" s="106">
        <f>+O368+P368</f>
        <v>28581</v>
      </c>
      <c r="R368" s="105">
        <v>10464</v>
      </c>
      <c r="S368" s="106">
        <f>+Q368+R368</f>
        <v>39045</v>
      </c>
      <c r="T368" s="105">
        <v>11751</v>
      </c>
      <c r="U368" s="106">
        <f>+S368+T368</f>
        <v>50796</v>
      </c>
      <c r="V368" s="105">
        <v>8657</v>
      </c>
      <c r="W368" s="106">
        <f>+U368+V368</f>
        <v>59453</v>
      </c>
      <c r="X368" s="105">
        <v>13534</v>
      </c>
      <c r="Y368" s="106">
        <f>+W368+X368</f>
        <v>72987</v>
      </c>
      <c r="Z368" s="105">
        <v>9035</v>
      </c>
      <c r="AA368" s="106">
        <f>+Y368+Z368</f>
        <v>82022</v>
      </c>
      <c r="AB368" s="105">
        <v>7594</v>
      </c>
      <c r="AC368" s="106">
        <f>+AA368+AB368</f>
        <v>89616</v>
      </c>
      <c r="AD368" s="105">
        <v>11987</v>
      </c>
      <c r="AE368" s="106">
        <f>+AC368+AD368</f>
        <v>101603</v>
      </c>
      <c r="AF368" s="105">
        <v>8303</v>
      </c>
      <c r="AG368" s="106">
        <f>+AE368+AF368</f>
        <v>109906</v>
      </c>
      <c r="AH368" s="105">
        <v>8196</v>
      </c>
      <c r="AI368" s="106">
        <f>SUM(AG368:AH368)</f>
        <v>118102</v>
      </c>
      <c r="AJ368" s="29">
        <f>+AI366/L366</f>
        <v>1</v>
      </c>
      <c r="AK368" s="166"/>
      <c r="AL368" s="326"/>
      <c r="AM368" s="157"/>
    </row>
    <row r="369" spans="1:41" s="94" customFormat="1" ht="22.9" customHeight="1">
      <c r="A369" s="358"/>
      <c r="B369" s="361"/>
      <c r="C369" s="364"/>
      <c r="D369" s="467"/>
      <c r="E369" s="157"/>
      <c r="F369" s="345"/>
      <c r="G369" s="345"/>
      <c r="H369" s="345"/>
      <c r="I369" s="369"/>
      <c r="J369" s="372"/>
      <c r="K369" s="375"/>
      <c r="L369" s="99" t="s">
        <v>126</v>
      </c>
      <c r="M369" s="107" t="s">
        <v>62</v>
      </c>
      <c r="N369" s="107" t="s">
        <v>62</v>
      </c>
      <c r="O369" s="108" t="s">
        <v>62</v>
      </c>
      <c r="P369" s="107" t="s">
        <v>62</v>
      </c>
      <c r="Q369" s="109" t="s">
        <v>62</v>
      </c>
      <c r="R369" s="107"/>
      <c r="S369" s="109" t="s">
        <v>62</v>
      </c>
      <c r="T369" s="107" t="s">
        <v>62</v>
      </c>
      <c r="U369" s="109" t="s">
        <v>62</v>
      </c>
      <c r="V369" s="107" t="s">
        <v>62</v>
      </c>
      <c r="W369" s="109" t="s">
        <v>62</v>
      </c>
      <c r="X369" s="107" t="s">
        <v>62</v>
      </c>
      <c r="Y369" s="109" t="s">
        <v>62</v>
      </c>
      <c r="Z369" s="107" t="s">
        <v>62</v>
      </c>
      <c r="AA369" s="109" t="s">
        <v>62</v>
      </c>
      <c r="AB369" s="107" t="s">
        <v>62</v>
      </c>
      <c r="AC369" s="109" t="s">
        <v>62</v>
      </c>
      <c r="AD369" s="107" t="s">
        <v>62</v>
      </c>
      <c r="AE369" s="109" t="s">
        <v>62</v>
      </c>
      <c r="AF369" s="107" t="s">
        <v>62</v>
      </c>
      <c r="AG369" s="109" t="s">
        <v>62</v>
      </c>
      <c r="AH369" s="107" t="s">
        <v>62</v>
      </c>
      <c r="AI369" s="108" t="s">
        <v>62</v>
      </c>
      <c r="AJ369" s="68"/>
      <c r="AK369" s="166"/>
      <c r="AL369" s="326"/>
      <c r="AM369" s="157"/>
    </row>
    <row r="370" spans="1:41" s="94" customFormat="1" ht="22.9" customHeight="1" thickBot="1">
      <c r="A370" s="359"/>
      <c r="B370" s="362"/>
      <c r="C370" s="365"/>
      <c r="D370" s="468"/>
      <c r="E370" s="158"/>
      <c r="F370" s="346"/>
      <c r="G370" s="346"/>
      <c r="H370" s="346"/>
      <c r="I370" s="370"/>
      <c r="J370" s="373"/>
      <c r="K370" s="376"/>
      <c r="L370" s="110">
        <v>124383</v>
      </c>
      <c r="M370" s="111">
        <v>10622</v>
      </c>
      <c r="N370" s="111">
        <v>8570</v>
      </c>
      <c r="O370" s="112">
        <f t="shared" ref="O370" si="540">+M370+N370</f>
        <v>19192</v>
      </c>
      <c r="P370" s="111">
        <v>11008</v>
      </c>
      <c r="Q370" s="112">
        <f t="shared" ref="Q370" si="541">+O370+P370</f>
        <v>30200</v>
      </c>
      <c r="R370" s="111">
        <v>10846</v>
      </c>
      <c r="S370" s="112">
        <f t="shared" ref="S370" si="542">+Q370+R370</f>
        <v>41046</v>
      </c>
      <c r="T370" s="111">
        <v>12339</v>
      </c>
      <c r="U370" s="112">
        <f t="shared" ref="U370" si="543">+S370+T370</f>
        <v>53385</v>
      </c>
      <c r="V370" s="111">
        <v>9055</v>
      </c>
      <c r="W370" s="112">
        <f t="shared" ref="W370" si="544">+U370+V370</f>
        <v>62440</v>
      </c>
      <c r="X370" s="111">
        <v>14603</v>
      </c>
      <c r="Y370" s="112">
        <f t="shared" ref="Y370" si="545">+W370+X370</f>
        <v>77043</v>
      </c>
      <c r="Z370" s="111">
        <v>9490</v>
      </c>
      <c r="AA370" s="112">
        <f t="shared" ref="AA370" si="546">+Y370+Z370</f>
        <v>86533</v>
      </c>
      <c r="AB370" s="111">
        <v>7961</v>
      </c>
      <c r="AC370" s="112">
        <f t="shared" ref="AC370" si="547">+AA370+AB370</f>
        <v>94494</v>
      </c>
      <c r="AD370" s="111">
        <v>12625</v>
      </c>
      <c r="AE370" s="112">
        <f t="shared" ref="AE370" si="548">+AC370+AD370</f>
        <v>107119</v>
      </c>
      <c r="AF370" s="111">
        <v>8682</v>
      </c>
      <c r="AG370" s="112">
        <f t="shared" ref="AG370" si="549">+AE370+AF370</f>
        <v>115801</v>
      </c>
      <c r="AH370" s="111">
        <v>8582</v>
      </c>
      <c r="AI370" s="112">
        <f>SUM(AG370:AH370)</f>
        <v>124383</v>
      </c>
      <c r="AJ370" s="69"/>
      <c r="AK370" s="167"/>
      <c r="AL370" s="327"/>
      <c r="AM370" s="158"/>
    </row>
    <row r="371" spans="1:41" ht="12.95" thickTop="1"/>
    <row r="374" spans="1:41" s="129" customFormat="1" ht="15.6">
      <c r="C374" s="377" t="s">
        <v>183</v>
      </c>
      <c r="D374" s="377"/>
      <c r="E374" s="377"/>
      <c r="F374" s="377"/>
      <c r="G374" s="377"/>
      <c r="H374" s="377"/>
      <c r="I374" s="377"/>
      <c r="J374" s="377"/>
      <c r="K374" s="377"/>
      <c r="L374" s="130"/>
      <c r="M374" s="82"/>
      <c r="N374" s="130"/>
      <c r="O374" s="82"/>
      <c r="P374" s="130"/>
      <c r="Q374" s="82"/>
      <c r="R374" s="130"/>
      <c r="S374" s="82"/>
      <c r="T374" s="130"/>
      <c r="U374" s="82"/>
      <c r="V374" s="130"/>
      <c r="W374" s="82"/>
      <c r="X374" s="130"/>
      <c r="Y374" s="82"/>
      <c r="Z374" s="130"/>
      <c r="AA374" s="82"/>
      <c r="AB374" s="130"/>
      <c r="AC374" s="82"/>
      <c r="AD374" s="130"/>
      <c r="AE374" s="82"/>
      <c r="AF374" s="130"/>
      <c r="AG374" s="82"/>
      <c r="AH374" s="130"/>
      <c r="AI374" s="82"/>
      <c r="AJ374" s="131"/>
    </row>
    <row r="375" spans="1:41" s="129" customFormat="1" ht="13.5" thickBot="1">
      <c r="M375" s="90"/>
      <c r="N375" s="90"/>
      <c r="O375" s="90"/>
      <c r="P375" s="90"/>
      <c r="Q375" s="90"/>
      <c r="R375" s="90"/>
      <c r="S375" s="90"/>
      <c r="T375" s="90"/>
      <c r="U375" s="90"/>
      <c r="V375" s="90"/>
      <c r="W375" s="90"/>
      <c r="X375" s="90"/>
      <c r="Y375" s="90"/>
      <c r="Z375" s="90"/>
      <c r="AA375" s="90"/>
      <c r="AB375" s="90"/>
      <c r="AC375" s="90"/>
      <c r="AD375" s="90"/>
      <c r="AE375" s="90"/>
      <c r="AF375" s="90"/>
      <c r="AG375" s="90"/>
      <c r="AH375" s="90"/>
    </row>
    <row r="376" spans="1:41" s="94" customFormat="1" ht="22.9" customHeight="1" thickTop="1">
      <c r="A376" s="311" t="s">
        <v>10</v>
      </c>
      <c r="B376" s="311" t="s">
        <v>11</v>
      </c>
      <c r="C376" s="311" t="s">
        <v>12</v>
      </c>
      <c r="D376" s="241" t="s">
        <v>13</v>
      </c>
      <c r="E376" s="241" t="s">
        <v>14</v>
      </c>
      <c r="F376" s="241" t="s">
        <v>15</v>
      </c>
      <c r="G376" s="241" t="s">
        <v>16</v>
      </c>
      <c r="H376" s="241" t="s">
        <v>17</v>
      </c>
      <c r="I376" s="241" t="s">
        <v>118</v>
      </c>
      <c r="J376" s="241" t="s">
        <v>19</v>
      </c>
      <c r="K376" s="241" t="s">
        <v>20</v>
      </c>
      <c r="L376" s="241" t="s">
        <v>21</v>
      </c>
      <c r="M376" s="241" t="s">
        <v>22</v>
      </c>
      <c r="N376" s="241" t="s">
        <v>23</v>
      </c>
      <c r="O376" s="311" t="s">
        <v>24</v>
      </c>
      <c r="P376" s="241" t="s">
        <v>25</v>
      </c>
      <c r="Q376" s="241" t="s">
        <v>26</v>
      </c>
      <c r="R376" s="241" t="s">
        <v>27</v>
      </c>
      <c r="S376" s="241" t="s">
        <v>28</v>
      </c>
      <c r="T376" s="241" t="s">
        <v>29</v>
      </c>
      <c r="U376" s="311" t="s">
        <v>30</v>
      </c>
      <c r="V376" s="311" t="s">
        <v>31</v>
      </c>
      <c r="W376" s="241" t="s">
        <v>32</v>
      </c>
      <c r="X376" s="339" t="s">
        <v>33</v>
      </c>
      <c r="Y376" s="241" t="s">
        <v>34</v>
      </c>
      <c r="Z376" s="241" t="s">
        <v>35</v>
      </c>
      <c r="AA376" s="241" t="s">
        <v>36</v>
      </c>
      <c r="AB376" s="241" t="s">
        <v>37</v>
      </c>
      <c r="AC376" s="241" t="s">
        <v>38</v>
      </c>
      <c r="AD376" s="241" t="s">
        <v>39</v>
      </c>
      <c r="AE376" s="241" t="s">
        <v>40</v>
      </c>
      <c r="AF376" s="311" t="s">
        <v>41</v>
      </c>
      <c r="AG376" s="241" t="s">
        <v>42</v>
      </c>
      <c r="AH376" s="241" t="s">
        <v>43</v>
      </c>
      <c r="AI376" s="241" t="s">
        <v>143</v>
      </c>
      <c r="AJ376" s="241" t="s">
        <v>45</v>
      </c>
      <c r="AK376" s="241" t="s">
        <v>46</v>
      </c>
      <c r="AL376" s="241" t="s">
        <v>47</v>
      </c>
      <c r="AM376" s="241" t="s">
        <v>48</v>
      </c>
    </row>
    <row r="377" spans="1:41" s="94" customFormat="1" ht="22.9" customHeight="1" thickBot="1">
      <c r="A377" s="314"/>
      <c r="B377" s="314"/>
      <c r="C377" s="314"/>
      <c r="D377" s="242"/>
      <c r="E377" s="242"/>
      <c r="F377" s="242"/>
      <c r="G377" s="242"/>
      <c r="H377" s="242"/>
      <c r="I377" s="242"/>
      <c r="J377" s="242"/>
      <c r="K377" s="242"/>
      <c r="L377" s="313"/>
      <c r="M377" s="242"/>
      <c r="N377" s="242"/>
      <c r="O377" s="314"/>
      <c r="P377" s="242"/>
      <c r="Q377" s="242"/>
      <c r="R377" s="242"/>
      <c r="S377" s="310"/>
      <c r="T377" s="242"/>
      <c r="U377" s="312"/>
      <c r="V377" s="312"/>
      <c r="W377" s="310"/>
      <c r="X377" s="340"/>
      <c r="Y377" s="242"/>
      <c r="Z377" s="310"/>
      <c r="AA377" s="310"/>
      <c r="AB377" s="310"/>
      <c r="AC377" s="310"/>
      <c r="AD377" s="310"/>
      <c r="AE377" s="310"/>
      <c r="AF377" s="312"/>
      <c r="AG377" s="310"/>
      <c r="AH377" s="242"/>
      <c r="AI377" s="242">
        <v>2018</v>
      </c>
      <c r="AJ377" s="242"/>
      <c r="AK377" s="328"/>
      <c r="AL377" s="242"/>
      <c r="AM377" s="242"/>
    </row>
    <row r="378" spans="1:41" s="132" customFormat="1" ht="22.9" customHeight="1" thickTop="1">
      <c r="A378" s="357" t="s">
        <v>184</v>
      </c>
      <c r="B378" s="360" t="s">
        <v>64</v>
      </c>
      <c r="C378" s="363" t="s">
        <v>134</v>
      </c>
      <c r="D378" s="156" t="s">
        <v>122</v>
      </c>
      <c r="E378" s="156" t="s">
        <v>185</v>
      </c>
      <c r="F378" s="156" t="s">
        <v>186</v>
      </c>
      <c r="G378" s="156" t="s">
        <v>187</v>
      </c>
      <c r="H378" s="156" t="s">
        <v>186</v>
      </c>
      <c r="I378" s="368">
        <f>+L379</f>
        <v>0.96490390215492139</v>
      </c>
      <c r="J378" s="371">
        <v>0.1</v>
      </c>
      <c r="K378" s="374" t="s">
        <v>124</v>
      </c>
      <c r="L378" s="96" t="s">
        <v>57</v>
      </c>
      <c r="M378" s="96" t="s">
        <v>57</v>
      </c>
      <c r="N378" s="96" t="s">
        <v>57</v>
      </c>
      <c r="O378" s="97" t="s">
        <v>57</v>
      </c>
      <c r="P378" s="96" t="s">
        <v>57</v>
      </c>
      <c r="Q378" s="98" t="s">
        <v>57</v>
      </c>
      <c r="R378" s="96" t="s">
        <v>57</v>
      </c>
      <c r="S378" s="98" t="s">
        <v>57</v>
      </c>
      <c r="T378" s="96" t="s">
        <v>57</v>
      </c>
      <c r="U378" s="98" t="s">
        <v>57</v>
      </c>
      <c r="V378" s="96" t="s">
        <v>57</v>
      </c>
      <c r="W378" s="98" t="s">
        <v>57</v>
      </c>
      <c r="X378" s="96" t="s">
        <v>57</v>
      </c>
      <c r="Y378" s="98" t="s">
        <v>57</v>
      </c>
      <c r="Z378" s="96" t="s">
        <v>57</v>
      </c>
      <c r="AA378" s="98" t="s">
        <v>57</v>
      </c>
      <c r="AB378" s="96" t="s">
        <v>57</v>
      </c>
      <c r="AC378" s="98" t="s">
        <v>57</v>
      </c>
      <c r="AD378" s="96" t="s">
        <v>57</v>
      </c>
      <c r="AE378" s="98" t="s">
        <v>57</v>
      </c>
      <c r="AF378" s="96" t="s">
        <v>57</v>
      </c>
      <c r="AG378" s="98" t="s">
        <v>57</v>
      </c>
      <c r="AH378" s="96" t="s">
        <v>57</v>
      </c>
      <c r="AI378" s="98" t="s">
        <v>57</v>
      </c>
      <c r="AJ378" s="70" t="s">
        <v>57</v>
      </c>
      <c r="AK378" s="165" t="s">
        <v>72</v>
      </c>
      <c r="AL378" s="325"/>
      <c r="AM378" s="156" t="s">
        <v>125</v>
      </c>
      <c r="AO378" s="94"/>
    </row>
    <row r="379" spans="1:41" s="132" customFormat="1" ht="22.9" customHeight="1">
      <c r="A379" s="358"/>
      <c r="B379" s="361"/>
      <c r="C379" s="364"/>
      <c r="D379" s="366"/>
      <c r="E379" s="157"/>
      <c r="F379" s="157"/>
      <c r="G379" s="157"/>
      <c r="H379" s="157"/>
      <c r="I379" s="369"/>
      <c r="J379" s="372"/>
      <c r="K379" s="354"/>
      <c r="L379" s="41">
        <f>IF(L381&lt;&gt;0,+L381/L383,0%)</f>
        <v>0.96490390215492139</v>
      </c>
      <c r="M379" s="58">
        <f>IF(M381&lt;&gt;0,+M381/M383,0%)</f>
        <v>0.9240919086979601</v>
      </c>
      <c r="N379" s="61">
        <f>IF(N381&lt;&gt;0,+N381/N383,0%)</f>
        <v>0.92565692834992652</v>
      </c>
      <c r="O379" s="57">
        <f t="shared" ref="O379" si="550">IF(O381&lt;&gt;0,+O381/O383,0%)</f>
        <v>0.92484572147321253</v>
      </c>
      <c r="P379" s="61">
        <f>IF(P381&lt;&gt;0,ROUND(+P381/P383,4),0%)</f>
        <v>0.94989999999999997</v>
      </c>
      <c r="Q379" s="62">
        <f t="shared" ref="Q379" si="551">IF(Q381&lt;&gt;0,+Q381/Q383,0%)</f>
        <v>0.93402354346581717</v>
      </c>
      <c r="R379" s="63">
        <f>IF(R381&lt;&gt;0,ROUND(+R381/R383,4),0%)</f>
        <v>0.98209999999999997</v>
      </c>
      <c r="S379" s="62">
        <f t="shared" ref="S379" si="552">IF(S381&lt;&gt;0,+S381/S383,0%)</f>
        <v>0.94676298463789321</v>
      </c>
      <c r="T379" s="63">
        <f>IF(T381&lt;&gt;0,ROUND(+T381/T383,4),0%)</f>
        <v>0.98580000000000001</v>
      </c>
      <c r="U379" s="62">
        <f t="shared" ref="U379" si="553">IF(U381&lt;&gt;0,+U381/U383,0%)</f>
        <v>0.95547697158195222</v>
      </c>
      <c r="V379" s="63">
        <f>IF(V381&lt;&gt;0,ROUND(+V381/V383,4),0%)</f>
        <v>0.98919999999999997</v>
      </c>
      <c r="W379" s="62">
        <f t="shared" ref="W379" si="554">IF(W381&lt;&gt;0,+W381/W383,0%)</f>
        <v>0.96060157256559375</v>
      </c>
      <c r="X379" s="63">
        <f>IF(X381&lt;&gt;0,ROUND(+X381/X383,4),0%)</f>
        <v>0.96499999999999997</v>
      </c>
      <c r="Y379" s="62">
        <f t="shared" ref="Y379" si="555">IF(Y381&lt;&gt;0,+Y381/Y383,0%)</f>
        <v>0.96151050235298618</v>
      </c>
      <c r="Z379" s="64">
        <f>IF(Z381&lt;&gt;0,ROUND(+Z381/Z383,4),0%)</f>
        <v>0.97070000000000001</v>
      </c>
      <c r="AA379" s="62">
        <f t="shared" ref="AA379" si="556">IF(AA381&lt;&gt;0,+AA381/AA383,0%)</f>
        <v>0.96253303534250534</v>
      </c>
      <c r="AB379" s="63">
        <f>IF(AB381&lt;&gt;0,ROUND(+AB381/AB383,4),0%)</f>
        <v>0.96099999999999997</v>
      </c>
      <c r="AC379" s="62">
        <f t="shared" ref="AC379" si="557">IF(AC381&lt;&gt;0,+AC381/AC383,0%)</f>
        <v>0.96239201322886236</v>
      </c>
      <c r="AD379" s="63">
        <f>IF(AD381&lt;&gt;0,ROUND(+AD381/AD383,4),0%)</f>
        <v>0.95630000000000004</v>
      </c>
      <c r="AE379" s="62">
        <f t="shared" ref="AE379" si="558">IF(AE381&lt;&gt;0,+AE381/AE383,0%)</f>
        <v>0.96164461593755723</v>
      </c>
      <c r="AF379" s="63">
        <f>IF(AF381&lt;&gt;0,ROUND(+AF381/AF383,4),0%)</f>
        <v>0.97909999999999997</v>
      </c>
      <c r="AG379" s="62">
        <f t="shared" ref="AG379" si="559">IF(AG381&lt;&gt;0,+AG381/AG383,0%)</f>
        <v>0.96300072559861882</v>
      </c>
      <c r="AH379" s="63">
        <f>IF(AH381&lt;&gt;0,ROUND(+AH381/AH383,4),0%)</f>
        <v>0.99060000000000004</v>
      </c>
      <c r="AI379" s="62">
        <f>IF(AI381&lt;&gt;0,+AI381/AI383,0%)</f>
        <v>0.96490390215492139</v>
      </c>
      <c r="AJ379" s="75">
        <f>+AI379/L379</f>
        <v>1</v>
      </c>
      <c r="AK379" s="166"/>
      <c r="AL379" s="326"/>
      <c r="AM379" s="157"/>
      <c r="AO379" s="94"/>
    </row>
    <row r="380" spans="1:41" s="132" customFormat="1" ht="22.9" customHeight="1" thickBot="1">
      <c r="A380" s="358"/>
      <c r="B380" s="361"/>
      <c r="C380" s="364"/>
      <c r="D380" s="366"/>
      <c r="E380" s="157"/>
      <c r="F380" s="157"/>
      <c r="G380" s="157"/>
      <c r="H380" s="157"/>
      <c r="I380" s="369"/>
      <c r="J380" s="372"/>
      <c r="K380" s="356"/>
      <c r="L380" s="101" t="s">
        <v>60</v>
      </c>
      <c r="M380" s="101" t="s">
        <v>60</v>
      </c>
      <c r="N380" s="101" t="s">
        <v>60</v>
      </c>
      <c r="O380" s="102" t="s">
        <v>60</v>
      </c>
      <c r="P380" s="101" t="s">
        <v>60</v>
      </c>
      <c r="Q380" s="103" t="s">
        <v>60</v>
      </c>
      <c r="R380" s="101" t="s">
        <v>60</v>
      </c>
      <c r="S380" s="103" t="s">
        <v>60</v>
      </c>
      <c r="T380" s="101" t="s">
        <v>60</v>
      </c>
      <c r="U380" s="103" t="s">
        <v>60</v>
      </c>
      <c r="V380" s="101" t="s">
        <v>60</v>
      </c>
      <c r="W380" s="103" t="s">
        <v>60</v>
      </c>
      <c r="X380" s="101" t="s">
        <v>60</v>
      </c>
      <c r="Y380" s="103" t="s">
        <v>60</v>
      </c>
      <c r="Z380" s="101" t="s">
        <v>60</v>
      </c>
      <c r="AA380" s="103" t="s">
        <v>60</v>
      </c>
      <c r="AB380" s="101" t="s">
        <v>60</v>
      </c>
      <c r="AC380" s="103" t="s">
        <v>60</v>
      </c>
      <c r="AD380" s="101" t="s">
        <v>60</v>
      </c>
      <c r="AE380" s="103" t="s">
        <v>60</v>
      </c>
      <c r="AF380" s="101" t="s">
        <v>60</v>
      </c>
      <c r="AG380" s="103" t="s">
        <v>60</v>
      </c>
      <c r="AH380" s="101" t="s">
        <v>60</v>
      </c>
      <c r="AI380" s="103" t="s">
        <v>60</v>
      </c>
      <c r="AJ380" s="71"/>
      <c r="AK380" s="166"/>
      <c r="AL380" s="326"/>
      <c r="AM380" s="157"/>
      <c r="AO380" s="94"/>
    </row>
    <row r="381" spans="1:41" s="132" customFormat="1" ht="22.9" customHeight="1" thickTop="1">
      <c r="A381" s="358"/>
      <c r="B381" s="361"/>
      <c r="C381" s="364"/>
      <c r="D381" s="366"/>
      <c r="E381" s="157"/>
      <c r="F381" s="157"/>
      <c r="G381" s="157"/>
      <c r="H381" s="157"/>
      <c r="I381" s="369"/>
      <c r="J381" s="372"/>
      <c r="K381" s="354" t="s">
        <v>74</v>
      </c>
      <c r="L381" s="104">
        <v>165674</v>
      </c>
      <c r="M381" s="105">
        <v>12186</v>
      </c>
      <c r="N381" s="105">
        <v>11343</v>
      </c>
      <c r="O381" s="106">
        <f>+M381+N381</f>
        <v>23529</v>
      </c>
      <c r="P381" s="105">
        <v>14001</v>
      </c>
      <c r="Q381" s="106">
        <f>+O381+P381</f>
        <v>37530</v>
      </c>
      <c r="R381" s="105">
        <v>14239</v>
      </c>
      <c r="S381" s="106">
        <f>+Q381+R381</f>
        <v>51769</v>
      </c>
      <c r="T381" s="105">
        <v>15509</v>
      </c>
      <c r="U381" s="106">
        <f>+S381+T381</f>
        <v>67278</v>
      </c>
      <c r="V381" s="105">
        <v>12499</v>
      </c>
      <c r="W381" s="106">
        <f>+U381+V381</f>
        <v>79777</v>
      </c>
      <c r="X381" s="105">
        <v>20747</v>
      </c>
      <c r="Y381" s="106">
        <f>+W381+X381</f>
        <v>100524</v>
      </c>
      <c r="Z381" s="105">
        <v>12744</v>
      </c>
      <c r="AA381" s="106">
        <f>+Y381+Z381</f>
        <v>113268</v>
      </c>
      <c r="AB381" s="105">
        <v>11279</v>
      </c>
      <c r="AC381" s="106">
        <f>+AA381+AB381</f>
        <v>124547</v>
      </c>
      <c r="AD381" s="105">
        <v>17260</v>
      </c>
      <c r="AE381" s="106">
        <f>+AC381+AD381</f>
        <v>141807</v>
      </c>
      <c r="AF381" s="105">
        <v>12146</v>
      </c>
      <c r="AG381" s="106">
        <f>+AE381+AF381</f>
        <v>153953</v>
      </c>
      <c r="AH381" s="105">
        <v>11721</v>
      </c>
      <c r="AI381" s="106">
        <f>+AG381+AH381</f>
        <v>165674</v>
      </c>
      <c r="AJ381" s="55"/>
      <c r="AK381" s="166"/>
      <c r="AL381" s="326"/>
      <c r="AM381" s="157"/>
      <c r="AO381" s="94"/>
    </row>
    <row r="382" spans="1:41" s="132" customFormat="1" ht="22.9" customHeight="1">
      <c r="A382" s="358"/>
      <c r="B382" s="361"/>
      <c r="C382" s="364"/>
      <c r="D382" s="366"/>
      <c r="E382" s="157"/>
      <c r="F382" s="157"/>
      <c r="G382" s="157"/>
      <c r="H382" s="157"/>
      <c r="I382" s="369"/>
      <c r="J382" s="372"/>
      <c r="K382" s="355"/>
      <c r="L382" s="99" t="s">
        <v>126</v>
      </c>
      <c r="M382" s="107" t="s">
        <v>62</v>
      </c>
      <c r="N382" s="107" t="s">
        <v>62</v>
      </c>
      <c r="O382" s="108" t="s">
        <v>62</v>
      </c>
      <c r="P382" s="107" t="s">
        <v>62</v>
      </c>
      <c r="Q382" s="109" t="s">
        <v>62</v>
      </c>
      <c r="R382" s="107" t="s">
        <v>62</v>
      </c>
      <c r="S382" s="109" t="s">
        <v>62</v>
      </c>
      <c r="T382" s="107" t="s">
        <v>62</v>
      </c>
      <c r="U382" s="109" t="s">
        <v>62</v>
      </c>
      <c r="V382" s="107" t="s">
        <v>62</v>
      </c>
      <c r="W382" s="109" t="s">
        <v>62</v>
      </c>
      <c r="X382" s="107" t="s">
        <v>62</v>
      </c>
      <c r="Y382" s="109" t="s">
        <v>62</v>
      </c>
      <c r="Z382" s="107" t="s">
        <v>62</v>
      </c>
      <c r="AA382" s="109" t="s">
        <v>62</v>
      </c>
      <c r="AB382" s="107" t="s">
        <v>62</v>
      </c>
      <c r="AC382" s="109" t="s">
        <v>62</v>
      </c>
      <c r="AD382" s="107" t="s">
        <v>62</v>
      </c>
      <c r="AE382" s="109" t="s">
        <v>62</v>
      </c>
      <c r="AF382" s="107" t="s">
        <v>62</v>
      </c>
      <c r="AG382" s="109" t="s">
        <v>62</v>
      </c>
      <c r="AH382" s="107" t="s">
        <v>62</v>
      </c>
      <c r="AI382" s="109" t="s">
        <v>62</v>
      </c>
      <c r="AJ382" s="71"/>
      <c r="AK382" s="166"/>
      <c r="AL382" s="326"/>
      <c r="AM382" s="157"/>
      <c r="AO382" s="94"/>
    </row>
    <row r="383" spans="1:41" s="132" customFormat="1" ht="22.9" customHeight="1" thickBot="1">
      <c r="A383" s="359"/>
      <c r="B383" s="362"/>
      <c r="C383" s="365"/>
      <c r="D383" s="367"/>
      <c r="E383" s="158"/>
      <c r="F383" s="158"/>
      <c r="G383" s="158"/>
      <c r="H383" s="158"/>
      <c r="I383" s="370"/>
      <c r="J383" s="373"/>
      <c r="K383" s="356"/>
      <c r="L383" s="110">
        <v>171700</v>
      </c>
      <c r="M383" s="111">
        <v>13187</v>
      </c>
      <c r="N383" s="111">
        <v>12254</v>
      </c>
      <c r="O383" s="112">
        <f>+M383+N383</f>
        <v>25441</v>
      </c>
      <c r="P383" s="111">
        <v>14740</v>
      </c>
      <c r="Q383" s="112">
        <f>+O383+P383</f>
        <v>40181</v>
      </c>
      <c r="R383" s="111">
        <v>14499</v>
      </c>
      <c r="S383" s="112">
        <f>+Q383+R383</f>
        <v>54680</v>
      </c>
      <c r="T383" s="111">
        <v>15733</v>
      </c>
      <c r="U383" s="112">
        <f>+S383+T383</f>
        <v>70413</v>
      </c>
      <c r="V383" s="111">
        <v>12636</v>
      </c>
      <c r="W383" s="112">
        <f>+U383+V383</f>
        <v>83049</v>
      </c>
      <c r="X383" s="111">
        <v>21499</v>
      </c>
      <c r="Y383" s="112">
        <f>+W383+X383</f>
        <v>104548</v>
      </c>
      <c r="Z383" s="111">
        <v>13129</v>
      </c>
      <c r="AA383" s="112">
        <f>+Y383+Z383</f>
        <v>117677</v>
      </c>
      <c r="AB383" s="111">
        <v>11737</v>
      </c>
      <c r="AC383" s="112">
        <f>+AA383+AB383</f>
        <v>129414</v>
      </c>
      <c r="AD383" s="111">
        <v>18049</v>
      </c>
      <c r="AE383" s="112">
        <f>+AC383+AD383</f>
        <v>147463</v>
      </c>
      <c r="AF383" s="111">
        <v>12405</v>
      </c>
      <c r="AG383" s="112">
        <f>+AE383+AF383</f>
        <v>159868</v>
      </c>
      <c r="AH383" s="111">
        <v>11832</v>
      </c>
      <c r="AI383" s="112">
        <f>+AG383+AH383</f>
        <v>171700</v>
      </c>
      <c r="AJ383" s="72"/>
      <c r="AK383" s="167"/>
      <c r="AL383" s="327"/>
      <c r="AM383" s="158"/>
      <c r="AO383" s="94"/>
    </row>
    <row r="384" spans="1:41" ht="12.95" thickTop="1"/>
    <row r="385" spans="1:41" s="89" customFormat="1" ht="20.45" thickBot="1">
      <c r="A385" s="114" t="s">
        <v>127</v>
      </c>
      <c r="L385" s="90"/>
      <c r="M385" s="90"/>
      <c r="N385" s="90"/>
      <c r="O385" s="90"/>
      <c r="P385" s="90"/>
      <c r="Q385" s="90"/>
      <c r="R385" s="90"/>
      <c r="S385" s="90"/>
      <c r="T385" s="90"/>
      <c r="U385" s="90"/>
      <c r="V385" s="90"/>
      <c r="W385" s="90"/>
      <c r="X385" s="90"/>
      <c r="Y385" s="90"/>
      <c r="Z385" s="90"/>
      <c r="AA385" s="90"/>
      <c r="AB385" s="90"/>
      <c r="AC385" s="90"/>
      <c r="AD385" s="90"/>
      <c r="AE385" s="90"/>
      <c r="AF385" s="90"/>
      <c r="AG385" s="90"/>
      <c r="AH385" s="90"/>
      <c r="AI385" s="90"/>
      <c r="AJ385" s="90"/>
      <c r="AK385" s="90"/>
      <c r="AL385" s="90"/>
      <c r="AM385" s="90"/>
    </row>
    <row r="386" spans="1:41" s="94" customFormat="1" ht="22.9" customHeight="1" thickTop="1">
      <c r="A386" s="311" t="s">
        <v>10</v>
      </c>
      <c r="B386" s="311" t="s">
        <v>11</v>
      </c>
      <c r="C386" s="311" t="s">
        <v>12</v>
      </c>
      <c r="D386" s="241" t="s">
        <v>13</v>
      </c>
      <c r="E386" s="241" t="s">
        <v>14</v>
      </c>
      <c r="F386" s="241" t="s">
        <v>15</v>
      </c>
      <c r="G386" s="241" t="s">
        <v>16</v>
      </c>
      <c r="H386" s="241" t="s">
        <v>17</v>
      </c>
      <c r="I386" s="241" t="s">
        <v>118</v>
      </c>
      <c r="J386" s="241" t="s">
        <v>19</v>
      </c>
      <c r="K386" s="241" t="s">
        <v>20</v>
      </c>
      <c r="L386" s="241" t="s">
        <v>21</v>
      </c>
      <c r="M386" s="241" t="s">
        <v>22</v>
      </c>
      <c r="N386" s="241" t="s">
        <v>23</v>
      </c>
      <c r="O386" s="311" t="s">
        <v>24</v>
      </c>
      <c r="P386" s="241" t="s">
        <v>25</v>
      </c>
      <c r="Q386" s="241" t="s">
        <v>26</v>
      </c>
      <c r="R386" s="241" t="s">
        <v>27</v>
      </c>
      <c r="S386" s="241" t="s">
        <v>28</v>
      </c>
      <c r="T386" s="241" t="s">
        <v>29</v>
      </c>
      <c r="U386" s="311" t="s">
        <v>30</v>
      </c>
      <c r="V386" s="311" t="s">
        <v>31</v>
      </c>
      <c r="W386" s="241" t="s">
        <v>32</v>
      </c>
      <c r="X386" s="339" t="s">
        <v>33</v>
      </c>
      <c r="Y386" s="241" t="s">
        <v>34</v>
      </c>
      <c r="Z386" s="241" t="s">
        <v>35</v>
      </c>
      <c r="AA386" s="241" t="s">
        <v>36</v>
      </c>
      <c r="AB386" s="241" t="s">
        <v>37</v>
      </c>
      <c r="AC386" s="241" t="s">
        <v>38</v>
      </c>
      <c r="AD386" s="241" t="s">
        <v>39</v>
      </c>
      <c r="AE386" s="241" t="s">
        <v>40</v>
      </c>
      <c r="AF386" s="311" t="s">
        <v>41</v>
      </c>
      <c r="AG386" s="241" t="s">
        <v>42</v>
      </c>
      <c r="AH386" s="241" t="s">
        <v>43</v>
      </c>
      <c r="AI386" s="241" t="s">
        <v>143</v>
      </c>
      <c r="AJ386" s="241" t="s">
        <v>45</v>
      </c>
      <c r="AK386" s="241" t="s">
        <v>46</v>
      </c>
      <c r="AL386" s="241" t="s">
        <v>47</v>
      </c>
      <c r="AM386" s="241" t="s">
        <v>48</v>
      </c>
    </row>
    <row r="387" spans="1:41" s="94" customFormat="1" ht="22.9" customHeight="1" thickBot="1">
      <c r="A387" s="314"/>
      <c r="B387" s="314"/>
      <c r="C387" s="314"/>
      <c r="D387" s="242"/>
      <c r="E387" s="242"/>
      <c r="F387" s="242"/>
      <c r="G387" s="242"/>
      <c r="H387" s="242"/>
      <c r="I387" s="242"/>
      <c r="J387" s="242"/>
      <c r="K387" s="242"/>
      <c r="L387" s="313"/>
      <c r="M387" s="242"/>
      <c r="N387" s="242"/>
      <c r="O387" s="314"/>
      <c r="P387" s="242"/>
      <c r="Q387" s="242"/>
      <c r="R387" s="242"/>
      <c r="S387" s="310"/>
      <c r="T387" s="242"/>
      <c r="U387" s="312"/>
      <c r="V387" s="312"/>
      <c r="W387" s="310"/>
      <c r="X387" s="340"/>
      <c r="Y387" s="242"/>
      <c r="Z387" s="310"/>
      <c r="AA387" s="310"/>
      <c r="AB387" s="310"/>
      <c r="AC387" s="310"/>
      <c r="AD387" s="310"/>
      <c r="AE387" s="310"/>
      <c r="AF387" s="312"/>
      <c r="AG387" s="310"/>
      <c r="AH387" s="242"/>
      <c r="AI387" s="242">
        <v>2018</v>
      </c>
      <c r="AJ387" s="242"/>
      <c r="AK387" s="328"/>
      <c r="AL387" s="242"/>
      <c r="AM387" s="242"/>
    </row>
    <row r="388" spans="1:41" s="94" customFormat="1" ht="22.9" customHeight="1" thickTop="1">
      <c r="A388" s="357" t="s">
        <v>184</v>
      </c>
      <c r="B388" s="360" t="s">
        <v>64</v>
      </c>
      <c r="C388" s="363" t="s">
        <v>134</v>
      </c>
      <c r="D388" s="156" t="s">
        <v>122</v>
      </c>
      <c r="E388" s="156" t="s">
        <v>185</v>
      </c>
      <c r="F388" s="156" t="s">
        <v>186</v>
      </c>
      <c r="G388" s="156" t="s">
        <v>187</v>
      </c>
      <c r="H388" s="156" t="s">
        <v>186</v>
      </c>
      <c r="I388" s="368">
        <f>+L389</f>
        <v>0.96375375259795237</v>
      </c>
      <c r="J388" s="371">
        <v>0.1</v>
      </c>
      <c r="K388" s="374" t="s">
        <v>124</v>
      </c>
      <c r="L388" s="95" t="s">
        <v>57</v>
      </c>
      <c r="M388" s="96" t="s">
        <v>57</v>
      </c>
      <c r="N388" s="96" t="s">
        <v>57</v>
      </c>
      <c r="O388" s="97" t="s">
        <v>57</v>
      </c>
      <c r="P388" s="96" t="s">
        <v>57</v>
      </c>
      <c r="Q388" s="98" t="s">
        <v>57</v>
      </c>
      <c r="R388" s="96" t="s">
        <v>57</v>
      </c>
      <c r="S388" s="98" t="s">
        <v>57</v>
      </c>
      <c r="T388" s="96" t="s">
        <v>57</v>
      </c>
      <c r="U388" s="98" t="s">
        <v>57</v>
      </c>
      <c r="V388" s="96" t="s">
        <v>57</v>
      </c>
      <c r="W388" s="98" t="s">
        <v>57</v>
      </c>
      <c r="X388" s="96" t="s">
        <v>57</v>
      </c>
      <c r="Y388" s="98" t="s">
        <v>57</v>
      </c>
      <c r="Z388" s="96" t="s">
        <v>57</v>
      </c>
      <c r="AA388" s="98" t="s">
        <v>57</v>
      </c>
      <c r="AB388" s="96" t="s">
        <v>57</v>
      </c>
      <c r="AC388" s="98" t="s">
        <v>57</v>
      </c>
      <c r="AD388" s="96" t="s">
        <v>57</v>
      </c>
      <c r="AE388" s="98" t="s">
        <v>57</v>
      </c>
      <c r="AF388" s="96" t="s">
        <v>57</v>
      </c>
      <c r="AG388" s="98" t="s">
        <v>57</v>
      </c>
      <c r="AH388" s="96" t="s">
        <v>57</v>
      </c>
      <c r="AI388" s="98" t="s">
        <v>57</v>
      </c>
      <c r="AJ388" s="67"/>
      <c r="AK388" s="165" t="s">
        <v>72</v>
      </c>
      <c r="AL388" s="325"/>
      <c r="AM388" s="156" t="s">
        <v>125</v>
      </c>
    </row>
    <row r="389" spans="1:41" s="94" customFormat="1" ht="22.9" customHeight="1">
      <c r="A389" s="358"/>
      <c r="B389" s="361"/>
      <c r="C389" s="364"/>
      <c r="D389" s="366"/>
      <c r="E389" s="157"/>
      <c r="F389" s="157"/>
      <c r="G389" s="157"/>
      <c r="H389" s="157"/>
      <c r="I389" s="369"/>
      <c r="J389" s="372"/>
      <c r="K389" s="354"/>
      <c r="L389" s="41">
        <f>IF(L391&lt;&gt;0,+L391/L393,0%)</f>
        <v>0.96375375259795237</v>
      </c>
      <c r="M389" s="58">
        <f>IF(M391&lt;&gt;0,+M391/M393,0%)</f>
        <v>0.92184811993118698</v>
      </c>
      <c r="N389" s="61">
        <f>IF(N391&lt;&gt;0,+N391/N393,0%)</f>
        <v>0.92583888236062151</v>
      </c>
      <c r="O389" s="57">
        <f t="shared" ref="O389" si="560">IF(O391&lt;&gt;0,+O391/O393,0%)</f>
        <v>0.92378299677153886</v>
      </c>
      <c r="P389" s="61">
        <f>IF(P391&lt;&gt;0,ROUND(+P391/P393,4),0%)</f>
        <v>0.94950000000000001</v>
      </c>
      <c r="Q389" s="62">
        <f t="shared" ref="Q389" si="561">IF(Q391&lt;&gt;0,+Q391/Q393,0%)</f>
        <v>0.933234480823949</v>
      </c>
      <c r="R389" s="63">
        <f>IF(R391&lt;&gt;0,ROUND(+R391/R393,4),0%)</f>
        <v>0.98119999999999996</v>
      </c>
      <c r="S389" s="62">
        <f t="shared" ref="S389" si="562">IF(S391&lt;&gt;0,+S391/S393,0%)</f>
        <v>0.94558167212139244</v>
      </c>
      <c r="T389" s="63">
        <f>IF(T391&lt;&gt;0,ROUND(+T391/T393,4),0%)</f>
        <v>0.98429999999999995</v>
      </c>
      <c r="U389" s="62">
        <f t="shared" ref="U389" si="563">IF(U391&lt;&gt;0,+U391/U393,0%)</f>
        <v>0.95395304376209467</v>
      </c>
      <c r="V389" s="63">
        <f>IF(V391&lt;&gt;0,ROUND(+V391/V393,4),0%)</f>
        <v>0.98799999999999999</v>
      </c>
      <c r="W389" s="62">
        <f t="shared" ref="W389" si="564">IF(W391&lt;&gt;0,+W391/W393,0%)</f>
        <v>0.95899767686595316</v>
      </c>
      <c r="X389" s="63">
        <f>IF(X391&lt;&gt;0,ROUND(+X391/X393,4),0%)</f>
        <v>0.96289999999999998</v>
      </c>
      <c r="Y389" s="62">
        <f t="shared" ref="Y389" si="565">IF(Y391&lt;&gt;0,+Y391/Y393,0%)</f>
        <v>0.95981348162384406</v>
      </c>
      <c r="Z389" s="64">
        <f>IF(Z391&lt;&gt;0,ROUND(+Z391/Z393,4),0%)</f>
        <v>0.96750000000000003</v>
      </c>
      <c r="AA389" s="62">
        <f t="shared" ref="AA389" si="566">IF(AA391&lt;&gt;0,+AA391/AA393,0%)</f>
        <v>0.96066936239873513</v>
      </c>
      <c r="AB389" s="63">
        <f>IF(AB391&lt;&gt;0,ROUND(+AB391/AB393,4),0%)</f>
        <v>0.95799999999999996</v>
      </c>
      <c r="AC389" s="62">
        <f t="shared" ref="AC389" si="567">IF(AC391&lt;&gt;0,+AC391/AC393,0%)</f>
        <v>0.96043518742905243</v>
      </c>
      <c r="AD389" s="63">
        <f>IF(AD391&lt;&gt;0,ROUND(+AD391/AD393,4),0%)</f>
        <v>0.95920000000000005</v>
      </c>
      <c r="AE389" s="62">
        <f t="shared" ref="AE389" si="568">IF(AE391&lt;&gt;0,+AE391/AE393,0%)</f>
        <v>0.96028695302373401</v>
      </c>
      <c r="AF389" s="63">
        <f>IF(AF391&lt;&gt;0,ROUND(+AF391/AF393,4),0%)</f>
        <v>0.97870000000000001</v>
      </c>
      <c r="AG389" s="62">
        <f t="shared" ref="AG389" si="569">IF(AG391&lt;&gt;0,+AG391/AG393,0%)</f>
        <v>0.96169325710511655</v>
      </c>
      <c r="AH389" s="63">
        <f>IF(AH391&lt;&gt;0,ROUND(+AH391/AH393,4),0%)</f>
        <v>0.99219999999999997</v>
      </c>
      <c r="AI389" s="62">
        <f>IF(AI391&lt;&gt;0,+AI391/AI393,0%)</f>
        <v>0.96375375259795237</v>
      </c>
      <c r="AJ389" s="68"/>
      <c r="AK389" s="166"/>
      <c r="AL389" s="326"/>
      <c r="AM389" s="157"/>
    </row>
    <row r="390" spans="1:41" s="94" customFormat="1" ht="22.9" customHeight="1" thickBot="1">
      <c r="A390" s="358"/>
      <c r="B390" s="361"/>
      <c r="C390" s="364"/>
      <c r="D390" s="366"/>
      <c r="E390" s="157"/>
      <c r="F390" s="157"/>
      <c r="G390" s="157"/>
      <c r="H390" s="157"/>
      <c r="I390" s="369"/>
      <c r="J390" s="372"/>
      <c r="K390" s="356"/>
      <c r="L390" s="99"/>
      <c r="M390" s="101" t="s">
        <v>60</v>
      </c>
      <c r="N390" s="101" t="s">
        <v>60</v>
      </c>
      <c r="O390" s="102" t="s">
        <v>60</v>
      </c>
      <c r="P390" s="101" t="s">
        <v>60</v>
      </c>
      <c r="Q390" s="103" t="s">
        <v>60</v>
      </c>
      <c r="R390" s="101" t="s">
        <v>60</v>
      </c>
      <c r="S390" s="103" t="s">
        <v>60</v>
      </c>
      <c r="T390" s="101" t="s">
        <v>60</v>
      </c>
      <c r="U390" s="103" t="s">
        <v>60</v>
      </c>
      <c r="V390" s="101" t="s">
        <v>60</v>
      </c>
      <c r="W390" s="103" t="s">
        <v>60</v>
      </c>
      <c r="X390" s="101" t="s">
        <v>60</v>
      </c>
      <c r="Y390" s="103" t="s">
        <v>60</v>
      </c>
      <c r="Z390" s="101" t="s">
        <v>60</v>
      </c>
      <c r="AA390" s="103" t="s">
        <v>60</v>
      </c>
      <c r="AB390" s="101" t="s">
        <v>60</v>
      </c>
      <c r="AC390" s="103" t="s">
        <v>60</v>
      </c>
      <c r="AD390" s="101" t="s">
        <v>60</v>
      </c>
      <c r="AE390" s="103" t="s">
        <v>60</v>
      </c>
      <c r="AF390" s="101" t="s">
        <v>60</v>
      </c>
      <c r="AG390" s="103" t="s">
        <v>60</v>
      </c>
      <c r="AH390" s="101" t="s">
        <v>60</v>
      </c>
      <c r="AI390" s="103" t="s">
        <v>60</v>
      </c>
      <c r="AJ390" s="68"/>
      <c r="AK390" s="166"/>
      <c r="AL390" s="326"/>
      <c r="AM390" s="157"/>
    </row>
    <row r="391" spans="1:41" s="94" customFormat="1" ht="22.9" customHeight="1" thickTop="1">
      <c r="A391" s="358"/>
      <c r="B391" s="361"/>
      <c r="C391" s="364"/>
      <c r="D391" s="366"/>
      <c r="E391" s="157"/>
      <c r="F391" s="157"/>
      <c r="G391" s="157"/>
      <c r="H391" s="157"/>
      <c r="I391" s="369"/>
      <c r="J391" s="372"/>
      <c r="K391" s="354" t="s">
        <v>74</v>
      </c>
      <c r="L391" s="104">
        <v>100161</v>
      </c>
      <c r="M391" s="105">
        <v>7502</v>
      </c>
      <c r="N391" s="105">
        <v>7091</v>
      </c>
      <c r="O391" s="106">
        <f>+M391+N391</f>
        <v>14593</v>
      </c>
      <c r="P391" s="105">
        <v>8694</v>
      </c>
      <c r="Q391" s="106">
        <f>+O391+P391</f>
        <v>23287</v>
      </c>
      <c r="R391" s="105">
        <v>8494</v>
      </c>
      <c r="S391" s="106">
        <f>+Q391+R391</f>
        <v>31781</v>
      </c>
      <c r="T391" s="105">
        <v>9135</v>
      </c>
      <c r="U391" s="106">
        <f>+S391+T391</f>
        <v>40916</v>
      </c>
      <c r="V391" s="105">
        <v>7382</v>
      </c>
      <c r="W391" s="106">
        <f>+U391+V391</f>
        <v>48298</v>
      </c>
      <c r="X391" s="105">
        <v>12630</v>
      </c>
      <c r="Y391" s="106">
        <f>+W391+X391</f>
        <v>60928</v>
      </c>
      <c r="Z391" s="105">
        <v>7732</v>
      </c>
      <c r="AA391" s="106">
        <f>+Y391+Z391</f>
        <v>68660</v>
      </c>
      <c r="AB391" s="105">
        <v>6641</v>
      </c>
      <c r="AC391" s="106">
        <f>+AA391+AB391</f>
        <v>75301</v>
      </c>
      <c r="AD391" s="105">
        <v>10637</v>
      </c>
      <c r="AE391" s="106">
        <f>+AC391+AD391</f>
        <v>85938</v>
      </c>
      <c r="AF391" s="105">
        <v>7252</v>
      </c>
      <c r="AG391" s="106">
        <f>+AE391+AF391</f>
        <v>93190</v>
      </c>
      <c r="AH391" s="105">
        <v>6971</v>
      </c>
      <c r="AI391" s="106">
        <f>SUM(AG391:AH391)</f>
        <v>100161</v>
      </c>
      <c r="AJ391" s="29">
        <f>+AI389/L389</f>
        <v>1</v>
      </c>
      <c r="AK391" s="166"/>
      <c r="AL391" s="326"/>
      <c r="AM391" s="157"/>
    </row>
    <row r="392" spans="1:41" s="94" customFormat="1" ht="22.9" customHeight="1">
      <c r="A392" s="358"/>
      <c r="B392" s="361"/>
      <c r="C392" s="364"/>
      <c r="D392" s="366"/>
      <c r="E392" s="157"/>
      <c r="F392" s="157"/>
      <c r="G392" s="157"/>
      <c r="H392" s="157"/>
      <c r="I392" s="369"/>
      <c r="J392" s="372"/>
      <c r="K392" s="355"/>
      <c r="L392" s="99" t="s">
        <v>126</v>
      </c>
      <c r="M392" s="107" t="s">
        <v>62</v>
      </c>
      <c r="N392" s="107" t="s">
        <v>62</v>
      </c>
      <c r="O392" s="108" t="s">
        <v>62</v>
      </c>
      <c r="P392" s="107" t="s">
        <v>62</v>
      </c>
      <c r="Q392" s="109" t="s">
        <v>62</v>
      </c>
      <c r="R392" s="107"/>
      <c r="S392" s="109" t="s">
        <v>62</v>
      </c>
      <c r="T392" s="107" t="s">
        <v>62</v>
      </c>
      <c r="U392" s="109" t="s">
        <v>62</v>
      </c>
      <c r="V392" s="107" t="s">
        <v>62</v>
      </c>
      <c r="W392" s="109" t="s">
        <v>62</v>
      </c>
      <c r="X392" s="107" t="s">
        <v>62</v>
      </c>
      <c r="Y392" s="109" t="s">
        <v>62</v>
      </c>
      <c r="Z392" s="107" t="s">
        <v>62</v>
      </c>
      <c r="AA392" s="109" t="s">
        <v>62</v>
      </c>
      <c r="AB392" s="107" t="s">
        <v>62</v>
      </c>
      <c r="AC392" s="109" t="s">
        <v>62</v>
      </c>
      <c r="AD392" s="107" t="s">
        <v>62</v>
      </c>
      <c r="AE392" s="109" t="s">
        <v>62</v>
      </c>
      <c r="AF392" s="107" t="s">
        <v>62</v>
      </c>
      <c r="AG392" s="109" t="s">
        <v>62</v>
      </c>
      <c r="AH392" s="107" t="s">
        <v>62</v>
      </c>
      <c r="AI392" s="108" t="s">
        <v>62</v>
      </c>
      <c r="AJ392" s="68"/>
      <c r="AK392" s="166"/>
      <c r="AL392" s="326"/>
      <c r="AM392" s="157"/>
    </row>
    <row r="393" spans="1:41" s="94" customFormat="1" ht="22.9" customHeight="1" thickBot="1">
      <c r="A393" s="359"/>
      <c r="B393" s="362"/>
      <c r="C393" s="365"/>
      <c r="D393" s="367"/>
      <c r="E393" s="158"/>
      <c r="F393" s="158"/>
      <c r="G393" s="158"/>
      <c r="H393" s="158"/>
      <c r="I393" s="370"/>
      <c r="J393" s="373"/>
      <c r="K393" s="356"/>
      <c r="L393" s="110">
        <v>103928</v>
      </c>
      <c r="M393" s="111">
        <v>8138</v>
      </c>
      <c r="N393" s="111">
        <v>7659</v>
      </c>
      <c r="O393" s="145">
        <f>+M393+N393</f>
        <v>15797</v>
      </c>
      <c r="P393" s="111">
        <v>9156</v>
      </c>
      <c r="Q393" s="145">
        <f>+O393+P393</f>
        <v>24953</v>
      </c>
      <c r="R393" s="111">
        <v>8657</v>
      </c>
      <c r="S393" s="112">
        <f t="shared" ref="S393" si="570">+Q393+R393</f>
        <v>33610</v>
      </c>
      <c r="T393" s="111">
        <v>9281</v>
      </c>
      <c r="U393" s="112">
        <f t="shared" ref="U393" si="571">+S393+T393</f>
        <v>42891</v>
      </c>
      <c r="V393" s="111">
        <v>7472</v>
      </c>
      <c r="W393" s="112">
        <f t="shared" ref="W393" si="572">+U393+V393</f>
        <v>50363</v>
      </c>
      <c r="X393" s="111">
        <v>13116</v>
      </c>
      <c r="Y393" s="112">
        <f t="shared" ref="Y393" si="573">+W393+X393</f>
        <v>63479</v>
      </c>
      <c r="Z393" s="111">
        <v>7992</v>
      </c>
      <c r="AA393" s="112">
        <f t="shared" ref="AA393" si="574">+Y393+Z393</f>
        <v>71471</v>
      </c>
      <c r="AB393" s="111">
        <v>6932</v>
      </c>
      <c r="AC393" s="112">
        <f t="shared" ref="AC393" si="575">+AA393+AB393</f>
        <v>78403</v>
      </c>
      <c r="AD393" s="111">
        <v>11089</v>
      </c>
      <c r="AE393" s="112">
        <f t="shared" ref="AE393" si="576">+AC393+AD393</f>
        <v>89492</v>
      </c>
      <c r="AF393" s="111">
        <v>7410</v>
      </c>
      <c r="AG393" s="112">
        <f t="shared" ref="AG393" si="577">+AE393+AF393</f>
        <v>96902</v>
      </c>
      <c r="AH393" s="111">
        <v>7026</v>
      </c>
      <c r="AI393" s="145">
        <f>SUM(AG393:AH393)</f>
        <v>103928</v>
      </c>
      <c r="AJ393" s="69"/>
      <c r="AK393" s="167"/>
      <c r="AL393" s="327"/>
      <c r="AM393" s="158"/>
      <c r="AO393" s="115"/>
    </row>
    <row r="394" spans="1:41" ht="12.95" thickTop="1"/>
    <row r="395" spans="1:41" s="89" customFormat="1" ht="20.45" thickBot="1">
      <c r="A395" s="114" t="s">
        <v>128</v>
      </c>
      <c r="L395" s="90"/>
      <c r="M395" s="90"/>
      <c r="N395" s="90"/>
      <c r="O395" s="90"/>
      <c r="P395" s="90"/>
      <c r="Q395" s="90"/>
      <c r="R395" s="90"/>
      <c r="S395" s="90"/>
      <c r="T395" s="90"/>
      <c r="U395" s="90"/>
      <c r="V395" s="90"/>
      <c r="W395" s="90"/>
      <c r="X395" s="90"/>
      <c r="Y395" s="90"/>
      <c r="Z395" s="90"/>
      <c r="AA395" s="90"/>
      <c r="AB395" s="90"/>
      <c r="AC395" s="90"/>
      <c r="AD395" s="90"/>
      <c r="AE395" s="90"/>
      <c r="AF395" s="90"/>
      <c r="AG395" s="90"/>
      <c r="AH395" s="90"/>
      <c r="AI395" s="90"/>
      <c r="AJ395" s="90"/>
      <c r="AK395" s="90"/>
      <c r="AL395" s="90"/>
      <c r="AM395" s="90"/>
    </row>
    <row r="396" spans="1:41" s="94" customFormat="1" ht="22.9" customHeight="1" thickTop="1">
      <c r="A396" s="311" t="s">
        <v>10</v>
      </c>
      <c r="B396" s="311" t="s">
        <v>11</v>
      </c>
      <c r="C396" s="311" t="s">
        <v>12</v>
      </c>
      <c r="D396" s="241" t="s">
        <v>13</v>
      </c>
      <c r="E396" s="241" t="s">
        <v>14</v>
      </c>
      <c r="F396" s="241" t="s">
        <v>15</v>
      </c>
      <c r="G396" s="241" t="s">
        <v>16</v>
      </c>
      <c r="H396" s="241" t="s">
        <v>17</v>
      </c>
      <c r="I396" s="241" t="s">
        <v>118</v>
      </c>
      <c r="J396" s="241" t="s">
        <v>19</v>
      </c>
      <c r="K396" s="241" t="s">
        <v>20</v>
      </c>
      <c r="L396" s="241" t="s">
        <v>21</v>
      </c>
      <c r="M396" s="241" t="s">
        <v>22</v>
      </c>
      <c r="N396" s="241" t="s">
        <v>23</v>
      </c>
      <c r="O396" s="311" t="s">
        <v>24</v>
      </c>
      <c r="P396" s="241" t="s">
        <v>25</v>
      </c>
      <c r="Q396" s="241" t="s">
        <v>26</v>
      </c>
      <c r="R396" s="241" t="s">
        <v>27</v>
      </c>
      <c r="S396" s="241" t="s">
        <v>28</v>
      </c>
      <c r="T396" s="241" t="s">
        <v>29</v>
      </c>
      <c r="U396" s="311" t="s">
        <v>30</v>
      </c>
      <c r="V396" s="311" t="s">
        <v>31</v>
      </c>
      <c r="W396" s="241" t="s">
        <v>32</v>
      </c>
      <c r="X396" s="339" t="s">
        <v>33</v>
      </c>
      <c r="Y396" s="241" t="s">
        <v>34</v>
      </c>
      <c r="Z396" s="241" t="s">
        <v>35</v>
      </c>
      <c r="AA396" s="241" t="s">
        <v>36</v>
      </c>
      <c r="AB396" s="241" t="s">
        <v>37</v>
      </c>
      <c r="AC396" s="241" t="s">
        <v>38</v>
      </c>
      <c r="AD396" s="241" t="s">
        <v>39</v>
      </c>
      <c r="AE396" s="241" t="s">
        <v>40</v>
      </c>
      <c r="AF396" s="311" t="s">
        <v>41</v>
      </c>
      <c r="AG396" s="241" t="s">
        <v>42</v>
      </c>
      <c r="AH396" s="241" t="s">
        <v>43</v>
      </c>
      <c r="AI396" s="241" t="s">
        <v>143</v>
      </c>
      <c r="AJ396" s="241" t="s">
        <v>45</v>
      </c>
      <c r="AK396" s="241" t="s">
        <v>46</v>
      </c>
      <c r="AL396" s="241" t="s">
        <v>47</v>
      </c>
      <c r="AM396" s="241" t="s">
        <v>48</v>
      </c>
    </row>
    <row r="397" spans="1:41" s="94" customFormat="1" ht="22.9" customHeight="1" thickBot="1">
      <c r="A397" s="314"/>
      <c r="B397" s="314"/>
      <c r="C397" s="314"/>
      <c r="D397" s="242"/>
      <c r="E397" s="242"/>
      <c r="F397" s="242"/>
      <c r="G397" s="242"/>
      <c r="H397" s="242"/>
      <c r="I397" s="242"/>
      <c r="J397" s="242"/>
      <c r="K397" s="242"/>
      <c r="L397" s="313"/>
      <c r="M397" s="242"/>
      <c r="N397" s="242"/>
      <c r="O397" s="314"/>
      <c r="P397" s="242"/>
      <c r="Q397" s="242"/>
      <c r="R397" s="242"/>
      <c r="S397" s="310"/>
      <c r="T397" s="242"/>
      <c r="U397" s="312"/>
      <c r="V397" s="312"/>
      <c r="W397" s="310"/>
      <c r="X397" s="340"/>
      <c r="Y397" s="242"/>
      <c r="Z397" s="310"/>
      <c r="AA397" s="310"/>
      <c r="AB397" s="310"/>
      <c r="AC397" s="310"/>
      <c r="AD397" s="310"/>
      <c r="AE397" s="310"/>
      <c r="AF397" s="312"/>
      <c r="AG397" s="310"/>
      <c r="AH397" s="242"/>
      <c r="AI397" s="242">
        <v>2018</v>
      </c>
      <c r="AJ397" s="242"/>
      <c r="AK397" s="328"/>
      <c r="AL397" s="242"/>
      <c r="AM397" s="242"/>
    </row>
    <row r="398" spans="1:41" s="94" customFormat="1" ht="22.9" customHeight="1" thickTop="1">
      <c r="A398" s="357" t="s">
        <v>184</v>
      </c>
      <c r="B398" s="360" t="s">
        <v>64</v>
      </c>
      <c r="C398" s="363" t="s">
        <v>134</v>
      </c>
      <c r="D398" s="156" t="s">
        <v>122</v>
      </c>
      <c r="E398" s="156" t="s">
        <v>185</v>
      </c>
      <c r="F398" s="156" t="s">
        <v>186</v>
      </c>
      <c r="G398" s="156" t="s">
        <v>187</v>
      </c>
      <c r="H398" s="156" t="s">
        <v>186</v>
      </c>
      <c r="I398" s="368">
        <f>+L399</f>
        <v>0.96666765035707958</v>
      </c>
      <c r="J398" s="371">
        <v>0.1</v>
      </c>
      <c r="K398" s="374" t="s">
        <v>124</v>
      </c>
      <c r="L398" s="95" t="s">
        <v>57</v>
      </c>
      <c r="M398" s="96" t="s">
        <v>57</v>
      </c>
      <c r="N398" s="96" t="s">
        <v>57</v>
      </c>
      <c r="O398" s="97" t="s">
        <v>57</v>
      </c>
      <c r="P398" s="96" t="s">
        <v>57</v>
      </c>
      <c r="Q398" s="98" t="s">
        <v>57</v>
      </c>
      <c r="R398" s="96" t="s">
        <v>57</v>
      </c>
      <c r="S398" s="98" t="s">
        <v>57</v>
      </c>
      <c r="T398" s="96" t="s">
        <v>57</v>
      </c>
      <c r="U398" s="98" t="s">
        <v>57</v>
      </c>
      <c r="V398" s="96" t="s">
        <v>57</v>
      </c>
      <c r="W398" s="98" t="s">
        <v>57</v>
      </c>
      <c r="X398" s="96" t="s">
        <v>57</v>
      </c>
      <c r="Y398" s="98" t="s">
        <v>57</v>
      </c>
      <c r="Z398" s="96" t="s">
        <v>57</v>
      </c>
      <c r="AA398" s="98" t="s">
        <v>57</v>
      </c>
      <c r="AB398" s="96" t="s">
        <v>57</v>
      </c>
      <c r="AC398" s="98" t="s">
        <v>57</v>
      </c>
      <c r="AD398" s="96" t="s">
        <v>57</v>
      </c>
      <c r="AE398" s="98" t="s">
        <v>57</v>
      </c>
      <c r="AF398" s="96" t="s">
        <v>57</v>
      </c>
      <c r="AG398" s="98" t="s">
        <v>57</v>
      </c>
      <c r="AH398" s="96" t="s">
        <v>57</v>
      </c>
      <c r="AI398" s="98" t="s">
        <v>57</v>
      </c>
      <c r="AJ398" s="67"/>
      <c r="AK398" s="165" t="s">
        <v>72</v>
      </c>
      <c r="AL398" s="325"/>
      <c r="AM398" s="156" t="s">
        <v>125</v>
      </c>
    </row>
    <row r="399" spans="1:41" s="94" customFormat="1" ht="22.9" customHeight="1">
      <c r="A399" s="358"/>
      <c r="B399" s="361"/>
      <c r="C399" s="364"/>
      <c r="D399" s="366"/>
      <c r="E399" s="157"/>
      <c r="F399" s="157"/>
      <c r="G399" s="157"/>
      <c r="H399" s="157"/>
      <c r="I399" s="369"/>
      <c r="J399" s="372"/>
      <c r="K399" s="354"/>
      <c r="L399" s="41">
        <f>IF(L401&lt;&gt;0,+L401/L403,0%)</f>
        <v>0.96666765035707958</v>
      </c>
      <c r="M399" s="58">
        <f>IF(M401&lt;&gt;0,+M401/M403,0%)</f>
        <v>0.92770845712022187</v>
      </c>
      <c r="N399" s="61">
        <f>IF(N401&lt;&gt;0,+N401/N403,0%)</f>
        <v>0.92535364526659414</v>
      </c>
      <c r="O399" s="57">
        <f t="shared" ref="O399" si="578">IF(O401&lt;&gt;0,+O401/O403,0%)</f>
        <v>0.92658647863956867</v>
      </c>
      <c r="P399" s="61">
        <f>IF(P401&lt;&gt;0,ROUND(+P401/P403,4),0%)</f>
        <v>0.95040000000000002</v>
      </c>
      <c r="Q399" s="62">
        <f t="shared" ref="Q399" si="579">IF(Q401&lt;&gt;0,+Q401/Q403,0%)</f>
        <v>0.93531652219595485</v>
      </c>
      <c r="R399" s="63">
        <f>IF(R401&lt;&gt;0,ROUND(+R401/R403,4),0%)</f>
        <v>0.98340000000000005</v>
      </c>
      <c r="S399" s="62">
        <f t="shared" ref="S399" si="580">IF(S401&lt;&gt;0,+S401/S403,0%)</f>
        <v>0.94864736592311338</v>
      </c>
      <c r="T399" s="63">
        <f>IF(T401&lt;&gt;0,ROUND(+T401/T403,4),0%)</f>
        <v>0.9879</v>
      </c>
      <c r="U399" s="62">
        <f t="shared" ref="U399" si="581">IF(U401&lt;&gt;0,+U401/U403,0%)</f>
        <v>0.95785190029794343</v>
      </c>
      <c r="V399" s="63">
        <f>IF(V401&lt;&gt;0,ROUND(+V401/V403,4),0%)</f>
        <v>0.9909</v>
      </c>
      <c r="W399" s="62">
        <f t="shared" ref="W399" si="582">IF(W401&lt;&gt;0,+W401/W403,0%)</f>
        <v>0.96307287523710461</v>
      </c>
      <c r="X399" s="63">
        <f>IF(X401&lt;&gt;0,ROUND(+X401/X403,4),0%)</f>
        <v>0.96830000000000005</v>
      </c>
      <c r="Y399" s="62">
        <f t="shared" ref="Y399" si="583">IF(Y401&lt;&gt;0,+Y401/Y403,0%)</f>
        <v>0.96413353137402902</v>
      </c>
      <c r="Z399" s="64">
        <f>IF(Z401&lt;&gt;0,ROUND(+Z401/Z403,4),0%)</f>
        <v>0.97570000000000001</v>
      </c>
      <c r="AA399" s="62">
        <f t="shared" ref="AA399" si="584">IF(AA401&lt;&gt;0,+AA401/AA403,0%)</f>
        <v>0.96541574687270049</v>
      </c>
      <c r="AB399" s="63">
        <f>IF(AB401&lt;&gt;0,ROUND(+AB401/AB403,4),0%)</f>
        <v>0.96519999999999995</v>
      </c>
      <c r="AC399" s="62">
        <f t="shared" ref="AC399" si="585">IF(AC401&lt;&gt;0,+AC401/AC403,0%)</f>
        <v>0.96539961968987076</v>
      </c>
      <c r="AD399" s="63">
        <f>IF(AD401&lt;&gt;0,ROUND(+AD401/AD403,4),0%)</f>
        <v>0.9516</v>
      </c>
      <c r="AE399" s="62">
        <f t="shared" ref="AE399" si="586">IF(AE401&lt;&gt;0,+AE401/AE403,0%)</f>
        <v>0.96374049093512271</v>
      </c>
      <c r="AF399" s="63">
        <f>IF(AF401&lt;&gt;0,ROUND(+AF401/AF403,4),0%)</f>
        <v>0.9798</v>
      </c>
      <c r="AG399" s="62">
        <f t="shared" ref="AG399" si="587">IF(AG401&lt;&gt;0,+AG401/AG403,0%)</f>
        <v>0.96501286408537945</v>
      </c>
      <c r="AH399" s="63">
        <f>IF(AH401&lt;&gt;0,ROUND(+AH401/AH403,4),0%)</f>
        <v>0.98829999999999996</v>
      </c>
      <c r="AI399" s="62">
        <f>IF(AI401&lt;&gt;0,+AI401/AI403,0%)</f>
        <v>0.96666765035707958</v>
      </c>
      <c r="AJ399" s="68"/>
      <c r="AK399" s="166"/>
      <c r="AL399" s="326"/>
      <c r="AM399" s="157"/>
    </row>
    <row r="400" spans="1:41" s="94" customFormat="1" ht="22.9" customHeight="1" thickBot="1">
      <c r="A400" s="358"/>
      <c r="B400" s="361"/>
      <c r="C400" s="364"/>
      <c r="D400" s="366"/>
      <c r="E400" s="157"/>
      <c r="F400" s="157"/>
      <c r="G400" s="157"/>
      <c r="H400" s="157"/>
      <c r="I400" s="369"/>
      <c r="J400" s="372"/>
      <c r="K400" s="356"/>
      <c r="L400" s="99"/>
      <c r="M400" s="101" t="s">
        <v>60</v>
      </c>
      <c r="N400" s="101" t="s">
        <v>60</v>
      </c>
      <c r="O400" s="102" t="s">
        <v>60</v>
      </c>
      <c r="P400" s="101" t="s">
        <v>60</v>
      </c>
      <c r="Q400" s="103" t="s">
        <v>60</v>
      </c>
      <c r="R400" s="101" t="s">
        <v>60</v>
      </c>
      <c r="S400" s="103" t="s">
        <v>60</v>
      </c>
      <c r="T400" s="101" t="s">
        <v>60</v>
      </c>
      <c r="U400" s="103" t="s">
        <v>60</v>
      </c>
      <c r="V400" s="101" t="s">
        <v>60</v>
      </c>
      <c r="W400" s="103" t="s">
        <v>60</v>
      </c>
      <c r="X400" s="101" t="s">
        <v>60</v>
      </c>
      <c r="Y400" s="103" t="s">
        <v>60</v>
      </c>
      <c r="Z400" s="101" t="s">
        <v>60</v>
      </c>
      <c r="AA400" s="103" t="s">
        <v>60</v>
      </c>
      <c r="AB400" s="101" t="s">
        <v>60</v>
      </c>
      <c r="AC400" s="103" t="s">
        <v>60</v>
      </c>
      <c r="AD400" s="101" t="s">
        <v>60</v>
      </c>
      <c r="AE400" s="103" t="s">
        <v>60</v>
      </c>
      <c r="AF400" s="101" t="s">
        <v>60</v>
      </c>
      <c r="AG400" s="103" t="s">
        <v>60</v>
      </c>
      <c r="AH400" s="101" t="s">
        <v>60</v>
      </c>
      <c r="AI400" s="103" t="s">
        <v>60</v>
      </c>
      <c r="AJ400" s="68"/>
      <c r="AK400" s="166"/>
      <c r="AL400" s="326"/>
      <c r="AM400" s="157"/>
    </row>
    <row r="401" spans="1:39" s="94" customFormat="1" ht="22.9" customHeight="1" thickTop="1">
      <c r="A401" s="358"/>
      <c r="B401" s="361"/>
      <c r="C401" s="364"/>
      <c r="D401" s="366"/>
      <c r="E401" s="157"/>
      <c r="F401" s="157"/>
      <c r="G401" s="157"/>
      <c r="H401" s="157"/>
      <c r="I401" s="369"/>
      <c r="J401" s="372"/>
      <c r="K401" s="354" t="s">
        <v>74</v>
      </c>
      <c r="L401" s="104">
        <v>65513</v>
      </c>
      <c r="M401" s="105">
        <v>4684</v>
      </c>
      <c r="N401" s="105">
        <v>4252</v>
      </c>
      <c r="O401" s="106">
        <f>+M401+N401</f>
        <v>8936</v>
      </c>
      <c r="P401" s="105">
        <v>5307</v>
      </c>
      <c r="Q401" s="106">
        <f>+O401+P401</f>
        <v>14243</v>
      </c>
      <c r="R401" s="146">
        <v>5745</v>
      </c>
      <c r="S401" s="106">
        <f>+Q401+R401</f>
        <v>19988</v>
      </c>
      <c r="T401" s="105">
        <v>6374</v>
      </c>
      <c r="U401" s="106">
        <f>+S401+T401</f>
        <v>26362</v>
      </c>
      <c r="V401" s="105">
        <v>5117</v>
      </c>
      <c r="W401" s="106">
        <f>+U401+V401</f>
        <v>31479</v>
      </c>
      <c r="X401" s="105">
        <v>8117</v>
      </c>
      <c r="Y401" s="106">
        <f>+W401+X401</f>
        <v>39596</v>
      </c>
      <c r="Z401" s="105">
        <v>5012</v>
      </c>
      <c r="AA401" s="106">
        <f>+Y401+Z401</f>
        <v>44608</v>
      </c>
      <c r="AB401" s="105">
        <v>4638</v>
      </c>
      <c r="AC401" s="106">
        <f>+AA401+AB401</f>
        <v>49246</v>
      </c>
      <c r="AD401" s="105">
        <v>6623</v>
      </c>
      <c r="AE401" s="106">
        <f>+AC401+AD401</f>
        <v>55869</v>
      </c>
      <c r="AF401" s="105">
        <v>4894</v>
      </c>
      <c r="AG401" s="106">
        <f>+AE401+AF401</f>
        <v>60763</v>
      </c>
      <c r="AH401" s="105">
        <v>4750</v>
      </c>
      <c r="AI401" s="106">
        <f>SUM(AG401:AH401)</f>
        <v>65513</v>
      </c>
      <c r="AJ401" s="29">
        <f>+AI399/L399</f>
        <v>1</v>
      </c>
      <c r="AK401" s="166"/>
      <c r="AL401" s="326"/>
      <c r="AM401" s="157"/>
    </row>
    <row r="402" spans="1:39" s="94" customFormat="1" ht="22.9" customHeight="1">
      <c r="A402" s="358"/>
      <c r="B402" s="361"/>
      <c r="C402" s="364"/>
      <c r="D402" s="366"/>
      <c r="E402" s="157"/>
      <c r="F402" s="157"/>
      <c r="G402" s="157"/>
      <c r="H402" s="157"/>
      <c r="I402" s="369"/>
      <c r="J402" s="372"/>
      <c r="K402" s="355"/>
      <c r="L402" s="99" t="s">
        <v>126</v>
      </c>
      <c r="M402" s="107" t="s">
        <v>62</v>
      </c>
      <c r="N402" s="107" t="s">
        <v>62</v>
      </c>
      <c r="O402" s="108" t="s">
        <v>62</v>
      </c>
      <c r="P402" s="107" t="s">
        <v>62</v>
      </c>
      <c r="Q402" s="109" t="s">
        <v>62</v>
      </c>
      <c r="R402" s="107"/>
      <c r="S402" s="109" t="s">
        <v>62</v>
      </c>
      <c r="T402" s="107" t="s">
        <v>62</v>
      </c>
      <c r="U402" s="109" t="s">
        <v>62</v>
      </c>
      <c r="V402" s="107" t="s">
        <v>62</v>
      </c>
      <c r="W402" s="109" t="s">
        <v>62</v>
      </c>
      <c r="X402" s="107" t="s">
        <v>62</v>
      </c>
      <c r="Y402" s="109" t="s">
        <v>62</v>
      </c>
      <c r="Z402" s="107" t="s">
        <v>62</v>
      </c>
      <c r="AA402" s="109" t="s">
        <v>62</v>
      </c>
      <c r="AB402" s="107" t="s">
        <v>62</v>
      </c>
      <c r="AC402" s="109" t="s">
        <v>62</v>
      </c>
      <c r="AD402" s="107" t="s">
        <v>62</v>
      </c>
      <c r="AE402" s="109" t="s">
        <v>62</v>
      </c>
      <c r="AF402" s="107" t="s">
        <v>62</v>
      </c>
      <c r="AG402" s="109" t="s">
        <v>62</v>
      </c>
      <c r="AH402" s="107" t="s">
        <v>62</v>
      </c>
      <c r="AI402" s="108" t="s">
        <v>62</v>
      </c>
      <c r="AJ402" s="68"/>
      <c r="AK402" s="166"/>
      <c r="AL402" s="326"/>
      <c r="AM402" s="157"/>
    </row>
    <row r="403" spans="1:39" s="94" customFormat="1" ht="22.9" customHeight="1" thickBot="1">
      <c r="A403" s="359"/>
      <c r="B403" s="362"/>
      <c r="C403" s="365"/>
      <c r="D403" s="367"/>
      <c r="E403" s="158"/>
      <c r="F403" s="158"/>
      <c r="G403" s="158"/>
      <c r="H403" s="158"/>
      <c r="I403" s="370"/>
      <c r="J403" s="373"/>
      <c r="K403" s="356"/>
      <c r="L403" s="110">
        <v>67772</v>
      </c>
      <c r="M403" s="111">
        <v>5049</v>
      </c>
      <c r="N403" s="111">
        <v>4595</v>
      </c>
      <c r="O403" s="112">
        <f t="shared" ref="O403" si="588">+M403+N403</f>
        <v>9644</v>
      </c>
      <c r="P403" s="111">
        <v>5584</v>
      </c>
      <c r="Q403" s="112">
        <f t="shared" ref="Q403" si="589">+O403+P403</f>
        <v>15228</v>
      </c>
      <c r="R403" s="111">
        <v>5842</v>
      </c>
      <c r="S403" s="112">
        <f t="shared" ref="S403" si="590">+Q403+R403</f>
        <v>21070</v>
      </c>
      <c r="T403" s="111">
        <v>6452</v>
      </c>
      <c r="U403" s="112">
        <f t="shared" ref="U403" si="591">+S403+T403</f>
        <v>27522</v>
      </c>
      <c r="V403" s="111">
        <v>5164</v>
      </c>
      <c r="W403" s="112">
        <f t="shared" ref="W403" si="592">+U403+V403</f>
        <v>32686</v>
      </c>
      <c r="X403" s="111">
        <v>8383</v>
      </c>
      <c r="Y403" s="112">
        <f t="shared" ref="Y403" si="593">+W403+X403</f>
        <v>41069</v>
      </c>
      <c r="Z403" s="111">
        <v>5137</v>
      </c>
      <c r="AA403" s="112">
        <f t="shared" ref="AA403" si="594">+Y403+Z403</f>
        <v>46206</v>
      </c>
      <c r="AB403" s="111">
        <v>4805</v>
      </c>
      <c r="AC403" s="112">
        <f t="shared" ref="AC403" si="595">+AA403+AB403</f>
        <v>51011</v>
      </c>
      <c r="AD403" s="111">
        <v>6960</v>
      </c>
      <c r="AE403" s="112">
        <f t="shared" ref="AE403" si="596">+AC403+AD403</f>
        <v>57971</v>
      </c>
      <c r="AF403" s="111">
        <v>4995</v>
      </c>
      <c r="AG403" s="112">
        <f t="shared" ref="AG403" si="597">+AE403+AF403</f>
        <v>62966</v>
      </c>
      <c r="AH403" s="111">
        <v>4806</v>
      </c>
      <c r="AI403" s="112">
        <f>SUM(AG403:AH403)</f>
        <v>67772</v>
      </c>
      <c r="AJ403" s="69"/>
      <c r="AK403" s="167"/>
      <c r="AL403" s="327"/>
      <c r="AM403" s="158"/>
    </row>
    <row r="404" spans="1:39" ht="12.95" thickTop="1"/>
    <row r="407" spans="1:39" s="89" customFormat="1" ht="15.6">
      <c r="C407" s="343" t="s">
        <v>188</v>
      </c>
      <c r="D407" s="343"/>
      <c r="E407" s="343"/>
      <c r="F407" s="343"/>
      <c r="G407" s="343"/>
      <c r="H407" s="343"/>
      <c r="I407" s="343"/>
      <c r="J407" s="343"/>
      <c r="K407" s="343"/>
      <c r="L407" s="93"/>
      <c r="M407" s="81"/>
      <c r="N407" s="93"/>
      <c r="O407" s="81"/>
      <c r="P407" s="93"/>
      <c r="Q407" s="81"/>
      <c r="R407" s="93"/>
      <c r="S407" s="81"/>
      <c r="T407" s="93"/>
      <c r="U407" s="81"/>
      <c r="V407" s="93"/>
      <c r="W407" s="81"/>
      <c r="X407" s="93"/>
      <c r="Y407" s="81"/>
      <c r="Z407" s="93"/>
      <c r="AA407" s="81"/>
      <c r="AB407" s="93"/>
      <c r="AC407" s="81"/>
      <c r="AD407" s="93"/>
      <c r="AE407" s="81"/>
      <c r="AF407" s="93"/>
      <c r="AG407" s="81"/>
      <c r="AH407" s="93"/>
      <c r="AI407" s="81"/>
      <c r="AJ407" s="121"/>
      <c r="AK407" s="90"/>
      <c r="AL407" s="90"/>
      <c r="AM407" s="90"/>
    </row>
    <row r="408" spans="1:39" s="89" customFormat="1" ht="15.95" thickBot="1">
      <c r="L408" s="90"/>
      <c r="M408" s="90"/>
      <c r="N408" s="90"/>
      <c r="O408" s="90"/>
      <c r="P408" s="90"/>
      <c r="Q408" s="90"/>
      <c r="R408" s="90"/>
      <c r="S408" s="90"/>
      <c r="T408" s="90"/>
      <c r="U408" s="90"/>
      <c r="V408" s="90"/>
      <c r="W408" s="90"/>
      <c r="X408" s="90"/>
      <c r="Y408" s="90"/>
      <c r="Z408" s="90"/>
      <c r="AA408" s="90"/>
      <c r="AB408" s="90"/>
      <c r="AC408" s="90"/>
      <c r="AD408" s="90"/>
      <c r="AE408" s="90"/>
      <c r="AF408" s="90"/>
      <c r="AG408" s="90"/>
      <c r="AH408" s="90"/>
      <c r="AI408" s="90"/>
      <c r="AJ408" s="90"/>
      <c r="AK408" s="90"/>
      <c r="AL408" s="90"/>
      <c r="AM408" s="90"/>
    </row>
    <row r="409" spans="1:39" s="94" customFormat="1" ht="22.9" customHeight="1" thickTop="1">
      <c r="A409" s="311" t="s">
        <v>10</v>
      </c>
      <c r="B409" s="311" t="s">
        <v>11</v>
      </c>
      <c r="C409" s="311" t="s">
        <v>12</v>
      </c>
      <c r="D409" s="241" t="s">
        <v>13</v>
      </c>
      <c r="E409" s="241" t="s">
        <v>14</v>
      </c>
      <c r="F409" s="241" t="s">
        <v>15</v>
      </c>
      <c r="G409" s="241" t="s">
        <v>16</v>
      </c>
      <c r="H409" s="241" t="s">
        <v>17</v>
      </c>
      <c r="I409" s="241" t="s">
        <v>118</v>
      </c>
      <c r="J409" s="241" t="s">
        <v>19</v>
      </c>
      <c r="K409" s="241" t="s">
        <v>20</v>
      </c>
      <c r="L409" s="241" t="s">
        <v>21</v>
      </c>
      <c r="M409" s="241" t="s">
        <v>22</v>
      </c>
      <c r="N409" s="241" t="s">
        <v>23</v>
      </c>
      <c r="O409" s="311" t="s">
        <v>24</v>
      </c>
      <c r="P409" s="241" t="s">
        <v>25</v>
      </c>
      <c r="Q409" s="241" t="s">
        <v>26</v>
      </c>
      <c r="R409" s="241" t="s">
        <v>27</v>
      </c>
      <c r="S409" s="241" t="s">
        <v>28</v>
      </c>
      <c r="T409" s="241" t="s">
        <v>29</v>
      </c>
      <c r="U409" s="311" t="s">
        <v>30</v>
      </c>
      <c r="V409" s="311" t="s">
        <v>31</v>
      </c>
      <c r="W409" s="241" t="s">
        <v>32</v>
      </c>
      <c r="X409" s="339" t="s">
        <v>33</v>
      </c>
      <c r="Y409" s="241" t="s">
        <v>34</v>
      </c>
      <c r="Z409" s="241" t="s">
        <v>35</v>
      </c>
      <c r="AA409" s="241" t="s">
        <v>36</v>
      </c>
      <c r="AB409" s="241" t="s">
        <v>37</v>
      </c>
      <c r="AC409" s="241" t="s">
        <v>38</v>
      </c>
      <c r="AD409" s="241" t="s">
        <v>39</v>
      </c>
      <c r="AE409" s="241" t="s">
        <v>40</v>
      </c>
      <c r="AF409" s="311" t="s">
        <v>41</v>
      </c>
      <c r="AG409" s="241" t="s">
        <v>42</v>
      </c>
      <c r="AH409" s="241" t="s">
        <v>43</v>
      </c>
      <c r="AI409" s="241" t="s">
        <v>143</v>
      </c>
      <c r="AJ409" s="241" t="s">
        <v>45</v>
      </c>
      <c r="AK409" s="241" t="s">
        <v>46</v>
      </c>
      <c r="AL409" s="241" t="s">
        <v>47</v>
      </c>
      <c r="AM409" s="241" t="s">
        <v>48</v>
      </c>
    </row>
    <row r="410" spans="1:39" s="94" customFormat="1" ht="22.9" customHeight="1" thickBot="1">
      <c r="A410" s="314"/>
      <c r="B410" s="314"/>
      <c r="C410" s="314"/>
      <c r="D410" s="242"/>
      <c r="E410" s="242"/>
      <c r="F410" s="242"/>
      <c r="G410" s="242"/>
      <c r="H410" s="242"/>
      <c r="I410" s="242"/>
      <c r="J410" s="242"/>
      <c r="K410" s="242"/>
      <c r="L410" s="313"/>
      <c r="M410" s="242"/>
      <c r="N410" s="242"/>
      <c r="O410" s="314"/>
      <c r="P410" s="242"/>
      <c r="Q410" s="242"/>
      <c r="R410" s="242"/>
      <c r="S410" s="310"/>
      <c r="T410" s="242"/>
      <c r="U410" s="312"/>
      <c r="V410" s="312"/>
      <c r="W410" s="310"/>
      <c r="X410" s="340"/>
      <c r="Y410" s="242"/>
      <c r="Z410" s="310"/>
      <c r="AA410" s="310"/>
      <c r="AB410" s="310"/>
      <c r="AC410" s="310"/>
      <c r="AD410" s="310"/>
      <c r="AE410" s="310"/>
      <c r="AF410" s="312"/>
      <c r="AG410" s="310"/>
      <c r="AH410" s="242"/>
      <c r="AI410" s="242">
        <v>2018</v>
      </c>
      <c r="AJ410" s="242"/>
      <c r="AK410" s="328"/>
      <c r="AL410" s="242"/>
      <c r="AM410" s="242"/>
    </row>
    <row r="411" spans="1:39" s="94" customFormat="1" ht="22.9" customHeight="1" thickTop="1">
      <c r="A411" s="329" t="s">
        <v>189</v>
      </c>
      <c r="B411" s="332" t="s">
        <v>64</v>
      </c>
      <c r="C411" s="335" t="s">
        <v>121</v>
      </c>
      <c r="D411" s="338" t="s">
        <v>122</v>
      </c>
      <c r="E411" s="338" t="s">
        <v>190</v>
      </c>
      <c r="F411" s="344" t="s">
        <v>191</v>
      </c>
      <c r="G411" s="344" t="s">
        <v>192</v>
      </c>
      <c r="H411" s="344" t="s">
        <v>191</v>
      </c>
      <c r="I411" s="348">
        <f>+L412</f>
        <v>0.9645701021954286</v>
      </c>
      <c r="J411" s="351">
        <v>0.1</v>
      </c>
      <c r="K411" s="315" t="s">
        <v>124</v>
      </c>
      <c r="L411" s="96" t="s">
        <v>57</v>
      </c>
      <c r="M411" s="96" t="s">
        <v>57</v>
      </c>
      <c r="N411" s="96" t="s">
        <v>57</v>
      </c>
      <c r="O411" s="97" t="s">
        <v>57</v>
      </c>
      <c r="P411" s="96" t="s">
        <v>57</v>
      </c>
      <c r="Q411" s="98" t="s">
        <v>57</v>
      </c>
      <c r="R411" s="96" t="s">
        <v>57</v>
      </c>
      <c r="S411" s="98" t="s">
        <v>57</v>
      </c>
      <c r="T411" s="96" t="s">
        <v>57</v>
      </c>
      <c r="U411" s="98" t="s">
        <v>57</v>
      </c>
      <c r="V411" s="96" t="s">
        <v>57</v>
      </c>
      <c r="W411" s="98" t="s">
        <v>57</v>
      </c>
      <c r="X411" s="96" t="s">
        <v>57</v>
      </c>
      <c r="Y411" s="98" t="s">
        <v>57</v>
      </c>
      <c r="Z411" s="96" t="s">
        <v>57</v>
      </c>
      <c r="AA411" s="98" t="s">
        <v>57</v>
      </c>
      <c r="AB411" s="96" t="s">
        <v>57</v>
      </c>
      <c r="AC411" s="98" t="s">
        <v>57</v>
      </c>
      <c r="AD411" s="96" t="s">
        <v>57</v>
      </c>
      <c r="AE411" s="98" t="s">
        <v>57</v>
      </c>
      <c r="AF411" s="96" t="s">
        <v>57</v>
      </c>
      <c r="AG411" s="98" t="s">
        <v>57</v>
      </c>
      <c r="AH411" s="96" t="s">
        <v>57</v>
      </c>
      <c r="AI411" s="98" t="s">
        <v>57</v>
      </c>
      <c r="AJ411" s="67"/>
      <c r="AK411" s="165" t="s">
        <v>72</v>
      </c>
      <c r="AL411" s="325"/>
      <c r="AM411" s="156" t="s">
        <v>125</v>
      </c>
    </row>
    <row r="412" spans="1:39" s="94" customFormat="1" ht="22.9" customHeight="1">
      <c r="A412" s="330"/>
      <c r="B412" s="333"/>
      <c r="C412" s="336"/>
      <c r="D412" s="465"/>
      <c r="E412" s="341"/>
      <c r="F412" s="345"/>
      <c r="G412" s="345"/>
      <c r="H412" s="345"/>
      <c r="I412" s="349"/>
      <c r="J412" s="352"/>
      <c r="K412" s="316"/>
      <c r="L412" s="41">
        <f>IF(L414&lt;&gt;0,+L414/L416,0%)</f>
        <v>0.9645701021954286</v>
      </c>
      <c r="M412" s="58">
        <f>IF(M414&lt;&gt;0,+M414/M416,0%)</f>
        <v>0.96836982968369834</v>
      </c>
      <c r="N412" s="61">
        <f>IF(N414&lt;&gt;0,+N414/N416,0%)</f>
        <v>0.96898079763663225</v>
      </c>
      <c r="O412" s="57">
        <f t="shared" ref="O412" si="598">IF(O414&lt;&gt;0,+O414/O416,0%)</f>
        <v>0.96865701249752034</v>
      </c>
      <c r="P412" s="61">
        <f>IF(P414&lt;&gt;0,ROUND(+P414/P416,4),0%)</f>
        <v>0.9698</v>
      </c>
      <c r="Q412" s="62">
        <f t="shared" ref="Q412" si="599">IF(Q414&lt;&gt;0,+Q414/Q416,0%)</f>
        <v>0.96905829596412552</v>
      </c>
      <c r="R412" s="63">
        <f>IF(R414&lt;&gt;0,ROUND(+R414/R416,4),0%)</f>
        <v>0.96450000000000002</v>
      </c>
      <c r="S412" s="62">
        <f t="shared" ref="S412" si="600">IF(S414&lt;&gt;0,+S414/S416,0%)</f>
        <v>0.96794063439712874</v>
      </c>
      <c r="T412" s="63">
        <f>IF(T414&lt;&gt;0,ROUND(+T414/T416,4),0%)</f>
        <v>0.96689999999999998</v>
      </c>
      <c r="U412" s="62">
        <f t="shared" ref="U412" si="601">IF(U414&lt;&gt;0,+U414/U416,0%)</f>
        <v>0.96772340914311972</v>
      </c>
      <c r="V412" s="63">
        <f>IF(V414&lt;&gt;0,ROUND(+V414/V416,4),0%)</f>
        <v>0.97189999999999999</v>
      </c>
      <c r="W412" s="62">
        <f t="shared" ref="W412" si="602">IF(W414&lt;&gt;0,+W414/W416,0%)</f>
        <v>0.96835093419983753</v>
      </c>
      <c r="X412" s="63">
        <f>IF(X414&lt;&gt;0,ROUND(+X414/X416,4),0%)</f>
        <v>0.95320000000000005</v>
      </c>
      <c r="Y412" s="62">
        <f t="shared" ref="Y412" si="603">IF(Y414&lt;&gt;0,+Y414/Y416,0%)</f>
        <v>0.96530951391773989</v>
      </c>
      <c r="Z412" s="64">
        <f>IF(Z414&lt;&gt;0,ROUND(+Z414/Z416,4),0%)</f>
        <v>0.96809999999999996</v>
      </c>
      <c r="AA412" s="62">
        <f t="shared" ref="AA412" si="604">IF(AA414&lt;&gt;0,+AA414/AA416,0%)</f>
        <v>0.96560619088564059</v>
      </c>
      <c r="AB412" s="63">
        <f>IF(AB414&lt;&gt;0,ROUND(+AB414/AB416,4),0%)</f>
        <v>0.95009999999999994</v>
      </c>
      <c r="AC412" s="62">
        <f t="shared" ref="AC412" si="605">IF(AC414&lt;&gt;0,+AC414/AC416,0%)</f>
        <v>0.96426070162779343</v>
      </c>
      <c r="AD412" s="63">
        <f>IF(AD414&lt;&gt;0,ROUND(+AD414/AD416,4),0%)</f>
        <v>0.96030000000000004</v>
      </c>
      <c r="AE412" s="62">
        <f t="shared" ref="AE412" si="606">IF(AE414&lt;&gt;0,+AE414/AE416,0%)</f>
        <v>0.96376569348488228</v>
      </c>
      <c r="AF412" s="63">
        <f>IF(AF414&lt;&gt;0,ROUND(+AF414/AF416,4),0%)</f>
        <v>0.96719999999999995</v>
      </c>
      <c r="AG412" s="62">
        <f t="shared" ref="AG412" si="607">IF(AG414&lt;&gt;0,+AG414/AG416,0%)</f>
        <v>0.96402172791968921</v>
      </c>
      <c r="AH412" s="63">
        <f>IF(AH414&lt;&gt;0,ROUND(+AH414/AH416,4),0%)</f>
        <v>0.9728</v>
      </c>
      <c r="AI412" s="62">
        <f>IF(AI414&lt;&gt;0,+AI414/AI416,0%)</f>
        <v>0.9645701021954286</v>
      </c>
      <c r="AJ412" s="68"/>
      <c r="AK412" s="166"/>
      <c r="AL412" s="326"/>
      <c r="AM412" s="157"/>
    </row>
    <row r="413" spans="1:39" s="94" customFormat="1" ht="22.9" customHeight="1" thickBot="1">
      <c r="A413" s="330"/>
      <c r="B413" s="333"/>
      <c r="C413" s="336"/>
      <c r="D413" s="465"/>
      <c r="E413" s="341"/>
      <c r="F413" s="345"/>
      <c r="G413" s="345"/>
      <c r="H413" s="345"/>
      <c r="I413" s="349"/>
      <c r="J413" s="352"/>
      <c r="K413" s="317"/>
      <c r="L413" s="101" t="s">
        <v>60</v>
      </c>
      <c r="M413" s="101" t="s">
        <v>60</v>
      </c>
      <c r="N413" s="101" t="s">
        <v>60</v>
      </c>
      <c r="O413" s="102" t="s">
        <v>60</v>
      </c>
      <c r="P413" s="101" t="s">
        <v>60</v>
      </c>
      <c r="Q413" s="103" t="s">
        <v>60</v>
      </c>
      <c r="R413" s="101" t="s">
        <v>60</v>
      </c>
      <c r="S413" s="103" t="s">
        <v>60</v>
      </c>
      <c r="T413" s="101" t="s">
        <v>60</v>
      </c>
      <c r="U413" s="103" t="s">
        <v>60</v>
      </c>
      <c r="V413" s="101" t="s">
        <v>60</v>
      </c>
      <c r="W413" s="103" t="s">
        <v>60</v>
      </c>
      <c r="X413" s="101" t="s">
        <v>60</v>
      </c>
      <c r="Y413" s="103" t="s">
        <v>60</v>
      </c>
      <c r="Z413" s="101" t="s">
        <v>60</v>
      </c>
      <c r="AA413" s="103" t="s">
        <v>60</v>
      </c>
      <c r="AB413" s="101" t="s">
        <v>60</v>
      </c>
      <c r="AC413" s="103" t="s">
        <v>60</v>
      </c>
      <c r="AD413" s="101" t="s">
        <v>60</v>
      </c>
      <c r="AE413" s="103" t="s">
        <v>60</v>
      </c>
      <c r="AF413" s="101" t="s">
        <v>60</v>
      </c>
      <c r="AG413" s="103" t="s">
        <v>60</v>
      </c>
      <c r="AH413" s="101" t="s">
        <v>60</v>
      </c>
      <c r="AI413" s="103" t="s">
        <v>60</v>
      </c>
      <c r="AJ413" s="68"/>
      <c r="AK413" s="166"/>
      <c r="AL413" s="326"/>
      <c r="AM413" s="157"/>
    </row>
    <row r="414" spans="1:39" s="94" customFormat="1" ht="22.9" customHeight="1" thickTop="1">
      <c r="A414" s="330"/>
      <c r="B414" s="333"/>
      <c r="C414" s="336"/>
      <c r="D414" s="465"/>
      <c r="E414" s="341"/>
      <c r="F414" s="345"/>
      <c r="G414" s="345"/>
      <c r="H414" s="345"/>
      <c r="I414" s="349"/>
      <c r="J414" s="352"/>
      <c r="K414" s="316" t="s">
        <v>74</v>
      </c>
      <c r="L414" s="104">
        <v>59840</v>
      </c>
      <c r="M414" s="105">
        <v>5174</v>
      </c>
      <c r="N414" s="105">
        <v>4592</v>
      </c>
      <c r="O414" s="106">
        <f>+M414+N414</f>
        <v>9766</v>
      </c>
      <c r="P414" s="105">
        <v>5361</v>
      </c>
      <c r="Q414" s="106">
        <f>+O414+P414</f>
        <v>15127</v>
      </c>
      <c r="R414" s="105">
        <v>4830</v>
      </c>
      <c r="S414" s="106">
        <f>+Q414+R414</f>
        <v>19957</v>
      </c>
      <c r="T414" s="105">
        <v>5318</v>
      </c>
      <c r="U414" s="106">
        <f>+S414+T414</f>
        <v>25275</v>
      </c>
      <c r="V414" s="105">
        <v>4526</v>
      </c>
      <c r="W414" s="106">
        <f>+U414+V414</f>
        <v>29801</v>
      </c>
      <c r="X414" s="105">
        <v>7375</v>
      </c>
      <c r="Y414" s="106">
        <f>+W414+X414</f>
        <v>37176</v>
      </c>
      <c r="Z414" s="105">
        <v>4375</v>
      </c>
      <c r="AA414" s="106">
        <f>+Y414+Z414</f>
        <v>41551</v>
      </c>
      <c r="AB414" s="105">
        <v>3884</v>
      </c>
      <c r="AC414" s="106">
        <f>+AA414+AB414</f>
        <v>45435</v>
      </c>
      <c r="AD414" s="105">
        <v>6458</v>
      </c>
      <c r="AE414" s="106">
        <f>+AC414+AD414</f>
        <v>51893</v>
      </c>
      <c r="AF414" s="105">
        <v>4188</v>
      </c>
      <c r="AG414" s="106">
        <f>+AE414+AF414</f>
        <v>56081</v>
      </c>
      <c r="AH414" s="105">
        <v>3759</v>
      </c>
      <c r="AI414" s="106">
        <f>+AG414+AH414</f>
        <v>59840</v>
      </c>
      <c r="AJ414" s="29">
        <f>+AI412/L412</f>
        <v>1</v>
      </c>
      <c r="AK414" s="166"/>
      <c r="AL414" s="326"/>
      <c r="AM414" s="157"/>
    </row>
    <row r="415" spans="1:39" s="94" customFormat="1" ht="22.9" customHeight="1">
      <c r="A415" s="330"/>
      <c r="B415" s="333"/>
      <c r="C415" s="336"/>
      <c r="D415" s="465"/>
      <c r="E415" s="341"/>
      <c r="F415" s="345"/>
      <c r="G415" s="345"/>
      <c r="H415" s="345"/>
      <c r="I415" s="349"/>
      <c r="J415" s="352"/>
      <c r="K415" s="347"/>
      <c r="L415" s="99" t="s">
        <v>126</v>
      </c>
      <c r="M415" s="107" t="s">
        <v>62</v>
      </c>
      <c r="N415" s="107" t="s">
        <v>62</v>
      </c>
      <c r="O415" s="108" t="s">
        <v>62</v>
      </c>
      <c r="P415" s="107" t="s">
        <v>62</v>
      </c>
      <c r="Q415" s="109" t="s">
        <v>62</v>
      </c>
      <c r="R415" s="107" t="s">
        <v>62</v>
      </c>
      <c r="S415" s="109" t="s">
        <v>62</v>
      </c>
      <c r="T415" s="107" t="s">
        <v>62</v>
      </c>
      <c r="U415" s="109" t="s">
        <v>62</v>
      </c>
      <c r="V415" s="107" t="s">
        <v>62</v>
      </c>
      <c r="W415" s="109" t="s">
        <v>62</v>
      </c>
      <c r="X415" s="107" t="s">
        <v>62</v>
      </c>
      <c r="Y415" s="109" t="s">
        <v>62</v>
      </c>
      <c r="Z415" s="107" t="s">
        <v>62</v>
      </c>
      <c r="AA415" s="109" t="s">
        <v>62</v>
      </c>
      <c r="AB415" s="107" t="s">
        <v>62</v>
      </c>
      <c r="AC415" s="109" t="s">
        <v>62</v>
      </c>
      <c r="AD415" s="107" t="s">
        <v>62</v>
      </c>
      <c r="AE415" s="109" t="s">
        <v>62</v>
      </c>
      <c r="AF415" s="107" t="s">
        <v>62</v>
      </c>
      <c r="AG415" s="109" t="s">
        <v>62</v>
      </c>
      <c r="AH415" s="107" t="s">
        <v>62</v>
      </c>
      <c r="AI415" s="109" t="s">
        <v>62</v>
      </c>
      <c r="AJ415" s="68"/>
      <c r="AK415" s="166"/>
      <c r="AL415" s="326"/>
      <c r="AM415" s="157"/>
    </row>
    <row r="416" spans="1:39" s="94" customFormat="1" ht="22.9" customHeight="1" thickBot="1">
      <c r="A416" s="331"/>
      <c r="B416" s="334"/>
      <c r="C416" s="337"/>
      <c r="D416" s="466"/>
      <c r="E416" s="342"/>
      <c r="F416" s="346"/>
      <c r="G416" s="346"/>
      <c r="H416" s="346"/>
      <c r="I416" s="350"/>
      <c r="J416" s="353"/>
      <c r="K416" s="317"/>
      <c r="L416" s="110">
        <v>62038</v>
      </c>
      <c r="M416" s="111">
        <v>5343</v>
      </c>
      <c r="N416" s="111">
        <v>4739</v>
      </c>
      <c r="O416" s="112">
        <f>+M416+N416</f>
        <v>10082</v>
      </c>
      <c r="P416" s="111">
        <v>5528</v>
      </c>
      <c r="Q416" s="112">
        <f>+O416+P416</f>
        <v>15610</v>
      </c>
      <c r="R416" s="111">
        <v>5008</v>
      </c>
      <c r="S416" s="112">
        <f>+Q416+R416</f>
        <v>20618</v>
      </c>
      <c r="T416" s="111">
        <v>5500</v>
      </c>
      <c r="U416" s="112">
        <f>+S416+T416</f>
        <v>26118</v>
      </c>
      <c r="V416" s="111">
        <v>4657</v>
      </c>
      <c r="W416" s="112">
        <f>+U416+V416</f>
        <v>30775</v>
      </c>
      <c r="X416" s="111">
        <v>7737</v>
      </c>
      <c r="Y416" s="112">
        <f>+W416+X416</f>
        <v>38512</v>
      </c>
      <c r="Z416" s="111">
        <v>4519</v>
      </c>
      <c r="AA416" s="112">
        <f>+Y416+Z416</f>
        <v>43031</v>
      </c>
      <c r="AB416" s="111">
        <v>4088</v>
      </c>
      <c r="AC416" s="112">
        <f>+AA416+AB416</f>
        <v>47119</v>
      </c>
      <c r="AD416" s="111">
        <v>6725</v>
      </c>
      <c r="AE416" s="112">
        <f>+AC416+AD416</f>
        <v>53844</v>
      </c>
      <c r="AF416" s="111">
        <v>4330</v>
      </c>
      <c r="AG416" s="112">
        <f>+AE416+AF416</f>
        <v>58174</v>
      </c>
      <c r="AH416" s="111">
        <v>3864</v>
      </c>
      <c r="AI416" s="112">
        <f>+AG416+AH416</f>
        <v>62038</v>
      </c>
      <c r="AJ416" s="69"/>
      <c r="AK416" s="167"/>
      <c r="AL416" s="327"/>
      <c r="AM416" s="158"/>
    </row>
    <row r="417" spans="1:41" ht="12.95" thickTop="1"/>
    <row r="418" spans="1:41" s="89" customFormat="1" ht="20.45" thickBot="1">
      <c r="A418" s="114" t="s">
        <v>127</v>
      </c>
      <c r="L418" s="90"/>
      <c r="M418" s="90"/>
      <c r="N418" s="90"/>
      <c r="O418" s="90"/>
      <c r="P418" s="90"/>
      <c r="Q418" s="90"/>
      <c r="R418" s="90"/>
      <c r="S418" s="90"/>
      <c r="T418" s="90"/>
      <c r="U418" s="90"/>
      <c r="V418" s="90"/>
      <c r="W418" s="90"/>
      <c r="X418" s="90"/>
      <c r="Y418" s="90"/>
      <c r="Z418" s="90"/>
      <c r="AA418" s="90"/>
      <c r="AB418" s="90"/>
      <c r="AC418" s="90"/>
      <c r="AD418" s="90"/>
      <c r="AE418" s="90"/>
      <c r="AF418" s="90"/>
      <c r="AG418" s="90"/>
      <c r="AH418" s="90"/>
      <c r="AI418" s="90"/>
      <c r="AJ418" s="90"/>
      <c r="AK418" s="90"/>
      <c r="AL418" s="90"/>
      <c r="AM418" s="90"/>
    </row>
    <row r="419" spans="1:41" s="94" customFormat="1" ht="22.9" customHeight="1" thickTop="1">
      <c r="A419" s="311" t="s">
        <v>10</v>
      </c>
      <c r="B419" s="311" t="s">
        <v>11</v>
      </c>
      <c r="C419" s="311" t="s">
        <v>12</v>
      </c>
      <c r="D419" s="241" t="s">
        <v>13</v>
      </c>
      <c r="E419" s="241" t="s">
        <v>14</v>
      </c>
      <c r="F419" s="241" t="s">
        <v>15</v>
      </c>
      <c r="G419" s="241" t="s">
        <v>16</v>
      </c>
      <c r="H419" s="241" t="s">
        <v>17</v>
      </c>
      <c r="I419" s="241" t="s">
        <v>118</v>
      </c>
      <c r="J419" s="241" t="s">
        <v>19</v>
      </c>
      <c r="K419" s="241" t="s">
        <v>20</v>
      </c>
      <c r="L419" s="241" t="s">
        <v>21</v>
      </c>
      <c r="M419" s="241" t="s">
        <v>22</v>
      </c>
      <c r="N419" s="241" t="s">
        <v>23</v>
      </c>
      <c r="O419" s="311" t="s">
        <v>24</v>
      </c>
      <c r="P419" s="241" t="s">
        <v>25</v>
      </c>
      <c r="Q419" s="241" t="s">
        <v>26</v>
      </c>
      <c r="R419" s="241" t="s">
        <v>27</v>
      </c>
      <c r="S419" s="241" t="s">
        <v>28</v>
      </c>
      <c r="T419" s="241" t="s">
        <v>29</v>
      </c>
      <c r="U419" s="311" t="s">
        <v>30</v>
      </c>
      <c r="V419" s="311" t="s">
        <v>31</v>
      </c>
      <c r="W419" s="241" t="s">
        <v>32</v>
      </c>
      <c r="X419" s="339" t="s">
        <v>33</v>
      </c>
      <c r="Y419" s="241" t="s">
        <v>34</v>
      </c>
      <c r="Z419" s="241" t="s">
        <v>35</v>
      </c>
      <c r="AA419" s="241" t="s">
        <v>36</v>
      </c>
      <c r="AB419" s="241" t="s">
        <v>37</v>
      </c>
      <c r="AC419" s="241" t="s">
        <v>38</v>
      </c>
      <c r="AD419" s="241" t="s">
        <v>39</v>
      </c>
      <c r="AE419" s="241" t="s">
        <v>40</v>
      </c>
      <c r="AF419" s="311" t="s">
        <v>41</v>
      </c>
      <c r="AG419" s="241" t="s">
        <v>42</v>
      </c>
      <c r="AH419" s="241" t="s">
        <v>43</v>
      </c>
      <c r="AI419" s="241" t="s">
        <v>143</v>
      </c>
      <c r="AJ419" s="241" t="s">
        <v>45</v>
      </c>
      <c r="AK419" s="241" t="s">
        <v>46</v>
      </c>
      <c r="AL419" s="241" t="s">
        <v>47</v>
      </c>
      <c r="AM419" s="241" t="s">
        <v>48</v>
      </c>
    </row>
    <row r="420" spans="1:41" s="94" customFormat="1" ht="22.9" customHeight="1" thickBot="1">
      <c r="A420" s="314"/>
      <c r="B420" s="314"/>
      <c r="C420" s="314"/>
      <c r="D420" s="242"/>
      <c r="E420" s="242"/>
      <c r="F420" s="242"/>
      <c r="G420" s="242"/>
      <c r="H420" s="242"/>
      <c r="I420" s="242"/>
      <c r="J420" s="242"/>
      <c r="K420" s="242"/>
      <c r="L420" s="313"/>
      <c r="M420" s="242"/>
      <c r="N420" s="242"/>
      <c r="O420" s="314"/>
      <c r="P420" s="242"/>
      <c r="Q420" s="242"/>
      <c r="R420" s="242"/>
      <c r="S420" s="310"/>
      <c r="T420" s="242"/>
      <c r="U420" s="312"/>
      <c r="V420" s="312"/>
      <c r="W420" s="310"/>
      <c r="X420" s="340"/>
      <c r="Y420" s="242"/>
      <c r="Z420" s="310"/>
      <c r="AA420" s="310"/>
      <c r="AB420" s="310"/>
      <c r="AC420" s="310"/>
      <c r="AD420" s="310"/>
      <c r="AE420" s="310"/>
      <c r="AF420" s="312"/>
      <c r="AG420" s="310"/>
      <c r="AH420" s="242"/>
      <c r="AI420" s="242">
        <v>2018</v>
      </c>
      <c r="AJ420" s="242"/>
      <c r="AK420" s="328"/>
      <c r="AL420" s="242"/>
      <c r="AM420" s="242"/>
    </row>
    <row r="421" spans="1:41" s="94" customFormat="1" ht="22.9" customHeight="1" thickTop="1">
      <c r="A421" s="329" t="s">
        <v>189</v>
      </c>
      <c r="B421" s="332" t="s">
        <v>64</v>
      </c>
      <c r="C421" s="335" t="s">
        <v>121</v>
      </c>
      <c r="D421" s="338" t="s">
        <v>122</v>
      </c>
      <c r="E421" s="338" t="s">
        <v>190</v>
      </c>
      <c r="F421" s="344" t="s">
        <v>191</v>
      </c>
      <c r="G421" s="344" t="s">
        <v>192</v>
      </c>
      <c r="H421" s="344" t="s">
        <v>191</v>
      </c>
      <c r="I421" s="348">
        <f>+L422</f>
        <v>0.96362508763414767</v>
      </c>
      <c r="J421" s="351">
        <v>0.1</v>
      </c>
      <c r="K421" s="315" t="s">
        <v>124</v>
      </c>
      <c r="L421" s="95" t="s">
        <v>57</v>
      </c>
      <c r="M421" s="96" t="s">
        <v>57</v>
      </c>
      <c r="N421" s="96" t="s">
        <v>57</v>
      </c>
      <c r="O421" s="97" t="s">
        <v>57</v>
      </c>
      <c r="P421" s="96" t="s">
        <v>57</v>
      </c>
      <c r="Q421" s="98" t="s">
        <v>57</v>
      </c>
      <c r="R421" s="96" t="s">
        <v>57</v>
      </c>
      <c r="S421" s="98" t="s">
        <v>57</v>
      </c>
      <c r="T421" s="96" t="s">
        <v>57</v>
      </c>
      <c r="U421" s="98" t="s">
        <v>57</v>
      </c>
      <c r="V421" s="96" t="s">
        <v>57</v>
      </c>
      <c r="W421" s="98" t="s">
        <v>57</v>
      </c>
      <c r="X421" s="96" t="s">
        <v>57</v>
      </c>
      <c r="Y421" s="98" t="s">
        <v>57</v>
      </c>
      <c r="Z421" s="96" t="s">
        <v>57</v>
      </c>
      <c r="AA421" s="98" t="s">
        <v>57</v>
      </c>
      <c r="AB421" s="96" t="s">
        <v>57</v>
      </c>
      <c r="AC421" s="98" t="s">
        <v>57</v>
      </c>
      <c r="AD421" s="96" t="s">
        <v>57</v>
      </c>
      <c r="AE421" s="98" t="s">
        <v>57</v>
      </c>
      <c r="AF421" s="96" t="s">
        <v>57</v>
      </c>
      <c r="AG421" s="98" t="s">
        <v>57</v>
      </c>
      <c r="AH421" s="96" t="s">
        <v>57</v>
      </c>
      <c r="AI421" s="98" t="s">
        <v>57</v>
      </c>
      <c r="AJ421" s="67"/>
      <c r="AK421" s="165" t="s">
        <v>72</v>
      </c>
      <c r="AL421" s="325"/>
      <c r="AM421" s="156" t="s">
        <v>125</v>
      </c>
    </row>
    <row r="422" spans="1:41" s="94" customFormat="1" ht="22.9" customHeight="1">
      <c r="A422" s="330"/>
      <c r="B422" s="333"/>
      <c r="C422" s="336"/>
      <c r="D422" s="465"/>
      <c r="E422" s="341"/>
      <c r="F422" s="345"/>
      <c r="G422" s="345"/>
      <c r="H422" s="345"/>
      <c r="I422" s="349"/>
      <c r="J422" s="352"/>
      <c r="K422" s="316"/>
      <c r="L422" s="41">
        <f>IF(L424&lt;&gt;0,+L424/L426,0%)</f>
        <v>0.96362508763414767</v>
      </c>
      <c r="M422" s="58">
        <f>IF(M424&lt;&gt;0,+M424/M426,0%)</f>
        <v>0.96709717097170966</v>
      </c>
      <c r="N422" s="61">
        <f>IF(N424&lt;&gt;0,+N424/N426,0%)</f>
        <v>0.96733842946490622</v>
      </c>
      <c r="O422" s="57">
        <f t="shared" ref="O422" si="608">IF(O424&lt;&gt;0,+O424/O426,0%)</f>
        <v>0.96721044045676996</v>
      </c>
      <c r="P422" s="61">
        <f>IF(P424&lt;&gt;0,ROUND(+P424/P426,4),0%)</f>
        <v>0.96789999999999998</v>
      </c>
      <c r="Q422" s="62">
        <f t="shared" ref="Q422" si="609">IF(Q424&lt;&gt;0,+Q424/Q426,0%)</f>
        <v>0.96746090059829959</v>
      </c>
      <c r="R422" s="63">
        <f>IF(R424&lt;&gt;0,ROUND(+R424/R426,4),0%)</f>
        <v>0.96</v>
      </c>
      <c r="S422" s="62">
        <f t="shared" ref="S422" si="610">IF(S424&lt;&gt;0,+S424/S426,0%)</f>
        <v>0.96570237999839725</v>
      </c>
      <c r="T422" s="63">
        <f>IF(T424&lt;&gt;0,ROUND(+T424/T426,4),0%)</f>
        <v>0.96709999999999996</v>
      </c>
      <c r="U422" s="62">
        <f t="shared" ref="U422" si="611">IF(U424&lt;&gt;0,+U424/U426,0%)</f>
        <v>0.9659829277614983</v>
      </c>
      <c r="V422" s="63">
        <f>IF(V424&lt;&gt;0,ROUND(+V424/V426,4),0%)</f>
        <v>0.97160000000000002</v>
      </c>
      <c r="W422" s="62">
        <f t="shared" ref="W422" si="612">IF(W424&lt;&gt;0,+W424/W426,0%)</f>
        <v>0.96680971264055626</v>
      </c>
      <c r="X422" s="63">
        <f>IF(X424&lt;&gt;0,ROUND(+X424/X426,4),0%)</f>
        <v>0.95269999999999999</v>
      </c>
      <c r="Y422" s="62">
        <f t="shared" ref="Y422" si="613">IF(Y424&lt;&gt;0,+Y424/Y426,0%)</f>
        <v>0.96399999999999997</v>
      </c>
      <c r="Z422" s="64">
        <f>IF(Z424&lt;&gt;0,ROUND(+Z424/Z426,4),0%)</f>
        <v>0.96899999999999997</v>
      </c>
      <c r="AA422" s="62">
        <f t="shared" ref="AA422" si="614">IF(AA424&lt;&gt;0,+AA424/AA426,0%)</f>
        <v>0.96452328159645229</v>
      </c>
      <c r="AB422" s="63">
        <f>IF(AB424&lt;&gt;0,ROUND(+AB424/AB426,4),0%)</f>
        <v>0.95299999999999996</v>
      </c>
      <c r="AC422" s="62">
        <f t="shared" ref="AC422" si="615">IF(AC424&lt;&gt;0,+AC424/AC426,0%)</f>
        <v>0.96354315009968672</v>
      </c>
      <c r="AD422" s="63">
        <f>IF(AD424&lt;&gt;0,ROUND(+AD424/AD426,4),0%)</f>
        <v>0.95830000000000004</v>
      </c>
      <c r="AE422" s="62">
        <f t="shared" ref="AE422" si="616">IF(AE424&lt;&gt;0,+AE424/AE426,0%)</f>
        <v>0.96287205617349159</v>
      </c>
      <c r="AF422" s="63">
        <f>IF(AF424&lt;&gt;0,ROUND(+AF424/AF426,4),0%)</f>
        <v>0.96619999999999995</v>
      </c>
      <c r="AG422" s="62">
        <f t="shared" ref="AG422" si="617">IF(AG424&lt;&gt;0,+AG424/AG426,0%)</f>
        <v>0.96311970979443773</v>
      </c>
      <c r="AH422" s="63">
        <f>IF(AH424&lt;&gt;0,ROUND(+AH424/AH426,4),0%)</f>
        <v>0.97109999999999996</v>
      </c>
      <c r="AI422" s="62">
        <f>IF(AI424&lt;&gt;0,+AI424/AI426,0%)</f>
        <v>0.96362508763414767</v>
      </c>
      <c r="AJ422" s="68"/>
      <c r="AK422" s="166"/>
      <c r="AL422" s="326"/>
      <c r="AM422" s="157"/>
    </row>
    <row r="423" spans="1:41" s="94" customFormat="1" ht="22.9" customHeight="1" thickBot="1">
      <c r="A423" s="330"/>
      <c r="B423" s="333"/>
      <c r="C423" s="336"/>
      <c r="D423" s="465"/>
      <c r="E423" s="341"/>
      <c r="F423" s="345"/>
      <c r="G423" s="345"/>
      <c r="H423" s="345"/>
      <c r="I423" s="349"/>
      <c r="J423" s="352"/>
      <c r="K423" s="317"/>
      <c r="L423" s="99"/>
      <c r="M423" s="101" t="s">
        <v>60</v>
      </c>
      <c r="N423" s="101" t="s">
        <v>60</v>
      </c>
      <c r="O423" s="102" t="s">
        <v>60</v>
      </c>
      <c r="P423" s="101" t="s">
        <v>60</v>
      </c>
      <c r="Q423" s="103" t="s">
        <v>60</v>
      </c>
      <c r="R423" s="101" t="s">
        <v>60</v>
      </c>
      <c r="S423" s="103" t="s">
        <v>60</v>
      </c>
      <c r="T423" s="101" t="s">
        <v>60</v>
      </c>
      <c r="U423" s="103" t="s">
        <v>60</v>
      </c>
      <c r="V423" s="101" t="s">
        <v>60</v>
      </c>
      <c r="W423" s="103" t="s">
        <v>60</v>
      </c>
      <c r="X423" s="101" t="s">
        <v>60</v>
      </c>
      <c r="Y423" s="103" t="s">
        <v>60</v>
      </c>
      <c r="Z423" s="101" t="s">
        <v>60</v>
      </c>
      <c r="AA423" s="103" t="s">
        <v>60</v>
      </c>
      <c r="AB423" s="101" t="s">
        <v>60</v>
      </c>
      <c r="AC423" s="103" t="s">
        <v>60</v>
      </c>
      <c r="AD423" s="101" t="s">
        <v>60</v>
      </c>
      <c r="AE423" s="103" t="s">
        <v>60</v>
      </c>
      <c r="AF423" s="101" t="s">
        <v>60</v>
      </c>
      <c r="AG423" s="103" t="s">
        <v>60</v>
      </c>
      <c r="AH423" s="101" t="s">
        <v>60</v>
      </c>
      <c r="AI423" s="103" t="s">
        <v>60</v>
      </c>
      <c r="AJ423" s="68"/>
      <c r="AK423" s="166"/>
      <c r="AL423" s="326"/>
      <c r="AM423" s="157"/>
    </row>
    <row r="424" spans="1:41" s="94" customFormat="1" ht="22.9" customHeight="1" thickTop="1">
      <c r="A424" s="330"/>
      <c r="B424" s="333"/>
      <c r="C424" s="336"/>
      <c r="D424" s="465"/>
      <c r="E424" s="341"/>
      <c r="F424" s="345"/>
      <c r="G424" s="345"/>
      <c r="H424" s="345"/>
      <c r="I424" s="349"/>
      <c r="J424" s="352"/>
      <c r="K424" s="316" t="s">
        <v>74</v>
      </c>
      <c r="L424" s="104">
        <v>35737</v>
      </c>
      <c r="M424" s="105">
        <v>3145</v>
      </c>
      <c r="N424" s="105">
        <v>2784</v>
      </c>
      <c r="O424" s="106">
        <f>+M424+N424</f>
        <v>5929</v>
      </c>
      <c r="P424" s="105">
        <v>3288</v>
      </c>
      <c r="Q424" s="106">
        <f>+O424+P424</f>
        <v>9217</v>
      </c>
      <c r="R424" s="105">
        <v>2834</v>
      </c>
      <c r="S424" s="106">
        <f>+Q424+R424</f>
        <v>12051</v>
      </c>
      <c r="T424" s="105">
        <v>3113</v>
      </c>
      <c r="U424" s="106">
        <f>+S424+T424</f>
        <v>15164</v>
      </c>
      <c r="V424" s="105">
        <v>2634</v>
      </c>
      <c r="W424" s="106">
        <f>+U424+V424</f>
        <v>17798</v>
      </c>
      <c r="X424" s="105">
        <v>4374</v>
      </c>
      <c r="Y424" s="106">
        <f>+W424+X424</f>
        <v>22172</v>
      </c>
      <c r="Z424" s="105">
        <v>2623</v>
      </c>
      <c r="AA424" s="106">
        <f>+Y424+Z424</f>
        <v>24795</v>
      </c>
      <c r="AB424" s="105">
        <v>2269</v>
      </c>
      <c r="AC424" s="106">
        <f>+AA424+AB424</f>
        <v>27064</v>
      </c>
      <c r="AD424" s="105">
        <v>3927</v>
      </c>
      <c r="AE424" s="106">
        <f>+AC424+AD424</f>
        <v>30991</v>
      </c>
      <c r="AF424" s="105">
        <v>2462</v>
      </c>
      <c r="AG424" s="106">
        <f>+AE424+AF424</f>
        <v>33453</v>
      </c>
      <c r="AH424" s="105">
        <v>2284</v>
      </c>
      <c r="AI424" s="106">
        <f>SUM(AG424:AH424)</f>
        <v>35737</v>
      </c>
      <c r="AJ424" s="29">
        <f>+AI422/L422</f>
        <v>1</v>
      </c>
      <c r="AK424" s="166"/>
      <c r="AL424" s="326"/>
      <c r="AM424" s="157"/>
    </row>
    <row r="425" spans="1:41" s="94" customFormat="1" ht="22.9" customHeight="1">
      <c r="A425" s="330"/>
      <c r="B425" s="333"/>
      <c r="C425" s="336"/>
      <c r="D425" s="465"/>
      <c r="E425" s="341"/>
      <c r="F425" s="345"/>
      <c r="G425" s="345"/>
      <c r="H425" s="345"/>
      <c r="I425" s="349"/>
      <c r="J425" s="352"/>
      <c r="K425" s="347"/>
      <c r="L425" s="99" t="s">
        <v>126</v>
      </c>
      <c r="M425" s="107" t="s">
        <v>62</v>
      </c>
      <c r="N425" s="107" t="s">
        <v>62</v>
      </c>
      <c r="O425" s="108" t="s">
        <v>62</v>
      </c>
      <c r="P425" s="107" t="s">
        <v>62</v>
      </c>
      <c r="Q425" s="109" t="s">
        <v>62</v>
      </c>
      <c r="R425" s="107"/>
      <c r="S425" s="109" t="s">
        <v>62</v>
      </c>
      <c r="T425" s="107" t="s">
        <v>62</v>
      </c>
      <c r="U425" s="109" t="s">
        <v>62</v>
      </c>
      <c r="V425" s="107" t="s">
        <v>62</v>
      </c>
      <c r="W425" s="109" t="s">
        <v>62</v>
      </c>
      <c r="X425" s="107" t="s">
        <v>62</v>
      </c>
      <c r="Y425" s="109" t="s">
        <v>62</v>
      </c>
      <c r="Z425" s="107" t="s">
        <v>62</v>
      </c>
      <c r="AA425" s="109" t="s">
        <v>62</v>
      </c>
      <c r="AB425" s="107" t="s">
        <v>62</v>
      </c>
      <c r="AC425" s="109" t="s">
        <v>62</v>
      </c>
      <c r="AD425" s="107" t="s">
        <v>62</v>
      </c>
      <c r="AE425" s="109" t="s">
        <v>62</v>
      </c>
      <c r="AF425" s="107" t="s">
        <v>62</v>
      </c>
      <c r="AG425" s="109" t="s">
        <v>62</v>
      </c>
      <c r="AH425" s="107" t="s">
        <v>62</v>
      </c>
      <c r="AI425" s="108" t="s">
        <v>62</v>
      </c>
      <c r="AJ425" s="68"/>
      <c r="AK425" s="166"/>
      <c r="AL425" s="326"/>
      <c r="AM425" s="157"/>
    </row>
    <row r="426" spans="1:41" s="94" customFormat="1" ht="22.9" customHeight="1" thickBot="1">
      <c r="A426" s="331"/>
      <c r="B426" s="334"/>
      <c r="C426" s="337"/>
      <c r="D426" s="466"/>
      <c r="E426" s="342"/>
      <c r="F426" s="346"/>
      <c r="G426" s="346"/>
      <c r="H426" s="346"/>
      <c r="I426" s="350"/>
      <c r="J426" s="353"/>
      <c r="K426" s="317"/>
      <c r="L426" s="110">
        <v>37086</v>
      </c>
      <c r="M426" s="111">
        <v>3252</v>
      </c>
      <c r="N426" s="111">
        <v>2878</v>
      </c>
      <c r="O426" s="112">
        <f t="shared" ref="O426" si="618">+M426+N426</f>
        <v>6130</v>
      </c>
      <c r="P426" s="111">
        <v>3397</v>
      </c>
      <c r="Q426" s="112">
        <f t="shared" ref="Q426" si="619">+O426+P426</f>
        <v>9527</v>
      </c>
      <c r="R426" s="111">
        <v>2952</v>
      </c>
      <c r="S426" s="112">
        <f t="shared" ref="S426" si="620">+Q426+R426</f>
        <v>12479</v>
      </c>
      <c r="T426" s="111">
        <v>3219</v>
      </c>
      <c r="U426" s="112">
        <f t="shared" ref="U426" si="621">+S426+T426</f>
        <v>15698</v>
      </c>
      <c r="V426" s="111">
        <v>2711</v>
      </c>
      <c r="W426" s="112">
        <f t="shared" ref="W426" si="622">+U426+V426</f>
        <v>18409</v>
      </c>
      <c r="X426" s="111">
        <v>4591</v>
      </c>
      <c r="Y426" s="112">
        <f t="shared" ref="Y426" si="623">+W426+X426</f>
        <v>23000</v>
      </c>
      <c r="Z426" s="111">
        <v>2707</v>
      </c>
      <c r="AA426" s="112">
        <f t="shared" ref="AA426" si="624">+Y426+Z426</f>
        <v>25707</v>
      </c>
      <c r="AB426" s="111">
        <v>2381</v>
      </c>
      <c r="AC426" s="112">
        <f t="shared" ref="AC426" si="625">+AA426+AB426</f>
        <v>28088</v>
      </c>
      <c r="AD426" s="111">
        <v>4098</v>
      </c>
      <c r="AE426" s="112">
        <f t="shared" ref="AE426" si="626">+AC426+AD426</f>
        <v>32186</v>
      </c>
      <c r="AF426" s="111">
        <v>2548</v>
      </c>
      <c r="AG426" s="112">
        <f t="shared" ref="AG426" si="627">+AE426+AF426</f>
        <v>34734</v>
      </c>
      <c r="AH426" s="111">
        <v>2352</v>
      </c>
      <c r="AI426" s="112">
        <f>SUM(AG426:AH426)</f>
        <v>37086</v>
      </c>
      <c r="AJ426" s="69"/>
      <c r="AK426" s="167"/>
      <c r="AL426" s="327"/>
      <c r="AM426" s="158"/>
      <c r="AO426" s="115"/>
    </row>
    <row r="427" spans="1:41" ht="12.95" thickTop="1"/>
    <row r="428" spans="1:41" s="89" customFormat="1" ht="20.45" thickBot="1">
      <c r="A428" s="114" t="s">
        <v>128</v>
      </c>
      <c r="L428" s="90"/>
      <c r="M428" s="90"/>
      <c r="N428" s="90"/>
      <c r="O428" s="90"/>
      <c r="P428" s="90"/>
      <c r="Q428" s="90"/>
      <c r="R428" s="90"/>
      <c r="S428" s="90"/>
      <c r="T428" s="90"/>
      <c r="U428" s="90"/>
      <c r="V428" s="90"/>
      <c r="W428" s="90"/>
      <c r="X428" s="90"/>
      <c r="Y428" s="90"/>
      <c r="Z428" s="90"/>
      <c r="AA428" s="90"/>
      <c r="AB428" s="90"/>
      <c r="AC428" s="90"/>
      <c r="AD428" s="90"/>
      <c r="AE428" s="90"/>
      <c r="AF428" s="90"/>
      <c r="AG428" s="90"/>
      <c r="AH428" s="90"/>
      <c r="AI428" s="90"/>
      <c r="AJ428" s="90"/>
      <c r="AK428" s="90"/>
      <c r="AL428" s="90"/>
      <c r="AM428" s="90"/>
    </row>
    <row r="429" spans="1:41" s="94" customFormat="1" ht="22.9" customHeight="1" thickTop="1">
      <c r="A429" s="311" t="s">
        <v>10</v>
      </c>
      <c r="B429" s="311" t="s">
        <v>11</v>
      </c>
      <c r="C429" s="311" t="s">
        <v>12</v>
      </c>
      <c r="D429" s="241" t="s">
        <v>13</v>
      </c>
      <c r="E429" s="241" t="s">
        <v>14</v>
      </c>
      <c r="F429" s="241" t="s">
        <v>15</v>
      </c>
      <c r="G429" s="241" t="s">
        <v>16</v>
      </c>
      <c r="H429" s="241" t="s">
        <v>17</v>
      </c>
      <c r="I429" s="241" t="s">
        <v>118</v>
      </c>
      <c r="J429" s="241" t="s">
        <v>19</v>
      </c>
      <c r="K429" s="241" t="s">
        <v>20</v>
      </c>
      <c r="L429" s="241" t="s">
        <v>21</v>
      </c>
      <c r="M429" s="241" t="s">
        <v>22</v>
      </c>
      <c r="N429" s="241" t="s">
        <v>23</v>
      </c>
      <c r="O429" s="311" t="s">
        <v>24</v>
      </c>
      <c r="P429" s="241" t="s">
        <v>25</v>
      </c>
      <c r="Q429" s="241" t="s">
        <v>26</v>
      </c>
      <c r="R429" s="241" t="s">
        <v>27</v>
      </c>
      <c r="S429" s="241" t="s">
        <v>28</v>
      </c>
      <c r="T429" s="241" t="s">
        <v>29</v>
      </c>
      <c r="U429" s="311" t="s">
        <v>30</v>
      </c>
      <c r="V429" s="311" t="s">
        <v>31</v>
      </c>
      <c r="W429" s="241" t="s">
        <v>32</v>
      </c>
      <c r="X429" s="339" t="s">
        <v>33</v>
      </c>
      <c r="Y429" s="241" t="s">
        <v>34</v>
      </c>
      <c r="Z429" s="241" t="s">
        <v>35</v>
      </c>
      <c r="AA429" s="241" t="s">
        <v>36</v>
      </c>
      <c r="AB429" s="241" t="s">
        <v>37</v>
      </c>
      <c r="AC429" s="241" t="s">
        <v>38</v>
      </c>
      <c r="AD429" s="241" t="s">
        <v>39</v>
      </c>
      <c r="AE429" s="241" t="s">
        <v>40</v>
      </c>
      <c r="AF429" s="311" t="s">
        <v>41</v>
      </c>
      <c r="AG429" s="241" t="s">
        <v>42</v>
      </c>
      <c r="AH429" s="241" t="s">
        <v>43</v>
      </c>
      <c r="AI429" s="241" t="s">
        <v>143</v>
      </c>
      <c r="AJ429" s="241" t="s">
        <v>45</v>
      </c>
      <c r="AK429" s="241" t="s">
        <v>46</v>
      </c>
      <c r="AL429" s="241" t="s">
        <v>47</v>
      </c>
      <c r="AM429" s="241" t="s">
        <v>48</v>
      </c>
    </row>
    <row r="430" spans="1:41" s="94" customFormat="1" ht="22.9" customHeight="1" thickBot="1">
      <c r="A430" s="314"/>
      <c r="B430" s="314"/>
      <c r="C430" s="314"/>
      <c r="D430" s="242"/>
      <c r="E430" s="242"/>
      <c r="F430" s="242"/>
      <c r="G430" s="242"/>
      <c r="H430" s="242"/>
      <c r="I430" s="242"/>
      <c r="J430" s="242"/>
      <c r="K430" s="242"/>
      <c r="L430" s="313"/>
      <c r="M430" s="242"/>
      <c r="N430" s="242"/>
      <c r="O430" s="314"/>
      <c r="P430" s="242"/>
      <c r="Q430" s="242"/>
      <c r="R430" s="242"/>
      <c r="S430" s="310"/>
      <c r="T430" s="242"/>
      <c r="U430" s="312"/>
      <c r="V430" s="312"/>
      <c r="W430" s="310"/>
      <c r="X430" s="340"/>
      <c r="Y430" s="242"/>
      <c r="Z430" s="310"/>
      <c r="AA430" s="310"/>
      <c r="AB430" s="310"/>
      <c r="AC430" s="310"/>
      <c r="AD430" s="310"/>
      <c r="AE430" s="310"/>
      <c r="AF430" s="312"/>
      <c r="AG430" s="310"/>
      <c r="AH430" s="242"/>
      <c r="AI430" s="242">
        <v>2018</v>
      </c>
      <c r="AJ430" s="242"/>
      <c r="AK430" s="328"/>
      <c r="AL430" s="242"/>
      <c r="AM430" s="242"/>
    </row>
    <row r="431" spans="1:41" s="94" customFormat="1" ht="22.9" customHeight="1" thickTop="1">
      <c r="A431" s="329" t="s">
        <v>189</v>
      </c>
      <c r="B431" s="332" t="s">
        <v>64</v>
      </c>
      <c r="C431" s="335" t="s">
        <v>121</v>
      </c>
      <c r="D431" s="338" t="s">
        <v>122</v>
      </c>
      <c r="E431" s="338" t="s">
        <v>190</v>
      </c>
      <c r="F431" s="344" t="s">
        <v>191</v>
      </c>
      <c r="G431" s="344" t="s">
        <v>192</v>
      </c>
      <c r="H431" s="344" t="s">
        <v>191</v>
      </c>
      <c r="I431" s="348">
        <f>+L432</f>
        <v>0.96597467136902848</v>
      </c>
      <c r="J431" s="351">
        <v>0.1</v>
      </c>
      <c r="K431" s="315" t="s">
        <v>124</v>
      </c>
      <c r="L431" s="95" t="s">
        <v>57</v>
      </c>
      <c r="M431" s="96" t="s">
        <v>57</v>
      </c>
      <c r="N431" s="96" t="s">
        <v>57</v>
      </c>
      <c r="O431" s="97" t="s">
        <v>57</v>
      </c>
      <c r="P431" s="96" t="s">
        <v>57</v>
      </c>
      <c r="Q431" s="98" t="s">
        <v>57</v>
      </c>
      <c r="R431" s="96" t="s">
        <v>57</v>
      </c>
      <c r="S431" s="98" t="s">
        <v>57</v>
      </c>
      <c r="T431" s="96" t="s">
        <v>57</v>
      </c>
      <c r="U431" s="98" t="s">
        <v>57</v>
      </c>
      <c r="V431" s="96" t="s">
        <v>57</v>
      </c>
      <c r="W431" s="98" t="s">
        <v>57</v>
      </c>
      <c r="X431" s="96" t="s">
        <v>57</v>
      </c>
      <c r="Y431" s="98" t="s">
        <v>57</v>
      </c>
      <c r="Z431" s="96" t="s">
        <v>57</v>
      </c>
      <c r="AA431" s="98" t="s">
        <v>57</v>
      </c>
      <c r="AB431" s="96" t="s">
        <v>57</v>
      </c>
      <c r="AC431" s="98" t="s">
        <v>57</v>
      </c>
      <c r="AD431" s="96" t="s">
        <v>57</v>
      </c>
      <c r="AE431" s="98" t="s">
        <v>57</v>
      </c>
      <c r="AF431" s="96" t="s">
        <v>57</v>
      </c>
      <c r="AG431" s="98" t="s">
        <v>57</v>
      </c>
      <c r="AH431" s="96" t="s">
        <v>57</v>
      </c>
      <c r="AI431" s="98" t="s">
        <v>57</v>
      </c>
      <c r="AJ431" s="67"/>
      <c r="AK431" s="165" t="s">
        <v>72</v>
      </c>
      <c r="AL431" s="325"/>
      <c r="AM431" s="156" t="s">
        <v>125</v>
      </c>
    </row>
    <row r="432" spans="1:41" s="94" customFormat="1" ht="22.9" customHeight="1">
      <c r="A432" s="330"/>
      <c r="B432" s="333"/>
      <c r="C432" s="336"/>
      <c r="D432" s="465"/>
      <c r="E432" s="341"/>
      <c r="F432" s="345"/>
      <c r="G432" s="345"/>
      <c r="H432" s="345"/>
      <c r="I432" s="349"/>
      <c r="J432" s="352"/>
      <c r="K432" s="316"/>
      <c r="L432" s="41">
        <f>IF(L434&lt;&gt;0,+L434/L436,0%)</f>
        <v>0.96597467136902848</v>
      </c>
      <c r="M432" s="58">
        <f>IF(M434&lt;&gt;0,+M434/M436,0%)</f>
        <v>0.97034911525585843</v>
      </c>
      <c r="N432" s="61">
        <f>IF(N434&lt;&gt;0,+N434/N436,0%)</f>
        <v>0.97152068780225687</v>
      </c>
      <c r="O432" s="57">
        <f t="shared" ref="O432" si="628">IF(O434&lt;&gt;0,+O434/O436,0%)</f>
        <v>0.9709008097165992</v>
      </c>
      <c r="P432" s="61">
        <f>IF(P434&lt;&gt;0,ROUND(+P434/P436,4),0%)</f>
        <v>0.9728</v>
      </c>
      <c r="Q432" s="62">
        <f t="shared" ref="Q432" si="629">IF(Q434&lt;&gt;0,+Q434/Q436,0%)</f>
        <v>0.97156008548413608</v>
      </c>
      <c r="R432" s="63">
        <f>IF(R434&lt;&gt;0,ROUND(+R434/R436,4),0%)</f>
        <v>0.9708</v>
      </c>
      <c r="S432" s="62">
        <f t="shared" ref="S432" si="630">IF(S434&lt;&gt;0,+S434/S436,0%)</f>
        <v>0.97137240447229389</v>
      </c>
      <c r="T432" s="63">
        <f>IF(T434&lt;&gt;0,ROUND(+T434/T436,4),0%)</f>
        <v>0.9667</v>
      </c>
      <c r="U432" s="62">
        <f t="shared" ref="U432" si="631">IF(U434&lt;&gt;0,+U434/U436,0%)</f>
        <v>0.97034548944337817</v>
      </c>
      <c r="V432" s="63">
        <f>IF(V434&lt;&gt;0,ROUND(+V434/V436,4),0%)</f>
        <v>0.97230000000000005</v>
      </c>
      <c r="W432" s="62">
        <f t="shared" ref="W432" si="632">IF(W434&lt;&gt;0,+W434/W436,0%)</f>
        <v>0.9706453178068899</v>
      </c>
      <c r="X432" s="63">
        <f>IF(X434&lt;&gt;0,ROUND(+X434/X436,4),0%)</f>
        <v>0.95389999999999997</v>
      </c>
      <c r="Y432" s="62">
        <f t="shared" ref="Y432" si="633">IF(Y434&lt;&gt;0,+Y434/Y436,0%)</f>
        <v>0.96725116039195458</v>
      </c>
      <c r="Z432" s="64">
        <f>IF(Z434&lt;&gt;0,ROUND(+Z434/Z436,4),0%)</f>
        <v>0.96689999999999998</v>
      </c>
      <c r="AA432" s="62">
        <f t="shared" ref="AA432" si="634">IF(AA434&lt;&gt;0,+AA434/AA436,0%)</f>
        <v>0.96721311475409832</v>
      </c>
      <c r="AB432" s="63">
        <f>IF(AB434&lt;&gt;0,ROUND(+AB434/AB436,4),0%)</f>
        <v>0.94610000000000005</v>
      </c>
      <c r="AC432" s="62">
        <f t="shared" ref="AC432" si="635">IF(AC434&lt;&gt;0,+AC434/AC436,0%)</f>
        <v>0.96531974147443644</v>
      </c>
      <c r="AD432" s="63">
        <f>IF(AD434&lt;&gt;0,ROUND(+AD434/AD436,4),0%)</f>
        <v>0.96350000000000002</v>
      </c>
      <c r="AE432" s="62">
        <f t="shared" ref="AE432" si="636">IF(AE434&lt;&gt;0,+AE434/AE436,0%)</f>
        <v>0.96509372979961217</v>
      </c>
      <c r="AF432" s="63">
        <f>IF(AF434&lt;&gt;0,ROUND(+AF434/AF436,4),0%)</f>
        <v>0.96860000000000002</v>
      </c>
      <c r="AG432" s="62">
        <f t="shared" ref="AG432" si="637">IF(AG434&lt;&gt;0,+AG434/AG436,0%)</f>
        <v>0.96535836177474399</v>
      </c>
      <c r="AH432" s="63">
        <f>IF(AH434&lt;&gt;0,ROUND(+AH434/AH436,4),0%)</f>
        <v>0.97550000000000003</v>
      </c>
      <c r="AI432" s="62">
        <f>IF(AI434&lt;&gt;0,+AI434/AI436,0%)</f>
        <v>0.96597467136902848</v>
      </c>
      <c r="AJ432" s="68"/>
      <c r="AK432" s="166"/>
      <c r="AL432" s="326"/>
      <c r="AM432" s="157"/>
    </row>
    <row r="433" spans="1:39" s="94" customFormat="1" ht="22.9" customHeight="1" thickBot="1">
      <c r="A433" s="330"/>
      <c r="B433" s="333"/>
      <c r="C433" s="336"/>
      <c r="D433" s="465"/>
      <c r="E433" s="341"/>
      <c r="F433" s="345"/>
      <c r="G433" s="345"/>
      <c r="H433" s="345"/>
      <c r="I433" s="349"/>
      <c r="J433" s="352"/>
      <c r="K433" s="317"/>
      <c r="L433" s="99"/>
      <c r="M433" s="101" t="s">
        <v>60</v>
      </c>
      <c r="N433" s="101" t="s">
        <v>60</v>
      </c>
      <c r="O433" s="102" t="s">
        <v>60</v>
      </c>
      <c r="P433" s="101" t="s">
        <v>60</v>
      </c>
      <c r="Q433" s="103" t="s">
        <v>60</v>
      </c>
      <c r="R433" s="101" t="s">
        <v>60</v>
      </c>
      <c r="S433" s="103" t="s">
        <v>60</v>
      </c>
      <c r="T433" s="101" t="s">
        <v>60</v>
      </c>
      <c r="U433" s="103" t="s">
        <v>60</v>
      </c>
      <c r="V433" s="101" t="s">
        <v>60</v>
      </c>
      <c r="W433" s="103" t="s">
        <v>60</v>
      </c>
      <c r="X433" s="101" t="s">
        <v>60</v>
      </c>
      <c r="Y433" s="103" t="s">
        <v>60</v>
      </c>
      <c r="Z433" s="101" t="s">
        <v>60</v>
      </c>
      <c r="AA433" s="103" t="s">
        <v>60</v>
      </c>
      <c r="AB433" s="101" t="s">
        <v>60</v>
      </c>
      <c r="AC433" s="103" t="s">
        <v>60</v>
      </c>
      <c r="AD433" s="101" t="s">
        <v>60</v>
      </c>
      <c r="AE433" s="103" t="s">
        <v>60</v>
      </c>
      <c r="AF433" s="101" t="s">
        <v>60</v>
      </c>
      <c r="AG433" s="103" t="s">
        <v>60</v>
      </c>
      <c r="AH433" s="101" t="s">
        <v>60</v>
      </c>
      <c r="AI433" s="103" t="s">
        <v>60</v>
      </c>
      <c r="AJ433" s="68"/>
      <c r="AK433" s="166"/>
      <c r="AL433" s="326"/>
      <c r="AM433" s="157"/>
    </row>
    <row r="434" spans="1:39" s="94" customFormat="1" ht="22.9" customHeight="1" thickTop="1">
      <c r="A434" s="330"/>
      <c r="B434" s="333"/>
      <c r="C434" s="336"/>
      <c r="D434" s="465"/>
      <c r="E434" s="341"/>
      <c r="F434" s="345"/>
      <c r="G434" s="345"/>
      <c r="H434" s="345"/>
      <c r="I434" s="349"/>
      <c r="J434" s="352"/>
      <c r="K434" s="316" t="s">
        <v>74</v>
      </c>
      <c r="L434" s="104">
        <v>24103</v>
      </c>
      <c r="M434" s="105">
        <v>2029</v>
      </c>
      <c r="N434" s="105">
        <v>1808</v>
      </c>
      <c r="O434" s="106">
        <f>+M434+N434</f>
        <v>3837</v>
      </c>
      <c r="P434" s="105">
        <v>2073</v>
      </c>
      <c r="Q434" s="106">
        <f>+O434+P434</f>
        <v>5910</v>
      </c>
      <c r="R434" s="105">
        <v>1996</v>
      </c>
      <c r="S434" s="106">
        <f>+Q434+R434</f>
        <v>7906</v>
      </c>
      <c r="T434" s="105">
        <v>2205</v>
      </c>
      <c r="U434" s="106">
        <f>+S434+T434</f>
        <v>10111</v>
      </c>
      <c r="V434" s="105">
        <v>1892</v>
      </c>
      <c r="W434" s="106">
        <f>+U434+V434</f>
        <v>12003</v>
      </c>
      <c r="X434" s="105">
        <v>3001</v>
      </c>
      <c r="Y434" s="106">
        <f>+W434+X434</f>
        <v>15004</v>
      </c>
      <c r="Z434" s="105">
        <v>1752</v>
      </c>
      <c r="AA434" s="106">
        <f>+Y434+Z434</f>
        <v>16756</v>
      </c>
      <c r="AB434" s="105">
        <v>1615</v>
      </c>
      <c r="AC434" s="106">
        <f>+AA434+AB434</f>
        <v>18371</v>
      </c>
      <c r="AD434" s="105">
        <v>2531</v>
      </c>
      <c r="AE434" s="106">
        <f>+AC434+AD434</f>
        <v>20902</v>
      </c>
      <c r="AF434" s="105">
        <v>1726</v>
      </c>
      <c r="AG434" s="106">
        <f>+AE434+AF434</f>
        <v>22628</v>
      </c>
      <c r="AH434" s="105">
        <v>1475</v>
      </c>
      <c r="AI434" s="106">
        <f>SUM(AG434:AH434)</f>
        <v>24103</v>
      </c>
      <c r="AJ434" s="29">
        <f>+AI432/L432</f>
        <v>1</v>
      </c>
      <c r="AK434" s="166"/>
      <c r="AL434" s="326"/>
      <c r="AM434" s="157"/>
    </row>
    <row r="435" spans="1:39" s="94" customFormat="1" ht="22.9" customHeight="1">
      <c r="A435" s="330"/>
      <c r="B435" s="333"/>
      <c r="C435" s="336"/>
      <c r="D435" s="465"/>
      <c r="E435" s="341"/>
      <c r="F435" s="345"/>
      <c r="G435" s="345"/>
      <c r="H435" s="345"/>
      <c r="I435" s="349"/>
      <c r="J435" s="352"/>
      <c r="K435" s="347"/>
      <c r="L435" s="99" t="s">
        <v>126</v>
      </c>
      <c r="M435" s="107" t="s">
        <v>62</v>
      </c>
      <c r="N435" s="107" t="s">
        <v>62</v>
      </c>
      <c r="O435" s="108" t="s">
        <v>62</v>
      </c>
      <c r="P435" s="107" t="s">
        <v>62</v>
      </c>
      <c r="Q435" s="109" t="s">
        <v>62</v>
      </c>
      <c r="R435" s="107"/>
      <c r="S435" s="109" t="s">
        <v>62</v>
      </c>
      <c r="T435" s="107" t="s">
        <v>62</v>
      </c>
      <c r="U435" s="109" t="s">
        <v>62</v>
      </c>
      <c r="V435" s="107" t="s">
        <v>62</v>
      </c>
      <c r="W435" s="109" t="s">
        <v>62</v>
      </c>
      <c r="X435" s="107" t="s">
        <v>62</v>
      </c>
      <c r="Y435" s="109" t="s">
        <v>62</v>
      </c>
      <c r="Z435" s="107" t="s">
        <v>62</v>
      </c>
      <c r="AA435" s="109" t="s">
        <v>62</v>
      </c>
      <c r="AB435" s="107" t="s">
        <v>62</v>
      </c>
      <c r="AC435" s="109" t="s">
        <v>62</v>
      </c>
      <c r="AD435" s="107" t="s">
        <v>62</v>
      </c>
      <c r="AE435" s="109" t="s">
        <v>62</v>
      </c>
      <c r="AF435" s="107" t="s">
        <v>62</v>
      </c>
      <c r="AG435" s="109" t="s">
        <v>62</v>
      </c>
      <c r="AH435" s="107" t="s">
        <v>62</v>
      </c>
      <c r="AI435" s="108" t="s">
        <v>62</v>
      </c>
      <c r="AJ435" s="68"/>
      <c r="AK435" s="166"/>
      <c r="AL435" s="326"/>
      <c r="AM435" s="157"/>
    </row>
    <row r="436" spans="1:39" s="94" customFormat="1" ht="22.9" customHeight="1" thickBot="1">
      <c r="A436" s="331"/>
      <c r="B436" s="334"/>
      <c r="C436" s="337"/>
      <c r="D436" s="466"/>
      <c r="E436" s="342"/>
      <c r="F436" s="346"/>
      <c r="G436" s="346"/>
      <c r="H436" s="346"/>
      <c r="I436" s="350"/>
      <c r="J436" s="353"/>
      <c r="K436" s="317"/>
      <c r="L436" s="110">
        <v>24952</v>
      </c>
      <c r="M436" s="111">
        <v>2091</v>
      </c>
      <c r="N436" s="111">
        <v>1861</v>
      </c>
      <c r="O436" s="112">
        <f t="shared" ref="O436" si="638">+M436+N436</f>
        <v>3952</v>
      </c>
      <c r="P436" s="111">
        <v>2131</v>
      </c>
      <c r="Q436" s="112">
        <f t="shared" ref="Q436" si="639">+O436+P436</f>
        <v>6083</v>
      </c>
      <c r="R436" s="111">
        <v>2056</v>
      </c>
      <c r="S436" s="112">
        <f t="shared" ref="S436" si="640">+Q436+R436</f>
        <v>8139</v>
      </c>
      <c r="T436" s="111">
        <v>2281</v>
      </c>
      <c r="U436" s="112">
        <f t="shared" ref="U436" si="641">+S436+T436</f>
        <v>10420</v>
      </c>
      <c r="V436" s="111">
        <v>1946</v>
      </c>
      <c r="W436" s="112">
        <f t="shared" ref="W436" si="642">+U436+V436</f>
        <v>12366</v>
      </c>
      <c r="X436" s="111">
        <v>3146</v>
      </c>
      <c r="Y436" s="112">
        <f t="shared" ref="Y436" si="643">+W436+X436</f>
        <v>15512</v>
      </c>
      <c r="Z436" s="111">
        <v>1812</v>
      </c>
      <c r="AA436" s="112">
        <f t="shared" ref="AA436" si="644">+Y436+Z436</f>
        <v>17324</v>
      </c>
      <c r="AB436" s="111">
        <v>1707</v>
      </c>
      <c r="AC436" s="112">
        <f t="shared" ref="AC436" si="645">+AA436+AB436</f>
        <v>19031</v>
      </c>
      <c r="AD436" s="111">
        <v>2627</v>
      </c>
      <c r="AE436" s="112">
        <f t="shared" ref="AE436" si="646">+AC436+AD436</f>
        <v>21658</v>
      </c>
      <c r="AF436" s="111">
        <v>1782</v>
      </c>
      <c r="AG436" s="112">
        <f t="shared" ref="AG436" si="647">+AE436+AF436</f>
        <v>23440</v>
      </c>
      <c r="AH436" s="111">
        <v>1512</v>
      </c>
      <c r="AI436" s="112">
        <f>SUM(AG436:AH436)</f>
        <v>24952</v>
      </c>
      <c r="AJ436" s="69"/>
      <c r="AK436" s="167"/>
      <c r="AL436" s="327"/>
      <c r="AM436" s="158"/>
    </row>
    <row r="437" spans="1:39" ht="12.95" thickTop="1"/>
    <row r="440" spans="1:39" s="90" customFormat="1" ht="15.6">
      <c r="C440" s="343" t="s">
        <v>193</v>
      </c>
      <c r="D440" s="343"/>
      <c r="E440" s="343"/>
      <c r="F440" s="343"/>
      <c r="G440" s="343"/>
      <c r="H440" s="343"/>
      <c r="I440" s="343"/>
      <c r="J440" s="343"/>
      <c r="K440" s="343"/>
      <c r="L440" s="133"/>
      <c r="M440" s="133"/>
      <c r="N440" s="133"/>
      <c r="O440" s="133"/>
      <c r="P440" s="133"/>
      <c r="Q440" s="133"/>
    </row>
    <row r="441" spans="1:39" s="90" customFormat="1" ht="13.5" thickBot="1">
      <c r="D441" s="133"/>
      <c r="E441" s="133"/>
      <c r="F441" s="133"/>
      <c r="G441" s="133"/>
      <c r="H441" s="133"/>
      <c r="I441" s="133"/>
      <c r="J441" s="133"/>
      <c r="K441" s="133"/>
      <c r="L441" s="133"/>
    </row>
    <row r="442" spans="1:39" s="94" customFormat="1" ht="22.9" customHeight="1" thickTop="1">
      <c r="A442" s="311" t="s">
        <v>10</v>
      </c>
      <c r="B442" s="311" t="s">
        <v>11</v>
      </c>
      <c r="C442" s="311" t="s">
        <v>12</v>
      </c>
      <c r="D442" s="241" t="s">
        <v>13</v>
      </c>
      <c r="E442" s="241" t="s">
        <v>14</v>
      </c>
      <c r="F442" s="241" t="s">
        <v>15</v>
      </c>
      <c r="G442" s="241" t="s">
        <v>16</v>
      </c>
      <c r="H442" s="241" t="s">
        <v>17</v>
      </c>
      <c r="I442" s="241" t="s">
        <v>118</v>
      </c>
      <c r="J442" s="241" t="s">
        <v>19</v>
      </c>
      <c r="K442" s="241" t="s">
        <v>20</v>
      </c>
      <c r="L442" s="241" t="s">
        <v>21</v>
      </c>
      <c r="M442" s="241" t="s">
        <v>22</v>
      </c>
      <c r="N442" s="241" t="s">
        <v>23</v>
      </c>
      <c r="O442" s="311" t="s">
        <v>24</v>
      </c>
      <c r="P442" s="241" t="s">
        <v>25</v>
      </c>
      <c r="Q442" s="241" t="s">
        <v>26</v>
      </c>
      <c r="R442" s="241" t="s">
        <v>27</v>
      </c>
      <c r="S442" s="241" t="s">
        <v>28</v>
      </c>
      <c r="T442" s="241" t="s">
        <v>29</v>
      </c>
      <c r="U442" s="311" t="s">
        <v>30</v>
      </c>
      <c r="V442" s="311" t="s">
        <v>31</v>
      </c>
      <c r="W442" s="241" t="s">
        <v>32</v>
      </c>
      <c r="X442" s="339" t="s">
        <v>33</v>
      </c>
      <c r="Y442" s="241" t="s">
        <v>34</v>
      </c>
      <c r="Z442" s="241" t="s">
        <v>35</v>
      </c>
      <c r="AA442" s="241" t="s">
        <v>36</v>
      </c>
      <c r="AB442" s="241" t="s">
        <v>37</v>
      </c>
      <c r="AC442" s="241" t="s">
        <v>38</v>
      </c>
      <c r="AD442" s="241" t="s">
        <v>39</v>
      </c>
      <c r="AE442" s="241" t="s">
        <v>40</v>
      </c>
      <c r="AF442" s="311" t="s">
        <v>41</v>
      </c>
      <c r="AG442" s="241" t="s">
        <v>42</v>
      </c>
      <c r="AH442" s="241" t="s">
        <v>43</v>
      </c>
      <c r="AI442" s="241" t="s">
        <v>143</v>
      </c>
      <c r="AJ442" s="241" t="s">
        <v>45</v>
      </c>
      <c r="AK442" s="241" t="s">
        <v>46</v>
      </c>
      <c r="AL442" s="241" t="s">
        <v>47</v>
      </c>
      <c r="AM442" s="241" t="s">
        <v>48</v>
      </c>
    </row>
    <row r="443" spans="1:39" s="94" customFormat="1" ht="22.9" customHeight="1" thickBot="1">
      <c r="A443" s="314"/>
      <c r="B443" s="314"/>
      <c r="C443" s="314"/>
      <c r="D443" s="242"/>
      <c r="E443" s="242"/>
      <c r="F443" s="242"/>
      <c r="G443" s="242"/>
      <c r="H443" s="242"/>
      <c r="I443" s="242"/>
      <c r="J443" s="242"/>
      <c r="K443" s="242"/>
      <c r="L443" s="313"/>
      <c r="M443" s="242"/>
      <c r="N443" s="242"/>
      <c r="O443" s="314"/>
      <c r="P443" s="242"/>
      <c r="Q443" s="242"/>
      <c r="R443" s="242"/>
      <c r="S443" s="310"/>
      <c r="T443" s="242"/>
      <c r="U443" s="312"/>
      <c r="V443" s="312"/>
      <c r="W443" s="310"/>
      <c r="X443" s="340"/>
      <c r="Y443" s="242"/>
      <c r="Z443" s="310"/>
      <c r="AA443" s="310"/>
      <c r="AB443" s="310"/>
      <c r="AC443" s="310"/>
      <c r="AD443" s="310"/>
      <c r="AE443" s="310"/>
      <c r="AF443" s="312"/>
      <c r="AG443" s="310"/>
      <c r="AH443" s="242"/>
      <c r="AI443" s="242">
        <v>2018</v>
      </c>
      <c r="AJ443" s="242"/>
      <c r="AK443" s="328"/>
      <c r="AL443" s="242"/>
      <c r="AM443" s="242"/>
    </row>
    <row r="444" spans="1:39" s="94" customFormat="1" ht="22.9" customHeight="1" thickTop="1">
      <c r="A444" s="329" t="s">
        <v>194</v>
      </c>
      <c r="B444" s="332" t="s">
        <v>64</v>
      </c>
      <c r="C444" s="335" t="s">
        <v>161</v>
      </c>
      <c r="D444" s="338" t="s">
        <v>122</v>
      </c>
      <c r="E444" s="338" t="s">
        <v>195</v>
      </c>
      <c r="F444" s="344" t="s">
        <v>196</v>
      </c>
      <c r="G444" s="344" t="s">
        <v>197</v>
      </c>
      <c r="H444" s="344" t="s">
        <v>196</v>
      </c>
      <c r="I444" s="348">
        <f>+L445</f>
        <v>0.97380273270276163</v>
      </c>
      <c r="J444" s="351">
        <v>0.1</v>
      </c>
      <c r="K444" s="315" t="s">
        <v>124</v>
      </c>
      <c r="L444" s="96" t="s">
        <v>57</v>
      </c>
      <c r="M444" s="96" t="s">
        <v>57</v>
      </c>
      <c r="N444" s="96" t="s">
        <v>57</v>
      </c>
      <c r="O444" s="97" t="s">
        <v>57</v>
      </c>
      <c r="P444" s="96" t="s">
        <v>57</v>
      </c>
      <c r="Q444" s="98" t="s">
        <v>57</v>
      </c>
      <c r="R444" s="96" t="s">
        <v>57</v>
      </c>
      <c r="S444" s="98" t="s">
        <v>57</v>
      </c>
      <c r="T444" s="96" t="s">
        <v>57</v>
      </c>
      <c r="U444" s="98" t="s">
        <v>57</v>
      </c>
      <c r="V444" s="96" t="s">
        <v>57</v>
      </c>
      <c r="W444" s="98" t="s">
        <v>57</v>
      </c>
      <c r="X444" s="96" t="s">
        <v>57</v>
      </c>
      <c r="Y444" s="98" t="s">
        <v>57</v>
      </c>
      <c r="Z444" s="96" t="s">
        <v>57</v>
      </c>
      <c r="AA444" s="98" t="s">
        <v>57</v>
      </c>
      <c r="AB444" s="96" t="s">
        <v>57</v>
      </c>
      <c r="AC444" s="98" t="s">
        <v>57</v>
      </c>
      <c r="AD444" s="96" t="s">
        <v>57</v>
      </c>
      <c r="AE444" s="98" t="s">
        <v>57</v>
      </c>
      <c r="AF444" s="96" t="s">
        <v>57</v>
      </c>
      <c r="AG444" s="98" t="s">
        <v>57</v>
      </c>
      <c r="AH444" s="96" t="s">
        <v>57</v>
      </c>
      <c r="AI444" s="98" t="s">
        <v>57</v>
      </c>
      <c r="AJ444" s="76"/>
      <c r="AK444" s="165" t="s">
        <v>72</v>
      </c>
      <c r="AL444" s="325"/>
      <c r="AM444" s="156" t="s">
        <v>125</v>
      </c>
    </row>
    <row r="445" spans="1:39" s="94" customFormat="1" ht="22.9" customHeight="1">
      <c r="A445" s="330"/>
      <c r="B445" s="333"/>
      <c r="C445" s="336"/>
      <c r="D445" s="465"/>
      <c r="E445" s="341"/>
      <c r="F445" s="345"/>
      <c r="G445" s="345"/>
      <c r="H445" s="345"/>
      <c r="I445" s="349"/>
      <c r="J445" s="352"/>
      <c r="K445" s="316"/>
      <c r="L445" s="41">
        <f>IF(L447&lt;&gt;0,+L447/L449,0%)</f>
        <v>0.97380273270276163</v>
      </c>
      <c r="M445" s="58">
        <f>IF(M447&lt;&gt;0,+M447/M449,0%)</f>
        <v>0.97690974371672645</v>
      </c>
      <c r="N445" s="61">
        <f>IF(N447&lt;&gt;0,+N447/N449,0%)</f>
        <v>0.97987317342156055</v>
      </c>
      <c r="O445" s="57">
        <f t="shared" ref="O445" si="648">IF(O447&lt;&gt;0,+O447/O449,0%)</f>
        <v>0.97831191703085252</v>
      </c>
      <c r="P445" s="61">
        <f>IF(P447&lt;&gt;0,ROUND(+P447/P449,4),0%)</f>
        <v>0.98089999999999999</v>
      </c>
      <c r="Q445" s="62">
        <f t="shared" ref="Q445" si="649">IF(Q447&lt;&gt;0,+Q447/Q449,0%)</f>
        <v>0.97924674942760515</v>
      </c>
      <c r="R445" s="63">
        <f>IF(R447&lt;&gt;0,ROUND(+R447/R449,4),0%)</f>
        <v>0.97989999999999999</v>
      </c>
      <c r="S445" s="62">
        <f t="shared" ref="S445" si="650">IF(S447&lt;&gt;0,+S447/S449,0%)</f>
        <v>0.97940290504203009</v>
      </c>
      <c r="T445" s="63">
        <f>IF(T447&lt;&gt;0,ROUND(+T447/T449,4),0%)</f>
        <v>0.9768</v>
      </c>
      <c r="U445" s="62">
        <f t="shared" ref="U445" si="651">IF(U447&lt;&gt;0,+U447/U449,0%)</f>
        <v>0.97885470212818793</v>
      </c>
      <c r="V445" s="63">
        <f>IF(V447&lt;&gt;0,ROUND(+V447/V449,4),0%)</f>
        <v>0.97799999999999998</v>
      </c>
      <c r="W445" s="62">
        <f t="shared" ref="W445" si="652">IF(W447&lt;&gt;0,+W447/W449,0%)</f>
        <v>0.97872071464689026</v>
      </c>
      <c r="X445" s="63">
        <f>IF(X447&lt;&gt;0,ROUND(+X447/X449,4),0%)</f>
        <v>0.95369999999999999</v>
      </c>
      <c r="Y445" s="62">
        <f t="shared" ref="Y445" si="653">IF(Y447&lt;&gt;0,+Y447/Y449,0%)</f>
        <v>0.97354435456915567</v>
      </c>
      <c r="Z445" s="64">
        <f>IF(Z447&lt;&gt;0,ROUND(+Z447/Z449,4),0%)</f>
        <v>0.98470000000000002</v>
      </c>
      <c r="AA445" s="62">
        <f t="shared" ref="AA445" si="654">IF(AA447&lt;&gt;0,+AA447/AA449,0%)</f>
        <v>0.97485009624816543</v>
      </c>
      <c r="AB445" s="63">
        <f>IF(AB447&lt;&gt;0,ROUND(+AB447/AB449,4),0%)</f>
        <v>0.97870000000000001</v>
      </c>
      <c r="AC445" s="62">
        <f t="shared" ref="AC445" si="655">IF(AC447&lt;&gt;0,+AC447/AC449,0%)</f>
        <v>0.97518065142364108</v>
      </c>
      <c r="AD445" s="63">
        <f>IF(AD447&lt;&gt;0,ROUND(+AD447/AD449,4),0%)</f>
        <v>0.96189999999999998</v>
      </c>
      <c r="AE445" s="62">
        <f t="shared" ref="AE445" si="656">IF(AE447&lt;&gt;0,+AE447/AE449,0%)</f>
        <v>0.97349508219879566</v>
      </c>
      <c r="AF445" s="63">
        <f>IF(AF447&lt;&gt;0,ROUND(+AF447/AF449,4),0%)</f>
        <v>0.9778</v>
      </c>
      <c r="AG445" s="62">
        <f t="shared" ref="AG445" si="657">IF(AG447&lt;&gt;0,+AG447/AG449,0%)</f>
        <v>0.9738320392139852</v>
      </c>
      <c r="AH445" s="63">
        <f>IF(AH447&lt;&gt;0,ROUND(+AH447/AH449,4),0%)</f>
        <v>0.97340000000000004</v>
      </c>
      <c r="AI445" s="62">
        <f>IF(AI447&lt;&gt;0,+AI447/AI449,0%)</f>
        <v>0.97380273270276163</v>
      </c>
      <c r="AJ445" s="29"/>
      <c r="AK445" s="166"/>
      <c r="AL445" s="326"/>
      <c r="AM445" s="157"/>
    </row>
    <row r="446" spans="1:39" s="94" customFormat="1" ht="22.9" customHeight="1" thickBot="1">
      <c r="A446" s="330"/>
      <c r="B446" s="333"/>
      <c r="C446" s="336"/>
      <c r="D446" s="465"/>
      <c r="E446" s="341"/>
      <c r="F446" s="345"/>
      <c r="G446" s="345"/>
      <c r="H446" s="345"/>
      <c r="I446" s="349"/>
      <c r="J446" s="352"/>
      <c r="K446" s="317"/>
      <c r="L446" s="101" t="s">
        <v>60</v>
      </c>
      <c r="M446" s="101" t="s">
        <v>60</v>
      </c>
      <c r="N446" s="101" t="s">
        <v>60</v>
      </c>
      <c r="O446" s="102" t="s">
        <v>60</v>
      </c>
      <c r="P446" s="101" t="s">
        <v>60</v>
      </c>
      <c r="Q446" s="103" t="s">
        <v>60</v>
      </c>
      <c r="R446" s="101" t="s">
        <v>60</v>
      </c>
      <c r="S446" s="103" t="s">
        <v>60</v>
      </c>
      <c r="T446" s="101" t="s">
        <v>60</v>
      </c>
      <c r="U446" s="103" t="s">
        <v>60</v>
      </c>
      <c r="V446" s="101" t="s">
        <v>60</v>
      </c>
      <c r="W446" s="103" t="s">
        <v>60</v>
      </c>
      <c r="X446" s="101" t="s">
        <v>60</v>
      </c>
      <c r="Y446" s="103" t="s">
        <v>60</v>
      </c>
      <c r="Z446" s="101" t="s">
        <v>60</v>
      </c>
      <c r="AA446" s="103" t="s">
        <v>60</v>
      </c>
      <c r="AB446" s="101" t="s">
        <v>60</v>
      </c>
      <c r="AC446" s="103" t="s">
        <v>60</v>
      </c>
      <c r="AD446" s="101" t="s">
        <v>60</v>
      </c>
      <c r="AE446" s="103" t="s">
        <v>60</v>
      </c>
      <c r="AF446" s="101" t="s">
        <v>60</v>
      </c>
      <c r="AG446" s="103" t="s">
        <v>60</v>
      </c>
      <c r="AH446" s="101" t="s">
        <v>60</v>
      </c>
      <c r="AI446" s="103" t="s">
        <v>60</v>
      </c>
      <c r="AJ446" s="29"/>
      <c r="AK446" s="166"/>
      <c r="AL446" s="326"/>
      <c r="AM446" s="157"/>
    </row>
    <row r="447" spans="1:39" s="94" customFormat="1" ht="22.9" customHeight="1" thickTop="1">
      <c r="A447" s="330"/>
      <c r="B447" s="333"/>
      <c r="C447" s="336"/>
      <c r="D447" s="465"/>
      <c r="E447" s="341"/>
      <c r="F447" s="345"/>
      <c r="G447" s="345"/>
      <c r="H447" s="345"/>
      <c r="I447" s="349"/>
      <c r="J447" s="352"/>
      <c r="K447" s="316" t="s">
        <v>74</v>
      </c>
      <c r="L447" s="104">
        <v>192216</v>
      </c>
      <c r="M447" s="105">
        <v>15781</v>
      </c>
      <c r="N447" s="105">
        <v>14216</v>
      </c>
      <c r="O447" s="106">
        <f>+M447+N447</f>
        <v>29997</v>
      </c>
      <c r="P447" s="105">
        <v>16622</v>
      </c>
      <c r="Q447" s="106">
        <f>+O447+P447</f>
        <v>46619</v>
      </c>
      <c r="R447" s="105">
        <v>15482</v>
      </c>
      <c r="S447" s="106">
        <f>+Q447+R447</f>
        <v>62101</v>
      </c>
      <c r="T447" s="105">
        <v>16734</v>
      </c>
      <c r="U447" s="106">
        <f>+S447+T447</f>
        <v>78835</v>
      </c>
      <c r="V447" s="105">
        <v>14073</v>
      </c>
      <c r="W447" s="106">
        <f>+U447+V447</f>
        <v>92908</v>
      </c>
      <c r="X447" s="105">
        <v>23598</v>
      </c>
      <c r="Y447" s="106">
        <f>+W447+X447</f>
        <v>116506</v>
      </c>
      <c r="Z447" s="105">
        <v>15671</v>
      </c>
      <c r="AA447" s="106">
        <f>+Y447+Z447</f>
        <v>132177</v>
      </c>
      <c r="AB447" s="105">
        <v>12493</v>
      </c>
      <c r="AC447" s="106">
        <f>+AA447+AB447</f>
        <v>144670</v>
      </c>
      <c r="AD447" s="105">
        <v>20720</v>
      </c>
      <c r="AE447" s="106">
        <f>+AC447+AD447</f>
        <v>165390</v>
      </c>
      <c r="AF447" s="105">
        <v>14208</v>
      </c>
      <c r="AG447" s="106">
        <f>+AE447+AF447</f>
        <v>179598</v>
      </c>
      <c r="AH447" s="105">
        <v>12618</v>
      </c>
      <c r="AI447" s="106">
        <f>+AG447+AH447</f>
        <v>192216</v>
      </c>
      <c r="AJ447" s="29">
        <f>+AI445/L445</f>
        <v>1</v>
      </c>
      <c r="AK447" s="166"/>
      <c r="AL447" s="326"/>
      <c r="AM447" s="157"/>
    </row>
    <row r="448" spans="1:39" s="94" customFormat="1" ht="22.9" customHeight="1">
      <c r="A448" s="330"/>
      <c r="B448" s="333"/>
      <c r="C448" s="336"/>
      <c r="D448" s="465"/>
      <c r="E448" s="341"/>
      <c r="F448" s="345"/>
      <c r="G448" s="345"/>
      <c r="H448" s="345"/>
      <c r="I448" s="349"/>
      <c r="J448" s="352"/>
      <c r="K448" s="347"/>
      <c r="L448" s="99" t="s">
        <v>126</v>
      </c>
      <c r="M448" s="107" t="s">
        <v>62</v>
      </c>
      <c r="N448" s="107" t="s">
        <v>62</v>
      </c>
      <c r="O448" s="108" t="s">
        <v>62</v>
      </c>
      <c r="P448" s="107" t="s">
        <v>62</v>
      </c>
      <c r="Q448" s="109" t="s">
        <v>62</v>
      </c>
      <c r="R448" s="107" t="s">
        <v>62</v>
      </c>
      <c r="S448" s="109" t="s">
        <v>62</v>
      </c>
      <c r="T448" s="107" t="s">
        <v>62</v>
      </c>
      <c r="U448" s="109" t="s">
        <v>62</v>
      </c>
      <c r="V448" s="107" t="s">
        <v>62</v>
      </c>
      <c r="W448" s="109" t="s">
        <v>62</v>
      </c>
      <c r="X448" s="107" t="s">
        <v>62</v>
      </c>
      <c r="Y448" s="109" t="s">
        <v>62</v>
      </c>
      <c r="Z448" s="107" t="s">
        <v>62</v>
      </c>
      <c r="AA448" s="109" t="s">
        <v>62</v>
      </c>
      <c r="AB448" s="107" t="s">
        <v>62</v>
      </c>
      <c r="AC448" s="109" t="s">
        <v>62</v>
      </c>
      <c r="AD448" s="107" t="s">
        <v>62</v>
      </c>
      <c r="AE448" s="109" t="s">
        <v>62</v>
      </c>
      <c r="AF448" s="107" t="s">
        <v>62</v>
      </c>
      <c r="AG448" s="109" t="s">
        <v>62</v>
      </c>
      <c r="AH448" s="107" t="s">
        <v>62</v>
      </c>
      <c r="AI448" s="109" t="s">
        <v>62</v>
      </c>
      <c r="AJ448" s="29"/>
      <c r="AK448" s="166"/>
      <c r="AL448" s="326"/>
      <c r="AM448" s="157"/>
    </row>
    <row r="449" spans="1:41" s="94" customFormat="1" ht="22.9" customHeight="1" thickBot="1">
      <c r="A449" s="331"/>
      <c r="B449" s="334"/>
      <c r="C449" s="337"/>
      <c r="D449" s="466"/>
      <c r="E449" s="342"/>
      <c r="F449" s="346"/>
      <c r="G449" s="346"/>
      <c r="H449" s="346"/>
      <c r="I449" s="350"/>
      <c r="J449" s="353"/>
      <c r="K449" s="317"/>
      <c r="L449" s="110">
        <v>197387</v>
      </c>
      <c r="M449" s="111">
        <v>16154</v>
      </c>
      <c r="N449" s="111">
        <v>14508</v>
      </c>
      <c r="O449" s="112">
        <f>+M449+N449</f>
        <v>30662</v>
      </c>
      <c r="P449" s="111">
        <v>16945</v>
      </c>
      <c r="Q449" s="112">
        <f>+O449+P449</f>
        <v>47607</v>
      </c>
      <c r="R449" s="111">
        <v>15800</v>
      </c>
      <c r="S449" s="112">
        <f>+Q449+R449</f>
        <v>63407</v>
      </c>
      <c r="T449" s="111">
        <v>17131</v>
      </c>
      <c r="U449" s="112">
        <f>+S449+T449</f>
        <v>80538</v>
      </c>
      <c r="V449" s="111">
        <v>14390</v>
      </c>
      <c r="W449" s="112">
        <f>+U449+V449</f>
        <v>94928</v>
      </c>
      <c r="X449" s="111">
        <v>24744</v>
      </c>
      <c r="Y449" s="112">
        <f>+W449+X449</f>
        <v>119672</v>
      </c>
      <c r="Z449" s="111">
        <v>15915</v>
      </c>
      <c r="AA449" s="112">
        <f>+Y449+Z449</f>
        <v>135587</v>
      </c>
      <c r="AB449" s="111">
        <v>12765</v>
      </c>
      <c r="AC449" s="112">
        <f>+AA449+AB449</f>
        <v>148352</v>
      </c>
      <c r="AD449" s="111">
        <v>21541</v>
      </c>
      <c r="AE449" s="112">
        <f>+AC449+AD449</f>
        <v>169893</v>
      </c>
      <c r="AF449" s="111">
        <v>14531</v>
      </c>
      <c r="AG449" s="112">
        <f>+AE449+AF449</f>
        <v>184424</v>
      </c>
      <c r="AH449" s="111">
        <v>12963</v>
      </c>
      <c r="AI449" s="112">
        <f>+AG449+AH449</f>
        <v>197387</v>
      </c>
      <c r="AJ449" s="77"/>
      <c r="AK449" s="167"/>
      <c r="AL449" s="327"/>
      <c r="AM449" s="158"/>
    </row>
    <row r="450" spans="1:41" ht="12.95" thickTop="1"/>
    <row r="451" spans="1:41" s="89" customFormat="1" ht="20.45" thickBot="1">
      <c r="A451" s="114" t="s">
        <v>127</v>
      </c>
      <c r="L451" s="90"/>
      <c r="M451" s="90"/>
      <c r="N451" s="90"/>
      <c r="O451" s="90"/>
      <c r="P451" s="90"/>
      <c r="Q451" s="90"/>
      <c r="R451" s="90"/>
      <c r="S451" s="90"/>
      <c r="T451" s="90"/>
      <c r="U451" s="90"/>
      <c r="V451" s="90"/>
      <c r="W451" s="90"/>
      <c r="X451" s="90"/>
      <c r="Y451" s="90"/>
      <c r="Z451" s="90"/>
      <c r="AA451" s="90"/>
      <c r="AB451" s="90"/>
      <c r="AC451" s="90"/>
      <c r="AD451" s="90"/>
      <c r="AE451" s="90"/>
      <c r="AF451" s="90"/>
      <c r="AG451" s="90"/>
      <c r="AH451" s="90"/>
      <c r="AI451" s="90"/>
      <c r="AJ451" s="90"/>
      <c r="AK451" s="90"/>
      <c r="AL451" s="90"/>
      <c r="AM451" s="90"/>
    </row>
    <row r="452" spans="1:41" s="94" customFormat="1" ht="22.9" customHeight="1" thickTop="1">
      <c r="A452" s="311" t="s">
        <v>10</v>
      </c>
      <c r="B452" s="311" t="s">
        <v>11</v>
      </c>
      <c r="C452" s="311" t="s">
        <v>12</v>
      </c>
      <c r="D452" s="241" t="s">
        <v>13</v>
      </c>
      <c r="E452" s="241" t="s">
        <v>14</v>
      </c>
      <c r="F452" s="241" t="s">
        <v>15</v>
      </c>
      <c r="G452" s="241" t="s">
        <v>16</v>
      </c>
      <c r="H452" s="241" t="s">
        <v>17</v>
      </c>
      <c r="I452" s="241" t="s">
        <v>118</v>
      </c>
      <c r="J452" s="241" t="s">
        <v>19</v>
      </c>
      <c r="K452" s="241" t="s">
        <v>20</v>
      </c>
      <c r="L452" s="241" t="s">
        <v>21</v>
      </c>
      <c r="M452" s="241" t="s">
        <v>22</v>
      </c>
      <c r="N452" s="241" t="s">
        <v>23</v>
      </c>
      <c r="O452" s="311" t="s">
        <v>24</v>
      </c>
      <c r="P452" s="241" t="s">
        <v>25</v>
      </c>
      <c r="Q452" s="241" t="s">
        <v>26</v>
      </c>
      <c r="R452" s="241" t="s">
        <v>27</v>
      </c>
      <c r="S452" s="241" t="s">
        <v>28</v>
      </c>
      <c r="T452" s="241" t="s">
        <v>29</v>
      </c>
      <c r="U452" s="311" t="s">
        <v>30</v>
      </c>
      <c r="V452" s="311" t="s">
        <v>31</v>
      </c>
      <c r="W452" s="241" t="s">
        <v>32</v>
      </c>
      <c r="X452" s="339" t="s">
        <v>33</v>
      </c>
      <c r="Y452" s="241" t="s">
        <v>34</v>
      </c>
      <c r="Z452" s="241" t="s">
        <v>35</v>
      </c>
      <c r="AA452" s="241" t="s">
        <v>36</v>
      </c>
      <c r="AB452" s="241" t="s">
        <v>37</v>
      </c>
      <c r="AC452" s="241" t="s">
        <v>38</v>
      </c>
      <c r="AD452" s="241" t="s">
        <v>39</v>
      </c>
      <c r="AE452" s="241" t="s">
        <v>40</v>
      </c>
      <c r="AF452" s="311" t="s">
        <v>41</v>
      </c>
      <c r="AG452" s="241" t="s">
        <v>42</v>
      </c>
      <c r="AH452" s="241" t="s">
        <v>43</v>
      </c>
      <c r="AI452" s="241" t="s">
        <v>143</v>
      </c>
      <c r="AJ452" s="241" t="s">
        <v>45</v>
      </c>
      <c r="AK452" s="241" t="s">
        <v>46</v>
      </c>
      <c r="AL452" s="241" t="s">
        <v>47</v>
      </c>
      <c r="AM452" s="241" t="s">
        <v>48</v>
      </c>
    </row>
    <row r="453" spans="1:41" s="94" customFormat="1" ht="22.9" customHeight="1" thickBot="1">
      <c r="A453" s="314"/>
      <c r="B453" s="314"/>
      <c r="C453" s="314"/>
      <c r="D453" s="242"/>
      <c r="E453" s="242"/>
      <c r="F453" s="242"/>
      <c r="G453" s="242"/>
      <c r="H453" s="242"/>
      <c r="I453" s="242"/>
      <c r="J453" s="242"/>
      <c r="K453" s="242"/>
      <c r="L453" s="313"/>
      <c r="M453" s="242"/>
      <c r="N453" s="242"/>
      <c r="O453" s="314"/>
      <c r="P453" s="242"/>
      <c r="Q453" s="242"/>
      <c r="R453" s="242"/>
      <c r="S453" s="310"/>
      <c r="T453" s="242"/>
      <c r="U453" s="312"/>
      <c r="V453" s="312"/>
      <c r="W453" s="310"/>
      <c r="X453" s="340"/>
      <c r="Y453" s="242"/>
      <c r="Z453" s="310"/>
      <c r="AA453" s="310"/>
      <c r="AB453" s="310"/>
      <c r="AC453" s="310"/>
      <c r="AD453" s="310"/>
      <c r="AE453" s="310"/>
      <c r="AF453" s="312"/>
      <c r="AG453" s="310"/>
      <c r="AH453" s="242"/>
      <c r="AI453" s="242">
        <v>2018</v>
      </c>
      <c r="AJ453" s="242"/>
      <c r="AK453" s="328"/>
      <c r="AL453" s="242"/>
      <c r="AM453" s="242"/>
    </row>
    <row r="454" spans="1:41" s="94" customFormat="1" ht="22.9" customHeight="1" thickTop="1">
      <c r="A454" s="329" t="s">
        <v>194</v>
      </c>
      <c r="B454" s="332" t="s">
        <v>64</v>
      </c>
      <c r="C454" s="335" t="s">
        <v>161</v>
      </c>
      <c r="D454" s="338" t="s">
        <v>122</v>
      </c>
      <c r="E454" s="338" t="s">
        <v>195</v>
      </c>
      <c r="F454" s="344" t="s">
        <v>196</v>
      </c>
      <c r="G454" s="344" t="s">
        <v>197</v>
      </c>
      <c r="H454" s="344" t="s">
        <v>196</v>
      </c>
      <c r="I454" s="348">
        <f>+L455</f>
        <v>0.97348586481937704</v>
      </c>
      <c r="J454" s="351">
        <v>0.1</v>
      </c>
      <c r="K454" s="315" t="s">
        <v>124</v>
      </c>
      <c r="L454" s="95" t="s">
        <v>57</v>
      </c>
      <c r="M454" s="96" t="s">
        <v>57</v>
      </c>
      <c r="N454" s="96" t="s">
        <v>57</v>
      </c>
      <c r="O454" s="97" t="s">
        <v>57</v>
      </c>
      <c r="P454" s="96" t="s">
        <v>57</v>
      </c>
      <c r="Q454" s="98" t="s">
        <v>57</v>
      </c>
      <c r="R454" s="96" t="s">
        <v>57</v>
      </c>
      <c r="S454" s="98" t="s">
        <v>57</v>
      </c>
      <c r="T454" s="96" t="s">
        <v>57</v>
      </c>
      <c r="U454" s="98" t="s">
        <v>57</v>
      </c>
      <c r="V454" s="96" t="s">
        <v>57</v>
      </c>
      <c r="W454" s="98" t="s">
        <v>57</v>
      </c>
      <c r="X454" s="96" t="s">
        <v>57</v>
      </c>
      <c r="Y454" s="98" t="s">
        <v>57</v>
      </c>
      <c r="Z454" s="96" t="s">
        <v>57</v>
      </c>
      <c r="AA454" s="98" t="s">
        <v>57</v>
      </c>
      <c r="AB454" s="96" t="s">
        <v>57</v>
      </c>
      <c r="AC454" s="98" t="s">
        <v>57</v>
      </c>
      <c r="AD454" s="96" t="s">
        <v>57</v>
      </c>
      <c r="AE454" s="98" t="s">
        <v>57</v>
      </c>
      <c r="AF454" s="96" t="s">
        <v>57</v>
      </c>
      <c r="AG454" s="98" t="s">
        <v>57</v>
      </c>
      <c r="AH454" s="96" t="s">
        <v>57</v>
      </c>
      <c r="AI454" s="98" t="s">
        <v>57</v>
      </c>
      <c r="AJ454" s="67"/>
      <c r="AK454" s="165" t="s">
        <v>72</v>
      </c>
      <c r="AL454" s="325"/>
      <c r="AM454" s="156" t="s">
        <v>125</v>
      </c>
    </row>
    <row r="455" spans="1:41" s="94" customFormat="1" ht="22.9" customHeight="1">
      <c r="A455" s="330"/>
      <c r="B455" s="333"/>
      <c r="C455" s="336"/>
      <c r="D455" s="465"/>
      <c r="E455" s="341"/>
      <c r="F455" s="345"/>
      <c r="G455" s="345"/>
      <c r="H455" s="345"/>
      <c r="I455" s="349"/>
      <c r="J455" s="352"/>
      <c r="K455" s="316"/>
      <c r="L455" s="41">
        <f>IF(L457&lt;&gt;0,+L457/L459,0%)</f>
        <v>0.97348586481937704</v>
      </c>
      <c r="M455" s="58">
        <f>IF(M457&lt;&gt;0,+M457/M459,0%)</f>
        <v>0.97704005566047114</v>
      </c>
      <c r="N455" s="61">
        <f>IF(N457&lt;&gt;0,+N457/N459,0%)</f>
        <v>0.97978078110035116</v>
      </c>
      <c r="O455" s="57">
        <f t="shared" ref="O455" si="658">IF(O457&lt;&gt;0,+O457/O459,0%)</f>
        <v>0.9783636550519067</v>
      </c>
      <c r="P455" s="61">
        <f>IF(P457&lt;&gt;0,ROUND(+P457/P459,4),0%)</f>
        <v>0.98140000000000005</v>
      </c>
      <c r="Q455" s="62">
        <f t="shared" ref="Q455" si="659">IF(Q457&lt;&gt;0,+Q457/Q459,0%)</f>
        <v>0.97944932162809262</v>
      </c>
      <c r="R455" s="63">
        <f>IF(R457&lt;&gt;0,ROUND(+R457/R459,4),0%)</f>
        <v>0.97950000000000004</v>
      </c>
      <c r="S455" s="62">
        <f t="shared" ref="S455" si="660">IF(S457&lt;&gt;0,+S457/S459,0%)</f>
        <v>0.97945513621594604</v>
      </c>
      <c r="T455" s="63">
        <f>IF(T457&lt;&gt;0,ROUND(+T457/T459,4),0%)</f>
        <v>0.97689999999999999</v>
      </c>
      <c r="U455" s="62">
        <f t="shared" ref="U455" si="661">IF(U457&lt;&gt;0,+U457/U459,0%)</f>
        <v>0.9789317507418398</v>
      </c>
      <c r="V455" s="63">
        <f>IF(V457&lt;&gt;0,ROUND(+V457/V459,4),0%)</f>
        <v>0.97619999999999996</v>
      </c>
      <c r="W455" s="62">
        <f t="shared" ref="W455" si="662">IF(W457&lt;&gt;0,+W457/W459,0%)</f>
        <v>0.97851687359106354</v>
      </c>
      <c r="X455" s="63">
        <f>IF(X457&lt;&gt;0,ROUND(+X457/X459,4),0%)</f>
        <v>0.95230000000000004</v>
      </c>
      <c r="Y455" s="62">
        <f t="shared" ref="Y455" si="663">IF(Y457&lt;&gt;0,+Y457/Y459,0%)</f>
        <v>0.97315669744413225</v>
      </c>
      <c r="Z455" s="64">
        <f>IF(Z457&lt;&gt;0,ROUND(+Z457/Z459,4),0%)</f>
        <v>0.98440000000000005</v>
      </c>
      <c r="AA455" s="62">
        <f t="shared" ref="AA455" si="664">IF(AA457&lt;&gt;0,+AA457/AA459,0%)</f>
        <v>0.97446265162800594</v>
      </c>
      <c r="AB455" s="63">
        <f>IF(AB457&lt;&gt;0,ROUND(+AB457/AB459,4),0%)</f>
        <v>0.97960000000000003</v>
      </c>
      <c r="AC455" s="62">
        <f t="shared" ref="AC455" si="665">IF(AC457&lt;&gt;0,+AC457/AC459,0%)</f>
        <v>0.97489965270640166</v>
      </c>
      <c r="AD455" s="63">
        <f>IF(AD457&lt;&gt;0,ROUND(+AD457/AD459,4),0%)</f>
        <v>0.96199999999999997</v>
      </c>
      <c r="AE455" s="62">
        <f t="shared" ref="AE455" si="666">IF(AE457&lt;&gt;0,+AE457/AE459,0%)</f>
        <v>0.97325355329470165</v>
      </c>
      <c r="AF455" s="63">
        <f>IF(AF457&lt;&gt;0,ROUND(+AF457/AF459,4),0%)</f>
        <v>0.97750000000000004</v>
      </c>
      <c r="AG455" s="62">
        <f t="shared" ref="AG455" si="667">IF(AG457&lt;&gt;0,+AG457/AG459,0%)</f>
        <v>0.97358254150569068</v>
      </c>
      <c r="AH455" s="63">
        <f>IF(AH457&lt;&gt;0,ROUND(+AH457/AH459,4),0%)</f>
        <v>0.97209999999999996</v>
      </c>
      <c r="AI455" s="62">
        <f>IF(AI457&lt;&gt;0,+AI457/AI459,0%)</f>
        <v>0.97348586481937704</v>
      </c>
      <c r="AJ455" s="68"/>
      <c r="AK455" s="166"/>
      <c r="AL455" s="326"/>
      <c r="AM455" s="157"/>
    </row>
    <row r="456" spans="1:41" s="94" customFormat="1" ht="22.9" customHeight="1" thickBot="1">
      <c r="A456" s="330"/>
      <c r="B456" s="333"/>
      <c r="C456" s="336"/>
      <c r="D456" s="465"/>
      <c r="E456" s="341"/>
      <c r="F456" s="345"/>
      <c r="G456" s="345"/>
      <c r="H456" s="345"/>
      <c r="I456" s="349"/>
      <c r="J456" s="352"/>
      <c r="K456" s="317"/>
      <c r="L456" s="99"/>
      <c r="M456" s="101" t="s">
        <v>60</v>
      </c>
      <c r="N456" s="101" t="s">
        <v>60</v>
      </c>
      <c r="O456" s="102" t="s">
        <v>60</v>
      </c>
      <c r="P456" s="101" t="s">
        <v>60</v>
      </c>
      <c r="Q456" s="103" t="s">
        <v>60</v>
      </c>
      <c r="R456" s="101" t="s">
        <v>60</v>
      </c>
      <c r="S456" s="103" t="s">
        <v>60</v>
      </c>
      <c r="T456" s="101" t="s">
        <v>60</v>
      </c>
      <c r="U456" s="103" t="s">
        <v>60</v>
      </c>
      <c r="V456" s="101" t="s">
        <v>60</v>
      </c>
      <c r="W456" s="103" t="s">
        <v>60</v>
      </c>
      <c r="X456" s="101" t="s">
        <v>60</v>
      </c>
      <c r="Y456" s="103" t="s">
        <v>60</v>
      </c>
      <c r="Z456" s="101" t="s">
        <v>60</v>
      </c>
      <c r="AA456" s="103" t="s">
        <v>60</v>
      </c>
      <c r="AB456" s="101" t="s">
        <v>60</v>
      </c>
      <c r="AC456" s="103" t="s">
        <v>60</v>
      </c>
      <c r="AD456" s="101" t="s">
        <v>60</v>
      </c>
      <c r="AE456" s="103" t="s">
        <v>60</v>
      </c>
      <c r="AF456" s="101" t="s">
        <v>60</v>
      </c>
      <c r="AG456" s="103" t="s">
        <v>60</v>
      </c>
      <c r="AH456" s="101" t="s">
        <v>60</v>
      </c>
      <c r="AI456" s="103" t="s">
        <v>60</v>
      </c>
      <c r="AJ456" s="68"/>
      <c r="AK456" s="166"/>
      <c r="AL456" s="326"/>
      <c r="AM456" s="157"/>
    </row>
    <row r="457" spans="1:41" s="94" customFormat="1" ht="22.9" customHeight="1" thickTop="1">
      <c r="A457" s="330"/>
      <c r="B457" s="333"/>
      <c r="C457" s="336"/>
      <c r="D457" s="465"/>
      <c r="E457" s="341"/>
      <c r="F457" s="345"/>
      <c r="G457" s="345"/>
      <c r="H457" s="345"/>
      <c r="I457" s="349"/>
      <c r="J457" s="352"/>
      <c r="K457" s="316" t="s">
        <v>74</v>
      </c>
      <c r="L457" s="104">
        <v>119730</v>
      </c>
      <c r="M457" s="105">
        <v>9830</v>
      </c>
      <c r="N457" s="105">
        <v>9207</v>
      </c>
      <c r="O457" s="106">
        <f>+M457+N457</f>
        <v>19037</v>
      </c>
      <c r="P457" s="105">
        <v>10417</v>
      </c>
      <c r="Q457" s="106">
        <f>+O457+P457</f>
        <v>29454</v>
      </c>
      <c r="R457" s="105">
        <v>9734</v>
      </c>
      <c r="S457" s="106">
        <f>+Q457+R457</f>
        <v>39188</v>
      </c>
      <c r="T457" s="105">
        <v>10297</v>
      </c>
      <c r="U457" s="106">
        <f>+S457+T457</f>
        <v>49485</v>
      </c>
      <c r="V457" s="105">
        <v>8680</v>
      </c>
      <c r="W457" s="106">
        <f>+U457+V457</f>
        <v>58165</v>
      </c>
      <c r="X457" s="105">
        <v>14559</v>
      </c>
      <c r="Y457" s="106">
        <f>+W457+X457</f>
        <v>72724</v>
      </c>
      <c r="Z457" s="105">
        <v>9698</v>
      </c>
      <c r="AA457" s="106">
        <f>+Y457+Z457</f>
        <v>82422</v>
      </c>
      <c r="AB457" s="105">
        <v>7687</v>
      </c>
      <c r="AC457" s="106">
        <f>+AA457+AB457</f>
        <v>90109</v>
      </c>
      <c r="AD457" s="105">
        <v>13015</v>
      </c>
      <c r="AE457" s="106">
        <f>+AC457+AD457</f>
        <v>103124</v>
      </c>
      <c r="AF457" s="105">
        <v>8764</v>
      </c>
      <c r="AG457" s="106">
        <f>+AE457+AF457</f>
        <v>111888</v>
      </c>
      <c r="AH457" s="105">
        <v>7842</v>
      </c>
      <c r="AI457" s="106">
        <f>SUM(AG457:AH457)</f>
        <v>119730</v>
      </c>
      <c r="AJ457" s="29">
        <f>+AI455/L455</f>
        <v>1</v>
      </c>
      <c r="AK457" s="166"/>
      <c r="AL457" s="326"/>
      <c r="AM457" s="157"/>
    </row>
    <row r="458" spans="1:41" s="94" customFormat="1" ht="22.9" customHeight="1">
      <c r="A458" s="330"/>
      <c r="B458" s="333"/>
      <c r="C458" s="336"/>
      <c r="D458" s="465"/>
      <c r="E458" s="341"/>
      <c r="F458" s="345"/>
      <c r="G458" s="345"/>
      <c r="H458" s="345"/>
      <c r="I458" s="349"/>
      <c r="J458" s="352"/>
      <c r="K458" s="347"/>
      <c r="L458" s="99" t="s">
        <v>126</v>
      </c>
      <c r="M458" s="107" t="s">
        <v>62</v>
      </c>
      <c r="N458" s="107" t="s">
        <v>62</v>
      </c>
      <c r="O458" s="108" t="s">
        <v>62</v>
      </c>
      <c r="P458" s="107" t="s">
        <v>62</v>
      </c>
      <c r="Q458" s="109" t="s">
        <v>62</v>
      </c>
      <c r="R458" s="107"/>
      <c r="S458" s="109" t="s">
        <v>62</v>
      </c>
      <c r="T458" s="107" t="s">
        <v>62</v>
      </c>
      <c r="U458" s="109" t="s">
        <v>62</v>
      </c>
      <c r="V458" s="107" t="s">
        <v>62</v>
      </c>
      <c r="W458" s="109" t="s">
        <v>62</v>
      </c>
      <c r="X458" s="107" t="s">
        <v>62</v>
      </c>
      <c r="Y458" s="109" t="s">
        <v>62</v>
      </c>
      <c r="Z458" s="107" t="s">
        <v>62</v>
      </c>
      <c r="AA458" s="109" t="s">
        <v>62</v>
      </c>
      <c r="AB458" s="107" t="s">
        <v>62</v>
      </c>
      <c r="AC458" s="109" t="s">
        <v>62</v>
      </c>
      <c r="AD458" s="107" t="s">
        <v>62</v>
      </c>
      <c r="AE458" s="109" t="s">
        <v>62</v>
      </c>
      <c r="AF458" s="107" t="s">
        <v>62</v>
      </c>
      <c r="AG458" s="109" t="s">
        <v>62</v>
      </c>
      <c r="AH458" s="107" t="s">
        <v>62</v>
      </c>
      <c r="AI458" s="108" t="s">
        <v>62</v>
      </c>
      <c r="AJ458" s="68"/>
      <c r="AK458" s="166"/>
      <c r="AL458" s="326"/>
      <c r="AM458" s="157"/>
    </row>
    <row r="459" spans="1:41" s="94" customFormat="1" ht="22.9" customHeight="1" thickBot="1">
      <c r="A459" s="331"/>
      <c r="B459" s="334"/>
      <c r="C459" s="337"/>
      <c r="D459" s="466"/>
      <c r="E459" s="342"/>
      <c r="F459" s="346"/>
      <c r="G459" s="346"/>
      <c r="H459" s="346"/>
      <c r="I459" s="350"/>
      <c r="J459" s="353"/>
      <c r="K459" s="317"/>
      <c r="L459" s="110">
        <v>122991</v>
      </c>
      <c r="M459" s="111">
        <v>10061</v>
      </c>
      <c r="N459" s="111">
        <v>9397</v>
      </c>
      <c r="O459" s="112">
        <f t="shared" ref="O459" si="668">+M459+N459</f>
        <v>19458</v>
      </c>
      <c r="P459" s="111">
        <v>10614</v>
      </c>
      <c r="Q459" s="112">
        <f t="shared" ref="Q459" si="669">+O459+P459</f>
        <v>30072</v>
      </c>
      <c r="R459" s="111">
        <v>9938</v>
      </c>
      <c r="S459" s="112">
        <f t="shared" ref="S459" si="670">+Q459+R459</f>
        <v>40010</v>
      </c>
      <c r="T459" s="111">
        <v>10540</v>
      </c>
      <c r="U459" s="112">
        <f t="shared" ref="U459" si="671">+S459+T459</f>
        <v>50550</v>
      </c>
      <c r="V459" s="111">
        <v>8892</v>
      </c>
      <c r="W459" s="112">
        <f t="shared" ref="W459" si="672">+U459+V459</f>
        <v>59442</v>
      </c>
      <c r="X459" s="111">
        <v>15288</v>
      </c>
      <c r="Y459" s="112">
        <f t="shared" ref="Y459" si="673">+W459+X459</f>
        <v>74730</v>
      </c>
      <c r="Z459" s="111">
        <v>9852</v>
      </c>
      <c r="AA459" s="112">
        <f t="shared" ref="AA459" si="674">+Y459+Z459</f>
        <v>84582</v>
      </c>
      <c r="AB459" s="111">
        <v>7847</v>
      </c>
      <c r="AC459" s="112">
        <f t="shared" ref="AC459" si="675">+AA459+AB459</f>
        <v>92429</v>
      </c>
      <c r="AD459" s="111">
        <v>13529</v>
      </c>
      <c r="AE459" s="112">
        <f t="shared" ref="AE459" si="676">+AC459+AD459</f>
        <v>105958</v>
      </c>
      <c r="AF459" s="111">
        <v>8966</v>
      </c>
      <c r="AG459" s="112">
        <f t="shared" ref="AG459" si="677">+AE459+AF459</f>
        <v>114924</v>
      </c>
      <c r="AH459" s="111">
        <v>8067</v>
      </c>
      <c r="AI459" s="112">
        <f>SUM(AG459:AH459)</f>
        <v>122991</v>
      </c>
      <c r="AJ459" s="69"/>
      <c r="AK459" s="167"/>
      <c r="AL459" s="327"/>
      <c r="AM459" s="158"/>
      <c r="AO459" s="115"/>
    </row>
    <row r="460" spans="1:41" ht="12.95" thickTop="1"/>
    <row r="461" spans="1:41" s="89" customFormat="1" ht="20.45" thickBot="1">
      <c r="A461" s="114" t="s">
        <v>128</v>
      </c>
      <c r="L461" s="90"/>
      <c r="M461" s="90"/>
      <c r="N461" s="90"/>
      <c r="O461" s="90"/>
      <c r="P461" s="90"/>
      <c r="Q461" s="90"/>
      <c r="R461" s="90"/>
      <c r="S461" s="90"/>
      <c r="T461" s="90"/>
      <c r="U461" s="90"/>
      <c r="V461" s="90"/>
      <c r="W461" s="90"/>
      <c r="X461" s="90"/>
      <c r="Y461" s="90"/>
      <c r="Z461" s="90"/>
      <c r="AA461" s="90"/>
      <c r="AB461" s="90"/>
      <c r="AC461" s="90"/>
      <c r="AD461" s="90"/>
      <c r="AE461" s="90"/>
      <c r="AF461" s="90"/>
      <c r="AG461" s="90"/>
      <c r="AH461" s="90"/>
      <c r="AI461" s="90"/>
      <c r="AJ461" s="90"/>
      <c r="AK461" s="90"/>
      <c r="AL461" s="90"/>
      <c r="AM461" s="90"/>
    </row>
    <row r="462" spans="1:41" s="94" customFormat="1" ht="22.9" customHeight="1" thickTop="1">
      <c r="A462" s="311" t="s">
        <v>10</v>
      </c>
      <c r="B462" s="311" t="s">
        <v>11</v>
      </c>
      <c r="C462" s="311" t="s">
        <v>12</v>
      </c>
      <c r="D462" s="241" t="s">
        <v>13</v>
      </c>
      <c r="E462" s="241" t="s">
        <v>14</v>
      </c>
      <c r="F462" s="241" t="s">
        <v>15</v>
      </c>
      <c r="G462" s="241" t="s">
        <v>16</v>
      </c>
      <c r="H462" s="241" t="s">
        <v>17</v>
      </c>
      <c r="I462" s="241" t="s">
        <v>118</v>
      </c>
      <c r="J462" s="241" t="s">
        <v>19</v>
      </c>
      <c r="K462" s="241" t="s">
        <v>20</v>
      </c>
      <c r="L462" s="241" t="s">
        <v>21</v>
      </c>
      <c r="M462" s="241" t="s">
        <v>22</v>
      </c>
      <c r="N462" s="241" t="s">
        <v>23</v>
      </c>
      <c r="O462" s="311" t="s">
        <v>24</v>
      </c>
      <c r="P462" s="241" t="s">
        <v>25</v>
      </c>
      <c r="Q462" s="241" t="s">
        <v>26</v>
      </c>
      <c r="R462" s="241" t="s">
        <v>27</v>
      </c>
      <c r="S462" s="241" t="s">
        <v>28</v>
      </c>
      <c r="T462" s="241" t="s">
        <v>29</v>
      </c>
      <c r="U462" s="311" t="s">
        <v>30</v>
      </c>
      <c r="V462" s="311" t="s">
        <v>31</v>
      </c>
      <c r="W462" s="241" t="s">
        <v>32</v>
      </c>
      <c r="X462" s="339" t="s">
        <v>33</v>
      </c>
      <c r="Y462" s="241" t="s">
        <v>34</v>
      </c>
      <c r="Z462" s="241" t="s">
        <v>35</v>
      </c>
      <c r="AA462" s="241" t="s">
        <v>36</v>
      </c>
      <c r="AB462" s="241" t="s">
        <v>37</v>
      </c>
      <c r="AC462" s="241" t="s">
        <v>38</v>
      </c>
      <c r="AD462" s="241" t="s">
        <v>39</v>
      </c>
      <c r="AE462" s="241" t="s">
        <v>40</v>
      </c>
      <c r="AF462" s="311" t="s">
        <v>41</v>
      </c>
      <c r="AG462" s="241" t="s">
        <v>42</v>
      </c>
      <c r="AH462" s="241" t="s">
        <v>43</v>
      </c>
      <c r="AI462" s="241" t="s">
        <v>143</v>
      </c>
      <c r="AJ462" s="241" t="s">
        <v>45</v>
      </c>
      <c r="AK462" s="241" t="s">
        <v>46</v>
      </c>
      <c r="AL462" s="241" t="s">
        <v>47</v>
      </c>
      <c r="AM462" s="241" t="s">
        <v>48</v>
      </c>
    </row>
    <row r="463" spans="1:41" s="94" customFormat="1" ht="22.9" customHeight="1" thickBot="1">
      <c r="A463" s="314"/>
      <c r="B463" s="314"/>
      <c r="C463" s="314"/>
      <c r="D463" s="242"/>
      <c r="E463" s="242"/>
      <c r="F463" s="242"/>
      <c r="G463" s="242"/>
      <c r="H463" s="242"/>
      <c r="I463" s="242"/>
      <c r="J463" s="242"/>
      <c r="K463" s="242"/>
      <c r="L463" s="313"/>
      <c r="M463" s="242"/>
      <c r="N463" s="242"/>
      <c r="O463" s="314"/>
      <c r="P463" s="242"/>
      <c r="Q463" s="242"/>
      <c r="R463" s="242"/>
      <c r="S463" s="310"/>
      <c r="T463" s="242"/>
      <c r="U463" s="312"/>
      <c r="V463" s="312"/>
      <c r="W463" s="310"/>
      <c r="X463" s="340"/>
      <c r="Y463" s="242"/>
      <c r="Z463" s="310"/>
      <c r="AA463" s="310"/>
      <c r="AB463" s="310"/>
      <c r="AC463" s="310"/>
      <c r="AD463" s="310"/>
      <c r="AE463" s="310"/>
      <c r="AF463" s="312"/>
      <c r="AG463" s="310"/>
      <c r="AH463" s="242"/>
      <c r="AI463" s="242">
        <v>2018</v>
      </c>
      <c r="AJ463" s="242"/>
      <c r="AK463" s="328"/>
      <c r="AL463" s="242"/>
      <c r="AM463" s="242"/>
    </row>
    <row r="464" spans="1:41" s="94" customFormat="1" ht="22.9" customHeight="1" thickTop="1">
      <c r="A464" s="329" t="s">
        <v>194</v>
      </c>
      <c r="B464" s="332" t="s">
        <v>64</v>
      </c>
      <c r="C464" s="335" t="s">
        <v>161</v>
      </c>
      <c r="D464" s="338" t="s">
        <v>122</v>
      </c>
      <c r="E464" s="338" t="s">
        <v>195</v>
      </c>
      <c r="F464" s="344" t="s">
        <v>196</v>
      </c>
      <c r="G464" s="344" t="s">
        <v>197</v>
      </c>
      <c r="H464" s="344" t="s">
        <v>196</v>
      </c>
      <c r="I464" s="348">
        <f>+L465</f>
        <v>0.97432657669767186</v>
      </c>
      <c r="J464" s="351">
        <v>0.1</v>
      </c>
      <c r="K464" s="315" t="s">
        <v>124</v>
      </c>
      <c r="L464" s="95" t="s">
        <v>57</v>
      </c>
      <c r="M464" s="96" t="s">
        <v>57</v>
      </c>
      <c r="N464" s="96" t="s">
        <v>57</v>
      </c>
      <c r="O464" s="97" t="s">
        <v>57</v>
      </c>
      <c r="P464" s="96" t="s">
        <v>57</v>
      </c>
      <c r="Q464" s="98" t="s">
        <v>57</v>
      </c>
      <c r="R464" s="96" t="s">
        <v>57</v>
      </c>
      <c r="S464" s="98" t="s">
        <v>57</v>
      </c>
      <c r="T464" s="96" t="s">
        <v>57</v>
      </c>
      <c r="U464" s="98" t="s">
        <v>57</v>
      </c>
      <c r="V464" s="96" t="s">
        <v>57</v>
      </c>
      <c r="W464" s="98" t="s">
        <v>57</v>
      </c>
      <c r="X464" s="96" t="s">
        <v>57</v>
      </c>
      <c r="Y464" s="98" t="s">
        <v>57</v>
      </c>
      <c r="Z464" s="96" t="s">
        <v>57</v>
      </c>
      <c r="AA464" s="98" t="s">
        <v>57</v>
      </c>
      <c r="AB464" s="96" t="s">
        <v>57</v>
      </c>
      <c r="AC464" s="98" t="s">
        <v>57</v>
      </c>
      <c r="AD464" s="96" t="s">
        <v>57</v>
      </c>
      <c r="AE464" s="98" t="s">
        <v>57</v>
      </c>
      <c r="AF464" s="96" t="s">
        <v>57</v>
      </c>
      <c r="AG464" s="98" t="s">
        <v>57</v>
      </c>
      <c r="AH464" s="96" t="s">
        <v>57</v>
      </c>
      <c r="AI464" s="98" t="s">
        <v>57</v>
      </c>
      <c r="AJ464" s="67"/>
      <c r="AK464" s="165" t="s">
        <v>72</v>
      </c>
      <c r="AL464" s="325"/>
      <c r="AM464" s="156" t="s">
        <v>125</v>
      </c>
    </row>
    <row r="465" spans="1:39" s="94" customFormat="1" ht="22.9" customHeight="1">
      <c r="A465" s="330"/>
      <c r="B465" s="333"/>
      <c r="C465" s="336"/>
      <c r="D465" s="465"/>
      <c r="E465" s="341"/>
      <c r="F465" s="345"/>
      <c r="G465" s="345"/>
      <c r="H465" s="345"/>
      <c r="I465" s="349"/>
      <c r="J465" s="352"/>
      <c r="K465" s="316"/>
      <c r="L465" s="41">
        <f>IF(L467&lt;&gt;0,+L467/L469,0%)</f>
        <v>0.97432657669767186</v>
      </c>
      <c r="M465" s="58">
        <f>IF(M467&lt;&gt;0,+M467/M469,0%)</f>
        <v>0.97669456753651729</v>
      </c>
      <c r="N465" s="61">
        <f>IF(N467&lt;&gt;0,+N467/N469,0%)</f>
        <v>0.98004304441400902</v>
      </c>
      <c r="O465" s="57">
        <f t="shared" ref="O465" si="678">IF(O467&lt;&gt;0,+O467/O469,0%)</f>
        <v>0.97822206354873265</v>
      </c>
      <c r="P465" s="61">
        <f>IF(P467&lt;&gt;0,ROUND(+P467/P469,4),0%)</f>
        <v>0.98009999999999997</v>
      </c>
      <c r="Q465" s="62">
        <f t="shared" ref="Q465" si="679">IF(Q467&lt;&gt;0,+Q467/Q469,0%)</f>
        <v>0.9788993441688052</v>
      </c>
      <c r="R465" s="63">
        <f>IF(R467&lt;&gt;0,ROUND(+R467/R469,4),0%)</f>
        <v>0.98060000000000003</v>
      </c>
      <c r="S465" s="62">
        <f t="shared" ref="S465" si="680">IF(S467&lt;&gt;0,+S467/S469,0%)</f>
        <v>0.97931358721203576</v>
      </c>
      <c r="T465" s="63">
        <f>IF(T467&lt;&gt;0,ROUND(+T467/T469,4),0%)</f>
        <v>0.97660000000000002</v>
      </c>
      <c r="U465" s="62">
        <f t="shared" ref="U465" si="681">IF(U467&lt;&gt;0,+U467/U469,0%)</f>
        <v>0.97872482326263843</v>
      </c>
      <c r="V465" s="63">
        <f>IF(V467&lt;&gt;0,ROUND(+V467/V469,4),0%)</f>
        <v>0.98089999999999999</v>
      </c>
      <c r="W465" s="62">
        <f t="shared" ref="W465" si="682">IF(W467&lt;&gt;0,+W467/W469,0%)</f>
        <v>0.97906216536098745</v>
      </c>
      <c r="X465" s="63">
        <f>IF(X467&lt;&gt;0,ROUND(+X467/X469,4),0%)</f>
        <v>0.95589999999999997</v>
      </c>
      <c r="Y465" s="62">
        <f t="shared" ref="Y465" si="683">IF(Y467&lt;&gt;0,+Y467/Y469,0%)</f>
        <v>0.97418895465266342</v>
      </c>
      <c r="Z465" s="64">
        <f>IF(Z467&lt;&gt;0,ROUND(+Z467/Z469,4),0%)</f>
        <v>0.98519999999999996</v>
      </c>
      <c r="AA465" s="62">
        <f t="shared" ref="AA465" si="684">IF(AA467&lt;&gt;0,+AA467/AA469,0%)</f>
        <v>0.97549259876482697</v>
      </c>
      <c r="AB465" s="63">
        <f>IF(AB467&lt;&gt;0,ROUND(+AB467/AB469,4),0%)</f>
        <v>0.97719999999999996</v>
      </c>
      <c r="AC465" s="62">
        <f t="shared" ref="AC465" si="685">IF(AC467&lt;&gt;0,+AC467/AC469,0%)</f>
        <v>0.9756450834182715</v>
      </c>
      <c r="AD465" s="63">
        <f>IF(AD467&lt;&gt;0,ROUND(+AD467/AD469,4),0%)</f>
        <v>0.9617</v>
      </c>
      <c r="AE465" s="62">
        <f t="shared" ref="AE465" si="686">IF(AE467&lt;&gt;0,+AE467/AE469,0%)</f>
        <v>0.97389536247751618</v>
      </c>
      <c r="AF465" s="63">
        <f>IF(AF467&lt;&gt;0,ROUND(+AF467/AF469,4),0%)</f>
        <v>0.97829999999999995</v>
      </c>
      <c r="AG465" s="62">
        <f t="shared" ref="AG465" si="687">IF(AG467&lt;&gt;0,+AG467/AG469,0%)</f>
        <v>0.9742446043165468</v>
      </c>
      <c r="AH465" s="63">
        <f>IF(AH467&lt;&gt;0,ROUND(+AH467/AH469,4),0%)</f>
        <v>0.97550000000000003</v>
      </c>
      <c r="AI465" s="62">
        <f>IF(AI467&lt;&gt;0,+AI467/AI469,0%)</f>
        <v>0.97432657669767186</v>
      </c>
      <c r="AJ465" s="68"/>
      <c r="AK465" s="166"/>
      <c r="AL465" s="326"/>
      <c r="AM465" s="157"/>
    </row>
    <row r="466" spans="1:39" s="94" customFormat="1" ht="22.9" customHeight="1" thickBot="1">
      <c r="A466" s="330"/>
      <c r="B466" s="333"/>
      <c r="C466" s="336"/>
      <c r="D466" s="465"/>
      <c r="E466" s="341"/>
      <c r="F466" s="345"/>
      <c r="G466" s="345"/>
      <c r="H466" s="345"/>
      <c r="I466" s="349"/>
      <c r="J466" s="352"/>
      <c r="K466" s="317"/>
      <c r="L466" s="99"/>
      <c r="M466" s="101" t="s">
        <v>60</v>
      </c>
      <c r="N466" s="101" t="s">
        <v>60</v>
      </c>
      <c r="O466" s="102" t="s">
        <v>60</v>
      </c>
      <c r="P466" s="101" t="s">
        <v>60</v>
      </c>
      <c r="Q466" s="103" t="s">
        <v>60</v>
      </c>
      <c r="R466" s="101" t="s">
        <v>60</v>
      </c>
      <c r="S466" s="103" t="s">
        <v>60</v>
      </c>
      <c r="T466" s="101" t="s">
        <v>60</v>
      </c>
      <c r="U466" s="103" t="s">
        <v>60</v>
      </c>
      <c r="V466" s="101" t="s">
        <v>60</v>
      </c>
      <c r="W466" s="103" t="s">
        <v>60</v>
      </c>
      <c r="X466" s="101" t="s">
        <v>60</v>
      </c>
      <c r="Y466" s="103" t="s">
        <v>60</v>
      </c>
      <c r="Z466" s="101" t="s">
        <v>60</v>
      </c>
      <c r="AA466" s="103" t="s">
        <v>60</v>
      </c>
      <c r="AB466" s="101" t="s">
        <v>60</v>
      </c>
      <c r="AC466" s="103" t="s">
        <v>60</v>
      </c>
      <c r="AD466" s="101" t="s">
        <v>60</v>
      </c>
      <c r="AE466" s="103" t="s">
        <v>60</v>
      </c>
      <c r="AF466" s="101" t="s">
        <v>60</v>
      </c>
      <c r="AG466" s="103" t="s">
        <v>60</v>
      </c>
      <c r="AH466" s="101" t="s">
        <v>60</v>
      </c>
      <c r="AI466" s="103" t="s">
        <v>60</v>
      </c>
      <c r="AJ466" s="68"/>
      <c r="AK466" s="166"/>
      <c r="AL466" s="326"/>
      <c r="AM466" s="157"/>
    </row>
    <row r="467" spans="1:39" s="94" customFormat="1" ht="22.9" customHeight="1" thickTop="1">
      <c r="A467" s="330"/>
      <c r="B467" s="333"/>
      <c r="C467" s="336"/>
      <c r="D467" s="465"/>
      <c r="E467" s="341"/>
      <c r="F467" s="345"/>
      <c r="G467" s="345"/>
      <c r="H467" s="345"/>
      <c r="I467" s="349"/>
      <c r="J467" s="352"/>
      <c r="K467" s="316" t="s">
        <v>74</v>
      </c>
      <c r="L467" s="104">
        <v>72486</v>
      </c>
      <c r="M467" s="105">
        <v>5951</v>
      </c>
      <c r="N467" s="105">
        <v>5009</v>
      </c>
      <c r="O467" s="106">
        <f>+M467+N467</f>
        <v>10960</v>
      </c>
      <c r="P467" s="105">
        <v>6205</v>
      </c>
      <c r="Q467" s="106">
        <f>+O467+P467</f>
        <v>17165</v>
      </c>
      <c r="R467" s="105">
        <v>5748</v>
      </c>
      <c r="S467" s="106">
        <f>+Q467+R467</f>
        <v>22913</v>
      </c>
      <c r="T467" s="105">
        <v>6437</v>
      </c>
      <c r="U467" s="106">
        <f>+S467+T467</f>
        <v>29350</v>
      </c>
      <c r="V467" s="105">
        <v>5393</v>
      </c>
      <c r="W467" s="106">
        <f>+U467+V467</f>
        <v>34743</v>
      </c>
      <c r="X467" s="105">
        <v>9039</v>
      </c>
      <c r="Y467" s="106">
        <f>+W467+X467</f>
        <v>43782</v>
      </c>
      <c r="Z467" s="105">
        <v>5973</v>
      </c>
      <c r="AA467" s="106">
        <f>+Y467+Z467</f>
        <v>49755</v>
      </c>
      <c r="AB467" s="105">
        <v>4806</v>
      </c>
      <c r="AC467" s="106">
        <f>+AA467+AB467</f>
        <v>54561</v>
      </c>
      <c r="AD467" s="105">
        <v>7705</v>
      </c>
      <c r="AE467" s="106">
        <f>+AC467+AD467</f>
        <v>62266</v>
      </c>
      <c r="AF467" s="105">
        <v>5444</v>
      </c>
      <c r="AG467" s="106">
        <f>+AE467+AF467</f>
        <v>67710</v>
      </c>
      <c r="AH467" s="105">
        <v>4776</v>
      </c>
      <c r="AI467" s="106">
        <f>SUM(AG467:AH467)</f>
        <v>72486</v>
      </c>
      <c r="AJ467" s="29">
        <f>+AI465/L465</f>
        <v>1</v>
      </c>
      <c r="AK467" s="166"/>
      <c r="AL467" s="326"/>
      <c r="AM467" s="157"/>
    </row>
    <row r="468" spans="1:39" s="94" customFormat="1" ht="22.9" customHeight="1">
      <c r="A468" s="330"/>
      <c r="B468" s="333"/>
      <c r="C468" s="336"/>
      <c r="D468" s="465"/>
      <c r="E468" s="341"/>
      <c r="F468" s="345"/>
      <c r="G468" s="345"/>
      <c r="H468" s="345"/>
      <c r="I468" s="349"/>
      <c r="J468" s="352"/>
      <c r="K468" s="347"/>
      <c r="L468" s="99" t="s">
        <v>126</v>
      </c>
      <c r="M468" s="107" t="s">
        <v>62</v>
      </c>
      <c r="N468" s="107" t="s">
        <v>62</v>
      </c>
      <c r="O468" s="108" t="s">
        <v>62</v>
      </c>
      <c r="P468" s="107" t="s">
        <v>62</v>
      </c>
      <c r="Q468" s="109" t="s">
        <v>62</v>
      </c>
      <c r="R468" s="107"/>
      <c r="S468" s="109" t="s">
        <v>62</v>
      </c>
      <c r="T468" s="107" t="s">
        <v>62</v>
      </c>
      <c r="U468" s="109" t="s">
        <v>62</v>
      </c>
      <c r="V468" s="107" t="s">
        <v>62</v>
      </c>
      <c r="W468" s="109" t="s">
        <v>62</v>
      </c>
      <c r="X468" s="107" t="s">
        <v>62</v>
      </c>
      <c r="Y468" s="109" t="s">
        <v>62</v>
      </c>
      <c r="Z468" s="107" t="s">
        <v>62</v>
      </c>
      <c r="AA468" s="109" t="s">
        <v>62</v>
      </c>
      <c r="AB468" s="107" t="s">
        <v>62</v>
      </c>
      <c r="AC468" s="109" t="s">
        <v>62</v>
      </c>
      <c r="AD468" s="107" t="s">
        <v>62</v>
      </c>
      <c r="AE468" s="109" t="s">
        <v>62</v>
      </c>
      <c r="AF468" s="107" t="s">
        <v>62</v>
      </c>
      <c r="AG468" s="109" t="s">
        <v>62</v>
      </c>
      <c r="AH468" s="107" t="s">
        <v>62</v>
      </c>
      <c r="AI468" s="108" t="s">
        <v>62</v>
      </c>
      <c r="AJ468" s="68"/>
      <c r="AK468" s="166"/>
      <c r="AL468" s="326"/>
      <c r="AM468" s="157"/>
    </row>
    <row r="469" spans="1:39" s="94" customFormat="1" ht="22.9" customHeight="1" thickBot="1">
      <c r="A469" s="331"/>
      <c r="B469" s="334"/>
      <c r="C469" s="337"/>
      <c r="D469" s="466"/>
      <c r="E469" s="342"/>
      <c r="F469" s="346"/>
      <c r="G469" s="346"/>
      <c r="H469" s="346"/>
      <c r="I469" s="350"/>
      <c r="J469" s="353"/>
      <c r="K469" s="317"/>
      <c r="L469" s="110">
        <v>74396</v>
      </c>
      <c r="M469" s="111">
        <v>6093</v>
      </c>
      <c r="N469" s="111">
        <v>5111</v>
      </c>
      <c r="O469" s="112">
        <f t="shared" ref="O469" si="688">+M469+N469</f>
        <v>11204</v>
      </c>
      <c r="P469" s="111">
        <v>6331</v>
      </c>
      <c r="Q469" s="112">
        <f t="shared" ref="Q469" si="689">+O469+P469</f>
        <v>17535</v>
      </c>
      <c r="R469" s="111">
        <v>5862</v>
      </c>
      <c r="S469" s="112">
        <f t="shared" ref="S469" si="690">+Q469+R469</f>
        <v>23397</v>
      </c>
      <c r="T469" s="111">
        <v>6591</v>
      </c>
      <c r="U469" s="112">
        <f t="shared" ref="U469" si="691">+S469+T469</f>
        <v>29988</v>
      </c>
      <c r="V469" s="111">
        <v>5498</v>
      </c>
      <c r="W469" s="112">
        <f t="shared" ref="W469" si="692">+U469+V469</f>
        <v>35486</v>
      </c>
      <c r="X469" s="111">
        <v>9456</v>
      </c>
      <c r="Y469" s="112">
        <f t="shared" ref="Y469" si="693">+W469+X469</f>
        <v>44942</v>
      </c>
      <c r="Z469" s="111">
        <v>6063</v>
      </c>
      <c r="AA469" s="112">
        <f t="shared" ref="AA469" si="694">+Y469+Z469</f>
        <v>51005</v>
      </c>
      <c r="AB469" s="111">
        <v>4918</v>
      </c>
      <c r="AC469" s="112">
        <f t="shared" ref="AC469" si="695">+AA469+AB469</f>
        <v>55923</v>
      </c>
      <c r="AD469" s="111">
        <v>8012</v>
      </c>
      <c r="AE469" s="112">
        <f t="shared" ref="AE469" si="696">+AC469+AD469</f>
        <v>63935</v>
      </c>
      <c r="AF469" s="111">
        <v>5565</v>
      </c>
      <c r="AG469" s="112">
        <f t="shared" ref="AG469" si="697">+AE469+AF469</f>
        <v>69500</v>
      </c>
      <c r="AH469" s="111">
        <v>4896</v>
      </c>
      <c r="AI469" s="112">
        <f>SUM(AG469:AH469)</f>
        <v>74396</v>
      </c>
      <c r="AJ469" s="69"/>
      <c r="AK469" s="167"/>
      <c r="AL469" s="327"/>
      <c r="AM469" s="158"/>
    </row>
    <row r="470" spans="1:39" ht="12.95" thickTop="1"/>
    <row r="473" spans="1:39" s="89" customFormat="1" ht="15.6">
      <c r="C473" s="343" t="s">
        <v>198</v>
      </c>
      <c r="D473" s="343"/>
      <c r="E473" s="343"/>
      <c r="F473" s="343"/>
      <c r="G473" s="343"/>
      <c r="H473" s="343"/>
      <c r="I473" s="343"/>
      <c r="J473" s="343"/>
      <c r="K473" s="343"/>
      <c r="L473" s="93"/>
      <c r="M473" s="81"/>
      <c r="N473" s="93"/>
      <c r="O473" s="81"/>
      <c r="P473" s="93"/>
      <c r="Q473" s="81"/>
      <c r="R473" s="93"/>
      <c r="S473" s="81"/>
      <c r="T473" s="93"/>
      <c r="U473" s="81"/>
      <c r="V473" s="93"/>
      <c r="W473" s="81"/>
      <c r="X473" s="93"/>
      <c r="Y473" s="81"/>
      <c r="Z473" s="93"/>
      <c r="AA473" s="81"/>
      <c r="AB473" s="93"/>
      <c r="AC473" s="81"/>
      <c r="AD473" s="93"/>
      <c r="AE473" s="81"/>
      <c r="AF473" s="93"/>
      <c r="AG473" s="81"/>
      <c r="AH473" s="93"/>
      <c r="AI473" s="81"/>
      <c r="AJ473" s="121"/>
      <c r="AK473" s="90"/>
      <c r="AL473" s="90"/>
      <c r="AM473" s="90"/>
    </row>
    <row r="474" spans="1:39" s="89" customFormat="1" ht="15.95" thickBot="1">
      <c r="L474" s="90"/>
      <c r="M474" s="90"/>
      <c r="N474" s="90"/>
      <c r="O474" s="90"/>
      <c r="P474" s="90"/>
      <c r="Q474" s="90"/>
      <c r="R474" s="90"/>
      <c r="S474" s="90"/>
      <c r="T474" s="90"/>
      <c r="U474" s="90"/>
      <c r="V474" s="90"/>
      <c r="W474" s="90"/>
      <c r="X474" s="90"/>
      <c r="Y474" s="90"/>
      <c r="Z474" s="90"/>
      <c r="AA474" s="90"/>
      <c r="AB474" s="90"/>
      <c r="AC474" s="90"/>
      <c r="AD474" s="90"/>
      <c r="AE474" s="90"/>
      <c r="AF474" s="90"/>
      <c r="AG474" s="90"/>
      <c r="AH474" s="90"/>
      <c r="AI474" s="90"/>
      <c r="AJ474" s="90"/>
      <c r="AK474" s="90"/>
      <c r="AL474" s="90"/>
      <c r="AM474" s="90"/>
    </row>
    <row r="475" spans="1:39" s="94" customFormat="1" ht="22.9" customHeight="1" thickTop="1">
      <c r="A475" s="311" t="s">
        <v>10</v>
      </c>
      <c r="B475" s="311" t="s">
        <v>11</v>
      </c>
      <c r="C475" s="311" t="s">
        <v>12</v>
      </c>
      <c r="D475" s="241" t="s">
        <v>13</v>
      </c>
      <c r="E475" s="241" t="s">
        <v>14</v>
      </c>
      <c r="F475" s="241" t="s">
        <v>15</v>
      </c>
      <c r="G475" s="241" t="s">
        <v>16</v>
      </c>
      <c r="H475" s="241" t="s">
        <v>17</v>
      </c>
      <c r="I475" s="241" t="s">
        <v>118</v>
      </c>
      <c r="J475" s="241" t="s">
        <v>19</v>
      </c>
      <c r="K475" s="241" t="s">
        <v>20</v>
      </c>
      <c r="L475" s="241" t="s">
        <v>21</v>
      </c>
      <c r="M475" s="241" t="s">
        <v>22</v>
      </c>
      <c r="N475" s="241" t="s">
        <v>23</v>
      </c>
      <c r="O475" s="311" t="s">
        <v>24</v>
      </c>
      <c r="P475" s="241" t="s">
        <v>25</v>
      </c>
      <c r="Q475" s="241" t="s">
        <v>26</v>
      </c>
      <c r="R475" s="241" t="s">
        <v>27</v>
      </c>
      <c r="S475" s="241" t="s">
        <v>28</v>
      </c>
      <c r="T475" s="241" t="s">
        <v>29</v>
      </c>
      <c r="U475" s="311" t="s">
        <v>30</v>
      </c>
      <c r="V475" s="311" t="s">
        <v>31</v>
      </c>
      <c r="W475" s="241" t="s">
        <v>32</v>
      </c>
      <c r="X475" s="339" t="s">
        <v>33</v>
      </c>
      <c r="Y475" s="241" t="s">
        <v>34</v>
      </c>
      <c r="Z475" s="241" t="s">
        <v>35</v>
      </c>
      <c r="AA475" s="241" t="s">
        <v>36</v>
      </c>
      <c r="AB475" s="241" t="s">
        <v>37</v>
      </c>
      <c r="AC475" s="241" t="s">
        <v>38</v>
      </c>
      <c r="AD475" s="241" t="s">
        <v>39</v>
      </c>
      <c r="AE475" s="241" t="s">
        <v>40</v>
      </c>
      <c r="AF475" s="311" t="s">
        <v>41</v>
      </c>
      <c r="AG475" s="241" t="s">
        <v>42</v>
      </c>
      <c r="AH475" s="241" t="s">
        <v>43</v>
      </c>
      <c r="AI475" s="241" t="s">
        <v>143</v>
      </c>
      <c r="AJ475" s="241" t="s">
        <v>45</v>
      </c>
      <c r="AK475" s="241" t="s">
        <v>46</v>
      </c>
      <c r="AL475" s="241" t="s">
        <v>47</v>
      </c>
      <c r="AM475" s="241" t="s">
        <v>48</v>
      </c>
    </row>
    <row r="476" spans="1:39" s="94" customFormat="1" ht="22.9" customHeight="1" thickBot="1">
      <c r="A476" s="314"/>
      <c r="B476" s="314"/>
      <c r="C476" s="314"/>
      <c r="D476" s="242"/>
      <c r="E476" s="242"/>
      <c r="F476" s="242"/>
      <c r="G476" s="242"/>
      <c r="H476" s="242"/>
      <c r="I476" s="242"/>
      <c r="J476" s="242"/>
      <c r="K476" s="242"/>
      <c r="L476" s="313"/>
      <c r="M476" s="242"/>
      <c r="N476" s="242"/>
      <c r="O476" s="314"/>
      <c r="P476" s="242"/>
      <c r="Q476" s="242"/>
      <c r="R476" s="242"/>
      <c r="S476" s="310"/>
      <c r="T476" s="242"/>
      <c r="U476" s="312"/>
      <c r="V476" s="312"/>
      <c r="W476" s="310"/>
      <c r="X476" s="340"/>
      <c r="Y476" s="242"/>
      <c r="Z476" s="310"/>
      <c r="AA476" s="310"/>
      <c r="AB476" s="310"/>
      <c r="AC476" s="310"/>
      <c r="AD476" s="310"/>
      <c r="AE476" s="310"/>
      <c r="AF476" s="312"/>
      <c r="AG476" s="310"/>
      <c r="AH476" s="242"/>
      <c r="AI476" s="242">
        <v>2018</v>
      </c>
      <c r="AJ476" s="242"/>
      <c r="AK476" s="328"/>
      <c r="AL476" s="242"/>
      <c r="AM476" s="242"/>
    </row>
    <row r="477" spans="1:39" s="94" customFormat="1" ht="22.9" customHeight="1" thickTop="1">
      <c r="A477" s="329" t="s">
        <v>199</v>
      </c>
      <c r="B477" s="332" t="s">
        <v>64</v>
      </c>
      <c r="C477" s="335" t="s">
        <v>121</v>
      </c>
      <c r="D477" s="338" t="s">
        <v>122</v>
      </c>
      <c r="E477" s="338" t="s">
        <v>200</v>
      </c>
      <c r="F477" s="344" t="s">
        <v>201</v>
      </c>
      <c r="G477" s="344" t="s">
        <v>202</v>
      </c>
      <c r="H477" s="344" t="s">
        <v>203</v>
      </c>
      <c r="I477" s="348">
        <f>+L478</f>
        <v>0.98610880329666672</v>
      </c>
      <c r="J477" s="351">
        <v>0.1</v>
      </c>
      <c r="K477" s="315" t="s">
        <v>124</v>
      </c>
      <c r="L477" s="96" t="s">
        <v>57</v>
      </c>
      <c r="M477" s="96" t="s">
        <v>57</v>
      </c>
      <c r="N477" s="96" t="s">
        <v>57</v>
      </c>
      <c r="O477" s="97" t="s">
        <v>57</v>
      </c>
      <c r="P477" s="96" t="s">
        <v>57</v>
      </c>
      <c r="Q477" s="98" t="s">
        <v>57</v>
      </c>
      <c r="R477" s="96" t="s">
        <v>57</v>
      </c>
      <c r="S477" s="98" t="s">
        <v>57</v>
      </c>
      <c r="T477" s="96" t="s">
        <v>57</v>
      </c>
      <c r="U477" s="98" t="s">
        <v>57</v>
      </c>
      <c r="V477" s="96" t="s">
        <v>57</v>
      </c>
      <c r="W477" s="98" t="s">
        <v>57</v>
      </c>
      <c r="X477" s="96" t="s">
        <v>57</v>
      </c>
      <c r="Y477" s="98" t="s">
        <v>57</v>
      </c>
      <c r="Z477" s="96" t="s">
        <v>57</v>
      </c>
      <c r="AA477" s="98" t="s">
        <v>57</v>
      </c>
      <c r="AB477" s="96" t="s">
        <v>57</v>
      </c>
      <c r="AC477" s="98" t="s">
        <v>57</v>
      </c>
      <c r="AD477" s="96" t="s">
        <v>57</v>
      </c>
      <c r="AE477" s="98" t="s">
        <v>57</v>
      </c>
      <c r="AF477" s="96" t="s">
        <v>57</v>
      </c>
      <c r="AG477" s="98" t="s">
        <v>57</v>
      </c>
      <c r="AH477" s="96" t="s">
        <v>57</v>
      </c>
      <c r="AI477" s="98" t="s">
        <v>57</v>
      </c>
      <c r="AJ477" s="78"/>
      <c r="AK477" s="165" t="s">
        <v>72</v>
      </c>
      <c r="AL477" s="325"/>
      <c r="AM477" s="156" t="s">
        <v>125</v>
      </c>
    </row>
    <row r="478" spans="1:39" s="94" customFormat="1" ht="22.9" customHeight="1">
      <c r="A478" s="330"/>
      <c r="B478" s="333"/>
      <c r="C478" s="336"/>
      <c r="D478" s="465"/>
      <c r="E478" s="341"/>
      <c r="F478" s="345"/>
      <c r="G478" s="345"/>
      <c r="H478" s="345"/>
      <c r="I478" s="349"/>
      <c r="J478" s="352"/>
      <c r="K478" s="316"/>
      <c r="L478" s="41">
        <f>IF(L480&lt;&gt;0,+L480/L482,0%)</f>
        <v>0.98610880329666672</v>
      </c>
      <c r="M478" s="58">
        <f>IF(M480&lt;&gt;0,+M480/M482,0%)</f>
        <v>0.98496546119463635</v>
      </c>
      <c r="N478" s="61">
        <f>IF(N480&lt;&gt;0,+N480/N482,0%)</f>
        <v>0.98427539311517209</v>
      </c>
      <c r="O478" s="57">
        <f t="shared" ref="O478" si="698">IF(O480&lt;&gt;0,+O480/O482,0%)</f>
        <v>0.98462816784378893</v>
      </c>
      <c r="P478" s="61">
        <f>IF(P480&lt;&gt;0,ROUND(+P480/P482,4),0%)</f>
        <v>0.98799999999999999</v>
      </c>
      <c r="Q478" s="62">
        <f t="shared" ref="Q478" si="699">IF(Q480&lt;&gt;0,+Q480/Q482,0%)</f>
        <v>0.98583344366476899</v>
      </c>
      <c r="R478" s="63">
        <f>IF(R480&lt;&gt;0,ROUND(+R480/R482,4),0%)</f>
        <v>0.98750000000000004</v>
      </c>
      <c r="S478" s="62">
        <f t="shared" ref="S478" si="700">IF(S480&lt;&gt;0,+S480/S482,0%)</f>
        <v>0.9862948510516798</v>
      </c>
      <c r="T478" s="63">
        <f>IF(T480&lt;&gt;0,ROUND(+T480/T482,4),0%)</f>
        <v>0.98550000000000004</v>
      </c>
      <c r="U478" s="62">
        <f t="shared" ref="U478" si="701">IF(U480&lt;&gt;0,+U480/U482,0%)</f>
        <v>0.98613239350291149</v>
      </c>
      <c r="V478" s="63">
        <f>IF(V480&lt;&gt;0,ROUND(+V480/V482,4),0%)</f>
        <v>0.9859</v>
      </c>
      <c r="W478" s="62">
        <f t="shared" ref="W478" si="702">IF(W480&lt;&gt;0,+W480/W482,0%)</f>
        <v>0.98609904430929629</v>
      </c>
      <c r="X478" s="63">
        <f>IF(X480&lt;&gt;0,ROUND(+X480/X482,4),0%)</f>
        <v>0.98609999999999998</v>
      </c>
      <c r="Y478" s="62">
        <f t="shared" ref="Y478" si="703">IF(Y480&lt;&gt;0,+Y480/Y482,0%)</f>
        <v>0.98610744281865725</v>
      </c>
      <c r="Z478" s="64">
        <f>IF(Z480&lt;&gt;0,ROUND(+Z480/Z482,4),0%)</f>
        <v>0.98870000000000002</v>
      </c>
      <c r="AA478" s="62">
        <f t="shared" ref="AA478" si="704">IF(AA480&lt;&gt;0,+AA480/AA482,0%)</f>
        <v>0.98636773856457516</v>
      </c>
      <c r="AB478" s="63">
        <f>IF(AB480&lt;&gt;0,ROUND(+AB480/AB482,4),0%)</f>
        <v>0.98750000000000004</v>
      </c>
      <c r="AC478" s="62">
        <f t="shared" ref="AC478" si="705">IF(AC480&lt;&gt;0,+AC480/AC482,0%)</f>
        <v>0.98645519290426875</v>
      </c>
      <c r="AD478" s="63">
        <f>IF(AD480&lt;&gt;0,ROUND(+AD480/AD482,4),0%)</f>
        <v>0.98480000000000001</v>
      </c>
      <c r="AE478" s="62">
        <f t="shared" ref="AE478" si="706">IF(AE480&lt;&gt;0,+AE480/AE482,0%)</f>
        <v>0.98624484181568084</v>
      </c>
      <c r="AF478" s="63">
        <f>IF(AF480&lt;&gt;0,ROUND(+AF480/AF482,4),0%)</f>
        <v>0.98750000000000004</v>
      </c>
      <c r="AG478" s="62">
        <f t="shared" ref="AG478" si="707">IF(AG480&lt;&gt;0,+AG480/AG482,0%)</f>
        <v>0.98633685854212505</v>
      </c>
      <c r="AH478" s="63">
        <f>IF(AH480&lt;&gt;0,ROUND(+AH480/AH482,4),0%)</f>
        <v>0.98270000000000002</v>
      </c>
      <c r="AI478" s="62">
        <f>IF(AI480&lt;&gt;0,+AI480/AI482,0%)</f>
        <v>0.98610880329666672</v>
      </c>
      <c r="AJ478" s="79"/>
      <c r="AK478" s="166"/>
      <c r="AL478" s="326"/>
      <c r="AM478" s="157"/>
    </row>
    <row r="479" spans="1:39" s="94" customFormat="1" ht="22.9" customHeight="1" thickBot="1">
      <c r="A479" s="330"/>
      <c r="B479" s="333"/>
      <c r="C479" s="336"/>
      <c r="D479" s="465"/>
      <c r="E479" s="341"/>
      <c r="F479" s="345"/>
      <c r="G479" s="345"/>
      <c r="H479" s="345"/>
      <c r="I479" s="349"/>
      <c r="J479" s="352"/>
      <c r="K479" s="317"/>
      <c r="L479" s="101" t="s">
        <v>60</v>
      </c>
      <c r="M479" s="101" t="s">
        <v>60</v>
      </c>
      <c r="N479" s="101" t="s">
        <v>60</v>
      </c>
      <c r="O479" s="102" t="s">
        <v>60</v>
      </c>
      <c r="P479" s="101" t="s">
        <v>60</v>
      </c>
      <c r="Q479" s="103" t="s">
        <v>60</v>
      </c>
      <c r="R479" s="101" t="s">
        <v>60</v>
      </c>
      <c r="S479" s="103" t="s">
        <v>60</v>
      </c>
      <c r="T479" s="101" t="s">
        <v>60</v>
      </c>
      <c r="U479" s="103" t="s">
        <v>60</v>
      </c>
      <c r="V479" s="101" t="s">
        <v>60</v>
      </c>
      <c r="W479" s="103" t="s">
        <v>60</v>
      </c>
      <c r="X479" s="101" t="s">
        <v>60</v>
      </c>
      <c r="Y479" s="103" t="s">
        <v>60</v>
      </c>
      <c r="Z479" s="101" t="s">
        <v>60</v>
      </c>
      <c r="AA479" s="103" t="s">
        <v>60</v>
      </c>
      <c r="AB479" s="101" t="s">
        <v>60</v>
      </c>
      <c r="AC479" s="103" t="s">
        <v>60</v>
      </c>
      <c r="AD479" s="101" t="s">
        <v>60</v>
      </c>
      <c r="AE479" s="103" t="s">
        <v>60</v>
      </c>
      <c r="AF479" s="101" t="s">
        <v>60</v>
      </c>
      <c r="AG479" s="103" t="s">
        <v>60</v>
      </c>
      <c r="AH479" s="101" t="s">
        <v>60</v>
      </c>
      <c r="AI479" s="103" t="s">
        <v>60</v>
      </c>
      <c r="AJ479" s="79"/>
      <c r="AK479" s="166"/>
      <c r="AL479" s="326"/>
      <c r="AM479" s="157"/>
    </row>
    <row r="480" spans="1:39" s="94" customFormat="1" ht="22.9" customHeight="1" thickTop="1">
      <c r="A480" s="330"/>
      <c r="B480" s="333"/>
      <c r="C480" s="336"/>
      <c r="D480" s="465"/>
      <c r="E480" s="341"/>
      <c r="F480" s="345"/>
      <c r="G480" s="345"/>
      <c r="H480" s="345"/>
      <c r="I480" s="349"/>
      <c r="J480" s="352"/>
      <c r="K480" s="316" t="s">
        <v>74</v>
      </c>
      <c r="L480" s="104">
        <v>29673</v>
      </c>
      <c r="M480" s="105">
        <v>2424</v>
      </c>
      <c r="N480" s="105">
        <v>2316</v>
      </c>
      <c r="O480" s="106">
        <f>+M480+N480</f>
        <v>4740</v>
      </c>
      <c r="P480" s="105">
        <v>2706</v>
      </c>
      <c r="Q480" s="106">
        <f>+O480+P480</f>
        <v>7446</v>
      </c>
      <c r="R480" s="105">
        <v>2917</v>
      </c>
      <c r="S480" s="106">
        <f>+Q480+R480</f>
        <v>10363</v>
      </c>
      <c r="T480" s="105">
        <v>2508</v>
      </c>
      <c r="U480" s="106">
        <f>+S480+T480</f>
        <v>12871</v>
      </c>
      <c r="V480" s="105">
        <v>1884</v>
      </c>
      <c r="W480" s="106">
        <f>+U480+V480</f>
        <v>14755</v>
      </c>
      <c r="X480" s="105">
        <v>3913</v>
      </c>
      <c r="Y480" s="106">
        <f>+W480+X480</f>
        <v>18668</v>
      </c>
      <c r="Z480" s="105">
        <v>2098</v>
      </c>
      <c r="AA480" s="106">
        <f>+Y480+Z480</f>
        <v>20766</v>
      </c>
      <c r="AB480" s="105">
        <v>1811</v>
      </c>
      <c r="AC480" s="106">
        <f>+AA480+AB480</f>
        <v>22577</v>
      </c>
      <c r="AD480" s="105">
        <v>3235</v>
      </c>
      <c r="AE480" s="106">
        <f>+AC480+AD480</f>
        <v>25812</v>
      </c>
      <c r="AF480" s="105">
        <v>1981</v>
      </c>
      <c r="AG480" s="106">
        <f>+AE480+AF480</f>
        <v>27793</v>
      </c>
      <c r="AH480" s="105">
        <v>1880</v>
      </c>
      <c r="AI480" s="106">
        <f>+AG480+AH480</f>
        <v>29673</v>
      </c>
      <c r="AJ480" s="79">
        <f>+AI478/L478</f>
        <v>1</v>
      </c>
      <c r="AK480" s="166"/>
      <c r="AL480" s="326"/>
      <c r="AM480" s="157"/>
    </row>
    <row r="481" spans="1:41" s="94" customFormat="1" ht="22.9" customHeight="1">
      <c r="A481" s="330"/>
      <c r="B481" s="333"/>
      <c r="C481" s="336"/>
      <c r="D481" s="465"/>
      <c r="E481" s="341"/>
      <c r="F481" s="345"/>
      <c r="G481" s="345"/>
      <c r="H481" s="345"/>
      <c r="I481" s="349"/>
      <c r="J481" s="352"/>
      <c r="K481" s="347"/>
      <c r="L481" s="99" t="s">
        <v>126</v>
      </c>
      <c r="M481" s="107" t="s">
        <v>62</v>
      </c>
      <c r="N481" s="107" t="s">
        <v>62</v>
      </c>
      <c r="O481" s="108" t="s">
        <v>62</v>
      </c>
      <c r="P481" s="107" t="s">
        <v>62</v>
      </c>
      <c r="Q481" s="109" t="s">
        <v>62</v>
      </c>
      <c r="R481" s="107" t="s">
        <v>62</v>
      </c>
      <c r="S481" s="109" t="s">
        <v>62</v>
      </c>
      <c r="T481" s="107" t="s">
        <v>62</v>
      </c>
      <c r="U481" s="109" t="s">
        <v>62</v>
      </c>
      <c r="V481" s="107" t="s">
        <v>62</v>
      </c>
      <c r="W481" s="109" t="s">
        <v>62</v>
      </c>
      <c r="X481" s="107" t="s">
        <v>62</v>
      </c>
      <c r="Y481" s="109" t="s">
        <v>62</v>
      </c>
      <c r="Z481" s="107" t="s">
        <v>62</v>
      </c>
      <c r="AA481" s="109" t="s">
        <v>62</v>
      </c>
      <c r="AB481" s="107" t="s">
        <v>62</v>
      </c>
      <c r="AC481" s="109" t="s">
        <v>62</v>
      </c>
      <c r="AD481" s="107" t="s">
        <v>62</v>
      </c>
      <c r="AE481" s="109" t="s">
        <v>62</v>
      </c>
      <c r="AF481" s="107" t="s">
        <v>62</v>
      </c>
      <c r="AG481" s="109" t="s">
        <v>62</v>
      </c>
      <c r="AH481" s="107" t="s">
        <v>62</v>
      </c>
      <c r="AI481" s="109" t="s">
        <v>62</v>
      </c>
      <c r="AJ481" s="79"/>
      <c r="AK481" s="166"/>
      <c r="AL481" s="326"/>
      <c r="AM481" s="157"/>
    </row>
    <row r="482" spans="1:41" s="94" customFormat="1" ht="22.9" customHeight="1" thickBot="1">
      <c r="A482" s="331"/>
      <c r="B482" s="334"/>
      <c r="C482" s="337"/>
      <c r="D482" s="466"/>
      <c r="E482" s="342"/>
      <c r="F482" s="346"/>
      <c r="G482" s="346"/>
      <c r="H482" s="346"/>
      <c r="I482" s="350"/>
      <c r="J482" s="353"/>
      <c r="K482" s="317"/>
      <c r="L482" s="110">
        <v>30091</v>
      </c>
      <c r="M482" s="111">
        <v>2461</v>
      </c>
      <c r="N482" s="111">
        <v>2353</v>
      </c>
      <c r="O482" s="112">
        <f>+M482+N482</f>
        <v>4814</v>
      </c>
      <c r="P482" s="111">
        <v>2739</v>
      </c>
      <c r="Q482" s="112">
        <f>+O482+P482</f>
        <v>7553</v>
      </c>
      <c r="R482" s="111">
        <v>2954</v>
      </c>
      <c r="S482" s="112">
        <f>+Q482+R482</f>
        <v>10507</v>
      </c>
      <c r="T482" s="111">
        <v>2545</v>
      </c>
      <c r="U482" s="112">
        <f>+S482+T482</f>
        <v>13052</v>
      </c>
      <c r="V482" s="111">
        <v>1911</v>
      </c>
      <c r="W482" s="112">
        <f>+U482+V482</f>
        <v>14963</v>
      </c>
      <c r="X482" s="111">
        <v>3968</v>
      </c>
      <c r="Y482" s="112">
        <f>+W482+X482</f>
        <v>18931</v>
      </c>
      <c r="Z482" s="111">
        <v>2122</v>
      </c>
      <c r="AA482" s="112">
        <f>+Y482+Z482</f>
        <v>21053</v>
      </c>
      <c r="AB482" s="111">
        <v>1834</v>
      </c>
      <c r="AC482" s="112">
        <f>+AA482+AB482</f>
        <v>22887</v>
      </c>
      <c r="AD482" s="111">
        <v>3285</v>
      </c>
      <c r="AE482" s="112">
        <f>+AC482+AD482</f>
        <v>26172</v>
      </c>
      <c r="AF482" s="111">
        <v>2006</v>
      </c>
      <c r="AG482" s="112">
        <f>+AE482+AF482</f>
        <v>28178</v>
      </c>
      <c r="AH482" s="111">
        <v>1913</v>
      </c>
      <c r="AI482" s="112">
        <f>+AG482+AH482</f>
        <v>30091</v>
      </c>
      <c r="AJ482" s="80"/>
      <c r="AK482" s="167"/>
      <c r="AL482" s="327"/>
      <c r="AM482" s="158"/>
    </row>
    <row r="483" spans="1:41" ht="12.95" thickTop="1"/>
    <row r="484" spans="1:41" s="89" customFormat="1" ht="20.45" thickBot="1">
      <c r="A484" s="114" t="s">
        <v>127</v>
      </c>
      <c r="L484" s="90"/>
      <c r="M484" s="90"/>
      <c r="N484" s="90"/>
      <c r="O484" s="90"/>
      <c r="P484" s="90"/>
      <c r="Q484" s="90"/>
      <c r="R484" s="90"/>
      <c r="S484" s="90"/>
      <c r="T484" s="90"/>
      <c r="U484" s="90"/>
      <c r="V484" s="90"/>
      <c r="W484" s="90"/>
      <c r="X484" s="90"/>
      <c r="Y484" s="90"/>
      <c r="Z484" s="90"/>
      <c r="AA484" s="90"/>
      <c r="AB484" s="90"/>
      <c r="AC484" s="90"/>
      <c r="AD484" s="90"/>
      <c r="AE484" s="90"/>
      <c r="AF484" s="90"/>
      <c r="AG484" s="90"/>
      <c r="AH484" s="90"/>
      <c r="AI484" s="90"/>
      <c r="AJ484" s="90"/>
      <c r="AK484" s="90"/>
      <c r="AL484" s="90"/>
      <c r="AM484" s="90"/>
    </row>
    <row r="485" spans="1:41" s="94" customFormat="1" ht="22.9" customHeight="1" thickTop="1">
      <c r="A485" s="311" t="s">
        <v>10</v>
      </c>
      <c r="B485" s="311" t="s">
        <v>11</v>
      </c>
      <c r="C485" s="311" t="s">
        <v>12</v>
      </c>
      <c r="D485" s="241" t="s">
        <v>13</v>
      </c>
      <c r="E485" s="241" t="s">
        <v>14</v>
      </c>
      <c r="F485" s="241" t="s">
        <v>15</v>
      </c>
      <c r="G485" s="241" t="s">
        <v>16</v>
      </c>
      <c r="H485" s="241" t="s">
        <v>17</v>
      </c>
      <c r="I485" s="241" t="s">
        <v>118</v>
      </c>
      <c r="J485" s="241" t="s">
        <v>19</v>
      </c>
      <c r="K485" s="241" t="s">
        <v>20</v>
      </c>
      <c r="L485" s="241" t="s">
        <v>21</v>
      </c>
      <c r="M485" s="241" t="s">
        <v>22</v>
      </c>
      <c r="N485" s="241" t="s">
        <v>23</v>
      </c>
      <c r="O485" s="311" t="s">
        <v>24</v>
      </c>
      <c r="P485" s="241" t="s">
        <v>25</v>
      </c>
      <c r="Q485" s="241" t="s">
        <v>26</v>
      </c>
      <c r="R485" s="241" t="s">
        <v>27</v>
      </c>
      <c r="S485" s="241" t="s">
        <v>28</v>
      </c>
      <c r="T485" s="241" t="s">
        <v>29</v>
      </c>
      <c r="U485" s="311" t="s">
        <v>30</v>
      </c>
      <c r="V485" s="311" t="s">
        <v>31</v>
      </c>
      <c r="W485" s="241" t="s">
        <v>32</v>
      </c>
      <c r="X485" s="339" t="s">
        <v>33</v>
      </c>
      <c r="Y485" s="241" t="s">
        <v>34</v>
      </c>
      <c r="Z485" s="241" t="s">
        <v>35</v>
      </c>
      <c r="AA485" s="241" t="s">
        <v>36</v>
      </c>
      <c r="AB485" s="241" t="s">
        <v>37</v>
      </c>
      <c r="AC485" s="241" t="s">
        <v>38</v>
      </c>
      <c r="AD485" s="241" t="s">
        <v>39</v>
      </c>
      <c r="AE485" s="241" t="s">
        <v>40</v>
      </c>
      <c r="AF485" s="311" t="s">
        <v>41</v>
      </c>
      <c r="AG485" s="241" t="s">
        <v>42</v>
      </c>
      <c r="AH485" s="241" t="s">
        <v>43</v>
      </c>
      <c r="AI485" s="241" t="s">
        <v>143</v>
      </c>
      <c r="AJ485" s="241" t="s">
        <v>45</v>
      </c>
      <c r="AK485" s="241" t="s">
        <v>46</v>
      </c>
      <c r="AL485" s="241" t="s">
        <v>47</v>
      </c>
      <c r="AM485" s="241" t="s">
        <v>48</v>
      </c>
    </row>
    <row r="486" spans="1:41" s="94" customFormat="1" ht="22.9" customHeight="1" thickBot="1">
      <c r="A486" s="314"/>
      <c r="B486" s="314"/>
      <c r="C486" s="314"/>
      <c r="D486" s="242"/>
      <c r="E486" s="242"/>
      <c r="F486" s="242"/>
      <c r="G486" s="242"/>
      <c r="H486" s="242"/>
      <c r="I486" s="242"/>
      <c r="J486" s="242"/>
      <c r="K486" s="242"/>
      <c r="L486" s="313"/>
      <c r="M486" s="242"/>
      <c r="N486" s="242"/>
      <c r="O486" s="314"/>
      <c r="P486" s="242"/>
      <c r="Q486" s="242"/>
      <c r="R486" s="242"/>
      <c r="S486" s="310"/>
      <c r="T486" s="242"/>
      <c r="U486" s="312"/>
      <c r="V486" s="312"/>
      <c r="W486" s="310"/>
      <c r="X486" s="340"/>
      <c r="Y486" s="242"/>
      <c r="Z486" s="310"/>
      <c r="AA486" s="310"/>
      <c r="AB486" s="310"/>
      <c r="AC486" s="310"/>
      <c r="AD486" s="310"/>
      <c r="AE486" s="310"/>
      <c r="AF486" s="312"/>
      <c r="AG486" s="310"/>
      <c r="AH486" s="242"/>
      <c r="AI486" s="242">
        <v>2018</v>
      </c>
      <c r="AJ486" s="242"/>
      <c r="AK486" s="328"/>
      <c r="AL486" s="242"/>
      <c r="AM486" s="242"/>
    </row>
    <row r="487" spans="1:41" s="94" customFormat="1" ht="22.9" customHeight="1" thickTop="1">
      <c r="A487" s="329" t="s">
        <v>199</v>
      </c>
      <c r="B487" s="332" t="s">
        <v>64</v>
      </c>
      <c r="C487" s="335" t="s">
        <v>121</v>
      </c>
      <c r="D487" s="338" t="s">
        <v>122</v>
      </c>
      <c r="E487" s="338" t="s">
        <v>200</v>
      </c>
      <c r="F487" s="344" t="s">
        <v>201</v>
      </c>
      <c r="G487" s="344" t="s">
        <v>202</v>
      </c>
      <c r="H487" s="344" t="s">
        <v>203</v>
      </c>
      <c r="I487" s="348">
        <f>+L488</f>
        <v>0.98650104928818561</v>
      </c>
      <c r="J487" s="351">
        <v>0.1</v>
      </c>
      <c r="K487" s="315" t="s">
        <v>124</v>
      </c>
      <c r="L487" s="95" t="s">
        <v>57</v>
      </c>
      <c r="M487" s="96" t="s">
        <v>57</v>
      </c>
      <c r="N487" s="96" t="s">
        <v>57</v>
      </c>
      <c r="O487" s="97" t="s">
        <v>57</v>
      </c>
      <c r="P487" s="96" t="s">
        <v>57</v>
      </c>
      <c r="Q487" s="98" t="s">
        <v>57</v>
      </c>
      <c r="R487" s="96" t="s">
        <v>57</v>
      </c>
      <c r="S487" s="98" t="s">
        <v>57</v>
      </c>
      <c r="T487" s="96" t="s">
        <v>57</v>
      </c>
      <c r="U487" s="98" t="s">
        <v>57</v>
      </c>
      <c r="V487" s="96" t="s">
        <v>57</v>
      </c>
      <c r="W487" s="98" t="s">
        <v>57</v>
      </c>
      <c r="X487" s="96" t="s">
        <v>57</v>
      </c>
      <c r="Y487" s="98" t="s">
        <v>57</v>
      </c>
      <c r="Z487" s="96" t="s">
        <v>57</v>
      </c>
      <c r="AA487" s="98" t="s">
        <v>57</v>
      </c>
      <c r="AB487" s="96" t="s">
        <v>57</v>
      </c>
      <c r="AC487" s="98" t="s">
        <v>57</v>
      </c>
      <c r="AD487" s="96" t="s">
        <v>57</v>
      </c>
      <c r="AE487" s="98" t="s">
        <v>57</v>
      </c>
      <c r="AF487" s="96" t="s">
        <v>57</v>
      </c>
      <c r="AG487" s="98" t="s">
        <v>57</v>
      </c>
      <c r="AH487" s="96" t="s">
        <v>57</v>
      </c>
      <c r="AI487" s="98" t="s">
        <v>57</v>
      </c>
      <c r="AJ487" s="67"/>
      <c r="AK487" s="165" t="s">
        <v>72</v>
      </c>
      <c r="AL487" s="325"/>
      <c r="AM487" s="156" t="s">
        <v>125</v>
      </c>
    </row>
    <row r="488" spans="1:41" s="94" customFormat="1" ht="22.9" customHeight="1">
      <c r="A488" s="330"/>
      <c r="B488" s="333"/>
      <c r="C488" s="336"/>
      <c r="D488" s="465"/>
      <c r="E488" s="341"/>
      <c r="F488" s="345"/>
      <c r="G488" s="345"/>
      <c r="H488" s="345"/>
      <c r="I488" s="349"/>
      <c r="J488" s="352"/>
      <c r="K488" s="316"/>
      <c r="L488" s="41">
        <f>IF(L490&lt;&gt;0,+L490/L492,0%)</f>
        <v>0.98650104928818561</v>
      </c>
      <c r="M488" s="58">
        <f>IF(M490&lt;&gt;0,+M490/M492,0%)</f>
        <v>0.98545706371191133</v>
      </c>
      <c r="N488" s="61">
        <f>IF(N490&lt;&gt;0,+N490/N492,0%)</f>
        <v>0.98654104979811574</v>
      </c>
      <c r="O488" s="57">
        <f t="shared" ref="O488" si="708">IF(O490&lt;&gt;0,+O490/O492,0%)</f>
        <v>0.98600682593856659</v>
      </c>
      <c r="P488" s="61">
        <f>IF(P490&lt;&gt;0,ROUND(+P490/P492,4),0%)</f>
        <v>0.98729999999999996</v>
      </c>
      <c r="Q488" s="62">
        <f t="shared" ref="Q488" si="709">IF(Q490&lt;&gt;0,+Q490/Q492,0%)</f>
        <v>0.98647450110864743</v>
      </c>
      <c r="R488" s="63">
        <f>IF(R490&lt;&gt;0,ROUND(+R490/R492,4),0%)</f>
        <v>0.98860000000000003</v>
      </c>
      <c r="S488" s="62">
        <f t="shared" ref="S488" si="710">IF(S490&lt;&gt;0,+S490/S492,0%)</f>
        <v>0.98704033695123927</v>
      </c>
      <c r="T488" s="63">
        <f>IF(T490&lt;&gt;0,ROUND(+T490/T492,4),0%)</f>
        <v>0.98640000000000005</v>
      </c>
      <c r="U488" s="62">
        <f t="shared" ref="U488" si="711">IF(U490&lt;&gt;0,+U490/U492,0%)</f>
        <v>0.98693069306930692</v>
      </c>
      <c r="V488" s="63">
        <f>IF(V490&lt;&gt;0,ROUND(+V490/V492,4),0%)</f>
        <v>0.98599999999999999</v>
      </c>
      <c r="W488" s="62">
        <f t="shared" ref="W488" si="712">IF(W490&lt;&gt;0,+W490/W492,0%)</f>
        <v>0.98681928546652797</v>
      </c>
      <c r="X488" s="63">
        <f>IF(X490&lt;&gt;0,ROUND(+X490/X492,4),0%)</f>
        <v>0.98629999999999995</v>
      </c>
      <c r="Y488" s="62">
        <f t="shared" ref="Y488" si="713">IF(Y490&lt;&gt;0,+Y490/Y492,0%)</f>
        <v>0.98671006238133985</v>
      </c>
      <c r="Z488" s="64">
        <f>IF(Z490&lt;&gt;0,ROUND(+Z490/Z492,4),0%)</f>
        <v>0.98939999999999995</v>
      </c>
      <c r="AA488" s="62">
        <f t="shared" ref="AA488" si="714">IF(AA490&lt;&gt;0,+AA490/AA492,0%)</f>
        <v>0.98697386631930306</v>
      </c>
      <c r="AB488" s="63">
        <f>IF(AB490&lt;&gt;0,ROUND(+AB490/AB492,4),0%)</f>
        <v>0.98750000000000004</v>
      </c>
      <c r="AC488" s="62">
        <f t="shared" ref="AC488" si="715">IF(AC490&lt;&gt;0,+AC490/AC492,0%)</f>
        <v>0.98701883394612444</v>
      </c>
      <c r="AD488" s="63">
        <f>IF(AD490&lt;&gt;0,ROUND(+AD490/AD492,4),0%)</f>
        <v>0.98429999999999995</v>
      </c>
      <c r="AE488" s="62">
        <f t="shared" ref="AE488" si="716">IF(AE490&lt;&gt;0,+AE490/AE492,0%)</f>
        <v>0.9866623292127521</v>
      </c>
      <c r="AF488" s="63">
        <f>IF(AF490&lt;&gt;0,ROUND(+AF490/AF492,4),0%)</f>
        <v>0.98780000000000001</v>
      </c>
      <c r="AG488" s="62">
        <f t="shared" ref="AG488" si="717">IF(AG490&lt;&gt;0,+AG490/AG492,0%)</f>
        <v>0.98674334140435838</v>
      </c>
      <c r="AH488" s="63">
        <f>IF(AH490&lt;&gt;0,ROUND(+AH490/AH492,4),0%)</f>
        <v>0.9829</v>
      </c>
      <c r="AI488" s="62">
        <f>IF(AI490&lt;&gt;0,+AI490/AI492,0%)</f>
        <v>0.98650104928818561</v>
      </c>
      <c r="AJ488" s="68"/>
      <c r="AK488" s="166"/>
      <c r="AL488" s="326"/>
      <c r="AM488" s="157"/>
    </row>
    <row r="489" spans="1:41" s="94" customFormat="1" ht="22.9" customHeight="1" thickBot="1">
      <c r="A489" s="330"/>
      <c r="B489" s="333"/>
      <c r="C489" s="336"/>
      <c r="D489" s="465"/>
      <c r="E489" s="341"/>
      <c r="F489" s="345"/>
      <c r="G489" s="345"/>
      <c r="H489" s="345"/>
      <c r="I489" s="349"/>
      <c r="J489" s="352"/>
      <c r="K489" s="317"/>
      <c r="L489" s="99"/>
      <c r="M489" s="101" t="s">
        <v>60</v>
      </c>
      <c r="N489" s="101" t="s">
        <v>60</v>
      </c>
      <c r="O489" s="102" t="s">
        <v>60</v>
      </c>
      <c r="P489" s="101" t="s">
        <v>60</v>
      </c>
      <c r="Q489" s="103" t="s">
        <v>60</v>
      </c>
      <c r="R489" s="101" t="s">
        <v>60</v>
      </c>
      <c r="S489" s="103" t="s">
        <v>60</v>
      </c>
      <c r="T489" s="101" t="s">
        <v>60</v>
      </c>
      <c r="U489" s="103" t="s">
        <v>60</v>
      </c>
      <c r="V489" s="101" t="s">
        <v>60</v>
      </c>
      <c r="W489" s="103" t="s">
        <v>60</v>
      </c>
      <c r="X489" s="101" t="s">
        <v>60</v>
      </c>
      <c r="Y489" s="103" t="s">
        <v>60</v>
      </c>
      <c r="Z489" s="101" t="s">
        <v>60</v>
      </c>
      <c r="AA489" s="103" t="s">
        <v>60</v>
      </c>
      <c r="AB489" s="101" t="s">
        <v>60</v>
      </c>
      <c r="AC489" s="103" t="s">
        <v>60</v>
      </c>
      <c r="AD489" s="101" t="s">
        <v>60</v>
      </c>
      <c r="AE489" s="103" t="s">
        <v>60</v>
      </c>
      <c r="AF489" s="101" t="s">
        <v>60</v>
      </c>
      <c r="AG489" s="103" t="s">
        <v>60</v>
      </c>
      <c r="AH489" s="101" t="s">
        <v>60</v>
      </c>
      <c r="AI489" s="103" t="s">
        <v>60</v>
      </c>
      <c r="AJ489" s="68"/>
      <c r="AK489" s="166"/>
      <c r="AL489" s="326"/>
      <c r="AM489" s="157"/>
    </row>
    <row r="490" spans="1:41" s="94" customFormat="1" ht="22.9" customHeight="1" thickTop="1">
      <c r="A490" s="330"/>
      <c r="B490" s="333"/>
      <c r="C490" s="336"/>
      <c r="D490" s="465"/>
      <c r="E490" s="341"/>
      <c r="F490" s="345"/>
      <c r="G490" s="345"/>
      <c r="H490" s="345"/>
      <c r="I490" s="349"/>
      <c r="J490" s="352"/>
      <c r="K490" s="316" t="s">
        <v>74</v>
      </c>
      <c r="L490" s="104">
        <v>17393</v>
      </c>
      <c r="M490" s="105">
        <v>1423</v>
      </c>
      <c r="N490" s="105">
        <v>1466</v>
      </c>
      <c r="O490" s="106">
        <f>+M490+N490</f>
        <v>2889</v>
      </c>
      <c r="P490" s="105">
        <v>1560</v>
      </c>
      <c r="Q490" s="106">
        <f>+O490+P490</f>
        <v>4449</v>
      </c>
      <c r="R490" s="105">
        <v>1644</v>
      </c>
      <c r="S490" s="106">
        <f>+Q490+R490</f>
        <v>6093</v>
      </c>
      <c r="T490" s="105">
        <v>1383</v>
      </c>
      <c r="U490" s="106">
        <f>+S490+T490</f>
        <v>7476</v>
      </c>
      <c r="V490" s="105">
        <v>1059</v>
      </c>
      <c r="W490" s="106">
        <f>+U490+V490</f>
        <v>8535</v>
      </c>
      <c r="X490" s="105">
        <v>2379</v>
      </c>
      <c r="Y490" s="106">
        <f>+W490+X490</f>
        <v>10914</v>
      </c>
      <c r="Z490" s="105">
        <v>1209</v>
      </c>
      <c r="AA490" s="106">
        <f>+Y490+Z490</f>
        <v>12123</v>
      </c>
      <c r="AB490" s="105">
        <v>1031</v>
      </c>
      <c r="AC490" s="106">
        <f>+AA490+AB490</f>
        <v>13154</v>
      </c>
      <c r="AD490" s="105">
        <v>2011</v>
      </c>
      <c r="AE490" s="106">
        <f>+AC490+AD490</f>
        <v>15165</v>
      </c>
      <c r="AF490" s="105">
        <v>1136</v>
      </c>
      <c r="AG490" s="106">
        <f>+AE490+AF490</f>
        <v>16301</v>
      </c>
      <c r="AH490" s="105">
        <v>1092</v>
      </c>
      <c r="AI490" s="106">
        <f>SUM(AG490:AH490)</f>
        <v>17393</v>
      </c>
      <c r="AJ490" s="29">
        <f>+AI488/L488</f>
        <v>1</v>
      </c>
      <c r="AK490" s="166"/>
      <c r="AL490" s="326"/>
      <c r="AM490" s="157"/>
    </row>
    <row r="491" spans="1:41" s="94" customFormat="1" ht="22.9" customHeight="1">
      <c r="A491" s="330"/>
      <c r="B491" s="333"/>
      <c r="C491" s="336"/>
      <c r="D491" s="465"/>
      <c r="E491" s="341"/>
      <c r="F491" s="345"/>
      <c r="G491" s="345"/>
      <c r="H491" s="345"/>
      <c r="I491" s="349"/>
      <c r="J491" s="352"/>
      <c r="K491" s="347"/>
      <c r="L491" s="99" t="s">
        <v>126</v>
      </c>
      <c r="M491" s="107" t="s">
        <v>62</v>
      </c>
      <c r="N491" s="107" t="s">
        <v>62</v>
      </c>
      <c r="O491" s="108" t="s">
        <v>62</v>
      </c>
      <c r="P491" s="107" t="s">
        <v>62</v>
      </c>
      <c r="Q491" s="109" t="s">
        <v>62</v>
      </c>
      <c r="R491" s="107"/>
      <c r="S491" s="109" t="s">
        <v>62</v>
      </c>
      <c r="T491" s="107" t="s">
        <v>62</v>
      </c>
      <c r="U491" s="109" t="s">
        <v>62</v>
      </c>
      <c r="V491" s="107" t="s">
        <v>62</v>
      </c>
      <c r="W491" s="109" t="s">
        <v>62</v>
      </c>
      <c r="X491" s="107" t="s">
        <v>62</v>
      </c>
      <c r="Y491" s="109" t="s">
        <v>62</v>
      </c>
      <c r="Z491" s="107" t="s">
        <v>62</v>
      </c>
      <c r="AA491" s="109" t="s">
        <v>62</v>
      </c>
      <c r="AB491" s="107" t="s">
        <v>62</v>
      </c>
      <c r="AC491" s="109" t="s">
        <v>62</v>
      </c>
      <c r="AD491" s="107" t="s">
        <v>62</v>
      </c>
      <c r="AE491" s="109" t="s">
        <v>62</v>
      </c>
      <c r="AF491" s="107" t="s">
        <v>62</v>
      </c>
      <c r="AG491" s="109" t="s">
        <v>62</v>
      </c>
      <c r="AH491" s="107" t="s">
        <v>62</v>
      </c>
      <c r="AI491" s="108" t="s">
        <v>62</v>
      </c>
      <c r="AJ491" s="68"/>
      <c r="AK491" s="166"/>
      <c r="AL491" s="326"/>
      <c r="AM491" s="157"/>
    </row>
    <row r="492" spans="1:41" s="94" customFormat="1" ht="22.9" customHeight="1" thickBot="1">
      <c r="A492" s="331"/>
      <c r="B492" s="334"/>
      <c r="C492" s="337"/>
      <c r="D492" s="466"/>
      <c r="E492" s="342"/>
      <c r="F492" s="346"/>
      <c r="G492" s="346"/>
      <c r="H492" s="346"/>
      <c r="I492" s="350"/>
      <c r="J492" s="353"/>
      <c r="K492" s="317"/>
      <c r="L492" s="110">
        <v>17631</v>
      </c>
      <c r="M492" s="111">
        <v>1444</v>
      </c>
      <c r="N492" s="111">
        <v>1486</v>
      </c>
      <c r="O492" s="112">
        <f t="shared" ref="O492" si="718">+M492+N492</f>
        <v>2930</v>
      </c>
      <c r="P492" s="111">
        <v>1580</v>
      </c>
      <c r="Q492" s="112">
        <f t="shared" ref="Q492" si="719">+O492+P492</f>
        <v>4510</v>
      </c>
      <c r="R492" s="111">
        <v>1663</v>
      </c>
      <c r="S492" s="112">
        <f t="shared" ref="S492" si="720">+Q492+R492</f>
        <v>6173</v>
      </c>
      <c r="T492" s="111">
        <v>1402</v>
      </c>
      <c r="U492" s="112">
        <f t="shared" ref="U492" si="721">+S492+T492</f>
        <v>7575</v>
      </c>
      <c r="V492" s="111">
        <v>1074</v>
      </c>
      <c r="W492" s="112">
        <f t="shared" ref="W492" si="722">+U492+V492</f>
        <v>8649</v>
      </c>
      <c r="X492" s="111">
        <v>2412</v>
      </c>
      <c r="Y492" s="112">
        <f t="shared" ref="Y492" si="723">+W492+X492</f>
        <v>11061</v>
      </c>
      <c r="Z492" s="111">
        <v>1222</v>
      </c>
      <c r="AA492" s="112">
        <f t="shared" ref="AA492" si="724">+Y492+Z492</f>
        <v>12283</v>
      </c>
      <c r="AB492" s="111">
        <v>1044</v>
      </c>
      <c r="AC492" s="112">
        <f t="shared" ref="AC492" si="725">+AA492+AB492</f>
        <v>13327</v>
      </c>
      <c r="AD492" s="111">
        <v>2043</v>
      </c>
      <c r="AE492" s="112">
        <f t="shared" ref="AE492" si="726">+AC492+AD492</f>
        <v>15370</v>
      </c>
      <c r="AF492" s="111">
        <v>1150</v>
      </c>
      <c r="AG492" s="112">
        <f t="shared" ref="AG492" si="727">+AE492+AF492</f>
        <v>16520</v>
      </c>
      <c r="AH492" s="111">
        <v>1111</v>
      </c>
      <c r="AI492" s="112">
        <f>SUM(AG492:AH492)</f>
        <v>17631</v>
      </c>
      <c r="AJ492" s="69"/>
      <c r="AK492" s="167"/>
      <c r="AL492" s="327"/>
      <c r="AM492" s="158"/>
      <c r="AO492" s="115"/>
    </row>
    <row r="493" spans="1:41" ht="12.95" thickTop="1"/>
    <row r="494" spans="1:41" s="89" customFormat="1" ht="20.45" thickBot="1">
      <c r="A494" s="114" t="s">
        <v>128</v>
      </c>
      <c r="L494" s="90"/>
      <c r="M494" s="90"/>
      <c r="N494" s="90"/>
      <c r="O494" s="90"/>
      <c r="P494" s="90"/>
      <c r="Q494" s="90"/>
      <c r="R494" s="90"/>
      <c r="S494" s="90"/>
      <c r="T494" s="90"/>
      <c r="U494" s="90"/>
      <c r="V494" s="90"/>
      <c r="W494" s="90"/>
      <c r="X494" s="90"/>
      <c r="Y494" s="90"/>
      <c r="Z494" s="90"/>
      <c r="AA494" s="90"/>
      <c r="AB494" s="90"/>
      <c r="AC494" s="90"/>
      <c r="AD494" s="90"/>
      <c r="AE494" s="90"/>
      <c r="AF494" s="90"/>
      <c r="AG494" s="90"/>
      <c r="AH494" s="90"/>
      <c r="AI494" s="90"/>
      <c r="AJ494" s="90"/>
      <c r="AK494" s="90"/>
      <c r="AL494" s="90"/>
      <c r="AM494" s="90"/>
    </row>
    <row r="495" spans="1:41" s="94" customFormat="1" ht="22.9" customHeight="1" thickTop="1">
      <c r="A495" s="311" t="s">
        <v>10</v>
      </c>
      <c r="B495" s="311" t="s">
        <v>11</v>
      </c>
      <c r="C495" s="311" t="s">
        <v>12</v>
      </c>
      <c r="D495" s="241" t="s">
        <v>13</v>
      </c>
      <c r="E495" s="241" t="s">
        <v>14</v>
      </c>
      <c r="F495" s="241" t="s">
        <v>15</v>
      </c>
      <c r="G495" s="241" t="s">
        <v>16</v>
      </c>
      <c r="H495" s="241" t="s">
        <v>17</v>
      </c>
      <c r="I495" s="241" t="s">
        <v>118</v>
      </c>
      <c r="J495" s="241" t="s">
        <v>19</v>
      </c>
      <c r="K495" s="241" t="s">
        <v>20</v>
      </c>
      <c r="L495" s="241" t="s">
        <v>21</v>
      </c>
      <c r="M495" s="241" t="s">
        <v>22</v>
      </c>
      <c r="N495" s="241" t="s">
        <v>23</v>
      </c>
      <c r="O495" s="311" t="s">
        <v>24</v>
      </c>
      <c r="P495" s="241" t="s">
        <v>25</v>
      </c>
      <c r="Q495" s="241" t="s">
        <v>26</v>
      </c>
      <c r="R495" s="241" t="s">
        <v>27</v>
      </c>
      <c r="S495" s="241" t="s">
        <v>28</v>
      </c>
      <c r="T495" s="241" t="s">
        <v>29</v>
      </c>
      <c r="U495" s="311" t="s">
        <v>30</v>
      </c>
      <c r="V495" s="311" t="s">
        <v>31</v>
      </c>
      <c r="W495" s="241" t="s">
        <v>32</v>
      </c>
      <c r="X495" s="339" t="s">
        <v>33</v>
      </c>
      <c r="Y495" s="241" t="s">
        <v>34</v>
      </c>
      <c r="Z495" s="241" t="s">
        <v>35</v>
      </c>
      <c r="AA495" s="241" t="s">
        <v>36</v>
      </c>
      <c r="AB495" s="241" t="s">
        <v>37</v>
      </c>
      <c r="AC495" s="241" t="s">
        <v>38</v>
      </c>
      <c r="AD495" s="241" t="s">
        <v>39</v>
      </c>
      <c r="AE495" s="241" t="s">
        <v>40</v>
      </c>
      <c r="AF495" s="311" t="s">
        <v>41</v>
      </c>
      <c r="AG495" s="241" t="s">
        <v>42</v>
      </c>
      <c r="AH495" s="241" t="s">
        <v>43</v>
      </c>
      <c r="AI495" s="241" t="s">
        <v>143</v>
      </c>
      <c r="AJ495" s="241" t="s">
        <v>45</v>
      </c>
      <c r="AK495" s="241" t="s">
        <v>46</v>
      </c>
      <c r="AL495" s="241" t="s">
        <v>47</v>
      </c>
      <c r="AM495" s="241" t="s">
        <v>48</v>
      </c>
    </row>
    <row r="496" spans="1:41" s="94" customFormat="1" ht="22.9" customHeight="1" thickBot="1">
      <c r="A496" s="314"/>
      <c r="B496" s="314"/>
      <c r="C496" s="314"/>
      <c r="D496" s="242"/>
      <c r="E496" s="242"/>
      <c r="F496" s="242"/>
      <c r="G496" s="242"/>
      <c r="H496" s="242"/>
      <c r="I496" s="242"/>
      <c r="J496" s="242"/>
      <c r="K496" s="242"/>
      <c r="L496" s="313"/>
      <c r="M496" s="242"/>
      <c r="N496" s="242"/>
      <c r="O496" s="314"/>
      <c r="P496" s="242"/>
      <c r="Q496" s="242"/>
      <c r="R496" s="242"/>
      <c r="S496" s="310"/>
      <c r="T496" s="242"/>
      <c r="U496" s="312"/>
      <c r="V496" s="312"/>
      <c r="W496" s="310"/>
      <c r="X496" s="340"/>
      <c r="Y496" s="242"/>
      <c r="Z496" s="310"/>
      <c r="AA496" s="310"/>
      <c r="AB496" s="310"/>
      <c r="AC496" s="310"/>
      <c r="AD496" s="310"/>
      <c r="AE496" s="310"/>
      <c r="AF496" s="312"/>
      <c r="AG496" s="310"/>
      <c r="AH496" s="242"/>
      <c r="AI496" s="242">
        <v>2018</v>
      </c>
      <c r="AJ496" s="242"/>
      <c r="AK496" s="328"/>
      <c r="AL496" s="242"/>
      <c r="AM496" s="242"/>
    </row>
    <row r="497" spans="1:39" s="94" customFormat="1" ht="22.9" customHeight="1" thickTop="1">
      <c r="A497" s="329" t="s">
        <v>199</v>
      </c>
      <c r="B497" s="332" t="s">
        <v>64</v>
      </c>
      <c r="C497" s="335" t="s">
        <v>121</v>
      </c>
      <c r="D497" s="338" t="s">
        <v>122</v>
      </c>
      <c r="E497" s="338" t="s">
        <v>200</v>
      </c>
      <c r="F497" s="344" t="s">
        <v>201</v>
      </c>
      <c r="G497" s="344" t="s">
        <v>202</v>
      </c>
      <c r="H497" s="344" t="s">
        <v>203</v>
      </c>
      <c r="I497" s="348">
        <f>+L498</f>
        <v>0.985553772070626</v>
      </c>
      <c r="J497" s="351">
        <v>0.1</v>
      </c>
      <c r="K497" s="315" t="s">
        <v>124</v>
      </c>
      <c r="L497" s="95" t="s">
        <v>57</v>
      </c>
      <c r="M497" s="96" t="s">
        <v>57</v>
      </c>
      <c r="N497" s="96" t="s">
        <v>57</v>
      </c>
      <c r="O497" s="97" t="s">
        <v>57</v>
      </c>
      <c r="P497" s="96" t="s">
        <v>57</v>
      </c>
      <c r="Q497" s="98" t="s">
        <v>57</v>
      </c>
      <c r="R497" s="96" t="s">
        <v>57</v>
      </c>
      <c r="S497" s="98" t="s">
        <v>57</v>
      </c>
      <c r="T497" s="96" t="s">
        <v>57</v>
      </c>
      <c r="U497" s="98" t="s">
        <v>57</v>
      </c>
      <c r="V497" s="96" t="s">
        <v>57</v>
      </c>
      <c r="W497" s="98" t="s">
        <v>57</v>
      </c>
      <c r="X497" s="96" t="s">
        <v>57</v>
      </c>
      <c r="Y497" s="98" t="s">
        <v>57</v>
      </c>
      <c r="Z497" s="96" t="s">
        <v>57</v>
      </c>
      <c r="AA497" s="98" t="s">
        <v>57</v>
      </c>
      <c r="AB497" s="96" t="s">
        <v>57</v>
      </c>
      <c r="AC497" s="98" t="s">
        <v>57</v>
      </c>
      <c r="AD497" s="96" t="s">
        <v>57</v>
      </c>
      <c r="AE497" s="98" t="s">
        <v>57</v>
      </c>
      <c r="AF497" s="96" t="s">
        <v>57</v>
      </c>
      <c r="AG497" s="98" t="s">
        <v>57</v>
      </c>
      <c r="AH497" s="96" t="s">
        <v>57</v>
      </c>
      <c r="AI497" s="98" t="s">
        <v>57</v>
      </c>
      <c r="AJ497" s="67"/>
      <c r="AK497" s="165" t="s">
        <v>72</v>
      </c>
      <c r="AL497" s="325"/>
      <c r="AM497" s="156" t="s">
        <v>125</v>
      </c>
    </row>
    <row r="498" spans="1:39" s="94" customFormat="1" ht="22.9" customHeight="1">
      <c r="A498" s="330"/>
      <c r="B498" s="333"/>
      <c r="C498" s="336"/>
      <c r="D498" s="465"/>
      <c r="E498" s="341"/>
      <c r="F498" s="345"/>
      <c r="G498" s="345"/>
      <c r="H498" s="345"/>
      <c r="I498" s="349"/>
      <c r="J498" s="352"/>
      <c r="K498" s="316"/>
      <c r="L498" s="41">
        <f>IF(L500&lt;&gt;0,+L500/L502,0%)</f>
        <v>0.985553772070626</v>
      </c>
      <c r="M498" s="58">
        <f>IF(M500&lt;&gt;0,+M500/M502,0%)</f>
        <v>0.984267453294002</v>
      </c>
      <c r="N498" s="61">
        <f>IF(N500&lt;&gt;0,+N500/N502,0%)</f>
        <v>0.98039215686274506</v>
      </c>
      <c r="O498" s="57">
        <f t="shared" ref="O498" si="728">IF(O500&lt;&gt;0,+O500/O502,0%)</f>
        <v>0.98248407643312097</v>
      </c>
      <c r="P498" s="61">
        <f>IF(P500&lt;&gt;0,ROUND(+P500/P502,4),0%)</f>
        <v>0.98880000000000001</v>
      </c>
      <c r="Q498" s="62">
        <f t="shared" ref="Q498" si="729">IF(Q500&lt;&gt;0,+Q500/Q502,0%)</f>
        <v>0.98488333881038448</v>
      </c>
      <c r="R498" s="63">
        <f>IF(R500&lt;&gt;0,ROUND(+R500/R502,4),0%)</f>
        <v>0.98609999999999998</v>
      </c>
      <c r="S498" s="62">
        <f t="shared" ref="S498" si="730">IF(S500&lt;&gt;0,+S500/S502,0%)</f>
        <v>0.9852330410706045</v>
      </c>
      <c r="T498" s="63">
        <f>IF(T500&lt;&gt;0,ROUND(+T500/T502,4),0%)</f>
        <v>0.98429999999999995</v>
      </c>
      <c r="U498" s="62">
        <f t="shared" ref="U498" si="731">IF(U500&lt;&gt;0,+U500/U502,0%)</f>
        <v>0.98502830016432352</v>
      </c>
      <c r="V498" s="63">
        <f>IF(V500&lt;&gt;0,ROUND(+V500/V502,4),0%)</f>
        <v>0.98570000000000002</v>
      </c>
      <c r="W498" s="62">
        <f t="shared" ref="W498" si="732">IF(W500&lt;&gt;0,+W500/W502,0%)</f>
        <v>0.98511244852708268</v>
      </c>
      <c r="X498" s="63">
        <f>IF(X500&lt;&gt;0,ROUND(+X500/X502,4),0%)</f>
        <v>0.9859</v>
      </c>
      <c r="Y498" s="62">
        <f t="shared" ref="Y498" si="733">IF(Y500&lt;&gt;0,+Y500/Y502,0%)</f>
        <v>0.98526048284625156</v>
      </c>
      <c r="Z498" s="64">
        <f>IF(Z500&lt;&gt;0,ROUND(+Z500/Z502,4),0%)</f>
        <v>0.98780000000000001</v>
      </c>
      <c r="AA498" s="62">
        <f t="shared" ref="AA498" si="734">IF(AA500&lt;&gt;0,+AA500/AA502,0%)</f>
        <v>0.98551881413911058</v>
      </c>
      <c r="AB498" s="63">
        <f>IF(AB500&lt;&gt;0,ROUND(+AB500/AB502,4),0%)</f>
        <v>0.98729999999999996</v>
      </c>
      <c r="AC498" s="62">
        <f t="shared" ref="AC498" si="735">IF(AC500&lt;&gt;0,+AC500/AC502,0%)</f>
        <v>0.98566945606694556</v>
      </c>
      <c r="AD498" s="63">
        <f>IF(AD500&lt;&gt;0,ROUND(+AD500/AD502,4),0%)</f>
        <v>0.98550000000000004</v>
      </c>
      <c r="AE498" s="62">
        <f t="shared" ref="AE498" si="736">IF(AE500&lt;&gt;0,+AE500/AE502,0%)</f>
        <v>0.98565080540640626</v>
      </c>
      <c r="AF498" s="63">
        <f>IF(AF500&lt;&gt;0,ROUND(+AF500/AF502,4),0%)</f>
        <v>0.98709999999999998</v>
      </c>
      <c r="AG498" s="62">
        <f t="shared" ref="AG498" si="737">IF(AG500&lt;&gt;0,+AG500/AG502,0%)</f>
        <v>0.98576085091782462</v>
      </c>
      <c r="AH498" s="63">
        <f>IF(AH500&lt;&gt;0,ROUND(+AH500/AH502,4),0%)</f>
        <v>0.98250000000000004</v>
      </c>
      <c r="AI498" s="62">
        <f>IF(AI500&lt;&gt;0,+AI500/AI502,0%)</f>
        <v>0.985553772070626</v>
      </c>
      <c r="AJ498" s="68"/>
      <c r="AK498" s="166"/>
      <c r="AL498" s="326"/>
      <c r="AM498" s="157"/>
    </row>
    <row r="499" spans="1:39" s="94" customFormat="1" ht="22.9" customHeight="1" thickBot="1">
      <c r="A499" s="330"/>
      <c r="B499" s="333"/>
      <c r="C499" s="336"/>
      <c r="D499" s="465"/>
      <c r="E499" s="341"/>
      <c r="F499" s="345"/>
      <c r="G499" s="345"/>
      <c r="H499" s="345"/>
      <c r="I499" s="349"/>
      <c r="J499" s="352"/>
      <c r="K499" s="317"/>
      <c r="L499" s="99"/>
      <c r="M499" s="101" t="s">
        <v>60</v>
      </c>
      <c r="N499" s="101" t="s">
        <v>60</v>
      </c>
      <c r="O499" s="102" t="s">
        <v>60</v>
      </c>
      <c r="P499" s="101" t="s">
        <v>60</v>
      </c>
      <c r="Q499" s="103" t="s">
        <v>60</v>
      </c>
      <c r="R499" s="101" t="s">
        <v>60</v>
      </c>
      <c r="S499" s="103" t="s">
        <v>60</v>
      </c>
      <c r="T499" s="101" t="s">
        <v>60</v>
      </c>
      <c r="U499" s="103" t="s">
        <v>60</v>
      </c>
      <c r="V499" s="101" t="s">
        <v>60</v>
      </c>
      <c r="W499" s="103" t="s">
        <v>60</v>
      </c>
      <c r="X499" s="101" t="s">
        <v>60</v>
      </c>
      <c r="Y499" s="103" t="s">
        <v>60</v>
      </c>
      <c r="Z499" s="101" t="s">
        <v>60</v>
      </c>
      <c r="AA499" s="103" t="s">
        <v>60</v>
      </c>
      <c r="AB499" s="101" t="s">
        <v>60</v>
      </c>
      <c r="AC499" s="103" t="s">
        <v>60</v>
      </c>
      <c r="AD499" s="101" t="s">
        <v>60</v>
      </c>
      <c r="AE499" s="103" t="s">
        <v>60</v>
      </c>
      <c r="AF499" s="101" t="s">
        <v>60</v>
      </c>
      <c r="AG499" s="103" t="s">
        <v>60</v>
      </c>
      <c r="AH499" s="101" t="s">
        <v>60</v>
      </c>
      <c r="AI499" s="103" t="s">
        <v>60</v>
      </c>
      <c r="AJ499" s="68"/>
      <c r="AK499" s="166"/>
      <c r="AL499" s="326"/>
      <c r="AM499" s="157"/>
    </row>
    <row r="500" spans="1:39" s="94" customFormat="1" ht="22.9" customHeight="1" thickTop="1">
      <c r="A500" s="330"/>
      <c r="B500" s="333"/>
      <c r="C500" s="336"/>
      <c r="D500" s="465"/>
      <c r="E500" s="341"/>
      <c r="F500" s="345"/>
      <c r="G500" s="345"/>
      <c r="H500" s="345"/>
      <c r="I500" s="349"/>
      <c r="J500" s="352"/>
      <c r="K500" s="316" t="s">
        <v>74</v>
      </c>
      <c r="L500" s="104">
        <v>12280</v>
      </c>
      <c r="M500" s="105">
        <v>1001</v>
      </c>
      <c r="N500" s="105">
        <v>850</v>
      </c>
      <c r="O500" s="106">
        <f>+M500+N500</f>
        <v>1851</v>
      </c>
      <c r="P500" s="105">
        <v>1146</v>
      </c>
      <c r="Q500" s="106">
        <f>+O500+P500</f>
        <v>2997</v>
      </c>
      <c r="R500" s="105">
        <v>1273</v>
      </c>
      <c r="S500" s="106">
        <f>+Q500+R500</f>
        <v>4270</v>
      </c>
      <c r="T500" s="105">
        <v>1125</v>
      </c>
      <c r="U500" s="106">
        <f>+S500+T500</f>
        <v>5395</v>
      </c>
      <c r="V500" s="105">
        <v>825</v>
      </c>
      <c r="W500" s="106">
        <f>+U500+V500</f>
        <v>6220</v>
      </c>
      <c r="X500" s="105">
        <v>1534</v>
      </c>
      <c r="Y500" s="106">
        <f>+W500+X500</f>
        <v>7754</v>
      </c>
      <c r="Z500" s="105">
        <v>889</v>
      </c>
      <c r="AA500" s="106">
        <f>+Y500+Z500</f>
        <v>8643</v>
      </c>
      <c r="AB500" s="105">
        <v>780</v>
      </c>
      <c r="AC500" s="106">
        <f>+AA500+AB500</f>
        <v>9423</v>
      </c>
      <c r="AD500" s="105">
        <v>1224</v>
      </c>
      <c r="AE500" s="106">
        <f>+AC500+AD500</f>
        <v>10647</v>
      </c>
      <c r="AF500" s="105">
        <v>845</v>
      </c>
      <c r="AG500" s="106">
        <f>+AE500+AF500</f>
        <v>11492</v>
      </c>
      <c r="AH500" s="105">
        <v>788</v>
      </c>
      <c r="AI500" s="106">
        <f>SUM(AG500:AH500)</f>
        <v>12280</v>
      </c>
      <c r="AJ500" s="29">
        <f>+AI498/L498</f>
        <v>1</v>
      </c>
      <c r="AK500" s="166"/>
      <c r="AL500" s="326"/>
      <c r="AM500" s="157"/>
    </row>
    <row r="501" spans="1:39" s="94" customFormat="1" ht="22.9" customHeight="1">
      <c r="A501" s="330"/>
      <c r="B501" s="333"/>
      <c r="C501" s="336"/>
      <c r="D501" s="465"/>
      <c r="E501" s="341"/>
      <c r="F501" s="345"/>
      <c r="G501" s="345"/>
      <c r="H501" s="345"/>
      <c r="I501" s="349"/>
      <c r="J501" s="352"/>
      <c r="K501" s="347"/>
      <c r="L501" s="99" t="s">
        <v>126</v>
      </c>
      <c r="M501" s="107" t="s">
        <v>62</v>
      </c>
      <c r="N501" s="107" t="s">
        <v>62</v>
      </c>
      <c r="O501" s="108" t="s">
        <v>62</v>
      </c>
      <c r="P501" s="107" t="s">
        <v>62</v>
      </c>
      <c r="Q501" s="109" t="s">
        <v>62</v>
      </c>
      <c r="R501" s="107"/>
      <c r="S501" s="109" t="s">
        <v>62</v>
      </c>
      <c r="T501" s="107" t="s">
        <v>62</v>
      </c>
      <c r="U501" s="109" t="s">
        <v>62</v>
      </c>
      <c r="V501" s="107" t="s">
        <v>62</v>
      </c>
      <c r="W501" s="109" t="s">
        <v>62</v>
      </c>
      <c r="X501" s="107" t="s">
        <v>62</v>
      </c>
      <c r="Y501" s="109" t="s">
        <v>62</v>
      </c>
      <c r="Z501" s="107" t="s">
        <v>62</v>
      </c>
      <c r="AA501" s="109" t="s">
        <v>62</v>
      </c>
      <c r="AB501" s="107" t="s">
        <v>62</v>
      </c>
      <c r="AC501" s="109" t="s">
        <v>62</v>
      </c>
      <c r="AD501" s="107" t="s">
        <v>62</v>
      </c>
      <c r="AE501" s="109" t="s">
        <v>62</v>
      </c>
      <c r="AF501" s="107" t="s">
        <v>62</v>
      </c>
      <c r="AG501" s="109" t="s">
        <v>62</v>
      </c>
      <c r="AH501" s="107" t="s">
        <v>62</v>
      </c>
      <c r="AI501" s="108" t="s">
        <v>62</v>
      </c>
      <c r="AJ501" s="68"/>
      <c r="AK501" s="166"/>
      <c r="AL501" s="326"/>
      <c r="AM501" s="157"/>
    </row>
    <row r="502" spans="1:39" s="94" customFormat="1" ht="22.9" customHeight="1" thickBot="1">
      <c r="A502" s="331"/>
      <c r="B502" s="334"/>
      <c r="C502" s="337"/>
      <c r="D502" s="466"/>
      <c r="E502" s="342"/>
      <c r="F502" s="346"/>
      <c r="G502" s="346"/>
      <c r="H502" s="346"/>
      <c r="I502" s="350"/>
      <c r="J502" s="353"/>
      <c r="K502" s="317"/>
      <c r="L502" s="110">
        <v>12460</v>
      </c>
      <c r="M502" s="111">
        <v>1017</v>
      </c>
      <c r="N502" s="111">
        <v>867</v>
      </c>
      <c r="O502" s="112">
        <f t="shared" ref="O502" si="738">+M502+N502</f>
        <v>1884</v>
      </c>
      <c r="P502" s="111">
        <v>1159</v>
      </c>
      <c r="Q502" s="112">
        <f t="shared" ref="Q502" si="739">+O502+P502</f>
        <v>3043</v>
      </c>
      <c r="R502" s="111">
        <v>1291</v>
      </c>
      <c r="S502" s="112">
        <f t="shared" ref="S502" si="740">+Q502+R502</f>
        <v>4334</v>
      </c>
      <c r="T502" s="111">
        <v>1143</v>
      </c>
      <c r="U502" s="112">
        <f t="shared" ref="U502" si="741">+S502+T502</f>
        <v>5477</v>
      </c>
      <c r="V502" s="111">
        <v>837</v>
      </c>
      <c r="W502" s="112">
        <f t="shared" ref="W502" si="742">+U502+V502</f>
        <v>6314</v>
      </c>
      <c r="X502" s="111">
        <v>1556</v>
      </c>
      <c r="Y502" s="112">
        <f t="shared" ref="Y502" si="743">+W502+X502</f>
        <v>7870</v>
      </c>
      <c r="Z502" s="111">
        <v>900</v>
      </c>
      <c r="AA502" s="112">
        <f t="shared" ref="AA502" si="744">+Y502+Z502</f>
        <v>8770</v>
      </c>
      <c r="AB502" s="111">
        <v>790</v>
      </c>
      <c r="AC502" s="112">
        <f t="shared" ref="AC502" si="745">+AA502+AB502</f>
        <v>9560</v>
      </c>
      <c r="AD502" s="111">
        <v>1242</v>
      </c>
      <c r="AE502" s="112">
        <f t="shared" ref="AE502" si="746">+AC502+AD502</f>
        <v>10802</v>
      </c>
      <c r="AF502" s="111">
        <v>856</v>
      </c>
      <c r="AG502" s="112">
        <f t="shared" ref="AG502" si="747">+AE502+AF502</f>
        <v>11658</v>
      </c>
      <c r="AH502" s="111">
        <v>802</v>
      </c>
      <c r="AI502" s="112">
        <f>SUM(AG502:AH502)</f>
        <v>12460</v>
      </c>
      <c r="AJ502" s="69"/>
      <c r="AK502" s="167"/>
      <c r="AL502" s="327"/>
      <c r="AM502" s="158"/>
    </row>
    <row r="503" spans="1:39" ht="12.95" thickTop="1"/>
    <row r="506" spans="1:39" s="89" customFormat="1" ht="15.6">
      <c r="C506" s="343" t="s">
        <v>204</v>
      </c>
      <c r="D506" s="343"/>
      <c r="E506" s="343"/>
      <c r="F506" s="343"/>
      <c r="G506" s="343"/>
      <c r="H506" s="343"/>
      <c r="I506" s="343"/>
      <c r="J506" s="343"/>
      <c r="K506" s="343"/>
      <c r="L506" s="93"/>
      <c r="M506" s="81"/>
      <c r="N506" s="93"/>
      <c r="O506" s="81"/>
      <c r="P506" s="93"/>
      <c r="Q506" s="81"/>
      <c r="R506" s="93"/>
      <c r="S506" s="81"/>
      <c r="T506" s="93"/>
      <c r="U506" s="81"/>
      <c r="V506" s="93"/>
      <c r="W506" s="81"/>
      <c r="X506" s="93"/>
      <c r="Y506" s="81"/>
      <c r="Z506" s="93"/>
      <c r="AA506" s="81"/>
      <c r="AB506" s="93"/>
      <c r="AC506" s="81"/>
      <c r="AD506" s="93"/>
      <c r="AE506" s="81"/>
      <c r="AF506" s="93"/>
      <c r="AG506" s="81"/>
      <c r="AH506" s="93"/>
      <c r="AI506" s="81"/>
      <c r="AJ506" s="121"/>
      <c r="AK506" s="90"/>
      <c r="AL506" s="90"/>
      <c r="AM506" s="90"/>
    </row>
    <row r="507" spans="1:39" s="89" customFormat="1" ht="15.95" thickBot="1">
      <c r="L507" s="90"/>
      <c r="M507" s="90"/>
      <c r="N507" s="90"/>
      <c r="O507" s="90"/>
      <c r="P507" s="90"/>
      <c r="Q507" s="90"/>
      <c r="R507" s="90"/>
      <c r="S507" s="90"/>
      <c r="T507" s="90"/>
      <c r="U507" s="90"/>
      <c r="V507" s="90"/>
      <c r="W507" s="90"/>
      <c r="X507" s="90"/>
      <c r="Y507" s="90"/>
      <c r="Z507" s="90"/>
      <c r="AA507" s="90"/>
      <c r="AB507" s="90"/>
      <c r="AC507" s="90"/>
      <c r="AD507" s="90"/>
      <c r="AE507" s="90"/>
      <c r="AF507" s="90"/>
      <c r="AG507" s="90"/>
      <c r="AH507" s="90"/>
      <c r="AI507" s="90"/>
      <c r="AJ507" s="90"/>
      <c r="AK507" s="90"/>
      <c r="AL507" s="90"/>
      <c r="AM507" s="90"/>
    </row>
    <row r="508" spans="1:39" s="94" customFormat="1" ht="22.9" customHeight="1" thickTop="1">
      <c r="A508" s="311" t="s">
        <v>10</v>
      </c>
      <c r="B508" s="311" t="s">
        <v>11</v>
      </c>
      <c r="C508" s="311" t="s">
        <v>12</v>
      </c>
      <c r="D508" s="241" t="s">
        <v>13</v>
      </c>
      <c r="E508" s="241" t="s">
        <v>14</v>
      </c>
      <c r="F508" s="241" t="s">
        <v>15</v>
      </c>
      <c r="G508" s="241" t="s">
        <v>16</v>
      </c>
      <c r="H508" s="241" t="s">
        <v>17</v>
      </c>
      <c r="I508" s="241" t="s">
        <v>118</v>
      </c>
      <c r="J508" s="241" t="s">
        <v>19</v>
      </c>
      <c r="K508" s="241" t="s">
        <v>20</v>
      </c>
      <c r="L508" s="241" t="s">
        <v>21</v>
      </c>
      <c r="M508" s="241" t="s">
        <v>22</v>
      </c>
      <c r="N508" s="241" t="s">
        <v>23</v>
      </c>
      <c r="O508" s="311" t="s">
        <v>24</v>
      </c>
      <c r="P508" s="241" t="s">
        <v>25</v>
      </c>
      <c r="Q508" s="241" t="s">
        <v>26</v>
      </c>
      <c r="R508" s="241" t="s">
        <v>27</v>
      </c>
      <c r="S508" s="241" t="s">
        <v>28</v>
      </c>
      <c r="T508" s="241" t="s">
        <v>29</v>
      </c>
      <c r="U508" s="311" t="s">
        <v>30</v>
      </c>
      <c r="V508" s="311" t="s">
        <v>31</v>
      </c>
      <c r="W508" s="241" t="s">
        <v>32</v>
      </c>
      <c r="X508" s="339" t="s">
        <v>33</v>
      </c>
      <c r="Y508" s="241" t="s">
        <v>34</v>
      </c>
      <c r="Z508" s="241" t="s">
        <v>35</v>
      </c>
      <c r="AA508" s="241" t="s">
        <v>36</v>
      </c>
      <c r="AB508" s="241" t="s">
        <v>37</v>
      </c>
      <c r="AC508" s="241" t="s">
        <v>38</v>
      </c>
      <c r="AD508" s="241" t="s">
        <v>39</v>
      </c>
      <c r="AE508" s="241" t="s">
        <v>40</v>
      </c>
      <c r="AF508" s="311" t="s">
        <v>41</v>
      </c>
      <c r="AG508" s="241" t="s">
        <v>42</v>
      </c>
      <c r="AH508" s="241" t="s">
        <v>43</v>
      </c>
      <c r="AI508" s="241" t="s">
        <v>143</v>
      </c>
      <c r="AJ508" s="241" t="s">
        <v>45</v>
      </c>
      <c r="AK508" s="241" t="s">
        <v>46</v>
      </c>
      <c r="AL508" s="241" t="s">
        <v>47</v>
      </c>
      <c r="AM508" s="241" t="s">
        <v>48</v>
      </c>
    </row>
    <row r="509" spans="1:39" s="94" customFormat="1" ht="22.9" customHeight="1" thickBot="1">
      <c r="A509" s="314"/>
      <c r="B509" s="314"/>
      <c r="C509" s="314"/>
      <c r="D509" s="242"/>
      <c r="E509" s="242"/>
      <c r="F509" s="242"/>
      <c r="G509" s="242"/>
      <c r="H509" s="242"/>
      <c r="I509" s="242"/>
      <c r="J509" s="242"/>
      <c r="K509" s="242"/>
      <c r="L509" s="313"/>
      <c r="M509" s="242"/>
      <c r="N509" s="242"/>
      <c r="O509" s="314"/>
      <c r="P509" s="242"/>
      <c r="Q509" s="242"/>
      <c r="R509" s="242"/>
      <c r="S509" s="310"/>
      <c r="T509" s="242"/>
      <c r="U509" s="312"/>
      <c r="V509" s="312"/>
      <c r="W509" s="310"/>
      <c r="X509" s="340"/>
      <c r="Y509" s="242"/>
      <c r="Z509" s="310"/>
      <c r="AA509" s="310"/>
      <c r="AB509" s="310"/>
      <c r="AC509" s="310"/>
      <c r="AD509" s="310"/>
      <c r="AE509" s="310"/>
      <c r="AF509" s="312"/>
      <c r="AG509" s="310"/>
      <c r="AH509" s="242"/>
      <c r="AI509" s="242">
        <v>2018</v>
      </c>
      <c r="AJ509" s="242"/>
      <c r="AK509" s="328"/>
      <c r="AL509" s="242"/>
      <c r="AM509" s="242"/>
    </row>
    <row r="510" spans="1:39" s="94" customFormat="1" ht="22.9" customHeight="1" thickTop="1">
      <c r="A510" s="329" t="s">
        <v>205</v>
      </c>
      <c r="B510" s="332" t="s">
        <v>64</v>
      </c>
      <c r="C510" s="335" t="s">
        <v>206</v>
      </c>
      <c r="D510" s="338" t="s">
        <v>122</v>
      </c>
      <c r="E510" s="338" t="s">
        <v>207</v>
      </c>
      <c r="F510" s="344" t="s">
        <v>208</v>
      </c>
      <c r="G510" s="344" t="s">
        <v>209</v>
      </c>
      <c r="H510" s="344" t="s">
        <v>208</v>
      </c>
      <c r="I510" s="159">
        <f>+L511</f>
        <v>0.96380584481021159</v>
      </c>
      <c r="J510" s="221">
        <v>0.1</v>
      </c>
      <c r="K510" s="315" t="s">
        <v>124</v>
      </c>
      <c r="L510" s="96" t="s">
        <v>57</v>
      </c>
      <c r="M510" s="96" t="s">
        <v>57</v>
      </c>
      <c r="N510" s="96" t="s">
        <v>57</v>
      </c>
      <c r="O510" s="97" t="s">
        <v>57</v>
      </c>
      <c r="P510" s="96" t="s">
        <v>57</v>
      </c>
      <c r="Q510" s="98" t="s">
        <v>57</v>
      </c>
      <c r="R510" s="96" t="s">
        <v>57</v>
      </c>
      <c r="S510" s="98" t="s">
        <v>57</v>
      </c>
      <c r="T510" s="96" t="s">
        <v>57</v>
      </c>
      <c r="U510" s="98" t="s">
        <v>57</v>
      </c>
      <c r="V510" s="96" t="s">
        <v>57</v>
      </c>
      <c r="W510" s="98" t="s">
        <v>57</v>
      </c>
      <c r="X510" s="96" t="s">
        <v>57</v>
      </c>
      <c r="Y510" s="98" t="s">
        <v>57</v>
      </c>
      <c r="Z510" s="96" t="s">
        <v>57</v>
      </c>
      <c r="AA510" s="98" t="s">
        <v>57</v>
      </c>
      <c r="AB510" s="96" t="s">
        <v>57</v>
      </c>
      <c r="AC510" s="98" t="s">
        <v>57</v>
      </c>
      <c r="AD510" s="96" t="s">
        <v>57</v>
      </c>
      <c r="AE510" s="98" t="s">
        <v>57</v>
      </c>
      <c r="AF510" s="96" t="s">
        <v>57</v>
      </c>
      <c r="AG510" s="98" t="s">
        <v>57</v>
      </c>
      <c r="AH510" s="96" t="s">
        <v>57</v>
      </c>
      <c r="AI510" s="98" t="s">
        <v>57</v>
      </c>
      <c r="AJ510" s="67"/>
      <c r="AK510" s="165" t="s">
        <v>72</v>
      </c>
      <c r="AL510" s="325"/>
      <c r="AM510" s="156" t="s">
        <v>125</v>
      </c>
    </row>
    <row r="511" spans="1:39" s="94" customFormat="1" ht="22.9" customHeight="1">
      <c r="A511" s="330"/>
      <c r="B511" s="333"/>
      <c r="C511" s="336"/>
      <c r="D511" s="465"/>
      <c r="E511" s="465"/>
      <c r="F511" s="345"/>
      <c r="G511" s="345"/>
      <c r="H511" s="345"/>
      <c r="I511" s="321"/>
      <c r="J511" s="323"/>
      <c r="K511" s="316"/>
      <c r="L511" s="41">
        <f>IF(L513&lt;&gt;0,+L513/L515,0%)</f>
        <v>0.96380584481021159</v>
      </c>
      <c r="M511" s="58">
        <f>IF(M513&lt;&gt;0,+M513/M515,0%)</f>
        <v>0.97088607594936704</v>
      </c>
      <c r="N511" s="61">
        <f>IF(N513&lt;&gt;0,+N513/N515,0%)</f>
        <v>0.9705641864268193</v>
      </c>
      <c r="O511" s="57">
        <f t="shared" ref="O511" si="748">IF(O513&lt;&gt;0,+O513/O515,0%)</f>
        <v>0.97073106706916923</v>
      </c>
      <c r="P511" s="61">
        <f>IF(P513&lt;&gt;0,ROUND(+P513/P515,4),0%)</f>
        <v>0.96299999999999997</v>
      </c>
      <c r="Q511" s="62">
        <f t="shared" ref="Q511" si="749">IF(Q513&lt;&gt;0,+Q513/Q515,0%)</f>
        <v>0.96791399283273605</v>
      </c>
      <c r="R511" s="63">
        <f>IF(R513&lt;&gt;0,ROUND(+R513/R515,4),0%)</f>
        <v>0.96760000000000002</v>
      </c>
      <c r="S511" s="62">
        <f t="shared" ref="S511" si="750">IF(S513&lt;&gt;0,+S513/S515,0%)</f>
        <v>0.96784606620672198</v>
      </c>
      <c r="T511" s="63">
        <f>IF(T513&lt;&gt;0,ROUND(+T513/T515,4),0%)</f>
        <v>0.95209999999999995</v>
      </c>
      <c r="U511" s="62">
        <f t="shared" ref="U511" si="751">IF(U513&lt;&gt;0,+U513/U515,0%)</f>
        <v>0.96456317979048667</v>
      </c>
      <c r="V511" s="63">
        <f>IF(V513&lt;&gt;0,ROUND(+V513/V515,4),0%)</f>
        <v>0.9698</v>
      </c>
      <c r="W511" s="62">
        <f t="shared" ref="W511" si="752">IF(W513&lt;&gt;0,+W513/W515,0%)</f>
        <v>0.96531742284414301</v>
      </c>
      <c r="X511" s="63">
        <f>IF(X513&lt;&gt;0,ROUND(+X513/X515,4),0%)</f>
        <v>0.93789999999999996</v>
      </c>
      <c r="Y511" s="62">
        <f t="shared" ref="Y511" si="753">IF(Y513&lt;&gt;0,+Y513/Y515,0%)</f>
        <v>0.95989120705088482</v>
      </c>
      <c r="Z511" s="64">
        <f>IF(Z513&lt;&gt;0,ROUND(+Z513/Z515,4),0%)</f>
        <v>0.97040000000000004</v>
      </c>
      <c r="AA511" s="62">
        <f t="shared" ref="AA511" si="754">IF(AA513&lt;&gt;0,+AA513/AA515,0%)</f>
        <v>0.96105723637921014</v>
      </c>
      <c r="AB511" s="63">
        <f>IF(AB513&lt;&gt;0,ROUND(+AB513/AB515,4),0%)</f>
        <v>0.97040000000000004</v>
      </c>
      <c r="AC511" s="62">
        <f t="shared" ref="AC511" si="755">IF(AC513&lt;&gt;0,+AC513/AC515,0%)</f>
        <v>0.96186298614215471</v>
      </c>
      <c r="AD511" s="63">
        <f>IF(AD513&lt;&gt;0,ROUND(+AD513/AD515,4),0%)</f>
        <v>0.96960000000000002</v>
      </c>
      <c r="AE511" s="62">
        <f t="shared" ref="AE511" si="756">IF(AE513&lt;&gt;0,+AE513/AE515,0%)</f>
        <v>0.96281881823077298</v>
      </c>
      <c r="AF511" s="63">
        <f>IF(AF513&lt;&gt;0,ROUND(+AF513/AF515,4),0%)</f>
        <v>0.96860000000000002</v>
      </c>
      <c r="AG511" s="62">
        <f t="shared" ref="AG511" si="757">IF(AG513&lt;&gt;0,+AG513/AG515,0%)</f>
        <v>0.96327543424317619</v>
      </c>
      <c r="AH511" s="63">
        <f>IF(AH513&lt;&gt;0,ROUND(+AH513/AH515,4),0%)</f>
        <v>0.97089999999999999</v>
      </c>
      <c r="AI511" s="62">
        <f>IF(AI513&lt;&gt;0,+AI513/AI515,0%)</f>
        <v>0.96380584481021159</v>
      </c>
      <c r="AJ511" s="68"/>
      <c r="AK511" s="166"/>
      <c r="AL511" s="326"/>
      <c r="AM511" s="157"/>
    </row>
    <row r="512" spans="1:39" s="94" customFormat="1" ht="22.9" customHeight="1" thickBot="1">
      <c r="A512" s="330"/>
      <c r="B512" s="333"/>
      <c r="C512" s="336"/>
      <c r="D512" s="465"/>
      <c r="E512" s="465"/>
      <c r="F512" s="345"/>
      <c r="G512" s="345"/>
      <c r="H512" s="345"/>
      <c r="I512" s="321"/>
      <c r="J512" s="323"/>
      <c r="K512" s="317"/>
      <c r="L512" s="101" t="s">
        <v>60</v>
      </c>
      <c r="M512" s="101" t="s">
        <v>60</v>
      </c>
      <c r="N512" s="101" t="s">
        <v>60</v>
      </c>
      <c r="O512" s="102" t="s">
        <v>60</v>
      </c>
      <c r="P512" s="101" t="s">
        <v>60</v>
      </c>
      <c r="Q512" s="103" t="s">
        <v>60</v>
      </c>
      <c r="R512" s="101" t="s">
        <v>60</v>
      </c>
      <c r="S512" s="103" t="s">
        <v>60</v>
      </c>
      <c r="T512" s="101" t="s">
        <v>60</v>
      </c>
      <c r="U512" s="103" t="s">
        <v>60</v>
      </c>
      <c r="V512" s="101" t="s">
        <v>60</v>
      </c>
      <c r="W512" s="103" t="s">
        <v>60</v>
      </c>
      <c r="X512" s="101" t="s">
        <v>60</v>
      </c>
      <c r="Y512" s="103" t="s">
        <v>60</v>
      </c>
      <c r="Z512" s="101" t="s">
        <v>60</v>
      </c>
      <c r="AA512" s="103" t="s">
        <v>60</v>
      </c>
      <c r="AB512" s="101" t="s">
        <v>60</v>
      </c>
      <c r="AC512" s="103" t="s">
        <v>60</v>
      </c>
      <c r="AD512" s="101" t="s">
        <v>60</v>
      </c>
      <c r="AE512" s="103" t="s">
        <v>60</v>
      </c>
      <c r="AF512" s="101" t="s">
        <v>60</v>
      </c>
      <c r="AG512" s="103" t="s">
        <v>60</v>
      </c>
      <c r="AH512" s="101" t="s">
        <v>60</v>
      </c>
      <c r="AI512" s="103" t="s">
        <v>60</v>
      </c>
      <c r="AJ512" s="68"/>
      <c r="AK512" s="166"/>
      <c r="AL512" s="326"/>
      <c r="AM512" s="157"/>
    </row>
    <row r="513" spans="1:41" s="94" customFormat="1" ht="22.9" customHeight="1" thickTop="1">
      <c r="A513" s="330"/>
      <c r="B513" s="333"/>
      <c r="C513" s="336"/>
      <c r="D513" s="465"/>
      <c r="E513" s="465"/>
      <c r="F513" s="345"/>
      <c r="G513" s="345"/>
      <c r="H513" s="345"/>
      <c r="I513" s="321"/>
      <c r="J513" s="323"/>
      <c r="K513" s="315" t="s">
        <v>74</v>
      </c>
      <c r="L513" s="104">
        <v>45908</v>
      </c>
      <c r="M513" s="105">
        <v>3835</v>
      </c>
      <c r="N513" s="105">
        <v>3561</v>
      </c>
      <c r="O513" s="106">
        <f>+M513+N513</f>
        <v>7396</v>
      </c>
      <c r="P513" s="105">
        <v>4218</v>
      </c>
      <c r="Q513" s="106">
        <f>+O513+P513</f>
        <v>11614</v>
      </c>
      <c r="R513" s="105">
        <v>3677</v>
      </c>
      <c r="S513" s="106">
        <f>+Q513+R513</f>
        <v>15291</v>
      </c>
      <c r="T513" s="105">
        <v>3953</v>
      </c>
      <c r="U513" s="106">
        <f>+S513+T513</f>
        <v>19244</v>
      </c>
      <c r="V513" s="105">
        <v>3245</v>
      </c>
      <c r="W513" s="106">
        <f>+U513+V513</f>
        <v>22489</v>
      </c>
      <c r="X513" s="105">
        <v>5392</v>
      </c>
      <c r="Y513" s="106">
        <f>+W513+X513</f>
        <v>27881</v>
      </c>
      <c r="Z513" s="105">
        <v>3535</v>
      </c>
      <c r="AA513" s="106">
        <f>+Y513+Z513</f>
        <v>31416</v>
      </c>
      <c r="AB513" s="105">
        <v>3011</v>
      </c>
      <c r="AC513" s="106">
        <f>+AA513+AB513</f>
        <v>34427</v>
      </c>
      <c r="AD513" s="105">
        <v>4908</v>
      </c>
      <c r="AE513" s="106">
        <f>+AC513+AD513</f>
        <v>39335</v>
      </c>
      <c r="AF513" s="105">
        <v>3367</v>
      </c>
      <c r="AG513" s="106">
        <f>+AE513+AF513</f>
        <v>42702</v>
      </c>
      <c r="AH513" s="105">
        <v>3206</v>
      </c>
      <c r="AI513" s="106">
        <f>+AG513+AH513</f>
        <v>45908</v>
      </c>
      <c r="AJ513" s="29">
        <f>+AI511/L511</f>
        <v>1</v>
      </c>
      <c r="AK513" s="166"/>
      <c r="AL513" s="326"/>
      <c r="AM513" s="157"/>
    </row>
    <row r="514" spans="1:41" s="94" customFormat="1" ht="22.9" customHeight="1">
      <c r="A514" s="330"/>
      <c r="B514" s="333"/>
      <c r="C514" s="336"/>
      <c r="D514" s="465"/>
      <c r="E514" s="465"/>
      <c r="F514" s="345"/>
      <c r="G514" s="345"/>
      <c r="H514" s="345"/>
      <c r="I514" s="321"/>
      <c r="J514" s="323"/>
      <c r="K514" s="316"/>
      <c r="L514" s="99" t="s">
        <v>126</v>
      </c>
      <c r="M514" s="107" t="s">
        <v>62</v>
      </c>
      <c r="N514" s="107" t="s">
        <v>62</v>
      </c>
      <c r="O514" s="108" t="s">
        <v>62</v>
      </c>
      <c r="P514" s="107" t="s">
        <v>62</v>
      </c>
      <c r="Q514" s="109" t="s">
        <v>62</v>
      </c>
      <c r="R514" s="107" t="s">
        <v>62</v>
      </c>
      <c r="S514" s="109" t="s">
        <v>62</v>
      </c>
      <c r="T514" s="107" t="s">
        <v>62</v>
      </c>
      <c r="U514" s="109" t="s">
        <v>62</v>
      </c>
      <c r="V514" s="107" t="s">
        <v>62</v>
      </c>
      <c r="W514" s="109" t="s">
        <v>62</v>
      </c>
      <c r="X514" s="107" t="s">
        <v>62</v>
      </c>
      <c r="Y514" s="109" t="s">
        <v>62</v>
      </c>
      <c r="Z514" s="107" t="s">
        <v>62</v>
      </c>
      <c r="AA514" s="109" t="s">
        <v>62</v>
      </c>
      <c r="AB514" s="107" t="s">
        <v>62</v>
      </c>
      <c r="AC514" s="109" t="s">
        <v>62</v>
      </c>
      <c r="AD514" s="107" t="s">
        <v>62</v>
      </c>
      <c r="AE514" s="109" t="s">
        <v>62</v>
      </c>
      <c r="AF514" s="107" t="s">
        <v>62</v>
      </c>
      <c r="AG514" s="109" t="s">
        <v>62</v>
      </c>
      <c r="AH514" s="107" t="s">
        <v>62</v>
      </c>
      <c r="AI514" s="109" t="s">
        <v>62</v>
      </c>
      <c r="AJ514" s="68"/>
      <c r="AK514" s="166"/>
      <c r="AL514" s="326"/>
      <c r="AM514" s="157"/>
    </row>
    <row r="515" spans="1:41" s="94" customFormat="1" ht="22.9" customHeight="1" thickBot="1">
      <c r="A515" s="331"/>
      <c r="B515" s="334"/>
      <c r="C515" s="337"/>
      <c r="D515" s="466"/>
      <c r="E515" s="466"/>
      <c r="F515" s="346"/>
      <c r="G515" s="346"/>
      <c r="H515" s="346"/>
      <c r="I515" s="322"/>
      <c r="J515" s="324"/>
      <c r="K515" s="317"/>
      <c r="L515" s="110">
        <v>47632</v>
      </c>
      <c r="M515" s="111">
        <v>3950</v>
      </c>
      <c r="N515" s="111">
        <v>3669</v>
      </c>
      <c r="O515" s="112">
        <f>+M515+N515</f>
        <v>7619</v>
      </c>
      <c r="P515" s="111">
        <v>4380</v>
      </c>
      <c r="Q515" s="112">
        <f>+O515+P515</f>
        <v>11999</v>
      </c>
      <c r="R515" s="111">
        <v>3800</v>
      </c>
      <c r="S515" s="112">
        <f>+Q515+R515</f>
        <v>15799</v>
      </c>
      <c r="T515" s="111">
        <v>4152</v>
      </c>
      <c r="U515" s="112">
        <f>+S515+T515</f>
        <v>19951</v>
      </c>
      <c r="V515" s="111">
        <v>3346</v>
      </c>
      <c r="W515" s="112">
        <f>+U515+V515</f>
        <v>23297</v>
      </c>
      <c r="X515" s="111">
        <v>5749</v>
      </c>
      <c r="Y515" s="112">
        <f>+W515+X515</f>
        <v>29046</v>
      </c>
      <c r="Z515" s="111">
        <v>3643</v>
      </c>
      <c r="AA515" s="112">
        <f>+Y515+Z515</f>
        <v>32689</v>
      </c>
      <c r="AB515" s="111">
        <v>3103</v>
      </c>
      <c r="AC515" s="112">
        <f>+AA515+AB515</f>
        <v>35792</v>
      </c>
      <c r="AD515" s="111">
        <v>5062</v>
      </c>
      <c r="AE515" s="112">
        <f>+AC515+AD515</f>
        <v>40854</v>
      </c>
      <c r="AF515" s="111">
        <v>3476</v>
      </c>
      <c r="AG515" s="112">
        <f>+AE515+AF515</f>
        <v>44330</v>
      </c>
      <c r="AH515" s="111">
        <v>3302</v>
      </c>
      <c r="AI515" s="112">
        <f>+AG515+AH515</f>
        <v>47632</v>
      </c>
      <c r="AJ515" s="69"/>
      <c r="AK515" s="167"/>
      <c r="AL515" s="327"/>
      <c r="AM515" s="158"/>
    </row>
    <row r="516" spans="1:41" ht="12.95" thickTop="1"/>
    <row r="517" spans="1:41" s="89" customFormat="1" ht="20.45" thickBot="1">
      <c r="A517" s="114" t="s">
        <v>127</v>
      </c>
      <c r="L517" s="90"/>
      <c r="M517" s="90"/>
      <c r="N517" s="90"/>
      <c r="O517" s="90"/>
      <c r="P517" s="90"/>
      <c r="Q517" s="90"/>
      <c r="R517" s="90"/>
      <c r="S517" s="90"/>
      <c r="T517" s="90"/>
      <c r="U517" s="90"/>
      <c r="V517" s="90"/>
      <c r="W517" s="90"/>
      <c r="X517" s="90"/>
      <c r="Y517" s="90"/>
      <c r="Z517" s="90"/>
      <c r="AA517" s="90"/>
      <c r="AB517" s="90"/>
      <c r="AC517" s="90"/>
      <c r="AD517" s="90"/>
      <c r="AE517" s="90"/>
      <c r="AF517" s="90"/>
      <c r="AG517" s="90"/>
      <c r="AH517" s="90"/>
      <c r="AI517" s="90"/>
      <c r="AJ517" s="90"/>
      <c r="AK517" s="90"/>
      <c r="AL517" s="90"/>
      <c r="AM517" s="90"/>
    </row>
    <row r="518" spans="1:41" s="94" customFormat="1" ht="22.9" customHeight="1" thickTop="1">
      <c r="A518" s="311" t="s">
        <v>10</v>
      </c>
      <c r="B518" s="311" t="s">
        <v>11</v>
      </c>
      <c r="C518" s="311" t="s">
        <v>12</v>
      </c>
      <c r="D518" s="241" t="s">
        <v>13</v>
      </c>
      <c r="E518" s="241" t="s">
        <v>14</v>
      </c>
      <c r="F518" s="241" t="s">
        <v>15</v>
      </c>
      <c r="G518" s="241" t="s">
        <v>16</v>
      </c>
      <c r="H518" s="241" t="s">
        <v>17</v>
      </c>
      <c r="I518" s="241" t="s">
        <v>118</v>
      </c>
      <c r="J518" s="241" t="s">
        <v>19</v>
      </c>
      <c r="K518" s="241" t="s">
        <v>20</v>
      </c>
      <c r="L518" s="241" t="s">
        <v>21</v>
      </c>
      <c r="M518" s="241" t="s">
        <v>22</v>
      </c>
      <c r="N518" s="241" t="s">
        <v>23</v>
      </c>
      <c r="O518" s="311" t="s">
        <v>24</v>
      </c>
      <c r="P518" s="241" t="s">
        <v>25</v>
      </c>
      <c r="Q518" s="241" t="s">
        <v>26</v>
      </c>
      <c r="R518" s="241" t="s">
        <v>27</v>
      </c>
      <c r="S518" s="241" t="s">
        <v>28</v>
      </c>
      <c r="T518" s="241" t="s">
        <v>29</v>
      </c>
      <c r="U518" s="311" t="s">
        <v>30</v>
      </c>
      <c r="V518" s="311" t="s">
        <v>31</v>
      </c>
      <c r="W518" s="241" t="s">
        <v>32</v>
      </c>
      <c r="X518" s="339" t="s">
        <v>33</v>
      </c>
      <c r="Y518" s="241" t="s">
        <v>34</v>
      </c>
      <c r="Z518" s="241" t="s">
        <v>35</v>
      </c>
      <c r="AA518" s="241" t="s">
        <v>36</v>
      </c>
      <c r="AB518" s="241" t="s">
        <v>37</v>
      </c>
      <c r="AC518" s="241" t="s">
        <v>38</v>
      </c>
      <c r="AD518" s="241" t="s">
        <v>39</v>
      </c>
      <c r="AE518" s="241" t="s">
        <v>40</v>
      </c>
      <c r="AF518" s="311" t="s">
        <v>41</v>
      </c>
      <c r="AG518" s="241" t="s">
        <v>42</v>
      </c>
      <c r="AH518" s="241" t="s">
        <v>43</v>
      </c>
      <c r="AI518" s="241" t="s">
        <v>143</v>
      </c>
      <c r="AJ518" s="241" t="s">
        <v>45</v>
      </c>
      <c r="AK518" s="241" t="s">
        <v>46</v>
      </c>
      <c r="AL518" s="241" t="s">
        <v>47</v>
      </c>
      <c r="AM518" s="241" t="s">
        <v>48</v>
      </c>
    </row>
    <row r="519" spans="1:41" s="94" customFormat="1" ht="22.9" customHeight="1" thickBot="1">
      <c r="A519" s="314"/>
      <c r="B519" s="314"/>
      <c r="C519" s="314"/>
      <c r="D519" s="242"/>
      <c r="E519" s="242"/>
      <c r="F519" s="242"/>
      <c r="G519" s="242"/>
      <c r="H519" s="242"/>
      <c r="I519" s="242"/>
      <c r="J519" s="242"/>
      <c r="K519" s="242"/>
      <c r="L519" s="313"/>
      <c r="M519" s="242"/>
      <c r="N519" s="242"/>
      <c r="O519" s="314"/>
      <c r="P519" s="242"/>
      <c r="Q519" s="242"/>
      <c r="R519" s="242"/>
      <c r="S519" s="310"/>
      <c r="T519" s="242"/>
      <c r="U519" s="312"/>
      <c r="V519" s="312"/>
      <c r="W519" s="310"/>
      <c r="X519" s="340"/>
      <c r="Y519" s="242"/>
      <c r="Z519" s="310"/>
      <c r="AA519" s="310"/>
      <c r="AB519" s="310"/>
      <c r="AC519" s="310"/>
      <c r="AD519" s="310"/>
      <c r="AE519" s="310"/>
      <c r="AF519" s="312"/>
      <c r="AG519" s="310"/>
      <c r="AH519" s="242"/>
      <c r="AI519" s="242">
        <v>2018</v>
      </c>
      <c r="AJ519" s="242"/>
      <c r="AK519" s="328"/>
      <c r="AL519" s="242"/>
      <c r="AM519" s="242"/>
    </row>
    <row r="520" spans="1:41" s="94" customFormat="1" ht="22.9" customHeight="1" thickTop="1">
      <c r="A520" s="329" t="s">
        <v>205</v>
      </c>
      <c r="B520" s="332" t="s">
        <v>64</v>
      </c>
      <c r="C520" s="335" t="s">
        <v>206</v>
      </c>
      <c r="D520" s="338" t="s">
        <v>122</v>
      </c>
      <c r="E520" s="338" t="s">
        <v>207</v>
      </c>
      <c r="F520" s="344" t="s">
        <v>208</v>
      </c>
      <c r="G520" s="344" t="s">
        <v>209</v>
      </c>
      <c r="H520" s="344" t="s">
        <v>208</v>
      </c>
      <c r="I520" s="159">
        <f>+L521</f>
        <v>0.96314064664346766</v>
      </c>
      <c r="J520" s="221">
        <v>0.1</v>
      </c>
      <c r="K520" s="315" t="s">
        <v>124</v>
      </c>
      <c r="L520" s="95" t="s">
        <v>57</v>
      </c>
      <c r="M520" s="96" t="s">
        <v>57</v>
      </c>
      <c r="N520" s="96" t="s">
        <v>57</v>
      </c>
      <c r="O520" s="97" t="s">
        <v>57</v>
      </c>
      <c r="P520" s="96" t="s">
        <v>57</v>
      </c>
      <c r="Q520" s="98" t="s">
        <v>57</v>
      </c>
      <c r="R520" s="96" t="s">
        <v>57</v>
      </c>
      <c r="S520" s="98" t="s">
        <v>57</v>
      </c>
      <c r="T520" s="96" t="s">
        <v>57</v>
      </c>
      <c r="U520" s="98" t="s">
        <v>57</v>
      </c>
      <c r="V520" s="96" t="s">
        <v>57</v>
      </c>
      <c r="W520" s="98" t="s">
        <v>57</v>
      </c>
      <c r="X520" s="96" t="s">
        <v>57</v>
      </c>
      <c r="Y520" s="98" t="s">
        <v>57</v>
      </c>
      <c r="Z520" s="96" t="s">
        <v>57</v>
      </c>
      <c r="AA520" s="98" t="s">
        <v>57</v>
      </c>
      <c r="AB520" s="96" t="s">
        <v>57</v>
      </c>
      <c r="AC520" s="98" t="s">
        <v>57</v>
      </c>
      <c r="AD520" s="96" t="s">
        <v>57</v>
      </c>
      <c r="AE520" s="98" t="s">
        <v>57</v>
      </c>
      <c r="AF520" s="96" t="s">
        <v>57</v>
      </c>
      <c r="AG520" s="98" t="s">
        <v>57</v>
      </c>
      <c r="AH520" s="96" t="s">
        <v>57</v>
      </c>
      <c r="AI520" s="98" t="s">
        <v>57</v>
      </c>
      <c r="AJ520" s="67"/>
      <c r="AK520" s="165" t="s">
        <v>72</v>
      </c>
      <c r="AL520" s="325"/>
      <c r="AM520" s="156" t="s">
        <v>125</v>
      </c>
    </row>
    <row r="521" spans="1:41" s="94" customFormat="1" ht="22.9" customHeight="1">
      <c r="A521" s="330"/>
      <c r="B521" s="333"/>
      <c r="C521" s="336"/>
      <c r="D521" s="465"/>
      <c r="E521" s="465"/>
      <c r="F521" s="345"/>
      <c r="G521" s="345"/>
      <c r="H521" s="345"/>
      <c r="I521" s="321"/>
      <c r="J521" s="323"/>
      <c r="K521" s="316"/>
      <c r="L521" s="41">
        <f>IF(L523&lt;&gt;0,+L523/L525,0%)</f>
        <v>0.96314064664346766</v>
      </c>
      <c r="M521" s="58">
        <f>IF(M523&lt;&gt;0,+M523/M525,0%)</f>
        <v>0.97026022304832715</v>
      </c>
      <c r="N521" s="61">
        <f>IF(N523&lt;&gt;0,+N523/N525,0%)</f>
        <v>0.97109304426377596</v>
      </c>
      <c r="O521" s="57">
        <f t="shared" ref="O521" si="758">IF(O523&lt;&gt;0,+O523/O525,0%)</f>
        <v>0.97065803667745421</v>
      </c>
      <c r="P521" s="61">
        <f>IF(P523&lt;&gt;0,ROUND(+P523/P525,4),0%)</f>
        <v>0.96399999999999997</v>
      </c>
      <c r="Q521" s="62">
        <f t="shared" ref="Q521" si="759">IF(Q523&lt;&gt;0,+Q523/Q525,0%)</f>
        <v>0.96813333333333329</v>
      </c>
      <c r="R521" s="63">
        <f>IF(R523&lt;&gt;0,ROUND(+R523/R525,4),0%)</f>
        <v>0.96960000000000002</v>
      </c>
      <c r="S521" s="62">
        <f t="shared" ref="S521" si="760">IF(S523&lt;&gt;0,+S523/S525,0%)</f>
        <v>0.96846524009419477</v>
      </c>
      <c r="T521" s="63">
        <f>IF(T523&lt;&gt;0,ROUND(+T523/T525,4),0%)</f>
        <v>0.95020000000000004</v>
      </c>
      <c r="U521" s="62">
        <f t="shared" ref="U521" si="761">IF(U523&lt;&gt;0,+U523/U525,0%)</f>
        <v>0.96482741657784699</v>
      </c>
      <c r="V521" s="63">
        <f>IF(V523&lt;&gt;0,ROUND(+V523/V525,4),0%)</f>
        <v>0.97170000000000001</v>
      </c>
      <c r="W521" s="62">
        <f t="shared" ref="W521" si="762">IF(W523&lt;&gt;0,+W523/W525,0%)</f>
        <v>0.96578241851276991</v>
      </c>
      <c r="X521" s="63">
        <f>IF(X523&lt;&gt;0,ROUND(+X523/X525,4),0%)</f>
        <v>0.93479999999999996</v>
      </c>
      <c r="Y521" s="62">
        <f t="shared" ref="Y521" si="763">IF(Y523&lt;&gt;0,+Y523/Y525,0%)</f>
        <v>0.95943671454219026</v>
      </c>
      <c r="Z521" s="64">
        <f>IF(Z523&lt;&gt;0,ROUND(+Z523/Z525,4),0%)</f>
        <v>0.96889999999999998</v>
      </c>
      <c r="AA521" s="62">
        <f t="shared" ref="AA521" si="764">IF(AA523&lt;&gt;0,+AA523/AA525,0%)</f>
        <v>0.96053023532916293</v>
      </c>
      <c r="AB521" s="63">
        <f>IF(AB523&lt;&gt;0,ROUND(+AB523/AB525,4),0%)</f>
        <v>0.96930000000000005</v>
      </c>
      <c r="AC521" s="62">
        <f t="shared" ref="AC521" si="765">IF(AC523&lt;&gt;0,+AC523/AC525,0%)</f>
        <v>0.96128007262823423</v>
      </c>
      <c r="AD521" s="63">
        <f>IF(AD523&lt;&gt;0,ROUND(+AD523/AD525,4),0%)</f>
        <v>0.96909999999999996</v>
      </c>
      <c r="AE521" s="62">
        <f t="shared" ref="AE521" si="766">IF(AE523&lt;&gt;0,+AE523/AE525,0%)</f>
        <v>0.96229398047508008</v>
      </c>
      <c r="AF521" s="63">
        <f>IF(AF523&lt;&gt;0,ROUND(+AF523/AF525,4),0%)</f>
        <v>0.96819999999999995</v>
      </c>
      <c r="AG521" s="62">
        <f t="shared" ref="AG521" si="767">IF(AG523&lt;&gt;0,+AG523/AG525,0%)</f>
        <v>0.96278715848974561</v>
      </c>
      <c r="AH521" s="63">
        <f>IF(AH523&lt;&gt;0,ROUND(+AH523/AH525,4),0%)</f>
        <v>0.96799999999999997</v>
      </c>
      <c r="AI521" s="62">
        <f>IF(AI523&lt;&gt;0,+AI523/AI525,0%)</f>
        <v>0.96314064664346766</v>
      </c>
      <c r="AJ521" s="68"/>
      <c r="AK521" s="166"/>
      <c r="AL521" s="326"/>
      <c r="AM521" s="157"/>
    </row>
    <row r="522" spans="1:41" s="94" customFormat="1" ht="22.9" customHeight="1" thickBot="1">
      <c r="A522" s="330"/>
      <c r="B522" s="333"/>
      <c r="C522" s="336"/>
      <c r="D522" s="465"/>
      <c r="E522" s="465"/>
      <c r="F522" s="345"/>
      <c r="G522" s="345"/>
      <c r="H522" s="345"/>
      <c r="I522" s="321"/>
      <c r="J522" s="323"/>
      <c r="K522" s="317"/>
      <c r="L522" s="99"/>
      <c r="M522" s="101" t="s">
        <v>60</v>
      </c>
      <c r="N522" s="101" t="s">
        <v>60</v>
      </c>
      <c r="O522" s="102" t="s">
        <v>60</v>
      </c>
      <c r="P522" s="101" t="s">
        <v>60</v>
      </c>
      <c r="Q522" s="103" t="s">
        <v>60</v>
      </c>
      <c r="R522" s="101" t="s">
        <v>60</v>
      </c>
      <c r="S522" s="103" t="s">
        <v>60</v>
      </c>
      <c r="T522" s="101" t="s">
        <v>60</v>
      </c>
      <c r="U522" s="103" t="s">
        <v>60</v>
      </c>
      <c r="V522" s="101" t="s">
        <v>60</v>
      </c>
      <c r="W522" s="103" t="s">
        <v>60</v>
      </c>
      <c r="X522" s="101" t="s">
        <v>60</v>
      </c>
      <c r="Y522" s="103" t="s">
        <v>60</v>
      </c>
      <c r="Z522" s="101" t="s">
        <v>60</v>
      </c>
      <c r="AA522" s="103" t="s">
        <v>60</v>
      </c>
      <c r="AB522" s="101" t="s">
        <v>60</v>
      </c>
      <c r="AC522" s="103" t="s">
        <v>60</v>
      </c>
      <c r="AD522" s="101" t="s">
        <v>60</v>
      </c>
      <c r="AE522" s="103" t="s">
        <v>60</v>
      </c>
      <c r="AF522" s="101" t="s">
        <v>60</v>
      </c>
      <c r="AG522" s="103" t="s">
        <v>60</v>
      </c>
      <c r="AH522" s="101" t="s">
        <v>60</v>
      </c>
      <c r="AI522" s="103" t="s">
        <v>60</v>
      </c>
      <c r="AJ522" s="68"/>
      <c r="AK522" s="166"/>
      <c r="AL522" s="326"/>
      <c r="AM522" s="157"/>
    </row>
    <row r="523" spans="1:41" s="94" customFormat="1" ht="22.9" customHeight="1" thickTop="1">
      <c r="A523" s="330"/>
      <c r="B523" s="333"/>
      <c r="C523" s="336"/>
      <c r="D523" s="465"/>
      <c r="E523" s="465"/>
      <c r="F523" s="345"/>
      <c r="G523" s="345"/>
      <c r="H523" s="345"/>
      <c r="I523" s="321"/>
      <c r="J523" s="323"/>
      <c r="K523" s="315" t="s">
        <v>74</v>
      </c>
      <c r="L523" s="104">
        <v>28508</v>
      </c>
      <c r="M523" s="105">
        <v>2349</v>
      </c>
      <c r="N523" s="105">
        <v>2150</v>
      </c>
      <c r="O523" s="106">
        <f>+M523+N523</f>
        <v>4499</v>
      </c>
      <c r="P523" s="105">
        <v>2762</v>
      </c>
      <c r="Q523" s="106">
        <f>+O523+P523</f>
        <v>7261</v>
      </c>
      <c r="R523" s="105">
        <v>2198</v>
      </c>
      <c r="S523" s="106">
        <f>+Q523+R523</f>
        <v>9459</v>
      </c>
      <c r="T523" s="105">
        <v>2309</v>
      </c>
      <c r="U523" s="106">
        <f>+S523+T523</f>
        <v>11768</v>
      </c>
      <c r="V523" s="105">
        <v>1921</v>
      </c>
      <c r="W523" s="106">
        <f>+U523+V523</f>
        <v>13689</v>
      </c>
      <c r="X523" s="105">
        <v>3412</v>
      </c>
      <c r="Y523" s="106">
        <f>+W523+X523</f>
        <v>17101</v>
      </c>
      <c r="Z523" s="105">
        <v>2246</v>
      </c>
      <c r="AA523" s="106">
        <f>+Y523+Z523</f>
        <v>19347</v>
      </c>
      <c r="AB523" s="105">
        <v>1830</v>
      </c>
      <c r="AC523" s="106">
        <f>+AA523+AB523</f>
        <v>21177</v>
      </c>
      <c r="AD523" s="105">
        <v>3170</v>
      </c>
      <c r="AE523" s="106">
        <f>+AC523+AD523</f>
        <v>24347</v>
      </c>
      <c r="AF523" s="105">
        <v>2224</v>
      </c>
      <c r="AG523" s="106">
        <f>+AE523+AF523</f>
        <v>26571</v>
      </c>
      <c r="AH523" s="105">
        <v>1937</v>
      </c>
      <c r="AI523" s="106">
        <f>SUM(AG523:AH523)</f>
        <v>28508</v>
      </c>
      <c r="AJ523" s="29">
        <f>+AI521/L521</f>
        <v>1</v>
      </c>
      <c r="AK523" s="166"/>
      <c r="AL523" s="326"/>
      <c r="AM523" s="157"/>
    </row>
    <row r="524" spans="1:41" s="94" customFormat="1" ht="22.9" customHeight="1">
      <c r="A524" s="330"/>
      <c r="B524" s="333"/>
      <c r="C524" s="336"/>
      <c r="D524" s="465"/>
      <c r="E524" s="465"/>
      <c r="F524" s="345"/>
      <c r="G524" s="345"/>
      <c r="H524" s="345"/>
      <c r="I524" s="321"/>
      <c r="J524" s="323"/>
      <c r="K524" s="316"/>
      <c r="L524" s="99" t="s">
        <v>126</v>
      </c>
      <c r="M524" s="107" t="s">
        <v>62</v>
      </c>
      <c r="N524" s="107" t="s">
        <v>62</v>
      </c>
      <c r="O524" s="108" t="s">
        <v>62</v>
      </c>
      <c r="P524" s="107" t="s">
        <v>62</v>
      </c>
      <c r="Q524" s="109" t="s">
        <v>62</v>
      </c>
      <c r="R524" s="107"/>
      <c r="S524" s="109" t="s">
        <v>62</v>
      </c>
      <c r="T524" s="107" t="s">
        <v>62</v>
      </c>
      <c r="U524" s="109" t="s">
        <v>62</v>
      </c>
      <c r="V524" s="107" t="s">
        <v>62</v>
      </c>
      <c r="W524" s="109" t="s">
        <v>62</v>
      </c>
      <c r="X524" s="107" t="s">
        <v>62</v>
      </c>
      <c r="Y524" s="109" t="s">
        <v>62</v>
      </c>
      <c r="Z524" s="107" t="s">
        <v>62</v>
      </c>
      <c r="AA524" s="109" t="s">
        <v>62</v>
      </c>
      <c r="AB524" s="107" t="s">
        <v>62</v>
      </c>
      <c r="AC524" s="109" t="s">
        <v>62</v>
      </c>
      <c r="AD524" s="107" t="s">
        <v>62</v>
      </c>
      <c r="AE524" s="109" t="s">
        <v>62</v>
      </c>
      <c r="AF524" s="107" t="s">
        <v>62</v>
      </c>
      <c r="AG524" s="109" t="s">
        <v>62</v>
      </c>
      <c r="AH524" s="107" t="s">
        <v>62</v>
      </c>
      <c r="AI524" s="108" t="s">
        <v>62</v>
      </c>
      <c r="AJ524" s="68"/>
      <c r="AK524" s="166"/>
      <c r="AL524" s="326"/>
      <c r="AM524" s="157"/>
    </row>
    <row r="525" spans="1:41" s="94" customFormat="1" ht="22.9" customHeight="1" thickBot="1">
      <c r="A525" s="331"/>
      <c r="B525" s="334"/>
      <c r="C525" s="337"/>
      <c r="D525" s="466"/>
      <c r="E525" s="466"/>
      <c r="F525" s="346"/>
      <c r="G525" s="346"/>
      <c r="H525" s="346"/>
      <c r="I525" s="322"/>
      <c r="J525" s="324"/>
      <c r="K525" s="317"/>
      <c r="L525" s="110">
        <v>29599</v>
      </c>
      <c r="M525" s="111">
        <v>2421</v>
      </c>
      <c r="N525" s="111">
        <v>2214</v>
      </c>
      <c r="O525" s="112">
        <f t="shared" ref="O525" si="768">+M525+N525</f>
        <v>4635</v>
      </c>
      <c r="P525" s="111">
        <v>2865</v>
      </c>
      <c r="Q525" s="112">
        <f t="shared" ref="Q525" si="769">+O525+P525</f>
        <v>7500</v>
      </c>
      <c r="R525" s="111">
        <v>2267</v>
      </c>
      <c r="S525" s="112">
        <f t="shared" ref="S525" si="770">+Q525+R525</f>
        <v>9767</v>
      </c>
      <c r="T525" s="111">
        <v>2430</v>
      </c>
      <c r="U525" s="112">
        <f t="shared" ref="U525" si="771">+S525+T525</f>
        <v>12197</v>
      </c>
      <c r="V525" s="111">
        <v>1977</v>
      </c>
      <c r="W525" s="112">
        <f t="shared" ref="W525" si="772">+U525+V525</f>
        <v>14174</v>
      </c>
      <c r="X525" s="111">
        <v>3650</v>
      </c>
      <c r="Y525" s="112">
        <f t="shared" ref="Y525" si="773">+W525+X525</f>
        <v>17824</v>
      </c>
      <c r="Z525" s="111">
        <v>2318</v>
      </c>
      <c r="AA525" s="112">
        <f t="shared" ref="AA525" si="774">+Y525+Z525</f>
        <v>20142</v>
      </c>
      <c r="AB525" s="111">
        <v>1888</v>
      </c>
      <c r="AC525" s="112">
        <f t="shared" ref="AC525" si="775">+AA525+AB525</f>
        <v>22030</v>
      </c>
      <c r="AD525" s="111">
        <v>3271</v>
      </c>
      <c r="AE525" s="112">
        <f t="shared" ref="AE525" si="776">+AC525+AD525</f>
        <v>25301</v>
      </c>
      <c r="AF525" s="111">
        <v>2297</v>
      </c>
      <c r="AG525" s="112">
        <f t="shared" ref="AG525" si="777">+AE525+AF525</f>
        <v>27598</v>
      </c>
      <c r="AH525" s="111">
        <v>2001</v>
      </c>
      <c r="AI525" s="112">
        <f>SUM(AG525:AH525)</f>
        <v>29599</v>
      </c>
      <c r="AJ525" s="69"/>
      <c r="AK525" s="167"/>
      <c r="AL525" s="327"/>
      <c r="AM525" s="158"/>
      <c r="AO525" s="115"/>
    </row>
    <row r="526" spans="1:41" ht="12.95" thickTop="1"/>
    <row r="527" spans="1:41" s="89" customFormat="1" ht="20.45" thickBot="1">
      <c r="A527" s="114" t="s">
        <v>128</v>
      </c>
      <c r="L527" s="90"/>
      <c r="M527" s="90"/>
      <c r="N527" s="90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  <c r="AA527" s="90"/>
      <c r="AB527" s="90"/>
      <c r="AC527" s="90"/>
      <c r="AD527" s="90"/>
      <c r="AE527" s="90"/>
      <c r="AF527" s="90"/>
      <c r="AG527" s="90"/>
      <c r="AH527" s="90"/>
      <c r="AI527" s="90"/>
      <c r="AJ527" s="90"/>
      <c r="AK527" s="90"/>
      <c r="AL527" s="90"/>
      <c r="AM527" s="90"/>
    </row>
    <row r="528" spans="1:41" s="94" customFormat="1" ht="22.9" customHeight="1" thickTop="1">
      <c r="A528" s="311" t="s">
        <v>10</v>
      </c>
      <c r="B528" s="311" t="s">
        <v>11</v>
      </c>
      <c r="C528" s="311" t="s">
        <v>12</v>
      </c>
      <c r="D528" s="241" t="s">
        <v>13</v>
      </c>
      <c r="E528" s="241" t="s">
        <v>14</v>
      </c>
      <c r="F528" s="241" t="s">
        <v>15</v>
      </c>
      <c r="G528" s="241" t="s">
        <v>16</v>
      </c>
      <c r="H528" s="241" t="s">
        <v>17</v>
      </c>
      <c r="I528" s="241" t="s">
        <v>118</v>
      </c>
      <c r="J528" s="241" t="s">
        <v>19</v>
      </c>
      <c r="K528" s="241" t="s">
        <v>20</v>
      </c>
      <c r="L528" s="241" t="s">
        <v>21</v>
      </c>
      <c r="M528" s="241" t="s">
        <v>22</v>
      </c>
      <c r="N528" s="241" t="s">
        <v>23</v>
      </c>
      <c r="O528" s="311" t="s">
        <v>24</v>
      </c>
      <c r="P528" s="241" t="s">
        <v>25</v>
      </c>
      <c r="Q528" s="241" t="s">
        <v>26</v>
      </c>
      <c r="R528" s="241" t="s">
        <v>27</v>
      </c>
      <c r="S528" s="241" t="s">
        <v>28</v>
      </c>
      <c r="T528" s="241" t="s">
        <v>29</v>
      </c>
      <c r="U528" s="311" t="s">
        <v>30</v>
      </c>
      <c r="V528" s="311" t="s">
        <v>31</v>
      </c>
      <c r="W528" s="241" t="s">
        <v>32</v>
      </c>
      <c r="X528" s="339" t="s">
        <v>33</v>
      </c>
      <c r="Y528" s="241" t="s">
        <v>34</v>
      </c>
      <c r="Z528" s="241" t="s">
        <v>35</v>
      </c>
      <c r="AA528" s="241" t="s">
        <v>36</v>
      </c>
      <c r="AB528" s="241" t="s">
        <v>37</v>
      </c>
      <c r="AC528" s="241" t="s">
        <v>38</v>
      </c>
      <c r="AD528" s="241" t="s">
        <v>39</v>
      </c>
      <c r="AE528" s="241" t="s">
        <v>40</v>
      </c>
      <c r="AF528" s="311" t="s">
        <v>41</v>
      </c>
      <c r="AG528" s="241" t="s">
        <v>42</v>
      </c>
      <c r="AH528" s="241" t="s">
        <v>43</v>
      </c>
      <c r="AI528" s="241" t="s">
        <v>143</v>
      </c>
      <c r="AJ528" s="241" t="s">
        <v>45</v>
      </c>
      <c r="AK528" s="241" t="s">
        <v>46</v>
      </c>
      <c r="AL528" s="241" t="s">
        <v>47</v>
      </c>
      <c r="AM528" s="241" t="s">
        <v>48</v>
      </c>
    </row>
    <row r="529" spans="1:39" s="94" customFormat="1" ht="22.9" customHeight="1" thickBot="1">
      <c r="A529" s="314"/>
      <c r="B529" s="314"/>
      <c r="C529" s="314"/>
      <c r="D529" s="242"/>
      <c r="E529" s="242"/>
      <c r="F529" s="242"/>
      <c r="G529" s="242"/>
      <c r="H529" s="242"/>
      <c r="I529" s="242"/>
      <c r="J529" s="242"/>
      <c r="K529" s="242"/>
      <c r="L529" s="313"/>
      <c r="M529" s="242"/>
      <c r="N529" s="242"/>
      <c r="O529" s="314"/>
      <c r="P529" s="242"/>
      <c r="Q529" s="242"/>
      <c r="R529" s="242"/>
      <c r="S529" s="310"/>
      <c r="T529" s="242"/>
      <c r="U529" s="312"/>
      <c r="V529" s="312"/>
      <c r="W529" s="310"/>
      <c r="X529" s="340"/>
      <c r="Y529" s="242"/>
      <c r="Z529" s="310"/>
      <c r="AA529" s="310"/>
      <c r="AB529" s="310"/>
      <c r="AC529" s="310"/>
      <c r="AD529" s="310"/>
      <c r="AE529" s="310"/>
      <c r="AF529" s="312"/>
      <c r="AG529" s="310"/>
      <c r="AH529" s="242"/>
      <c r="AI529" s="242">
        <v>2018</v>
      </c>
      <c r="AJ529" s="242"/>
      <c r="AK529" s="328"/>
      <c r="AL529" s="242"/>
      <c r="AM529" s="242"/>
    </row>
    <row r="530" spans="1:39" s="94" customFormat="1" ht="22.9" customHeight="1" thickTop="1">
      <c r="A530" s="329" t="s">
        <v>205</v>
      </c>
      <c r="B530" s="332" t="s">
        <v>64</v>
      </c>
      <c r="C530" s="335" t="s">
        <v>206</v>
      </c>
      <c r="D530" s="338" t="s">
        <v>122</v>
      </c>
      <c r="E530" s="338" t="s">
        <v>207</v>
      </c>
      <c r="F530" s="344" t="s">
        <v>208</v>
      </c>
      <c r="G530" s="344" t="s">
        <v>209</v>
      </c>
      <c r="H530" s="344" t="s">
        <v>208</v>
      </c>
      <c r="I530" s="159">
        <f>+L531</f>
        <v>0.96489768757278327</v>
      </c>
      <c r="J530" s="221">
        <v>0.1</v>
      </c>
      <c r="K530" s="315" t="s">
        <v>124</v>
      </c>
      <c r="L530" s="95" t="s">
        <v>57</v>
      </c>
      <c r="M530" s="96" t="s">
        <v>57</v>
      </c>
      <c r="N530" s="96" t="s">
        <v>57</v>
      </c>
      <c r="O530" s="97" t="s">
        <v>57</v>
      </c>
      <c r="P530" s="96" t="s">
        <v>57</v>
      </c>
      <c r="Q530" s="98" t="s">
        <v>57</v>
      </c>
      <c r="R530" s="96" t="s">
        <v>57</v>
      </c>
      <c r="S530" s="98" t="s">
        <v>57</v>
      </c>
      <c r="T530" s="96" t="s">
        <v>57</v>
      </c>
      <c r="U530" s="98" t="s">
        <v>57</v>
      </c>
      <c r="V530" s="96" t="s">
        <v>57</v>
      </c>
      <c r="W530" s="98" t="s">
        <v>57</v>
      </c>
      <c r="X530" s="96" t="s">
        <v>57</v>
      </c>
      <c r="Y530" s="98" t="s">
        <v>57</v>
      </c>
      <c r="Z530" s="96" t="s">
        <v>57</v>
      </c>
      <c r="AA530" s="98" t="s">
        <v>57</v>
      </c>
      <c r="AB530" s="96" t="s">
        <v>57</v>
      </c>
      <c r="AC530" s="98" t="s">
        <v>57</v>
      </c>
      <c r="AD530" s="96" t="s">
        <v>57</v>
      </c>
      <c r="AE530" s="98" t="s">
        <v>57</v>
      </c>
      <c r="AF530" s="96" t="s">
        <v>57</v>
      </c>
      <c r="AG530" s="98" t="s">
        <v>57</v>
      </c>
      <c r="AH530" s="96" t="s">
        <v>57</v>
      </c>
      <c r="AI530" s="98" t="s">
        <v>57</v>
      </c>
      <c r="AJ530" s="67"/>
      <c r="AK530" s="165" t="s">
        <v>72</v>
      </c>
      <c r="AL530" s="325"/>
      <c r="AM530" s="156" t="s">
        <v>125</v>
      </c>
    </row>
    <row r="531" spans="1:39" s="94" customFormat="1" ht="22.9" customHeight="1">
      <c r="A531" s="330"/>
      <c r="B531" s="333"/>
      <c r="C531" s="336"/>
      <c r="D531" s="465"/>
      <c r="E531" s="465"/>
      <c r="F531" s="345"/>
      <c r="G531" s="345"/>
      <c r="H531" s="345"/>
      <c r="I531" s="321"/>
      <c r="J531" s="323"/>
      <c r="K531" s="316"/>
      <c r="L531" s="41">
        <f>IF(L533&lt;&gt;0,+L533/L535,0%)</f>
        <v>0.96489768757278327</v>
      </c>
      <c r="M531" s="58">
        <f>IF(M533&lt;&gt;0,+M533/M535,0%)</f>
        <v>0.97187704381948992</v>
      </c>
      <c r="N531" s="61">
        <f>IF(N533&lt;&gt;0,+N533/N535,0%)</f>
        <v>0.9697594501718213</v>
      </c>
      <c r="O531" s="57">
        <f t="shared" ref="O531" si="778">IF(O533&lt;&gt;0,+O533/O535,0%)</f>
        <v>0.97084450402144773</v>
      </c>
      <c r="P531" s="61">
        <f>IF(P533&lt;&gt;0,ROUND(+P533/P535,4),0%)</f>
        <v>0.96109999999999995</v>
      </c>
      <c r="Q531" s="62">
        <f t="shared" ref="Q531" si="779">IF(Q533&lt;&gt;0,+Q533/Q535,0%)</f>
        <v>0.9675483440764614</v>
      </c>
      <c r="R531" s="63">
        <f>IF(R533&lt;&gt;0,ROUND(+R533/R535,4),0%)</f>
        <v>0.96479999999999999</v>
      </c>
      <c r="S531" s="62">
        <f t="shared" ref="S531" si="780">IF(S533&lt;&gt;0,+S533/S535,0%)</f>
        <v>0.96684350132625996</v>
      </c>
      <c r="T531" s="63">
        <f>IF(T533&lt;&gt;0,ROUND(+T533/T535,4),0%)</f>
        <v>0.95469999999999999</v>
      </c>
      <c r="U531" s="62">
        <f t="shared" ref="U531" si="781">IF(U533&lt;&gt;0,+U533/U535,0%)</f>
        <v>0.96414753675522313</v>
      </c>
      <c r="V531" s="63">
        <f>IF(V533&lt;&gt;0,ROUND(+V533/V535,4),0%)</f>
        <v>0.96709999999999996</v>
      </c>
      <c r="W531" s="62">
        <f t="shared" ref="W531" si="782">IF(W533&lt;&gt;0,+W533/W535,0%)</f>
        <v>0.96459497972158281</v>
      </c>
      <c r="X531" s="63">
        <f>IF(X533&lt;&gt;0,ROUND(+X533/X535,4),0%)</f>
        <v>0.94330000000000003</v>
      </c>
      <c r="Y531" s="62">
        <f t="shared" ref="Y531" si="783">IF(Y533&lt;&gt;0,+Y533/Y535,0%)</f>
        <v>0.9606130814471574</v>
      </c>
      <c r="Z531" s="64">
        <f>IF(Z533&lt;&gt;0,ROUND(+Z533/Z535,4),0%)</f>
        <v>0.9728</v>
      </c>
      <c r="AA531" s="62">
        <f t="shared" ref="AA531" si="784">IF(AA533&lt;&gt;0,+AA533/AA535,0%)</f>
        <v>0.96190324380329961</v>
      </c>
      <c r="AB531" s="63">
        <f>IF(AB533&lt;&gt;0,ROUND(+AB533/AB535,4),0%)</f>
        <v>0.97199999999999998</v>
      </c>
      <c r="AC531" s="62">
        <f t="shared" ref="AC531" si="785">IF(AC533&lt;&gt;0,+AC533/AC535,0%)</f>
        <v>0.96279610521726489</v>
      </c>
      <c r="AD531" s="63">
        <f>IF(AD533&lt;&gt;0,ROUND(+AD533/AD535,4),0%)</f>
        <v>0.97040000000000004</v>
      </c>
      <c r="AE531" s="62">
        <f t="shared" ref="AE531" si="786">IF(AE533&lt;&gt;0,+AE533/AE535,0%)</f>
        <v>0.9636726033562657</v>
      </c>
      <c r="AF531" s="63">
        <f>IF(AF533&lt;&gt;0,ROUND(+AF533/AF535,4),0%)</f>
        <v>0.96950000000000003</v>
      </c>
      <c r="AG531" s="62">
        <f t="shared" ref="AG531" si="787">IF(AG533&lt;&gt;0,+AG533/AG535,0%)</f>
        <v>0.96408080325125511</v>
      </c>
      <c r="AH531" s="63">
        <f>IF(AH533&lt;&gt;0,ROUND(+AH533/AH535,4),0%)</f>
        <v>0.97540000000000004</v>
      </c>
      <c r="AI531" s="62">
        <f>IF(AI533&lt;&gt;0,+AI533/AI535,0%)</f>
        <v>0.96489768757278327</v>
      </c>
      <c r="AJ531" s="68"/>
      <c r="AK531" s="166"/>
      <c r="AL531" s="326"/>
      <c r="AM531" s="157"/>
    </row>
    <row r="532" spans="1:39" s="94" customFormat="1" ht="22.9" customHeight="1" thickBot="1">
      <c r="A532" s="330"/>
      <c r="B532" s="333"/>
      <c r="C532" s="336"/>
      <c r="D532" s="465"/>
      <c r="E532" s="465"/>
      <c r="F532" s="345"/>
      <c r="G532" s="345"/>
      <c r="H532" s="345"/>
      <c r="I532" s="321"/>
      <c r="J532" s="323"/>
      <c r="K532" s="317"/>
      <c r="L532" s="99"/>
      <c r="M532" s="101" t="s">
        <v>60</v>
      </c>
      <c r="N532" s="101" t="s">
        <v>60</v>
      </c>
      <c r="O532" s="102" t="s">
        <v>60</v>
      </c>
      <c r="P532" s="101" t="s">
        <v>60</v>
      </c>
      <c r="Q532" s="103" t="s">
        <v>60</v>
      </c>
      <c r="R532" s="101" t="s">
        <v>60</v>
      </c>
      <c r="S532" s="103" t="s">
        <v>60</v>
      </c>
      <c r="T532" s="101" t="s">
        <v>60</v>
      </c>
      <c r="U532" s="103" t="s">
        <v>60</v>
      </c>
      <c r="V532" s="101" t="s">
        <v>60</v>
      </c>
      <c r="W532" s="103" t="s">
        <v>60</v>
      </c>
      <c r="X532" s="101" t="s">
        <v>60</v>
      </c>
      <c r="Y532" s="103" t="s">
        <v>60</v>
      </c>
      <c r="Z532" s="101" t="s">
        <v>60</v>
      </c>
      <c r="AA532" s="103" t="s">
        <v>60</v>
      </c>
      <c r="AB532" s="101" t="s">
        <v>60</v>
      </c>
      <c r="AC532" s="103" t="s">
        <v>60</v>
      </c>
      <c r="AD532" s="101" t="s">
        <v>60</v>
      </c>
      <c r="AE532" s="103" t="s">
        <v>60</v>
      </c>
      <c r="AF532" s="101" t="s">
        <v>60</v>
      </c>
      <c r="AG532" s="103" t="s">
        <v>60</v>
      </c>
      <c r="AH532" s="101" t="s">
        <v>60</v>
      </c>
      <c r="AI532" s="103" t="s">
        <v>60</v>
      </c>
      <c r="AJ532" s="68"/>
      <c r="AK532" s="166"/>
      <c r="AL532" s="326"/>
      <c r="AM532" s="157"/>
    </row>
    <row r="533" spans="1:39" s="94" customFormat="1" ht="22.9" customHeight="1" thickTop="1">
      <c r="A533" s="330"/>
      <c r="B533" s="333"/>
      <c r="C533" s="336"/>
      <c r="D533" s="465"/>
      <c r="E533" s="465"/>
      <c r="F533" s="345"/>
      <c r="G533" s="345"/>
      <c r="H533" s="345"/>
      <c r="I533" s="321"/>
      <c r="J533" s="323"/>
      <c r="K533" s="315" t="s">
        <v>74</v>
      </c>
      <c r="L533" s="104">
        <v>17400</v>
      </c>
      <c r="M533" s="105">
        <v>1486</v>
      </c>
      <c r="N533" s="105">
        <v>1411</v>
      </c>
      <c r="O533" s="106">
        <f>+M533+N533</f>
        <v>2897</v>
      </c>
      <c r="P533" s="105">
        <v>1456</v>
      </c>
      <c r="Q533" s="106">
        <f>+O533+P533</f>
        <v>4353</v>
      </c>
      <c r="R533" s="105">
        <v>1479</v>
      </c>
      <c r="S533" s="106">
        <f>+Q533+R533</f>
        <v>5832</v>
      </c>
      <c r="T533" s="105">
        <v>1644</v>
      </c>
      <c r="U533" s="106">
        <f>+S533+T533</f>
        <v>7476</v>
      </c>
      <c r="V533" s="105">
        <v>1324</v>
      </c>
      <c r="W533" s="106">
        <f>+U533+V533</f>
        <v>8800</v>
      </c>
      <c r="X533" s="105">
        <v>1980</v>
      </c>
      <c r="Y533" s="106">
        <f>+W533+X533</f>
        <v>10780</v>
      </c>
      <c r="Z533" s="105">
        <v>1289</v>
      </c>
      <c r="AA533" s="106">
        <f>+Y533+Z533</f>
        <v>12069</v>
      </c>
      <c r="AB533" s="105">
        <v>1181</v>
      </c>
      <c r="AC533" s="106">
        <f>+AA533+AB533</f>
        <v>13250</v>
      </c>
      <c r="AD533" s="105">
        <v>1738</v>
      </c>
      <c r="AE533" s="106">
        <f>+AC533+AD533</f>
        <v>14988</v>
      </c>
      <c r="AF533" s="105">
        <v>1143</v>
      </c>
      <c r="AG533" s="106">
        <f>+AE533+AF533</f>
        <v>16131</v>
      </c>
      <c r="AH533" s="105">
        <v>1269</v>
      </c>
      <c r="AI533" s="106">
        <f>SUM(AG533:AH533)</f>
        <v>17400</v>
      </c>
      <c r="AJ533" s="29">
        <f>+AI531/L531</f>
        <v>1</v>
      </c>
      <c r="AK533" s="166"/>
      <c r="AL533" s="326"/>
      <c r="AM533" s="157"/>
    </row>
    <row r="534" spans="1:39" s="94" customFormat="1" ht="22.9" customHeight="1">
      <c r="A534" s="330"/>
      <c r="B534" s="333"/>
      <c r="C534" s="336"/>
      <c r="D534" s="465"/>
      <c r="E534" s="465"/>
      <c r="F534" s="345"/>
      <c r="G534" s="345"/>
      <c r="H534" s="345"/>
      <c r="I534" s="321"/>
      <c r="J534" s="323"/>
      <c r="K534" s="316"/>
      <c r="L534" s="99" t="s">
        <v>126</v>
      </c>
      <c r="M534" s="107" t="s">
        <v>62</v>
      </c>
      <c r="N534" s="107" t="s">
        <v>62</v>
      </c>
      <c r="O534" s="108" t="s">
        <v>62</v>
      </c>
      <c r="P534" s="107" t="s">
        <v>62</v>
      </c>
      <c r="Q534" s="109" t="s">
        <v>62</v>
      </c>
      <c r="R534" s="107"/>
      <c r="S534" s="109" t="s">
        <v>62</v>
      </c>
      <c r="T534" s="107" t="s">
        <v>62</v>
      </c>
      <c r="U534" s="109" t="s">
        <v>62</v>
      </c>
      <c r="V534" s="107" t="s">
        <v>62</v>
      </c>
      <c r="W534" s="109" t="s">
        <v>62</v>
      </c>
      <c r="X534" s="107" t="s">
        <v>62</v>
      </c>
      <c r="Y534" s="109" t="s">
        <v>62</v>
      </c>
      <c r="Z534" s="107" t="s">
        <v>62</v>
      </c>
      <c r="AA534" s="109" t="s">
        <v>62</v>
      </c>
      <c r="AB534" s="107" t="s">
        <v>62</v>
      </c>
      <c r="AC534" s="109" t="s">
        <v>62</v>
      </c>
      <c r="AD534" s="107" t="s">
        <v>62</v>
      </c>
      <c r="AE534" s="109" t="s">
        <v>62</v>
      </c>
      <c r="AF534" s="107" t="s">
        <v>62</v>
      </c>
      <c r="AG534" s="109" t="s">
        <v>62</v>
      </c>
      <c r="AH534" s="107" t="s">
        <v>62</v>
      </c>
      <c r="AI534" s="108" t="s">
        <v>62</v>
      </c>
      <c r="AJ534" s="68"/>
      <c r="AK534" s="166"/>
      <c r="AL534" s="326"/>
      <c r="AM534" s="157"/>
    </row>
    <row r="535" spans="1:39" s="94" customFormat="1" ht="22.9" customHeight="1" thickBot="1">
      <c r="A535" s="331"/>
      <c r="B535" s="334"/>
      <c r="C535" s="337"/>
      <c r="D535" s="466"/>
      <c r="E535" s="466"/>
      <c r="F535" s="346"/>
      <c r="G535" s="346"/>
      <c r="H535" s="346"/>
      <c r="I535" s="322"/>
      <c r="J535" s="324"/>
      <c r="K535" s="317"/>
      <c r="L535" s="110">
        <v>18033</v>
      </c>
      <c r="M535" s="111">
        <v>1529</v>
      </c>
      <c r="N535" s="111">
        <v>1455</v>
      </c>
      <c r="O535" s="112">
        <f t="shared" ref="O535" si="788">+M535+N535</f>
        <v>2984</v>
      </c>
      <c r="P535" s="111">
        <v>1515</v>
      </c>
      <c r="Q535" s="112">
        <f t="shared" ref="Q535" si="789">+O535+P535</f>
        <v>4499</v>
      </c>
      <c r="R535" s="111">
        <v>1533</v>
      </c>
      <c r="S535" s="112">
        <f t="shared" ref="S535" si="790">+Q535+R535</f>
        <v>6032</v>
      </c>
      <c r="T535" s="111">
        <v>1722</v>
      </c>
      <c r="U535" s="112">
        <f t="shared" ref="U535" si="791">+S535+T535</f>
        <v>7754</v>
      </c>
      <c r="V535" s="111">
        <v>1369</v>
      </c>
      <c r="W535" s="112">
        <f t="shared" ref="W535" si="792">+U535+V535</f>
        <v>9123</v>
      </c>
      <c r="X535" s="111">
        <v>2099</v>
      </c>
      <c r="Y535" s="112">
        <f t="shared" ref="Y535" si="793">+W535+X535</f>
        <v>11222</v>
      </c>
      <c r="Z535" s="111">
        <v>1325</v>
      </c>
      <c r="AA535" s="112">
        <f t="shared" ref="AA535" si="794">+Y535+Z535</f>
        <v>12547</v>
      </c>
      <c r="AB535" s="111">
        <v>1215</v>
      </c>
      <c r="AC535" s="112">
        <f t="shared" ref="AC535" si="795">+AA535+AB535</f>
        <v>13762</v>
      </c>
      <c r="AD535" s="111">
        <v>1791</v>
      </c>
      <c r="AE535" s="112">
        <f t="shared" ref="AE535" si="796">+AC535+AD535</f>
        <v>15553</v>
      </c>
      <c r="AF535" s="111">
        <v>1179</v>
      </c>
      <c r="AG535" s="112">
        <f t="shared" ref="AG535" si="797">+AE535+AF535</f>
        <v>16732</v>
      </c>
      <c r="AH535" s="111">
        <v>1301</v>
      </c>
      <c r="AI535" s="112">
        <f>SUM(AG535:AH535)</f>
        <v>18033</v>
      </c>
      <c r="AJ535" s="69"/>
      <c r="AK535" s="167"/>
      <c r="AL535" s="327"/>
      <c r="AM535" s="158"/>
    </row>
    <row r="536" spans="1:39" ht="12.95" thickTop="1">
      <c r="L536"/>
    </row>
    <row r="539" spans="1:39" s="89" customFormat="1" ht="15.6">
      <c r="C539" s="343" t="s">
        <v>210</v>
      </c>
      <c r="D539" s="343"/>
      <c r="E539" s="343"/>
      <c r="F539" s="343"/>
      <c r="G539" s="343"/>
      <c r="H539" s="343"/>
      <c r="I539" s="343"/>
      <c r="J539" s="343"/>
      <c r="K539" s="343"/>
      <c r="L539" s="93"/>
      <c r="M539" s="81"/>
      <c r="N539" s="93"/>
      <c r="O539" s="81"/>
      <c r="P539" s="93"/>
      <c r="Q539" s="81"/>
      <c r="R539" s="93"/>
      <c r="S539" s="81"/>
      <c r="T539" s="93"/>
      <c r="U539" s="81"/>
      <c r="V539" s="93"/>
      <c r="W539" s="81"/>
      <c r="X539" s="93"/>
      <c r="Y539" s="81"/>
      <c r="Z539" s="93"/>
      <c r="AA539" s="81"/>
      <c r="AB539" s="93"/>
      <c r="AC539" s="81"/>
      <c r="AD539" s="93"/>
      <c r="AE539" s="81"/>
      <c r="AF539" s="93"/>
      <c r="AG539" s="81"/>
      <c r="AH539" s="93"/>
      <c r="AI539" s="81"/>
      <c r="AJ539" s="121"/>
      <c r="AK539" s="90"/>
      <c r="AL539" s="90"/>
      <c r="AM539" s="90"/>
    </row>
    <row r="540" spans="1:39" s="89" customFormat="1" ht="15.95" thickBot="1">
      <c r="L540" s="90"/>
      <c r="M540" s="90"/>
      <c r="N540" s="90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</row>
    <row r="541" spans="1:39" s="94" customFormat="1" ht="22.9" customHeight="1" thickTop="1">
      <c r="A541" s="311" t="s">
        <v>10</v>
      </c>
      <c r="B541" s="311" t="s">
        <v>11</v>
      </c>
      <c r="C541" s="311" t="s">
        <v>12</v>
      </c>
      <c r="D541" s="241" t="s">
        <v>13</v>
      </c>
      <c r="E541" s="241" t="s">
        <v>14</v>
      </c>
      <c r="F541" s="241" t="s">
        <v>15</v>
      </c>
      <c r="G541" s="241" t="s">
        <v>16</v>
      </c>
      <c r="H541" s="241" t="s">
        <v>17</v>
      </c>
      <c r="I541" s="241" t="s">
        <v>118</v>
      </c>
      <c r="J541" s="241" t="s">
        <v>19</v>
      </c>
      <c r="K541" s="241" t="s">
        <v>20</v>
      </c>
      <c r="L541" s="241" t="s">
        <v>21</v>
      </c>
      <c r="M541" s="241" t="s">
        <v>22</v>
      </c>
      <c r="N541" s="241" t="s">
        <v>23</v>
      </c>
      <c r="O541" s="311" t="s">
        <v>24</v>
      </c>
      <c r="P541" s="241" t="s">
        <v>25</v>
      </c>
      <c r="Q541" s="241" t="s">
        <v>26</v>
      </c>
      <c r="R541" s="241" t="s">
        <v>27</v>
      </c>
      <c r="S541" s="241" t="s">
        <v>28</v>
      </c>
      <c r="T541" s="241" t="s">
        <v>29</v>
      </c>
      <c r="U541" s="311" t="s">
        <v>30</v>
      </c>
      <c r="V541" s="311" t="s">
        <v>31</v>
      </c>
      <c r="W541" s="241" t="s">
        <v>32</v>
      </c>
      <c r="X541" s="339" t="s">
        <v>33</v>
      </c>
      <c r="Y541" s="241" t="s">
        <v>34</v>
      </c>
      <c r="Z541" s="241" t="s">
        <v>35</v>
      </c>
      <c r="AA541" s="241" t="s">
        <v>36</v>
      </c>
      <c r="AB541" s="241" t="s">
        <v>37</v>
      </c>
      <c r="AC541" s="241" t="s">
        <v>38</v>
      </c>
      <c r="AD541" s="241" t="s">
        <v>39</v>
      </c>
      <c r="AE541" s="241" t="s">
        <v>40</v>
      </c>
      <c r="AF541" s="311" t="s">
        <v>41</v>
      </c>
      <c r="AG541" s="241" t="s">
        <v>42</v>
      </c>
      <c r="AH541" s="241" t="s">
        <v>43</v>
      </c>
      <c r="AI541" s="241" t="s">
        <v>143</v>
      </c>
      <c r="AJ541" s="241" t="s">
        <v>45</v>
      </c>
      <c r="AK541" s="241" t="s">
        <v>46</v>
      </c>
      <c r="AL541" s="241" t="s">
        <v>47</v>
      </c>
      <c r="AM541" s="241" t="s">
        <v>48</v>
      </c>
    </row>
    <row r="542" spans="1:39" s="94" customFormat="1" ht="22.9" customHeight="1" thickBot="1">
      <c r="A542" s="314"/>
      <c r="B542" s="314"/>
      <c r="C542" s="314"/>
      <c r="D542" s="242"/>
      <c r="E542" s="242"/>
      <c r="F542" s="242"/>
      <c r="G542" s="242"/>
      <c r="H542" s="242"/>
      <c r="I542" s="242"/>
      <c r="J542" s="242"/>
      <c r="K542" s="242"/>
      <c r="L542" s="313"/>
      <c r="M542" s="242"/>
      <c r="N542" s="242"/>
      <c r="O542" s="314"/>
      <c r="P542" s="242"/>
      <c r="Q542" s="242"/>
      <c r="R542" s="242"/>
      <c r="S542" s="310"/>
      <c r="T542" s="242"/>
      <c r="U542" s="312"/>
      <c r="V542" s="312"/>
      <c r="W542" s="310"/>
      <c r="X542" s="340"/>
      <c r="Y542" s="242"/>
      <c r="Z542" s="310"/>
      <c r="AA542" s="310"/>
      <c r="AB542" s="310"/>
      <c r="AC542" s="310"/>
      <c r="AD542" s="310"/>
      <c r="AE542" s="310"/>
      <c r="AF542" s="312"/>
      <c r="AG542" s="310"/>
      <c r="AH542" s="242"/>
      <c r="AI542" s="242">
        <v>2018</v>
      </c>
      <c r="AJ542" s="242"/>
      <c r="AK542" s="328"/>
      <c r="AL542" s="242"/>
      <c r="AM542" s="242"/>
    </row>
    <row r="543" spans="1:39" s="94" customFormat="1" ht="22.9" customHeight="1" thickTop="1">
      <c r="A543" s="329" t="s">
        <v>211</v>
      </c>
      <c r="B543" s="332" t="s">
        <v>64</v>
      </c>
      <c r="C543" s="335" t="s">
        <v>206</v>
      </c>
      <c r="D543" s="338" t="s">
        <v>122</v>
      </c>
      <c r="E543" s="338" t="s">
        <v>207</v>
      </c>
      <c r="F543" s="318" t="s">
        <v>212</v>
      </c>
      <c r="G543" s="318" t="s">
        <v>213</v>
      </c>
      <c r="H543" s="318" t="s">
        <v>212</v>
      </c>
      <c r="I543" s="159">
        <f>+L544</f>
        <v>0.91455363280867452</v>
      </c>
      <c r="J543" s="221">
        <v>0.1</v>
      </c>
      <c r="K543" s="315" t="s">
        <v>124</v>
      </c>
      <c r="L543" s="96" t="s">
        <v>57</v>
      </c>
      <c r="M543" s="96" t="s">
        <v>57</v>
      </c>
      <c r="N543" s="96" t="s">
        <v>57</v>
      </c>
      <c r="O543" s="97" t="s">
        <v>57</v>
      </c>
      <c r="P543" s="96" t="s">
        <v>57</v>
      </c>
      <c r="Q543" s="98" t="s">
        <v>57</v>
      </c>
      <c r="R543" s="96" t="s">
        <v>57</v>
      </c>
      <c r="S543" s="98" t="s">
        <v>57</v>
      </c>
      <c r="T543" s="96" t="s">
        <v>57</v>
      </c>
      <c r="U543" s="98" t="s">
        <v>57</v>
      </c>
      <c r="V543" s="96" t="s">
        <v>57</v>
      </c>
      <c r="W543" s="98" t="s">
        <v>57</v>
      </c>
      <c r="X543" s="96" t="s">
        <v>57</v>
      </c>
      <c r="Y543" s="98" t="s">
        <v>57</v>
      </c>
      <c r="Z543" s="96" t="s">
        <v>57</v>
      </c>
      <c r="AA543" s="98" t="s">
        <v>57</v>
      </c>
      <c r="AB543" s="96" t="s">
        <v>57</v>
      </c>
      <c r="AC543" s="98" t="s">
        <v>57</v>
      </c>
      <c r="AD543" s="96" t="s">
        <v>57</v>
      </c>
      <c r="AE543" s="98" t="s">
        <v>57</v>
      </c>
      <c r="AF543" s="96" t="s">
        <v>57</v>
      </c>
      <c r="AG543" s="98" t="s">
        <v>57</v>
      </c>
      <c r="AH543" s="96" t="s">
        <v>57</v>
      </c>
      <c r="AI543" s="98" t="s">
        <v>57</v>
      </c>
      <c r="AJ543" s="67"/>
      <c r="AK543" s="165" t="s">
        <v>72</v>
      </c>
      <c r="AL543" s="325"/>
      <c r="AM543" s="156" t="s">
        <v>125</v>
      </c>
    </row>
    <row r="544" spans="1:39" s="94" customFormat="1" ht="22.9" customHeight="1">
      <c r="A544" s="330"/>
      <c r="B544" s="333"/>
      <c r="C544" s="336"/>
      <c r="D544" s="465"/>
      <c r="E544" s="465"/>
      <c r="F544" s="319"/>
      <c r="G544" s="319"/>
      <c r="H544" s="319"/>
      <c r="I544" s="321"/>
      <c r="J544" s="323"/>
      <c r="K544" s="316"/>
      <c r="L544" s="41">
        <f>IF(L546&lt;&gt;0,+L546/L548,0%)</f>
        <v>0.91455363280867452</v>
      </c>
      <c r="M544" s="58">
        <f>IF(M546&lt;&gt;0,+M546/M548,0%)</f>
        <v>0.90794793145681363</v>
      </c>
      <c r="N544" s="61">
        <f>IF(N546&lt;&gt;0,+N546/N548,0%)</f>
        <v>0.90543240185813656</v>
      </c>
      <c r="O544" s="57">
        <f t="shared" ref="O544" si="798">IF(O546&lt;&gt;0,+O546/O548,0%)</f>
        <v>0.90675593218405881</v>
      </c>
      <c r="P544" s="61">
        <f>IF(P546&lt;&gt;0,ROUND(+P546/P548,4),0%)</f>
        <v>0.89859999999999995</v>
      </c>
      <c r="Q544" s="62">
        <f t="shared" ref="Q544" si="799">IF(Q546&lt;&gt;0,+Q546/Q548,0%)</f>
        <v>0.90396497971064638</v>
      </c>
      <c r="R544" s="63">
        <f>IF(R546&lt;&gt;0,ROUND(+R546/R548,4),0%)</f>
        <v>0.92149999999999999</v>
      </c>
      <c r="S544" s="62">
        <f t="shared" ref="S544" si="800">IF(S546&lt;&gt;0,+S546/S548,0%)</f>
        <v>0.9084543713674591</v>
      </c>
      <c r="T544" s="63">
        <f>IF(T546&lt;&gt;0,ROUND(+T546/T548,4),0%)</f>
        <v>0.9304</v>
      </c>
      <c r="U544" s="62">
        <f t="shared" ref="U544" si="801">IF(U546&lt;&gt;0,+U546/U548,0%)</f>
        <v>0.91267133360785924</v>
      </c>
      <c r="V544" s="63">
        <f>IF(V546&lt;&gt;0,ROUND(+V546/V548,4),0%)</f>
        <v>0.91620000000000001</v>
      </c>
      <c r="W544" s="62">
        <f t="shared" ref="W544" si="802">IF(W546&lt;&gt;0,+W546/W548,0%)</f>
        <v>0.91318122365935184</v>
      </c>
      <c r="X544" s="63">
        <f>IF(X546&lt;&gt;0,ROUND(+X546/X548,4),0%)</f>
        <v>0.88719999999999999</v>
      </c>
      <c r="Y544" s="62">
        <f t="shared" ref="Y544" si="803">IF(Y546&lt;&gt;0,+Y546/Y548,0%)</f>
        <v>0.90839479910294485</v>
      </c>
      <c r="Z544" s="64">
        <f>IF(Z546&lt;&gt;0,ROUND(+Z546/Z548,4),0%)</f>
        <v>0.93189999999999995</v>
      </c>
      <c r="AA544" s="62">
        <f t="shared" ref="AA544" si="804">IF(AA546&lt;&gt;0,+AA546/AA548,0%)</f>
        <v>0.91112281579237819</v>
      </c>
      <c r="AB544" s="63">
        <f>IF(AB546&lt;&gt;0,ROUND(+AB546/AB548,4),0%)</f>
        <v>0.91600000000000004</v>
      </c>
      <c r="AC544" s="62">
        <f t="shared" ref="AC544" si="805">IF(AC546&lt;&gt;0,+AC546/AC548,0%)</f>
        <v>0.91155327473456182</v>
      </c>
      <c r="AD544" s="63">
        <f>IF(AD546&lt;&gt;0,ROUND(+AD546/AD548,4),0%)</f>
        <v>0.91190000000000004</v>
      </c>
      <c r="AE544" s="62">
        <f t="shared" ref="AE544" si="806">IF(AE546&lt;&gt;0,+AE546/AE548,0%)</f>
        <v>0.91159062801538437</v>
      </c>
      <c r="AF544" s="63">
        <f>IF(AF546&lt;&gt;0,ROUND(+AF546/AF548,4),0%)</f>
        <v>0.92200000000000004</v>
      </c>
      <c r="AG544" s="62">
        <f t="shared" ref="AG544" si="807">IF(AG546&lt;&gt;0,+AG546/AG548,0%)</f>
        <v>0.91242639790596636</v>
      </c>
      <c r="AH544" s="63">
        <f>IF(AH546&lt;&gt;0,ROUND(+AH546/AH548,4),0%)</f>
        <v>0.94320000000000004</v>
      </c>
      <c r="AI544" s="62">
        <f>IF(AI546&lt;&gt;0,+AI546/AI548,0%)</f>
        <v>0.91455363280867452</v>
      </c>
      <c r="AJ544" s="68"/>
      <c r="AK544" s="166"/>
      <c r="AL544" s="326"/>
      <c r="AM544" s="157"/>
    </row>
    <row r="545" spans="1:41" s="94" customFormat="1" ht="22.9" customHeight="1" thickBot="1">
      <c r="A545" s="330"/>
      <c r="B545" s="333"/>
      <c r="C545" s="336"/>
      <c r="D545" s="465"/>
      <c r="E545" s="465"/>
      <c r="F545" s="319"/>
      <c r="G545" s="319"/>
      <c r="H545" s="319"/>
      <c r="I545" s="321"/>
      <c r="J545" s="323"/>
      <c r="K545" s="317"/>
      <c r="L545" s="101" t="s">
        <v>60</v>
      </c>
      <c r="M545" s="101" t="s">
        <v>60</v>
      </c>
      <c r="N545" s="101" t="s">
        <v>60</v>
      </c>
      <c r="O545" s="102" t="s">
        <v>60</v>
      </c>
      <c r="P545" s="101" t="s">
        <v>60</v>
      </c>
      <c r="Q545" s="103" t="s">
        <v>60</v>
      </c>
      <c r="R545" s="101" t="s">
        <v>60</v>
      </c>
      <c r="S545" s="103" t="s">
        <v>60</v>
      </c>
      <c r="T545" s="101" t="s">
        <v>60</v>
      </c>
      <c r="U545" s="103" t="s">
        <v>60</v>
      </c>
      <c r="V545" s="101" t="s">
        <v>60</v>
      </c>
      <c r="W545" s="103" t="s">
        <v>60</v>
      </c>
      <c r="X545" s="101" t="s">
        <v>60</v>
      </c>
      <c r="Y545" s="103" t="s">
        <v>60</v>
      </c>
      <c r="Z545" s="101" t="s">
        <v>60</v>
      </c>
      <c r="AA545" s="103" t="s">
        <v>60</v>
      </c>
      <c r="AB545" s="101" t="s">
        <v>60</v>
      </c>
      <c r="AC545" s="103" t="s">
        <v>60</v>
      </c>
      <c r="AD545" s="101" t="s">
        <v>60</v>
      </c>
      <c r="AE545" s="103" t="s">
        <v>60</v>
      </c>
      <c r="AF545" s="101" t="s">
        <v>60</v>
      </c>
      <c r="AG545" s="103" t="s">
        <v>60</v>
      </c>
      <c r="AH545" s="101" t="s">
        <v>60</v>
      </c>
      <c r="AI545" s="103" t="s">
        <v>60</v>
      </c>
      <c r="AJ545" s="68"/>
      <c r="AK545" s="166"/>
      <c r="AL545" s="326"/>
      <c r="AM545" s="157"/>
    </row>
    <row r="546" spans="1:41" s="94" customFormat="1" ht="22.9" customHeight="1" thickTop="1">
      <c r="A546" s="330"/>
      <c r="B546" s="333"/>
      <c r="C546" s="336"/>
      <c r="D546" s="465"/>
      <c r="E546" s="465"/>
      <c r="F546" s="319"/>
      <c r="G546" s="319"/>
      <c r="H546" s="319"/>
      <c r="I546" s="321"/>
      <c r="J546" s="323"/>
      <c r="K546" s="315" t="s">
        <v>74</v>
      </c>
      <c r="L546" s="104">
        <v>943213</v>
      </c>
      <c r="M546" s="105">
        <v>83770</v>
      </c>
      <c r="N546" s="105">
        <v>75236</v>
      </c>
      <c r="O546" s="106">
        <f>+M546+N546</f>
        <v>159006</v>
      </c>
      <c r="P546" s="105">
        <v>81361</v>
      </c>
      <c r="Q546" s="106">
        <f>+O546+P546</f>
        <v>240367</v>
      </c>
      <c r="R546" s="105">
        <v>84122</v>
      </c>
      <c r="S546" s="106">
        <f>+Q546+R546</f>
        <v>324489</v>
      </c>
      <c r="T546" s="105">
        <v>78888</v>
      </c>
      <c r="U546" s="106">
        <f>+S546+T546</f>
        <v>403377</v>
      </c>
      <c r="V546" s="105">
        <v>67893</v>
      </c>
      <c r="W546" s="106">
        <f>+U546+V546</f>
        <v>471270</v>
      </c>
      <c r="X546" s="105">
        <v>103505</v>
      </c>
      <c r="Y546" s="106">
        <f>+W546+X546</f>
        <v>574775</v>
      </c>
      <c r="Z546" s="105">
        <v>77373</v>
      </c>
      <c r="AA546" s="106">
        <f>+Y546+Z546</f>
        <v>652148</v>
      </c>
      <c r="AB546" s="105">
        <v>64043</v>
      </c>
      <c r="AC546" s="106">
        <f>+AA546+AB546</f>
        <v>716191</v>
      </c>
      <c r="AD546" s="105">
        <v>88718</v>
      </c>
      <c r="AE546" s="106">
        <f>+AC546+AD546</f>
        <v>804909</v>
      </c>
      <c r="AF546" s="105">
        <v>71076</v>
      </c>
      <c r="AG546" s="106">
        <f>+AE546+AF546</f>
        <v>875985</v>
      </c>
      <c r="AH546" s="105">
        <v>67228</v>
      </c>
      <c r="AI546" s="106">
        <f>+AG546+AH546</f>
        <v>943213</v>
      </c>
      <c r="AJ546" s="29">
        <f>+AI544/L544</f>
        <v>1</v>
      </c>
      <c r="AK546" s="166"/>
      <c r="AL546" s="326"/>
      <c r="AM546" s="157"/>
    </row>
    <row r="547" spans="1:41" s="94" customFormat="1" ht="22.9" customHeight="1">
      <c r="A547" s="330"/>
      <c r="B547" s="333"/>
      <c r="C547" s="336"/>
      <c r="D547" s="465"/>
      <c r="E547" s="465"/>
      <c r="F547" s="319"/>
      <c r="G547" s="319"/>
      <c r="H547" s="319"/>
      <c r="I547" s="321"/>
      <c r="J547" s="323"/>
      <c r="K547" s="316"/>
      <c r="L547" s="99" t="s">
        <v>126</v>
      </c>
      <c r="M547" s="107" t="s">
        <v>62</v>
      </c>
      <c r="N547" s="107" t="s">
        <v>62</v>
      </c>
      <c r="O547" s="108" t="s">
        <v>62</v>
      </c>
      <c r="P547" s="107" t="s">
        <v>62</v>
      </c>
      <c r="Q547" s="109" t="s">
        <v>62</v>
      </c>
      <c r="R547" s="107" t="s">
        <v>62</v>
      </c>
      <c r="S547" s="109" t="s">
        <v>62</v>
      </c>
      <c r="T547" s="107" t="s">
        <v>62</v>
      </c>
      <c r="U547" s="109" t="s">
        <v>62</v>
      </c>
      <c r="V547" s="107" t="s">
        <v>62</v>
      </c>
      <c r="W547" s="109" t="s">
        <v>62</v>
      </c>
      <c r="X547" s="107" t="s">
        <v>62</v>
      </c>
      <c r="Y547" s="109" t="s">
        <v>62</v>
      </c>
      <c r="Z547" s="107" t="s">
        <v>62</v>
      </c>
      <c r="AA547" s="109" t="s">
        <v>62</v>
      </c>
      <c r="AB547" s="107" t="s">
        <v>62</v>
      </c>
      <c r="AC547" s="109" t="s">
        <v>62</v>
      </c>
      <c r="AD547" s="107" t="s">
        <v>62</v>
      </c>
      <c r="AE547" s="109" t="s">
        <v>62</v>
      </c>
      <c r="AF547" s="107" t="s">
        <v>62</v>
      </c>
      <c r="AG547" s="109" t="s">
        <v>62</v>
      </c>
      <c r="AH547" s="107" t="s">
        <v>62</v>
      </c>
      <c r="AI547" s="109" t="s">
        <v>62</v>
      </c>
      <c r="AJ547" s="68"/>
      <c r="AK547" s="166"/>
      <c r="AL547" s="326"/>
      <c r="AM547" s="157"/>
    </row>
    <row r="548" spans="1:41" s="94" customFormat="1" ht="22.9" customHeight="1" thickBot="1">
      <c r="A548" s="331"/>
      <c r="B548" s="334"/>
      <c r="C548" s="337"/>
      <c r="D548" s="466"/>
      <c r="E548" s="466"/>
      <c r="F548" s="320"/>
      <c r="G548" s="320"/>
      <c r="H548" s="320"/>
      <c r="I548" s="322"/>
      <c r="J548" s="324"/>
      <c r="K548" s="317"/>
      <c r="L548" s="110">
        <v>1031337</v>
      </c>
      <c r="M548" s="111">
        <v>92263</v>
      </c>
      <c r="N548" s="111">
        <v>83094</v>
      </c>
      <c r="O548" s="112">
        <f>+M548+N548</f>
        <v>175357</v>
      </c>
      <c r="P548" s="111">
        <v>90546</v>
      </c>
      <c r="Q548" s="112">
        <f>+O548+P548</f>
        <v>265903</v>
      </c>
      <c r="R548" s="111">
        <v>91285</v>
      </c>
      <c r="S548" s="112">
        <f>+Q548+R548</f>
        <v>357188</v>
      </c>
      <c r="T548" s="111">
        <v>84786</v>
      </c>
      <c r="U548" s="112">
        <f>+S548+T548</f>
        <v>441974</v>
      </c>
      <c r="V548" s="111">
        <v>74101</v>
      </c>
      <c r="W548" s="112">
        <f>+U548+V548</f>
        <v>516075</v>
      </c>
      <c r="X548" s="111">
        <v>116662</v>
      </c>
      <c r="Y548" s="112">
        <f>+W548+X548</f>
        <v>632737</v>
      </c>
      <c r="Z548" s="111">
        <v>83026</v>
      </c>
      <c r="AA548" s="112">
        <f>+Y548+Z548</f>
        <v>715763</v>
      </c>
      <c r="AB548" s="111">
        <v>69919</v>
      </c>
      <c r="AC548" s="112">
        <f>+AA548+AB548</f>
        <v>785682</v>
      </c>
      <c r="AD548" s="111">
        <v>97290</v>
      </c>
      <c r="AE548" s="112">
        <f>+AC548+AD548</f>
        <v>882972</v>
      </c>
      <c r="AF548" s="111">
        <v>77089</v>
      </c>
      <c r="AG548" s="112">
        <f>+AE548+AF548</f>
        <v>960061</v>
      </c>
      <c r="AH548" s="111">
        <v>71276</v>
      </c>
      <c r="AI548" s="112">
        <f>+AG548+AH548</f>
        <v>1031337</v>
      </c>
      <c r="AJ548" s="69"/>
      <c r="AK548" s="167"/>
      <c r="AL548" s="327"/>
      <c r="AM548" s="158"/>
    </row>
    <row r="549" spans="1:41" ht="12.95" thickTop="1"/>
    <row r="550" spans="1:41" s="89" customFormat="1" ht="20.45" thickBot="1">
      <c r="A550" s="114" t="s">
        <v>127</v>
      </c>
      <c r="L550" s="90"/>
      <c r="M550" s="90"/>
      <c r="N550" s="90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</row>
    <row r="551" spans="1:41" s="94" customFormat="1" ht="22.9" customHeight="1" thickTop="1">
      <c r="A551" s="311" t="s">
        <v>10</v>
      </c>
      <c r="B551" s="311" t="s">
        <v>11</v>
      </c>
      <c r="C551" s="311" t="s">
        <v>12</v>
      </c>
      <c r="D551" s="241" t="s">
        <v>13</v>
      </c>
      <c r="E551" s="241" t="s">
        <v>14</v>
      </c>
      <c r="F551" s="241" t="s">
        <v>15</v>
      </c>
      <c r="G551" s="241" t="s">
        <v>16</v>
      </c>
      <c r="H551" s="241" t="s">
        <v>17</v>
      </c>
      <c r="I551" s="241" t="s">
        <v>118</v>
      </c>
      <c r="J551" s="241" t="s">
        <v>19</v>
      </c>
      <c r="K551" s="241" t="s">
        <v>20</v>
      </c>
      <c r="L551" s="241" t="s">
        <v>21</v>
      </c>
      <c r="M551" s="241" t="s">
        <v>22</v>
      </c>
      <c r="N551" s="241" t="s">
        <v>23</v>
      </c>
      <c r="O551" s="311" t="s">
        <v>24</v>
      </c>
      <c r="P551" s="241" t="s">
        <v>25</v>
      </c>
      <c r="Q551" s="241" t="s">
        <v>26</v>
      </c>
      <c r="R551" s="241" t="s">
        <v>27</v>
      </c>
      <c r="S551" s="241" t="s">
        <v>28</v>
      </c>
      <c r="T551" s="241" t="s">
        <v>29</v>
      </c>
      <c r="U551" s="311" t="s">
        <v>30</v>
      </c>
      <c r="V551" s="311" t="s">
        <v>31</v>
      </c>
      <c r="W551" s="241" t="s">
        <v>32</v>
      </c>
      <c r="X551" s="339" t="s">
        <v>33</v>
      </c>
      <c r="Y551" s="241" t="s">
        <v>34</v>
      </c>
      <c r="Z551" s="241" t="s">
        <v>35</v>
      </c>
      <c r="AA551" s="241" t="s">
        <v>36</v>
      </c>
      <c r="AB551" s="241" t="s">
        <v>37</v>
      </c>
      <c r="AC551" s="241" t="s">
        <v>38</v>
      </c>
      <c r="AD551" s="241" t="s">
        <v>39</v>
      </c>
      <c r="AE551" s="241" t="s">
        <v>40</v>
      </c>
      <c r="AF551" s="311" t="s">
        <v>41</v>
      </c>
      <c r="AG551" s="241" t="s">
        <v>42</v>
      </c>
      <c r="AH551" s="241" t="s">
        <v>43</v>
      </c>
      <c r="AI551" s="241" t="s">
        <v>143</v>
      </c>
      <c r="AJ551" s="241" t="s">
        <v>45</v>
      </c>
      <c r="AK551" s="241" t="s">
        <v>46</v>
      </c>
      <c r="AL551" s="241" t="s">
        <v>47</v>
      </c>
      <c r="AM551" s="241" t="s">
        <v>48</v>
      </c>
    </row>
    <row r="552" spans="1:41" s="94" customFormat="1" ht="22.9" customHeight="1" thickBot="1">
      <c r="A552" s="314"/>
      <c r="B552" s="314"/>
      <c r="C552" s="314"/>
      <c r="D552" s="242"/>
      <c r="E552" s="242"/>
      <c r="F552" s="242"/>
      <c r="G552" s="242"/>
      <c r="H552" s="242"/>
      <c r="I552" s="242"/>
      <c r="J552" s="242"/>
      <c r="K552" s="242"/>
      <c r="L552" s="313"/>
      <c r="M552" s="242"/>
      <c r="N552" s="242"/>
      <c r="O552" s="314"/>
      <c r="P552" s="242"/>
      <c r="Q552" s="242"/>
      <c r="R552" s="242"/>
      <c r="S552" s="310"/>
      <c r="T552" s="242"/>
      <c r="U552" s="312"/>
      <c r="V552" s="312"/>
      <c r="W552" s="310"/>
      <c r="X552" s="340"/>
      <c r="Y552" s="242"/>
      <c r="Z552" s="310"/>
      <c r="AA552" s="310"/>
      <c r="AB552" s="310"/>
      <c r="AC552" s="310"/>
      <c r="AD552" s="310"/>
      <c r="AE552" s="310"/>
      <c r="AF552" s="312"/>
      <c r="AG552" s="310"/>
      <c r="AH552" s="242"/>
      <c r="AI552" s="242">
        <v>2018</v>
      </c>
      <c r="AJ552" s="242"/>
      <c r="AK552" s="328"/>
      <c r="AL552" s="242"/>
      <c r="AM552" s="242"/>
    </row>
    <row r="553" spans="1:41" s="94" customFormat="1" ht="22.9" customHeight="1" thickTop="1">
      <c r="A553" s="329" t="s">
        <v>211</v>
      </c>
      <c r="B553" s="332" t="s">
        <v>64</v>
      </c>
      <c r="C553" s="335" t="s">
        <v>206</v>
      </c>
      <c r="D553" s="338" t="s">
        <v>122</v>
      </c>
      <c r="E553" s="338" t="s">
        <v>207</v>
      </c>
      <c r="F553" s="318" t="s">
        <v>212</v>
      </c>
      <c r="G553" s="318" t="s">
        <v>213</v>
      </c>
      <c r="H553" s="318" t="s">
        <v>212</v>
      </c>
      <c r="I553" s="159">
        <f>+L554</f>
        <v>0.91072708047283113</v>
      </c>
      <c r="J553" s="221">
        <v>0.1</v>
      </c>
      <c r="K553" s="315" t="s">
        <v>124</v>
      </c>
      <c r="L553" s="95" t="s">
        <v>57</v>
      </c>
      <c r="M553" s="96" t="s">
        <v>57</v>
      </c>
      <c r="N553" s="96" t="s">
        <v>57</v>
      </c>
      <c r="O553" s="97" t="s">
        <v>57</v>
      </c>
      <c r="P553" s="96" t="s">
        <v>57</v>
      </c>
      <c r="Q553" s="98" t="s">
        <v>57</v>
      </c>
      <c r="R553" s="96" t="s">
        <v>57</v>
      </c>
      <c r="S553" s="98" t="s">
        <v>57</v>
      </c>
      <c r="T553" s="96" t="s">
        <v>57</v>
      </c>
      <c r="U553" s="98" t="s">
        <v>57</v>
      </c>
      <c r="V553" s="96" t="s">
        <v>57</v>
      </c>
      <c r="W553" s="98" t="s">
        <v>57</v>
      </c>
      <c r="X553" s="96" t="s">
        <v>57</v>
      </c>
      <c r="Y553" s="98" t="s">
        <v>57</v>
      </c>
      <c r="Z553" s="96" t="s">
        <v>57</v>
      </c>
      <c r="AA553" s="98" t="s">
        <v>57</v>
      </c>
      <c r="AB553" s="96" t="s">
        <v>57</v>
      </c>
      <c r="AC553" s="98" t="s">
        <v>57</v>
      </c>
      <c r="AD553" s="96" t="s">
        <v>57</v>
      </c>
      <c r="AE553" s="98" t="s">
        <v>57</v>
      </c>
      <c r="AF553" s="96" t="s">
        <v>57</v>
      </c>
      <c r="AG553" s="98" t="s">
        <v>57</v>
      </c>
      <c r="AH553" s="96" t="s">
        <v>57</v>
      </c>
      <c r="AI553" s="98" t="s">
        <v>57</v>
      </c>
      <c r="AJ553" s="67"/>
      <c r="AK553" s="165" t="s">
        <v>72</v>
      </c>
      <c r="AL553" s="325"/>
      <c r="AM553" s="156" t="s">
        <v>125</v>
      </c>
    </row>
    <row r="554" spans="1:41" s="94" customFormat="1" ht="22.9" customHeight="1">
      <c r="A554" s="330"/>
      <c r="B554" s="333"/>
      <c r="C554" s="336"/>
      <c r="D554" s="465"/>
      <c r="E554" s="341"/>
      <c r="F554" s="319"/>
      <c r="G554" s="319"/>
      <c r="H554" s="319"/>
      <c r="I554" s="321"/>
      <c r="J554" s="323"/>
      <c r="K554" s="316"/>
      <c r="L554" s="41">
        <f>IF(L556&lt;&gt;0,+L556/L558,0%)</f>
        <v>0.91072708047283113</v>
      </c>
      <c r="M554" s="58">
        <f>IF(M556&lt;&gt;0,+M556/M558,0%)</f>
        <v>0.90342757972376886</v>
      </c>
      <c r="N554" s="61">
        <f>IF(N556&lt;&gt;0,+N556/N558,0%)</f>
        <v>0.89939072327044023</v>
      </c>
      <c r="O554" s="57">
        <f t="shared" ref="O554" si="808">IF(O556&lt;&gt;0,+O556/O558,0%)</f>
        <v>0.90149346491393267</v>
      </c>
      <c r="P554" s="61">
        <f>IF(P556&lt;&gt;0,ROUND(+P556/P558,4),0%)</f>
        <v>0.89449999999999996</v>
      </c>
      <c r="Q554" s="62">
        <f t="shared" ref="Q554" si="809">IF(Q556&lt;&gt;0,+Q556/Q558,0%)</f>
        <v>0.89905331829106783</v>
      </c>
      <c r="R554" s="63">
        <f>IF(R556&lt;&gt;0,ROUND(+R556/R558,4),0%)</f>
        <v>0.91879999999999995</v>
      </c>
      <c r="S554" s="62">
        <f t="shared" ref="S554" si="810">IF(S556&lt;&gt;0,+S556/S558,0%)</f>
        <v>0.90417569833544642</v>
      </c>
      <c r="T554" s="63">
        <f>IF(T556&lt;&gt;0,ROUND(+T556/T558,4),0%)</f>
        <v>0.92749999999999999</v>
      </c>
      <c r="U554" s="62">
        <f t="shared" ref="U554" si="811">IF(U556&lt;&gt;0,+U556/U558,0%)</f>
        <v>0.90860931540738343</v>
      </c>
      <c r="V554" s="63">
        <f>IF(V556&lt;&gt;0,ROUND(+V556/V558,4),0%)</f>
        <v>0.9133</v>
      </c>
      <c r="W554" s="62">
        <f t="shared" ref="W554" si="812">IF(W556&lt;&gt;0,+W556/W558,0%)</f>
        <v>0.90927168858103047</v>
      </c>
      <c r="X554" s="63">
        <f>IF(X556&lt;&gt;0,ROUND(+X556/X558,4),0%)</f>
        <v>0.88229999999999997</v>
      </c>
      <c r="Y554" s="62">
        <f t="shared" ref="Y554" si="813">IF(Y556&lt;&gt;0,+Y556/Y558,0%)</f>
        <v>0.90420779807912133</v>
      </c>
      <c r="Z554" s="64">
        <f>IF(Z556&lt;&gt;0,ROUND(+Z556/Z558,4),0%)</f>
        <v>0.92910000000000004</v>
      </c>
      <c r="AA554" s="62">
        <f t="shared" ref="AA554" si="814">IF(AA556&lt;&gt;0,+AA556/AA558,0%)</f>
        <v>0.90705407403195537</v>
      </c>
      <c r="AB554" s="63">
        <f>IF(AB556&lt;&gt;0,ROUND(+AB556/AB558,4),0%)</f>
        <v>0.91210000000000002</v>
      </c>
      <c r="AC554" s="62">
        <f t="shared" ref="AC554" si="815">IF(AC556&lt;&gt;0,+AC556/AC558,0%)</f>
        <v>0.90749742841025982</v>
      </c>
      <c r="AD554" s="63">
        <f>IF(AD556&lt;&gt;0,ROUND(+AD556/AD558,4),0%)</f>
        <v>0.90790000000000004</v>
      </c>
      <c r="AE554" s="62">
        <f t="shared" ref="AE554" si="816">IF(AE556&lt;&gt;0,+AE556/AE558,0%)</f>
        <v>0.9075405321320813</v>
      </c>
      <c r="AF554" s="63">
        <f>IF(AF556&lt;&gt;0,ROUND(+AF556/AF558,4),0%)</f>
        <v>0.92049999999999998</v>
      </c>
      <c r="AG554" s="62">
        <f t="shared" ref="AG554" si="817">IF(AG556&lt;&gt;0,+AG556/AG558,0%)</f>
        <v>0.90857673290387275</v>
      </c>
      <c r="AH554" s="63">
        <f>IF(AH556&lt;&gt;0,ROUND(+AH556/AH558,4),0%)</f>
        <v>0.94010000000000005</v>
      </c>
      <c r="AI554" s="62">
        <f>IF(AI556&lt;&gt;0,+AI556/AI558,0%)</f>
        <v>0.91072708047283113</v>
      </c>
      <c r="AJ554" s="68"/>
      <c r="AK554" s="166"/>
      <c r="AL554" s="326"/>
      <c r="AM554" s="157"/>
    </row>
    <row r="555" spans="1:41" s="94" customFormat="1" ht="22.9" customHeight="1" thickBot="1">
      <c r="A555" s="330"/>
      <c r="B555" s="333"/>
      <c r="C555" s="336"/>
      <c r="D555" s="465"/>
      <c r="E555" s="341"/>
      <c r="F555" s="319"/>
      <c r="G555" s="319"/>
      <c r="H555" s="319"/>
      <c r="I555" s="321"/>
      <c r="J555" s="323"/>
      <c r="K555" s="317"/>
      <c r="L555" s="99"/>
      <c r="M555" s="101" t="s">
        <v>60</v>
      </c>
      <c r="N555" s="101" t="s">
        <v>60</v>
      </c>
      <c r="O555" s="102" t="s">
        <v>60</v>
      </c>
      <c r="P555" s="101" t="s">
        <v>60</v>
      </c>
      <c r="Q555" s="103" t="s">
        <v>60</v>
      </c>
      <c r="R555" s="101" t="s">
        <v>60</v>
      </c>
      <c r="S555" s="103" t="s">
        <v>60</v>
      </c>
      <c r="T555" s="101" t="s">
        <v>60</v>
      </c>
      <c r="U555" s="103" t="s">
        <v>60</v>
      </c>
      <c r="V555" s="101" t="s">
        <v>60</v>
      </c>
      <c r="W555" s="103" t="s">
        <v>60</v>
      </c>
      <c r="X555" s="101" t="s">
        <v>60</v>
      </c>
      <c r="Y555" s="103" t="s">
        <v>60</v>
      </c>
      <c r="Z555" s="101" t="s">
        <v>60</v>
      </c>
      <c r="AA555" s="103" t="s">
        <v>60</v>
      </c>
      <c r="AB555" s="101" t="s">
        <v>60</v>
      </c>
      <c r="AC555" s="103" t="s">
        <v>60</v>
      </c>
      <c r="AD555" s="101" t="s">
        <v>60</v>
      </c>
      <c r="AE555" s="103" t="s">
        <v>60</v>
      </c>
      <c r="AF555" s="101" t="s">
        <v>60</v>
      </c>
      <c r="AG555" s="103" t="s">
        <v>60</v>
      </c>
      <c r="AH555" s="101" t="s">
        <v>60</v>
      </c>
      <c r="AI555" s="103" t="s">
        <v>60</v>
      </c>
      <c r="AJ555" s="68"/>
      <c r="AK555" s="166"/>
      <c r="AL555" s="326"/>
      <c r="AM555" s="157"/>
    </row>
    <row r="556" spans="1:41" s="94" customFormat="1" ht="22.9" customHeight="1" thickTop="1">
      <c r="A556" s="330"/>
      <c r="B556" s="333"/>
      <c r="C556" s="336"/>
      <c r="D556" s="465"/>
      <c r="E556" s="341"/>
      <c r="F556" s="319"/>
      <c r="G556" s="319"/>
      <c r="H556" s="319"/>
      <c r="I556" s="321"/>
      <c r="J556" s="323"/>
      <c r="K556" s="315" t="s">
        <v>74</v>
      </c>
      <c r="L556" s="104">
        <v>577064</v>
      </c>
      <c r="M556" s="105">
        <v>49974</v>
      </c>
      <c r="N556" s="105">
        <v>45761</v>
      </c>
      <c r="O556" s="106">
        <f>+M556+N556</f>
        <v>95735</v>
      </c>
      <c r="P556" s="105">
        <v>50897</v>
      </c>
      <c r="Q556" s="106">
        <f>+O556+P556</f>
        <v>146632</v>
      </c>
      <c r="R556" s="105">
        <v>52340</v>
      </c>
      <c r="S556" s="106">
        <f>+Q556+R556</f>
        <v>198972</v>
      </c>
      <c r="T556" s="105">
        <v>47839</v>
      </c>
      <c r="U556" s="106">
        <f>+S556+T556</f>
        <v>246811</v>
      </c>
      <c r="V556" s="105">
        <v>40798</v>
      </c>
      <c r="W556" s="106">
        <f>+U556+V556</f>
        <v>287609</v>
      </c>
      <c r="X556" s="105">
        <v>64400</v>
      </c>
      <c r="Y556" s="106">
        <f>+W556+X556</f>
        <v>352009</v>
      </c>
      <c r="Z556" s="105">
        <v>46800</v>
      </c>
      <c r="AA556" s="106">
        <f>+Y556+Z556</f>
        <v>398809</v>
      </c>
      <c r="AB556" s="105">
        <v>38779</v>
      </c>
      <c r="AC556" s="106">
        <f>+AA556+AB556</f>
        <v>437588</v>
      </c>
      <c r="AD556" s="105">
        <v>55398</v>
      </c>
      <c r="AE556" s="106">
        <f>+AC556+AD556</f>
        <v>492986</v>
      </c>
      <c r="AF556" s="105">
        <v>43395</v>
      </c>
      <c r="AG556" s="106">
        <f>+AE556+AF556</f>
        <v>536381</v>
      </c>
      <c r="AH556" s="105">
        <v>40683</v>
      </c>
      <c r="AI556" s="106">
        <f>SUM(AG556:AH556)</f>
        <v>577064</v>
      </c>
      <c r="AJ556" s="29">
        <f>+AI554/L554</f>
        <v>1</v>
      </c>
      <c r="AK556" s="166"/>
      <c r="AL556" s="326"/>
      <c r="AM556" s="157"/>
    </row>
    <row r="557" spans="1:41" s="94" customFormat="1" ht="22.9" customHeight="1">
      <c r="A557" s="330"/>
      <c r="B557" s="333"/>
      <c r="C557" s="336"/>
      <c r="D557" s="465"/>
      <c r="E557" s="341"/>
      <c r="F557" s="319"/>
      <c r="G557" s="319"/>
      <c r="H557" s="319"/>
      <c r="I557" s="321"/>
      <c r="J557" s="323"/>
      <c r="K557" s="316"/>
      <c r="L557" s="99" t="s">
        <v>126</v>
      </c>
      <c r="M557" s="107" t="s">
        <v>62</v>
      </c>
      <c r="N557" s="107" t="s">
        <v>62</v>
      </c>
      <c r="O557" s="108" t="s">
        <v>62</v>
      </c>
      <c r="P557" s="107" t="s">
        <v>62</v>
      </c>
      <c r="Q557" s="109" t="s">
        <v>62</v>
      </c>
      <c r="R557" s="107"/>
      <c r="S557" s="109" t="s">
        <v>62</v>
      </c>
      <c r="T557" s="107" t="s">
        <v>62</v>
      </c>
      <c r="U557" s="109" t="s">
        <v>62</v>
      </c>
      <c r="V557" s="107" t="s">
        <v>62</v>
      </c>
      <c r="W557" s="109" t="s">
        <v>62</v>
      </c>
      <c r="X557" s="107" t="s">
        <v>62</v>
      </c>
      <c r="Y557" s="109" t="s">
        <v>62</v>
      </c>
      <c r="Z557" s="107" t="s">
        <v>62</v>
      </c>
      <c r="AA557" s="109" t="s">
        <v>62</v>
      </c>
      <c r="AB557" s="107" t="s">
        <v>62</v>
      </c>
      <c r="AC557" s="109" t="s">
        <v>62</v>
      </c>
      <c r="AD557" s="107" t="s">
        <v>62</v>
      </c>
      <c r="AE557" s="109" t="s">
        <v>62</v>
      </c>
      <c r="AF557" s="107" t="s">
        <v>62</v>
      </c>
      <c r="AG557" s="109" t="s">
        <v>62</v>
      </c>
      <c r="AH557" s="107" t="s">
        <v>62</v>
      </c>
      <c r="AI557" s="108" t="s">
        <v>62</v>
      </c>
      <c r="AJ557" s="68"/>
      <c r="AK557" s="166"/>
      <c r="AL557" s="326"/>
      <c r="AM557" s="157"/>
    </row>
    <row r="558" spans="1:41" s="94" customFormat="1" ht="22.9" customHeight="1" thickBot="1">
      <c r="A558" s="331"/>
      <c r="B558" s="334"/>
      <c r="C558" s="337"/>
      <c r="D558" s="466"/>
      <c r="E558" s="342"/>
      <c r="F558" s="320"/>
      <c r="G558" s="320"/>
      <c r="H558" s="320"/>
      <c r="I558" s="322"/>
      <c r="J558" s="324"/>
      <c r="K558" s="317"/>
      <c r="L558" s="110">
        <v>633630</v>
      </c>
      <c r="M558" s="111">
        <v>55316</v>
      </c>
      <c r="N558" s="111">
        <v>50880</v>
      </c>
      <c r="O558" s="112">
        <f t="shared" ref="O558" si="818">+M558+N558</f>
        <v>106196</v>
      </c>
      <c r="P558" s="111">
        <v>56900</v>
      </c>
      <c r="Q558" s="112">
        <f t="shared" ref="Q558" si="819">+O558+P558</f>
        <v>163096</v>
      </c>
      <c r="R558" s="111">
        <v>56963</v>
      </c>
      <c r="S558" s="112">
        <f t="shared" ref="S558" si="820">+Q558+R558</f>
        <v>220059</v>
      </c>
      <c r="T558" s="111">
        <v>51577</v>
      </c>
      <c r="U558" s="112">
        <f t="shared" ref="U558" si="821">+S558+T558</f>
        <v>271636</v>
      </c>
      <c r="V558" s="111">
        <v>44671</v>
      </c>
      <c r="W558" s="112">
        <f t="shared" ref="W558" si="822">+U558+V558</f>
        <v>316307</v>
      </c>
      <c r="X558" s="111">
        <v>72994</v>
      </c>
      <c r="Y558" s="112">
        <f t="shared" ref="Y558" si="823">+W558+X558</f>
        <v>389301</v>
      </c>
      <c r="Z558" s="111">
        <v>50374</v>
      </c>
      <c r="AA558" s="112">
        <f t="shared" ref="AA558" si="824">+Y558+Z558</f>
        <v>439675</v>
      </c>
      <c r="AB558" s="111">
        <v>42517</v>
      </c>
      <c r="AC558" s="112">
        <f t="shared" ref="AC558" si="825">+AA558+AB558</f>
        <v>482192</v>
      </c>
      <c r="AD558" s="111">
        <v>61019</v>
      </c>
      <c r="AE558" s="112">
        <f t="shared" ref="AE558" si="826">+AC558+AD558</f>
        <v>543211</v>
      </c>
      <c r="AF558" s="111">
        <v>47142</v>
      </c>
      <c r="AG558" s="112">
        <f t="shared" ref="AG558" si="827">+AE558+AF558</f>
        <v>590353</v>
      </c>
      <c r="AH558" s="111">
        <v>43277</v>
      </c>
      <c r="AI558" s="112">
        <f>SUM(AG558:AH558)</f>
        <v>633630</v>
      </c>
      <c r="AJ558" s="69"/>
      <c r="AK558" s="167"/>
      <c r="AL558" s="327"/>
      <c r="AM558" s="158"/>
      <c r="AO558" s="115"/>
    </row>
    <row r="559" spans="1:41" ht="12.95" thickTop="1"/>
    <row r="560" spans="1:41" s="89" customFormat="1" ht="20.45" thickBot="1">
      <c r="A560" s="114" t="s">
        <v>128</v>
      </c>
      <c r="L560" s="90"/>
      <c r="M560" s="90"/>
      <c r="N560" s="90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</row>
    <row r="561" spans="1:39" s="94" customFormat="1" ht="22.9" customHeight="1" thickTop="1">
      <c r="A561" s="311" t="s">
        <v>10</v>
      </c>
      <c r="B561" s="311" t="s">
        <v>11</v>
      </c>
      <c r="C561" s="311" t="s">
        <v>12</v>
      </c>
      <c r="D561" s="241" t="s">
        <v>13</v>
      </c>
      <c r="E561" s="241" t="s">
        <v>14</v>
      </c>
      <c r="F561" s="241" t="s">
        <v>15</v>
      </c>
      <c r="G561" s="241" t="s">
        <v>16</v>
      </c>
      <c r="H561" s="241" t="s">
        <v>17</v>
      </c>
      <c r="I561" s="241" t="s">
        <v>118</v>
      </c>
      <c r="J561" s="241" t="s">
        <v>19</v>
      </c>
      <c r="K561" s="241" t="s">
        <v>20</v>
      </c>
      <c r="L561" s="241" t="s">
        <v>21</v>
      </c>
      <c r="M561" s="241" t="s">
        <v>22</v>
      </c>
      <c r="N561" s="241" t="s">
        <v>23</v>
      </c>
      <c r="O561" s="311" t="s">
        <v>24</v>
      </c>
      <c r="P561" s="241" t="s">
        <v>25</v>
      </c>
      <c r="Q561" s="241" t="s">
        <v>26</v>
      </c>
      <c r="R561" s="241" t="s">
        <v>27</v>
      </c>
      <c r="S561" s="241" t="s">
        <v>28</v>
      </c>
      <c r="T561" s="241" t="s">
        <v>29</v>
      </c>
      <c r="U561" s="311" t="s">
        <v>30</v>
      </c>
      <c r="V561" s="311" t="s">
        <v>31</v>
      </c>
      <c r="W561" s="241" t="s">
        <v>32</v>
      </c>
      <c r="X561" s="339" t="s">
        <v>33</v>
      </c>
      <c r="Y561" s="241" t="s">
        <v>34</v>
      </c>
      <c r="Z561" s="241" t="s">
        <v>35</v>
      </c>
      <c r="AA561" s="241" t="s">
        <v>36</v>
      </c>
      <c r="AB561" s="241" t="s">
        <v>37</v>
      </c>
      <c r="AC561" s="241" t="s">
        <v>38</v>
      </c>
      <c r="AD561" s="241" t="s">
        <v>39</v>
      </c>
      <c r="AE561" s="241" t="s">
        <v>40</v>
      </c>
      <c r="AF561" s="311" t="s">
        <v>41</v>
      </c>
      <c r="AG561" s="241" t="s">
        <v>42</v>
      </c>
      <c r="AH561" s="241" t="s">
        <v>43</v>
      </c>
      <c r="AI561" s="241" t="s">
        <v>143</v>
      </c>
      <c r="AJ561" s="241" t="s">
        <v>45</v>
      </c>
      <c r="AK561" s="241" t="s">
        <v>46</v>
      </c>
      <c r="AL561" s="241" t="s">
        <v>47</v>
      </c>
      <c r="AM561" s="241" t="s">
        <v>48</v>
      </c>
    </row>
    <row r="562" spans="1:39" s="94" customFormat="1" ht="22.9" customHeight="1" thickBot="1">
      <c r="A562" s="314"/>
      <c r="B562" s="314"/>
      <c r="C562" s="314"/>
      <c r="D562" s="242"/>
      <c r="E562" s="242"/>
      <c r="F562" s="242"/>
      <c r="G562" s="242"/>
      <c r="H562" s="242"/>
      <c r="I562" s="242"/>
      <c r="J562" s="242"/>
      <c r="K562" s="242"/>
      <c r="L562" s="313"/>
      <c r="M562" s="242"/>
      <c r="N562" s="242"/>
      <c r="O562" s="314"/>
      <c r="P562" s="242"/>
      <c r="Q562" s="242"/>
      <c r="R562" s="242"/>
      <c r="S562" s="310"/>
      <c r="T562" s="242"/>
      <c r="U562" s="312"/>
      <c r="V562" s="312"/>
      <c r="W562" s="310"/>
      <c r="X562" s="340"/>
      <c r="Y562" s="242"/>
      <c r="Z562" s="310"/>
      <c r="AA562" s="310"/>
      <c r="AB562" s="310"/>
      <c r="AC562" s="310"/>
      <c r="AD562" s="310"/>
      <c r="AE562" s="310"/>
      <c r="AF562" s="312"/>
      <c r="AG562" s="310"/>
      <c r="AH562" s="242"/>
      <c r="AI562" s="242">
        <v>2018</v>
      </c>
      <c r="AJ562" s="242"/>
      <c r="AK562" s="328"/>
      <c r="AL562" s="242"/>
      <c r="AM562" s="242"/>
    </row>
    <row r="563" spans="1:39" s="94" customFormat="1" ht="22.9" customHeight="1" thickTop="1">
      <c r="A563" s="329" t="s">
        <v>211</v>
      </c>
      <c r="B563" s="332" t="s">
        <v>64</v>
      </c>
      <c r="C563" s="335" t="s">
        <v>206</v>
      </c>
      <c r="D563" s="338" t="s">
        <v>122</v>
      </c>
      <c r="E563" s="338" t="s">
        <v>207</v>
      </c>
      <c r="F563" s="318" t="s">
        <v>212</v>
      </c>
      <c r="G563" s="318" t="s">
        <v>213</v>
      </c>
      <c r="H563" s="318" t="s">
        <v>212</v>
      </c>
      <c r="I563" s="159">
        <f>+L564</f>
        <v>0.92065012685218017</v>
      </c>
      <c r="J563" s="221">
        <v>0.1</v>
      </c>
      <c r="K563" s="315" t="s">
        <v>124</v>
      </c>
      <c r="L563" s="95" t="s">
        <v>57</v>
      </c>
      <c r="M563" s="96" t="s">
        <v>57</v>
      </c>
      <c r="N563" s="96" t="s">
        <v>57</v>
      </c>
      <c r="O563" s="97" t="s">
        <v>57</v>
      </c>
      <c r="P563" s="96" t="s">
        <v>57</v>
      </c>
      <c r="Q563" s="98" t="s">
        <v>57</v>
      </c>
      <c r="R563" s="96" t="s">
        <v>57</v>
      </c>
      <c r="S563" s="98" t="s">
        <v>57</v>
      </c>
      <c r="T563" s="96" t="s">
        <v>57</v>
      </c>
      <c r="U563" s="98" t="s">
        <v>57</v>
      </c>
      <c r="V563" s="96" t="s">
        <v>57</v>
      </c>
      <c r="W563" s="98" t="s">
        <v>57</v>
      </c>
      <c r="X563" s="96" t="s">
        <v>57</v>
      </c>
      <c r="Y563" s="98" t="s">
        <v>57</v>
      </c>
      <c r="Z563" s="96" t="s">
        <v>57</v>
      </c>
      <c r="AA563" s="98" t="s">
        <v>57</v>
      </c>
      <c r="AB563" s="96" t="s">
        <v>57</v>
      </c>
      <c r="AC563" s="98" t="s">
        <v>57</v>
      </c>
      <c r="AD563" s="96" t="s">
        <v>57</v>
      </c>
      <c r="AE563" s="98" t="s">
        <v>57</v>
      </c>
      <c r="AF563" s="96" t="s">
        <v>57</v>
      </c>
      <c r="AG563" s="98" t="s">
        <v>57</v>
      </c>
      <c r="AH563" s="96" t="s">
        <v>57</v>
      </c>
      <c r="AI563" s="98" t="s">
        <v>57</v>
      </c>
      <c r="AJ563" s="67"/>
      <c r="AK563" s="165" t="s">
        <v>72</v>
      </c>
      <c r="AL563" s="325"/>
      <c r="AM563" s="156" t="s">
        <v>125</v>
      </c>
    </row>
    <row r="564" spans="1:39" s="94" customFormat="1" ht="22.9" customHeight="1">
      <c r="A564" s="330"/>
      <c r="B564" s="333"/>
      <c r="C564" s="336"/>
      <c r="D564" s="465"/>
      <c r="E564" s="465"/>
      <c r="F564" s="319"/>
      <c r="G564" s="319"/>
      <c r="H564" s="319"/>
      <c r="I564" s="321"/>
      <c r="J564" s="323"/>
      <c r="K564" s="316"/>
      <c r="L564" s="41">
        <f>IF(L566&lt;&gt;0,+L566/L568,0%)</f>
        <v>0.92065012685218017</v>
      </c>
      <c r="M564" s="58">
        <f>IF(M566&lt;&gt;0,+M566/M568,0%)</f>
        <v>0.91471567380301511</v>
      </c>
      <c r="N564" s="61">
        <f>IF(N566&lt;&gt;0,+N566/N568,0%)</f>
        <v>0.91497485565282177</v>
      </c>
      <c r="O564" s="57">
        <f t="shared" ref="O564" si="828">IF(O566&lt;&gt;0,+O566/O568,0%)</f>
        <v>0.91483639623487223</v>
      </c>
      <c r="P564" s="61">
        <f>IF(P566&lt;&gt;0,ROUND(+P566/P568,4),0%)</f>
        <v>0.90539999999999998</v>
      </c>
      <c r="Q564" s="62">
        <f t="shared" ref="Q564" si="829">IF(Q566&lt;&gt;0,+Q566/Q568,0%)</f>
        <v>0.91175698152849516</v>
      </c>
      <c r="R564" s="63">
        <f>IF(R566&lt;&gt;0,ROUND(+R566/R568,4),0%)</f>
        <v>0.92600000000000005</v>
      </c>
      <c r="S564" s="62">
        <f t="shared" ref="S564" si="830">IF(S566&lt;&gt;0,+S566/S568,0%)</f>
        <v>0.91532061052002134</v>
      </c>
      <c r="T564" s="63">
        <f>IF(T566&lt;&gt;0,ROUND(+T566/T568,4),0%)</f>
        <v>0.93500000000000005</v>
      </c>
      <c r="U564" s="62">
        <f t="shared" ref="U564" si="831">IF(U566&lt;&gt;0,+U566/U568,0%)</f>
        <v>0.91914898613345231</v>
      </c>
      <c r="V564" s="63">
        <f>IF(V566&lt;&gt;0,ROUND(+V566/V568,4),0%)</f>
        <v>0.92069999999999996</v>
      </c>
      <c r="W564" s="62">
        <f t="shared" ref="W564" si="832">IF(W566&lt;&gt;0,+W566/W568,0%)</f>
        <v>0.91937147090625126</v>
      </c>
      <c r="X564" s="63">
        <f>IF(X566&lt;&gt;0,ROUND(+X566/X568,4),0%)</f>
        <v>0.89549999999999996</v>
      </c>
      <c r="Y564" s="62">
        <f t="shared" ref="Y564" si="833">IF(Y566&lt;&gt;0,+Y566/Y568,0%)</f>
        <v>0.91509061930034996</v>
      </c>
      <c r="Z564" s="64">
        <f>IF(Z566&lt;&gt;0,ROUND(+Z566/Z568,4),0%)</f>
        <v>0.93630000000000002</v>
      </c>
      <c r="AA564" s="62">
        <f t="shared" ref="AA564" si="834">IF(AA566&lt;&gt;0,+AA566/AA568,0%)</f>
        <v>0.91760235866825068</v>
      </c>
      <c r="AB564" s="63">
        <f>IF(AB566&lt;&gt;0,ROUND(+AB566/AB568,4),0%)</f>
        <v>0.92200000000000004</v>
      </c>
      <c r="AC564" s="62">
        <f t="shared" ref="AC564" si="835">IF(AC566&lt;&gt;0,+AC566/AC568,0%)</f>
        <v>0.91799729809878416</v>
      </c>
      <c r="AD564" s="63">
        <f>IF(AD566&lt;&gt;0,ROUND(+AD566/AD568,4),0%)</f>
        <v>0.91859999999999997</v>
      </c>
      <c r="AE564" s="62">
        <f t="shared" ref="AE564" si="836">IF(AE566&lt;&gt;0,+AE566/AE568,0%)</f>
        <v>0.91806593458342778</v>
      </c>
      <c r="AF564" s="63">
        <f>IF(AF566&lt;&gt;0,ROUND(+AF566/AF568,4),0%)</f>
        <v>0.92430000000000001</v>
      </c>
      <c r="AG564" s="62">
        <f t="shared" ref="AG564" si="837">IF(AG566&lt;&gt;0,+AG566/AG568,0%)</f>
        <v>0.91857357698508013</v>
      </c>
      <c r="AH564" s="63">
        <f>IF(AH566&lt;&gt;0,ROUND(+AH566/AH568,4),0%)</f>
        <v>0.94810000000000005</v>
      </c>
      <c r="AI564" s="62">
        <f>IF(AI566&lt;&gt;0,+AI566/AI568,0%)</f>
        <v>0.92065012685218017</v>
      </c>
      <c r="AJ564" s="68"/>
      <c r="AK564" s="166"/>
      <c r="AL564" s="326"/>
      <c r="AM564" s="157"/>
    </row>
    <row r="565" spans="1:39" s="94" customFormat="1" ht="22.9" customHeight="1" thickBot="1">
      <c r="A565" s="330"/>
      <c r="B565" s="333"/>
      <c r="C565" s="336"/>
      <c r="D565" s="465"/>
      <c r="E565" s="465"/>
      <c r="F565" s="319"/>
      <c r="G565" s="319"/>
      <c r="H565" s="319"/>
      <c r="I565" s="321"/>
      <c r="J565" s="323"/>
      <c r="K565" s="317"/>
      <c r="L565" s="99"/>
      <c r="M565" s="101" t="s">
        <v>60</v>
      </c>
      <c r="N565" s="101" t="s">
        <v>60</v>
      </c>
      <c r="O565" s="102" t="s">
        <v>60</v>
      </c>
      <c r="P565" s="101" t="s">
        <v>60</v>
      </c>
      <c r="Q565" s="103" t="s">
        <v>60</v>
      </c>
      <c r="R565" s="101" t="s">
        <v>60</v>
      </c>
      <c r="S565" s="103" t="s">
        <v>60</v>
      </c>
      <c r="T565" s="101" t="s">
        <v>60</v>
      </c>
      <c r="U565" s="103" t="s">
        <v>60</v>
      </c>
      <c r="V565" s="101" t="s">
        <v>60</v>
      </c>
      <c r="W565" s="103" t="s">
        <v>60</v>
      </c>
      <c r="X565" s="101" t="s">
        <v>60</v>
      </c>
      <c r="Y565" s="103" t="s">
        <v>60</v>
      </c>
      <c r="Z565" s="101" t="s">
        <v>60</v>
      </c>
      <c r="AA565" s="103" t="s">
        <v>60</v>
      </c>
      <c r="AB565" s="101" t="s">
        <v>60</v>
      </c>
      <c r="AC565" s="103" t="s">
        <v>60</v>
      </c>
      <c r="AD565" s="101" t="s">
        <v>60</v>
      </c>
      <c r="AE565" s="103" t="s">
        <v>60</v>
      </c>
      <c r="AF565" s="101" t="s">
        <v>60</v>
      </c>
      <c r="AG565" s="103" t="s">
        <v>60</v>
      </c>
      <c r="AH565" s="101" t="s">
        <v>60</v>
      </c>
      <c r="AI565" s="103" t="s">
        <v>60</v>
      </c>
      <c r="AJ565" s="68"/>
      <c r="AK565" s="166"/>
      <c r="AL565" s="326"/>
      <c r="AM565" s="157"/>
    </row>
    <row r="566" spans="1:39" s="94" customFormat="1" ht="22.9" customHeight="1" thickTop="1">
      <c r="A566" s="330"/>
      <c r="B566" s="333"/>
      <c r="C566" s="336"/>
      <c r="D566" s="465"/>
      <c r="E566" s="465"/>
      <c r="F566" s="319"/>
      <c r="G566" s="319"/>
      <c r="H566" s="319"/>
      <c r="I566" s="321"/>
      <c r="J566" s="323"/>
      <c r="K566" s="315" t="s">
        <v>74</v>
      </c>
      <c r="L566" s="104">
        <v>366149</v>
      </c>
      <c r="M566" s="105">
        <v>33796</v>
      </c>
      <c r="N566" s="105">
        <v>29475</v>
      </c>
      <c r="O566" s="106">
        <f>+M566+N566</f>
        <v>63271</v>
      </c>
      <c r="P566" s="105">
        <v>30464</v>
      </c>
      <c r="Q566" s="106">
        <f>+O566+P566</f>
        <v>93735</v>
      </c>
      <c r="R566" s="105">
        <v>31782</v>
      </c>
      <c r="S566" s="106">
        <f>+Q566+R566</f>
        <v>125517</v>
      </c>
      <c r="T566" s="105">
        <v>31049</v>
      </c>
      <c r="U566" s="106">
        <f>+S566+T566</f>
        <v>156566</v>
      </c>
      <c r="V566" s="105">
        <v>27095</v>
      </c>
      <c r="W566" s="106">
        <f>+U566+V566</f>
        <v>183661</v>
      </c>
      <c r="X566" s="105">
        <v>39105</v>
      </c>
      <c r="Y566" s="106">
        <f>+W566+X566</f>
        <v>222766</v>
      </c>
      <c r="Z566" s="105">
        <v>30573</v>
      </c>
      <c r="AA566" s="106">
        <f>+Y566+Z566</f>
        <v>253339</v>
      </c>
      <c r="AB566" s="105">
        <v>25264</v>
      </c>
      <c r="AC566" s="106">
        <f>+AA566+AB566</f>
        <v>278603</v>
      </c>
      <c r="AD566" s="105">
        <v>33320</v>
      </c>
      <c r="AE566" s="106">
        <f>+AC566+AD566</f>
        <v>311923</v>
      </c>
      <c r="AF566" s="105">
        <v>27681</v>
      </c>
      <c r="AG566" s="106">
        <f>+AE566+AF566</f>
        <v>339604</v>
      </c>
      <c r="AH566" s="105">
        <v>26545</v>
      </c>
      <c r="AI566" s="106">
        <f>SUM(AG566:AH566)</f>
        <v>366149</v>
      </c>
      <c r="AJ566" s="29">
        <f>+AI564/L564</f>
        <v>1</v>
      </c>
      <c r="AK566" s="166"/>
      <c r="AL566" s="326"/>
      <c r="AM566" s="157"/>
    </row>
    <row r="567" spans="1:39" s="94" customFormat="1" ht="22.9" customHeight="1">
      <c r="A567" s="330"/>
      <c r="B567" s="333"/>
      <c r="C567" s="336"/>
      <c r="D567" s="465"/>
      <c r="E567" s="465"/>
      <c r="F567" s="319"/>
      <c r="G567" s="319"/>
      <c r="H567" s="319"/>
      <c r="I567" s="321"/>
      <c r="J567" s="323"/>
      <c r="K567" s="316"/>
      <c r="L567" s="99" t="s">
        <v>126</v>
      </c>
      <c r="M567" s="107" t="s">
        <v>62</v>
      </c>
      <c r="N567" s="107" t="s">
        <v>62</v>
      </c>
      <c r="O567" s="108" t="s">
        <v>62</v>
      </c>
      <c r="P567" s="107" t="s">
        <v>62</v>
      </c>
      <c r="Q567" s="109" t="s">
        <v>62</v>
      </c>
      <c r="R567" s="107"/>
      <c r="S567" s="109" t="s">
        <v>62</v>
      </c>
      <c r="T567" s="107" t="s">
        <v>62</v>
      </c>
      <c r="U567" s="109" t="s">
        <v>62</v>
      </c>
      <c r="V567" s="107" t="s">
        <v>62</v>
      </c>
      <c r="W567" s="109" t="s">
        <v>62</v>
      </c>
      <c r="X567" s="107" t="s">
        <v>62</v>
      </c>
      <c r="Y567" s="109" t="s">
        <v>62</v>
      </c>
      <c r="Z567" s="107" t="s">
        <v>62</v>
      </c>
      <c r="AA567" s="109" t="s">
        <v>62</v>
      </c>
      <c r="AB567" s="107" t="s">
        <v>62</v>
      </c>
      <c r="AC567" s="109" t="s">
        <v>62</v>
      </c>
      <c r="AD567" s="107" t="s">
        <v>62</v>
      </c>
      <c r="AE567" s="109" t="s">
        <v>62</v>
      </c>
      <c r="AF567" s="107" t="s">
        <v>62</v>
      </c>
      <c r="AG567" s="109" t="s">
        <v>62</v>
      </c>
      <c r="AH567" s="107" t="s">
        <v>62</v>
      </c>
      <c r="AI567" s="108" t="s">
        <v>62</v>
      </c>
      <c r="AJ567" s="68"/>
      <c r="AK567" s="166"/>
      <c r="AL567" s="326"/>
      <c r="AM567" s="157"/>
    </row>
    <row r="568" spans="1:39" s="94" customFormat="1" ht="22.9" customHeight="1" thickBot="1">
      <c r="A568" s="331"/>
      <c r="B568" s="334"/>
      <c r="C568" s="337"/>
      <c r="D568" s="466"/>
      <c r="E568" s="466"/>
      <c r="F568" s="320"/>
      <c r="G568" s="320"/>
      <c r="H568" s="320"/>
      <c r="I568" s="322"/>
      <c r="J568" s="324"/>
      <c r="K568" s="317"/>
      <c r="L568" s="110">
        <v>397707</v>
      </c>
      <c r="M568" s="111">
        <v>36947</v>
      </c>
      <c r="N568" s="111">
        <v>32214</v>
      </c>
      <c r="O568" s="112">
        <f t="shared" ref="O568" si="838">+M568+N568</f>
        <v>69161</v>
      </c>
      <c r="P568" s="111">
        <v>33646</v>
      </c>
      <c r="Q568" s="112">
        <f t="shared" ref="Q568" si="839">+O568+P568</f>
        <v>102807</v>
      </c>
      <c r="R568" s="111">
        <v>34322</v>
      </c>
      <c r="S568" s="112">
        <f t="shared" ref="S568" si="840">+Q568+R568</f>
        <v>137129</v>
      </c>
      <c r="T568" s="111">
        <v>33209</v>
      </c>
      <c r="U568" s="112">
        <f t="shared" ref="U568" si="841">+S568+T568</f>
        <v>170338</v>
      </c>
      <c r="V568" s="111">
        <v>29430</v>
      </c>
      <c r="W568" s="112">
        <f t="shared" ref="W568" si="842">+U568+V568</f>
        <v>199768</v>
      </c>
      <c r="X568" s="111">
        <v>43668</v>
      </c>
      <c r="Y568" s="112">
        <f t="shared" ref="Y568" si="843">+W568+X568</f>
        <v>243436</v>
      </c>
      <c r="Z568" s="111">
        <v>32652</v>
      </c>
      <c r="AA568" s="112">
        <f t="shared" ref="AA568" si="844">+Y568+Z568</f>
        <v>276088</v>
      </c>
      <c r="AB568" s="111">
        <v>27402</v>
      </c>
      <c r="AC568" s="112">
        <f t="shared" ref="AC568" si="845">+AA568+AB568</f>
        <v>303490</v>
      </c>
      <c r="AD568" s="111">
        <v>36271</v>
      </c>
      <c r="AE568" s="112">
        <f t="shared" ref="AE568" si="846">+AC568+AD568</f>
        <v>339761</v>
      </c>
      <c r="AF568" s="111">
        <v>29947</v>
      </c>
      <c r="AG568" s="112">
        <f t="shared" ref="AG568" si="847">+AE568+AF568</f>
        <v>369708</v>
      </c>
      <c r="AH568" s="111">
        <v>27999</v>
      </c>
      <c r="AI568" s="112">
        <f>SUM(AG568:AH568)</f>
        <v>397707</v>
      </c>
      <c r="AJ568" s="69"/>
      <c r="AK568" s="167"/>
      <c r="AL568" s="327"/>
      <c r="AM568" s="158"/>
    </row>
    <row r="569" spans="1:39" ht="12.95" thickTop="1"/>
    <row r="573" spans="1:39">
      <c r="L573" s="134"/>
      <c r="M573" s="134"/>
      <c r="N573" s="134"/>
    </row>
    <row r="574" spans="1:39">
      <c r="L574" s="134"/>
    </row>
    <row r="575" spans="1:39">
      <c r="L575" s="134"/>
      <c r="M575" s="134"/>
      <c r="N575" s="134"/>
    </row>
  </sheetData>
  <mergeCells count="2780">
    <mergeCell ref="C1:C5"/>
    <mergeCell ref="D1:K5"/>
    <mergeCell ref="L1:Q1"/>
    <mergeCell ref="L2:Q2"/>
    <mergeCell ref="L3:Q3"/>
    <mergeCell ref="L4:Q4"/>
    <mergeCell ref="L5:Q5"/>
    <mergeCell ref="Q13:Q14"/>
    <mergeCell ref="R13:R14"/>
    <mergeCell ref="G13:G14"/>
    <mergeCell ref="H13:H14"/>
    <mergeCell ref="I13:I14"/>
    <mergeCell ref="J13:J14"/>
    <mergeCell ref="K13:K14"/>
    <mergeCell ref="L13:L14"/>
    <mergeCell ref="D6:K6"/>
    <mergeCell ref="L6:Q6"/>
    <mergeCell ref="C8:K8"/>
    <mergeCell ref="C11:K11"/>
    <mergeCell ref="A13:A14"/>
    <mergeCell ref="B13:B14"/>
    <mergeCell ref="C13:C14"/>
    <mergeCell ref="D13:D14"/>
    <mergeCell ref="E13:E14"/>
    <mergeCell ref="F13:F14"/>
    <mergeCell ref="AK13:AK14"/>
    <mergeCell ref="AL13:AL14"/>
    <mergeCell ref="AM13:AM14"/>
    <mergeCell ref="A15:A20"/>
    <mergeCell ref="B15:B20"/>
    <mergeCell ref="C15:C20"/>
    <mergeCell ref="D15:D20"/>
    <mergeCell ref="E15:E20"/>
    <mergeCell ref="F15:F20"/>
    <mergeCell ref="G15:G20"/>
    <mergeCell ref="AE13:AE14"/>
    <mergeCell ref="AF13:AF14"/>
    <mergeCell ref="AG13:AG14"/>
    <mergeCell ref="AH13:AH14"/>
    <mergeCell ref="AI13:AI14"/>
    <mergeCell ref="AJ13:AJ14"/>
    <mergeCell ref="Y13:Y14"/>
    <mergeCell ref="Z13:Z14"/>
    <mergeCell ref="AA13:AA14"/>
    <mergeCell ref="AB13:AB14"/>
    <mergeCell ref="AC13:AC14"/>
    <mergeCell ref="AD13:AD14"/>
    <mergeCell ref="S13:S14"/>
    <mergeCell ref="T13:T14"/>
    <mergeCell ref="U13:U14"/>
    <mergeCell ref="V13:V14"/>
    <mergeCell ref="AI23:AI24"/>
    <mergeCell ref="W13:W14"/>
    <mergeCell ref="X13:X14"/>
    <mergeCell ref="M13:M14"/>
    <mergeCell ref="N13:N14"/>
    <mergeCell ref="O13:O14"/>
    <mergeCell ref="P13:P14"/>
    <mergeCell ref="P23:P24"/>
    <mergeCell ref="Q23:Q24"/>
    <mergeCell ref="R23:R24"/>
    <mergeCell ref="S23:S24"/>
    <mergeCell ref="T23:T24"/>
    <mergeCell ref="I23:I24"/>
    <mergeCell ref="J23:J24"/>
    <mergeCell ref="K23:K24"/>
    <mergeCell ref="L23:L24"/>
    <mergeCell ref="M23:M24"/>
    <mergeCell ref="N23:N24"/>
    <mergeCell ref="R33:R34"/>
    <mergeCell ref="AM15:AM20"/>
    <mergeCell ref="K18:K20"/>
    <mergeCell ref="A23:A24"/>
    <mergeCell ref="B23:B24"/>
    <mergeCell ref="C23:C24"/>
    <mergeCell ref="D23:D24"/>
    <mergeCell ref="E23:E24"/>
    <mergeCell ref="F23:F24"/>
    <mergeCell ref="G23:G24"/>
    <mergeCell ref="H23:H24"/>
    <mergeCell ref="H15:H20"/>
    <mergeCell ref="I15:I20"/>
    <mergeCell ref="J15:J20"/>
    <mergeCell ref="K15:K17"/>
    <mergeCell ref="AK15:AK20"/>
    <mergeCell ref="AL15:AL20"/>
    <mergeCell ref="AL25:AL30"/>
    <mergeCell ref="AM25:AM30"/>
    <mergeCell ref="K28:K30"/>
    <mergeCell ref="AM23:AM24"/>
    <mergeCell ref="A25:A30"/>
    <mergeCell ref="B25:B30"/>
    <mergeCell ref="C25:C30"/>
    <mergeCell ref="D25:D30"/>
    <mergeCell ref="E25:E30"/>
    <mergeCell ref="F25:F30"/>
    <mergeCell ref="G25:G30"/>
    <mergeCell ref="H25:H30"/>
    <mergeCell ref="I25:I30"/>
    <mergeCell ref="AG23:AG24"/>
    <mergeCell ref="AH23:AH24"/>
    <mergeCell ref="I33:I34"/>
    <mergeCell ref="J33:J34"/>
    <mergeCell ref="K33:K34"/>
    <mergeCell ref="L33:L34"/>
    <mergeCell ref="A33:A34"/>
    <mergeCell ref="B33:B34"/>
    <mergeCell ref="C33:C34"/>
    <mergeCell ref="D33:D34"/>
    <mergeCell ref="E33:E34"/>
    <mergeCell ref="F33:F34"/>
    <mergeCell ref="J25:J30"/>
    <mergeCell ref="K25:K27"/>
    <mergeCell ref="AK25:AK30"/>
    <mergeCell ref="AK33:AK34"/>
    <mergeCell ref="AL33:AL34"/>
    <mergeCell ref="AJ23:AJ24"/>
    <mergeCell ref="AK23:AK24"/>
    <mergeCell ref="AL23:AL24"/>
    <mergeCell ref="AA23:AA24"/>
    <mergeCell ref="AB23:AB24"/>
    <mergeCell ref="AC23:AC24"/>
    <mergeCell ref="AD23:AD24"/>
    <mergeCell ref="AE23:AE24"/>
    <mergeCell ref="AF23:AF24"/>
    <mergeCell ref="U23:U24"/>
    <mergeCell ref="V23:V24"/>
    <mergeCell ref="W23:W24"/>
    <mergeCell ref="X23:X24"/>
    <mergeCell ref="Y23:Y24"/>
    <mergeCell ref="Z23:Z24"/>
    <mergeCell ref="O23:O24"/>
    <mergeCell ref="Q33:Q34"/>
    <mergeCell ref="AM33:AM34"/>
    <mergeCell ref="A35:A40"/>
    <mergeCell ref="B35:B40"/>
    <mergeCell ref="C35:C40"/>
    <mergeCell ref="D35:D40"/>
    <mergeCell ref="E35:E40"/>
    <mergeCell ref="F35:F40"/>
    <mergeCell ref="G35:G40"/>
    <mergeCell ref="AE33:AE34"/>
    <mergeCell ref="AF33:AF34"/>
    <mergeCell ref="AG33:AG34"/>
    <mergeCell ref="AH33:AH34"/>
    <mergeCell ref="AI33:AI34"/>
    <mergeCell ref="AJ33:AJ34"/>
    <mergeCell ref="Y33:Y34"/>
    <mergeCell ref="Z33:Z34"/>
    <mergeCell ref="AA33:AA34"/>
    <mergeCell ref="AB33:AB34"/>
    <mergeCell ref="AC33:AC34"/>
    <mergeCell ref="AD33:AD34"/>
    <mergeCell ref="S33:S34"/>
    <mergeCell ref="T33:T34"/>
    <mergeCell ref="U33:U34"/>
    <mergeCell ref="V33:V34"/>
    <mergeCell ref="W33:W34"/>
    <mergeCell ref="X33:X34"/>
    <mergeCell ref="M33:M34"/>
    <mergeCell ref="N33:N34"/>
    <mergeCell ref="O33:O34"/>
    <mergeCell ref="P33:P34"/>
    <mergeCell ref="G33:G34"/>
    <mergeCell ref="H33:H34"/>
    <mergeCell ref="N46:N47"/>
    <mergeCell ref="O46:O47"/>
    <mergeCell ref="P46:P47"/>
    <mergeCell ref="Q46:Q47"/>
    <mergeCell ref="R46:R47"/>
    <mergeCell ref="S46:S47"/>
    <mergeCell ref="H46:H47"/>
    <mergeCell ref="I46:I47"/>
    <mergeCell ref="J46:J47"/>
    <mergeCell ref="K46:K47"/>
    <mergeCell ref="L46:L47"/>
    <mergeCell ref="M46:M47"/>
    <mergeCell ref="AM35:AM40"/>
    <mergeCell ref="K38:K40"/>
    <mergeCell ref="C44:K44"/>
    <mergeCell ref="A46:A47"/>
    <mergeCell ref="B46:B47"/>
    <mergeCell ref="C46:C47"/>
    <mergeCell ref="D46:D47"/>
    <mergeCell ref="E46:E47"/>
    <mergeCell ref="F46:F47"/>
    <mergeCell ref="G46:G47"/>
    <mergeCell ref="H35:H40"/>
    <mergeCell ref="I35:I40"/>
    <mergeCell ref="J35:J40"/>
    <mergeCell ref="K35:K37"/>
    <mergeCell ref="AK35:AK40"/>
    <mergeCell ref="AL35:AL40"/>
    <mergeCell ref="AK48:AK53"/>
    <mergeCell ref="AL48:AL53"/>
    <mergeCell ref="AM48:AM53"/>
    <mergeCell ref="K51:K53"/>
    <mergeCell ref="AL46:AL47"/>
    <mergeCell ref="AM46:AM47"/>
    <mergeCell ref="A48:A53"/>
    <mergeCell ref="B48:B53"/>
    <mergeCell ref="C48:C53"/>
    <mergeCell ref="D48:D53"/>
    <mergeCell ref="E48:E53"/>
    <mergeCell ref="F48:F53"/>
    <mergeCell ref="G48:G53"/>
    <mergeCell ref="H48:H53"/>
    <mergeCell ref="AF46:AF47"/>
    <mergeCell ref="AG46:AG47"/>
    <mergeCell ref="AH46:AH47"/>
    <mergeCell ref="AI46:AI47"/>
    <mergeCell ref="AJ46:AJ47"/>
    <mergeCell ref="AK46:AK47"/>
    <mergeCell ref="Z46:Z47"/>
    <mergeCell ref="AA46:AA47"/>
    <mergeCell ref="AB46:AB47"/>
    <mergeCell ref="AC46:AC47"/>
    <mergeCell ref="AD46:AD47"/>
    <mergeCell ref="AE46:AE47"/>
    <mergeCell ref="T46:T47"/>
    <mergeCell ref="U46:U47"/>
    <mergeCell ref="V46:V47"/>
    <mergeCell ref="W46:W47"/>
    <mergeCell ref="X46:X47"/>
    <mergeCell ref="Y46:Y47"/>
    <mergeCell ref="Q56:Q57"/>
    <mergeCell ref="R56:R57"/>
    <mergeCell ref="G56:G57"/>
    <mergeCell ref="H56:H57"/>
    <mergeCell ref="I56:I57"/>
    <mergeCell ref="J56:J57"/>
    <mergeCell ref="K56:K57"/>
    <mergeCell ref="L56:L57"/>
    <mergeCell ref="A56:A57"/>
    <mergeCell ref="B56:B57"/>
    <mergeCell ref="C56:C57"/>
    <mergeCell ref="D56:D57"/>
    <mergeCell ref="E56:E57"/>
    <mergeCell ref="F56:F57"/>
    <mergeCell ref="I48:I53"/>
    <mergeCell ref="J48:J53"/>
    <mergeCell ref="K48:K50"/>
    <mergeCell ref="AK56:AK57"/>
    <mergeCell ref="AL56:AL57"/>
    <mergeCell ref="AM56:AM57"/>
    <mergeCell ref="A58:A63"/>
    <mergeCell ref="B58:B63"/>
    <mergeCell ref="C58:C63"/>
    <mergeCell ref="D58:D63"/>
    <mergeCell ref="E58:E63"/>
    <mergeCell ref="F58:F63"/>
    <mergeCell ref="G58:G63"/>
    <mergeCell ref="AE56:AE57"/>
    <mergeCell ref="AF56:AF57"/>
    <mergeCell ref="AG56:AG57"/>
    <mergeCell ref="AH56:AH57"/>
    <mergeCell ref="AI56:AI57"/>
    <mergeCell ref="AJ56:AJ57"/>
    <mergeCell ref="Y56:Y57"/>
    <mergeCell ref="Z56:Z57"/>
    <mergeCell ref="AA56:AA57"/>
    <mergeCell ref="AB56:AB57"/>
    <mergeCell ref="AC56:AC57"/>
    <mergeCell ref="AD56:AD57"/>
    <mergeCell ref="S56:S57"/>
    <mergeCell ref="T56:T57"/>
    <mergeCell ref="U56:U57"/>
    <mergeCell ref="V56:V57"/>
    <mergeCell ref="W56:W57"/>
    <mergeCell ref="X56:X57"/>
    <mergeCell ref="M56:M57"/>
    <mergeCell ref="N56:N57"/>
    <mergeCell ref="O56:O57"/>
    <mergeCell ref="P56:P57"/>
    <mergeCell ref="AM58:AM63"/>
    <mergeCell ref="K61:K63"/>
    <mergeCell ref="A66:A67"/>
    <mergeCell ref="B66:B67"/>
    <mergeCell ref="C66:C67"/>
    <mergeCell ref="D66:D67"/>
    <mergeCell ref="E66:E67"/>
    <mergeCell ref="F66:F67"/>
    <mergeCell ref="G66:G67"/>
    <mergeCell ref="H66:H67"/>
    <mergeCell ref="H58:H63"/>
    <mergeCell ref="I58:I63"/>
    <mergeCell ref="J58:J63"/>
    <mergeCell ref="K58:K60"/>
    <mergeCell ref="AK58:AK63"/>
    <mergeCell ref="AL58:AL63"/>
    <mergeCell ref="AA66:AA67"/>
    <mergeCell ref="AB66:AB67"/>
    <mergeCell ref="AC66:AC67"/>
    <mergeCell ref="AD66:AD67"/>
    <mergeCell ref="AE66:AE67"/>
    <mergeCell ref="AF66:AF67"/>
    <mergeCell ref="U66:U67"/>
    <mergeCell ref="V66:V67"/>
    <mergeCell ref="W66:W67"/>
    <mergeCell ref="X66:X67"/>
    <mergeCell ref="C77:K77"/>
    <mergeCell ref="A79:A80"/>
    <mergeCell ref="B79:B80"/>
    <mergeCell ref="C79:C80"/>
    <mergeCell ref="D79:D80"/>
    <mergeCell ref="E79:E80"/>
    <mergeCell ref="F79:F80"/>
    <mergeCell ref="G79:G80"/>
    <mergeCell ref="H79:H80"/>
    <mergeCell ref="I79:I80"/>
    <mergeCell ref="J68:J73"/>
    <mergeCell ref="K68:K70"/>
    <mergeCell ref="I66:I67"/>
    <mergeCell ref="J66:J67"/>
    <mergeCell ref="K66:K67"/>
    <mergeCell ref="L66:L67"/>
    <mergeCell ref="M66:M67"/>
    <mergeCell ref="AK68:AK73"/>
    <mergeCell ref="AL68:AL73"/>
    <mergeCell ref="AM68:AM73"/>
    <mergeCell ref="K71:K73"/>
    <mergeCell ref="AM66:AM67"/>
    <mergeCell ref="A68:A73"/>
    <mergeCell ref="B68:B73"/>
    <mergeCell ref="C68:C73"/>
    <mergeCell ref="D68:D73"/>
    <mergeCell ref="E68:E73"/>
    <mergeCell ref="F68:F73"/>
    <mergeCell ref="G68:G73"/>
    <mergeCell ref="H68:H73"/>
    <mergeCell ref="I68:I73"/>
    <mergeCell ref="AG66:AG67"/>
    <mergeCell ref="AH66:AH67"/>
    <mergeCell ref="AI66:AI67"/>
    <mergeCell ref="AJ66:AJ67"/>
    <mergeCell ref="AK66:AK67"/>
    <mergeCell ref="AL66:AL67"/>
    <mergeCell ref="Y66:Y67"/>
    <mergeCell ref="Z66:Z67"/>
    <mergeCell ref="O66:O67"/>
    <mergeCell ref="P66:P67"/>
    <mergeCell ref="Q66:Q67"/>
    <mergeCell ref="R66:R67"/>
    <mergeCell ref="S66:S67"/>
    <mergeCell ref="T66:T67"/>
    <mergeCell ref="N66:N67"/>
    <mergeCell ref="E81:E86"/>
    <mergeCell ref="F81:F86"/>
    <mergeCell ref="AH79:AH80"/>
    <mergeCell ref="AI79:AI80"/>
    <mergeCell ref="AJ79:AJ80"/>
    <mergeCell ref="AK79:AK80"/>
    <mergeCell ref="AL79:AL80"/>
    <mergeCell ref="AM79:AM80"/>
    <mergeCell ref="AB79:AB80"/>
    <mergeCell ref="AC79:AC80"/>
    <mergeCell ref="AD79:AD80"/>
    <mergeCell ref="AE79:AE80"/>
    <mergeCell ref="AF79:AF80"/>
    <mergeCell ref="AG79:AG80"/>
    <mergeCell ref="V79:V80"/>
    <mergeCell ref="W79:W80"/>
    <mergeCell ref="X79:X80"/>
    <mergeCell ref="Y79:Y80"/>
    <mergeCell ref="Z79:Z80"/>
    <mergeCell ref="AA79:AA80"/>
    <mergeCell ref="P79:P80"/>
    <mergeCell ref="Q79:Q80"/>
    <mergeCell ref="R79:R80"/>
    <mergeCell ref="S79:S80"/>
    <mergeCell ref="T79:T80"/>
    <mergeCell ref="U79:U80"/>
    <mergeCell ref="J79:J80"/>
    <mergeCell ref="K79:K80"/>
    <mergeCell ref="L79:L80"/>
    <mergeCell ref="M79:M80"/>
    <mergeCell ref="N79:N80"/>
    <mergeCell ref="O79:O80"/>
    <mergeCell ref="N89:N90"/>
    <mergeCell ref="O89:O90"/>
    <mergeCell ref="P89:P90"/>
    <mergeCell ref="Q89:Q90"/>
    <mergeCell ref="R89:R90"/>
    <mergeCell ref="S89:S90"/>
    <mergeCell ref="H89:H90"/>
    <mergeCell ref="I89:I90"/>
    <mergeCell ref="J89:J90"/>
    <mergeCell ref="K89:K90"/>
    <mergeCell ref="L89:L90"/>
    <mergeCell ref="M89:M90"/>
    <mergeCell ref="AL81:AL86"/>
    <mergeCell ref="AM81:AM86"/>
    <mergeCell ref="K84:K86"/>
    <mergeCell ref="A89:A90"/>
    <mergeCell ref="B89:B90"/>
    <mergeCell ref="C89:C90"/>
    <mergeCell ref="D89:D90"/>
    <mergeCell ref="E89:E90"/>
    <mergeCell ref="F89:F90"/>
    <mergeCell ref="G89:G90"/>
    <mergeCell ref="G81:G86"/>
    <mergeCell ref="H81:H86"/>
    <mergeCell ref="I81:I86"/>
    <mergeCell ref="J81:J86"/>
    <mergeCell ref="K81:K83"/>
    <mergeCell ref="AK81:AK86"/>
    <mergeCell ref="A81:A86"/>
    <mergeCell ref="B81:B86"/>
    <mergeCell ref="C81:C86"/>
    <mergeCell ref="D81:D86"/>
    <mergeCell ref="AK91:AK96"/>
    <mergeCell ref="AL91:AL96"/>
    <mergeCell ref="AM91:AM96"/>
    <mergeCell ref="K94:K96"/>
    <mergeCell ref="AL89:AL90"/>
    <mergeCell ref="AM89:AM90"/>
    <mergeCell ref="A91:A96"/>
    <mergeCell ref="B91:B96"/>
    <mergeCell ref="C91:C96"/>
    <mergeCell ref="D91:D96"/>
    <mergeCell ref="E91:E96"/>
    <mergeCell ref="F91:F96"/>
    <mergeCell ref="G91:G96"/>
    <mergeCell ref="H91:H96"/>
    <mergeCell ref="AF89:AF90"/>
    <mergeCell ref="AG89:AG90"/>
    <mergeCell ref="AH89:AH90"/>
    <mergeCell ref="AI89:AI90"/>
    <mergeCell ref="AJ89:AJ90"/>
    <mergeCell ref="AK89:AK90"/>
    <mergeCell ref="Z89:Z90"/>
    <mergeCell ref="AA89:AA90"/>
    <mergeCell ref="AB89:AB90"/>
    <mergeCell ref="AC89:AC90"/>
    <mergeCell ref="AD89:AD90"/>
    <mergeCell ref="AE89:AE90"/>
    <mergeCell ref="T89:T90"/>
    <mergeCell ref="U89:U90"/>
    <mergeCell ref="V89:V90"/>
    <mergeCell ref="W89:W90"/>
    <mergeCell ref="X89:X90"/>
    <mergeCell ref="Y89:Y90"/>
    <mergeCell ref="Q99:Q100"/>
    <mergeCell ref="R99:R100"/>
    <mergeCell ref="G99:G100"/>
    <mergeCell ref="H99:H100"/>
    <mergeCell ref="I99:I100"/>
    <mergeCell ref="J99:J100"/>
    <mergeCell ref="K99:K100"/>
    <mergeCell ref="L99:L100"/>
    <mergeCell ref="A99:A100"/>
    <mergeCell ref="B99:B100"/>
    <mergeCell ref="C99:C100"/>
    <mergeCell ref="D99:D100"/>
    <mergeCell ref="E99:E100"/>
    <mergeCell ref="F99:F100"/>
    <mergeCell ref="I91:I96"/>
    <mergeCell ref="J91:J96"/>
    <mergeCell ref="K91:K93"/>
    <mergeCell ref="AK99:AK100"/>
    <mergeCell ref="AL99:AL100"/>
    <mergeCell ref="AM99:AM100"/>
    <mergeCell ref="A101:A106"/>
    <mergeCell ref="B101:B106"/>
    <mergeCell ref="C101:C106"/>
    <mergeCell ref="D101:D106"/>
    <mergeCell ref="E101:E106"/>
    <mergeCell ref="F101:F106"/>
    <mergeCell ref="G101:G106"/>
    <mergeCell ref="AE99:AE100"/>
    <mergeCell ref="AF99:AF100"/>
    <mergeCell ref="AG99:AG100"/>
    <mergeCell ref="AH99:AH100"/>
    <mergeCell ref="AI99:AI100"/>
    <mergeCell ref="AJ99:AJ100"/>
    <mergeCell ref="Y99:Y100"/>
    <mergeCell ref="Z99:Z100"/>
    <mergeCell ref="AA99:AA100"/>
    <mergeCell ref="AB99:AB100"/>
    <mergeCell ref="AC99:AC100"/>
    <mergeCell ref="AD99:AD100"/>
    <mergeCell ref="S99:S100"/>
    <mergeCell ref="T99:T100"/>
    <mergeCell ref="U99:U100"/>
    <mergeCell ref="V99:V100"/>
    <mergeCell ref="W99:W100"/>
    <mergeCell ref="X99:X100"/>
    <mergeCell ref="M99:M100"/>
    <mergeCell ref="N99:N100"/>
    <mergeCell ref="O99:O100"/>
    <mergeCell ref="P99:P100"/>
    <mergeCell ref="N112:N113"/>
    <mergeCell ref="O112:O113"/>
    <mergeCell ref="P112:P113"/>
    <mergeCell ref="Q112:Q113"/>
    <mergeCell ref="R112:R113"/>
    <mergeCell ref="S112:S113"/>
    <mergeCell ref="H112:H113"/>
    <mergeCell ref="I112:I113"/>
    <mergeCell ref="J112:J113"/>
    <mergeCell ref="K112:K113"/>
    <mergeCell ref="L112:L113"/>
    <mergeCell ref="M112:M113"/>
    <mergeCell ref="AM101:AM106"/>
    <mergeCell ref="K104:K106"/>
    <mergeCell ref="C110:K110"/>
    <mergeCell ref="A112:A113"/>
    <mergeCell ref="B112:B113"/>
    <mergeCell ref="C112:C113"/>
    <mergeCell ref="D112:D113"/>
    <mergeCell ref="E112:E113"/>
    <mergeCell ref="F112:F113"/>
    <mergeCell ref="G112:G113"/>
    <mergeCell ref="H101:H106"/>
    <mergeCell ref="I101:I106"/>
    <mergeCell ref="J101:J106"/>
    <mergeCell ref="K101:K103"/>
    <mergeCell ref="AK101:AK106"/>
    <mergeCell ref="AL101:AL106"/>
    <mergeCell ref="AK114:AK119"/>
    <mergeCell ref="AL114:AL119"/>
    <mergeCell ref="AM114:AM119"/>
    <mergeCell ref="K117:K119"/>
    <mergeCell ref="AL112:AL113"/>
    <mergeCell ref="AM112:AM113"/>
    <mergeCell ref="A114:A119"/>
    <mergeCell ref="B114:B119"/>
    <mergeCell ref="C114:C119"/>
    <mergeCell ref="D114:D119"/>
    <mergeCell ref="E114:E119"/>
    <mergeCell ref="F114:F119"/>
    <mergeCell ref="G114:G119"/>
    <mergeCell ref="H114:H119"/>
    <mergeCell ref="AF112:AF113"/>
    <mergeCell ref="AG112:AG113"/>
    <mergeCell ref="AH112:AH113"/>
    <mergeCell ref="AI112:AI113"/>
    <mergeCell ref="AJ112:AJ113"/>
    <mergeCell ref="AK112:AK113"/>
    <mergeCell ref="Z112:Z113"/>
    <mergeCell ref="AA112:AA113"/>
    <mergeCell ref="AB112:AB113"/>
    <mergeCell ref="AC112:AC113"/>
    <mergeCell ref="AD112:AD113"/>
    <mergeCell ref="AE112:AE113"/>
    <mergeCell ref="T112:T113"/>
    <mergeCell ref="U112:U113"/>
    <mergeCell ref="V112:V113"/>
    <mergeCell ref="W112:W113"/>
    <mergeCell ref="X112:X113"/>
    <mergeCell ref="Y112:Y113"/>
    <mergeCell ref="Q122:Q123"/>
    <mergeCell ref="R122:R123"/>
    <mergeCell ref="G122:G123"/>
    <mergeCell ref="H122:H123"/>
    <mergeCell ref="I122:I123"/>
    <mergeCell ref="J122:J123"/>
    <mergeCell ref="K122:K123"/>
    <mergeCell ref="L122:L123"/>
    <mergeCell ref="A122:A123"/>
    <mergeCell ref="B122:B123"/>
    <mergeCell ref="C122:C123"/>
    <mergeCell ref="D122:D123"/>
    <mergeCell ref="E122:E123"/>
    <mergeCell ref="F122:F123"/>
    <mergeCell ref="I114:I119"/>
    <mergeCell ref="J114:J119"/>
    <mergeCell ref="K114:K116"/>
    <mergeCell ref="AK122:AK123"/>
    <mergeCell ref="AL122:AL123"/>
    <mergeCell ref="AM122:AM123"/>
    <mergeCell ref="A124:A129"/>
    <mergeCell ref="B124:B129"/>
    <mergeCell ref="C124:C129"/>
    <mergeCell ref="D124:D129"/>
    <mergeCell ref="E124:E129"/>
    <mergeCell ref="F124:F129"/>
    <mergeCell ref="G124:G129"/>
    <mergeCell ref="AE122:AE123"/>
    <mergeCell ref="AF122:AF123"/>
    <mergeCell ref="AG122:AG123"/>
    <mergeCell ref="AH122:AH123"/>
    <mergeCell ref="AI122:AI123"/>
    <mergeCell ref="AJ122:AJ123"/>
    <mergeCell ref="Y122:Y123"/>
    <mergeCell ref="Z122:Z123"/>
    <mergeCell ref="AA122:AA123"/>
    <mergeCell ref="AB122:AB123"/>
    <mergeCell ref="AC122:AC123"/>
    <mergeCell ref="AD122:AD123"/>
    <mergeCell ref="S122:S123"/>
    <mergeCell ref="T122:T123"/>
    <mergeCell ref="U122:U123"/>
    <mergeCell ref="V122:V123"/>
    <mergeCell ref="W122:W123"/>
    <mergeCell ref="X122:X123"/>
    <mergeCell ref="M122:M123"/>
    <mergeCell ref="N122:N123"/>
    <mergeCell ref="O122:O123"/>
    <mergeCell ref="P122:P123"/>
    <mergeCell ref="P132:P133"/>
    <mergeCell ref="Q132:Q133"/>
    <mergeCell ref="R132:R133"/>
    <mergeCell ref="S132:S133"/>
    <mergeCell ref="T132:T133"/>
    <mergeCell ref="I132:I133"/>
    <mergeCell ref="J132:J133"/>
    <mergeCell ref="K132:K133"/>
    <mergeCell ref="L132:L133"/>
    <mergeCell ref="M132:M133"/>
    <mergeCell ref="N132:N133"/>
    <mergeCell ref="AM124:AM129"/>
    <mergeCell ref="K127:K129"/>
    <mergeCell ref="A132:A133"/>
    <mergeCell ref="B132:B133"/>
    <mergeCell ref="C132:C133"/>
    <mergeCell ref="D132:D133"/>
    <mergeCell ref="E132:E133"/>
    <mergeCell ref="F132:F133"/>
    <mergeCell ref="G132:G133"/>
    <mergeCell ref="H132:H133"/>
    <mergeCell ref="H124:H129"/>
    <mergeCell ref="I124:I129"/>
    <mergeCell ref="J124:J129"/>
    <mergeCell ref="K124:K126"/>
    <mergeCell ref="AK124:AK129"/>
    <mergeCell ref="AL124:AL129"/>
    <mergeCell ref="AL134:AL139"/>
    <mergeCell ref="AM134:AM139"/>
    <mergeCell ref="K137:K139"/>
    <mergeCell ref="AM132:AM133"/>
    <mergeCell ref="A134:A139"/>
    <mergeCell ref="B134:B139"/>
    <mergeCell ref="C134:C139"/>
    <mergeCell ref="D134:D139"/>
    <mergeCell ref="E134:E139"/>
    <mergeCell ref="F134:F139"/>
    <mergeCell ref="G134:G139"/>
    <mergeCell ref="H134:H139"/>
    <mergeCell ref="I134:I139"/>
    <mergeCell ref="AG132:AG133"/>
    <mergeCell ref="AH132:AH133"/>
    <mergeCell ref="AI132:AI133"/>
    <mergeCell ref="AJ132:AJ133"/>
    <mergeCell ref="AK132:AK133"/>
    <mergeCell ref="AL132:AL133"/>
    <mergeCell ref="AA132:AA133"/>
    <mergeCell ref="AB132:AB133"/>
    <mergeCell ref="AC132:AC133"/>
    <mergeCell ref="AD132:AD133"/>
    <mergeCell ref="AE132:AE133"/>
    <mergeCell ref="AF132:AF133"/>
    <mergeCell ref="U132:U133"/>
    <mergeCell ref="V132:V133"/>
    <mergeCell ref="W132:W133"/>
    <mergeCell ref="X132:X133"/>
    <mergeCell ref="Y132:Y133"/>
    <mergeCell ref="Z132:Z133"/>
    <mergeCell ref="O132:O133"/>
    <mergeCell ref="R145:R146"/>
    <mergeCell ref="G145:G146"/>
    <mergeCell ref="H145:H146"/>
    <mergeCell ref="I145:I146"/>
    <mergeCell ref="J145:J146"/>
    <mergeCell ref="K145:K146"/>
    <mergeCell ref="L145:L146"/>
    <mergeCell ref="A145:A146"/>
    <mergeCell ref="B145:B146"/>
    <mergeCell ref="C145:C146"/>
    <mergeCell ref="D145:D146"/>
    <mergeCell ref="E145:E146"/>
    <mergeCell ref="F145:F146"/>
    <mergeCell ref="J134:J139"/>
    <mergeCell ref="K134:K136"/>
    <mergeCell ref="AK134:AK139"/>
    <mergeCell ref="AK145:AK146"/>
    <mergeCell ref="AL145:AL146"/>
    <mergeCell ref="AM145:AM146"/>
    <mergeCell ref="A147:A152"/>
    <mergeCell ref="B147:B152"/>
    <mergeCell ref="C147:C152"/>
    <mergeCell ref="D147:D152"/>
    <mergeCell ref="E147:E152"/>
    <mergeCell ref="F147:F152"/>
    <mergeCell ref="G147:G152"/>
    <mergeCell ref="AE145:AE146"/>
    <mergeCell ref="AF145:AF146"/>
    <mergeCell ref="AG145:AG146"/>
    <mergeCell ref="AH145:AH146"/>
    <mergeCell ref="AI145:AI146"/>
    <mergeCell ref="AJ145:AJ146"/>
    <mergeCell ref="Y145:Y146"/>
    <mergeCell ref="Z145:Z146"/>
    <mergeCell ref="AA145:AA146"/>
    <mergeCell ref="AB145:AB146"/>
    <mergeCell ref="AC145:AC146"/>
    <mergeCell ref="AD145:AD146"/>
    <mergeCell ref="S145:S146"/>
    <mergeCell ref="T145:T146"/>
    <mergeCell ref="U145:U146"/>
    <mergeCell ref="V145:V146"/>
    <mergeCell ref="W145:W146"/>
    <mergeCell ref="X145:X146"/>
    <mergeCell ref="M145:M146"/>
    <mergeCell ref="N145:N146"/>
    <mergeCell ref="O145:O146"/>
    <mergeCell ref="P145:P146"/>
    <mergeCell ref="Q145:Q146"/>
    <mergeCell ref="P155:P156"/>
    <mergeCell ref="Q155:Q156"/>
    <mergeCell ref="R155:R156"/>
    <mergeCell ref="S155:S156"/>
    <mergeCell ref="T155:T156"/>
    <mergeCell ref="I155:I156"/>
    <mergeCell ref="J155:J156"/>
    <mergeCell ref="K155:K156"/>
    <mergeCell ref="L155:L156"/>
    <mergeCell ref="M155:M156"/>
    <mergeCell ref="N155:N156"/>
    <mergeCell ref="AM147:AM152"/>
    <mergeCell ref="K150:K152"/>
    <mergeCell ref="A155:A156"/>
    <mergeCell ref="B155:B156"/>
    <mergeCell ref="C155:C156"/>
    <mergeCell ref="D155:D156"/>
    <mergeCell ref="E155:E156"/>
    <mergeCell ref="F155:F156"/>
    <mergeCell ref="G155:G156"/>
    <mergeCell ref="H155:H156"/>
    <mergeCell ref="H147:H152"/>
    <mergeCell ref="I147:I152"/>
    <mergeCell ref="J147:J152"/>
    <mergeCell ref="K147:K149"/>
    <mergeCell ref="AK147:AK152"/>
    <mergeCell ref="AL147:AL152"/>
    <mergeCell ref="AL157:AL162"/>
    <mergeCell ref="AM157:AM162"/>
    <mergeCell ref="K160:K162"/>
    <mergeCell ref="AM155:AM156"/>
    <mergeCell ref="A157:A162"/>
    <mergeCell ref="B157:B162"/>
    <mergeCell ref="C157:C162"/>
    <mergeCell ref="D157:D162"/>
    <mergeCell ref="E157:E162"/>
    <mergeCell ref="F157:F162"/>
    <mergeCell ref="G157:G162"/>
    <mergeCell ref="H157:H162"/>
    <mergeCell ref="I157:I162"/>
    <mergeCell ref="AG155:AG156"/>
    <mergeCell ref="AH155:AH156"/>
    <mergeCell ref="AI155:AI156"/>
    <mergeCell ref="AJ155:AJ156"/>
    <mergeCell ref="AK155:AK156"/>
    <mergeCell ref="AL155:AL156"/>
    <mergeCell ref="AA155:AA156"/>
    <mergeCell ref="AB155:AB156"/>
    <mergeCell ref="AC155:AC156"/>
    <mergeCell ref="AD155:AD156"/>
    <mergeCell ref="AE155:AE156"/>
    <mergeCell ref="AF155:AF156"/>
    <mergeCell ref="U155:U156"/>
    <mergeCell ref="V155:V156"/>
    <mergeCell ref="W155:W156"/>
    <mergeCell ref="X155:X156"/>
    <mergeCell ref="Y155:Y156"/>
    <mergeCell ref="Z155:Z156"/>
    <mergeCell ref="O155:O156"/>
    <mergeCell ref="R165:R166"/>
    <mergeCell ref="G165:G166"/>
    <mergeCell ref="H165:H166"/>
    <mergeCell ref="I165:I166"/>
    <mergeCell ref="J165:J166"/>
    <mergeCell ref="K165:K166"/>
    <mergeCell ref="L165:L166"/>
    <mergeCell ref="A165:A166"/>
    <mergeCell ref="B165:B166"/>
    <mergeCell ref="C165:C166"/>
    <mergeCell ref="D165:D166"/>
    <mergeCell ref="E165:E166"/>
    <mergeCell ref="F165:F166"/>
    <mergeCell ref="J157:J162"/>
    <mergeCell ref="K157:K159"/>
    <mergeCell ref="AK157:AK162"/>
    <mergeCell ref="AK165:AK166"/>
    <mergeCell ref="AL165:AL166"/>
    <mergeCell ref="AM165:AM166"/>
    <mergeCell ref="A167:A172"/>
    <mergeCell ref="B167:B172"/>
    <mergeCell ref="C167:C172"/>
    <mergeCell ref="D167:D172"/>
    <mergeCell ref="E167:E172"/>
    <mergeCell ref="F167:F172"/>
    <mergeCell ref="G167:G172"/>
    <mergeCell ref="AE165:AE166"/>
    <mergeCell ref="AF165:AF166"/>
    <mergeCell ref="AG165:AG166"/>
    <mergeCell ref="AH165:AH166"/>
    <mergeCell ref="AI165:AI166"/>
    <mergeCell ref="AJ165:AJ166"/>
    <mergeCell ref="Y165:Y166"/>
    <mergeCell ref="Z165:Z166"/>
    <mergeCell ref="AA165:AA166"/>
    <mergeCell ref="AB165:AB166"/>
    <mergeCell ref="AC165:AC166"/>
    <mergeCell ref="AD165:AD166"/>
    <mergeCell ref="S165:S166"/>
    <mergeCell ref="T165:T166"/>
    <mergeCell ref="U165:U166"/>
    <mergeCell ref="V165:V166"/>
    <mergeCell ref="W165:W166"/>
    <mergeCell ref="X165:X166"/>
    <mergeCell ref="M165:M166"/>
    <mergeCell ref="N165:N166"/>
    <mergeCell ref="O165:O166"/>
    <mergeCell ref="P165:P166"/>
    <mergeCell ref="Q165:Q166"/>
    <mergeCell ref="N178:N179"/>
    <mergeCell ref="O178:O179"/>
    <mergeCell ref="P178:P179"/>
    <mergeCell ref="Q178:Q179"/>
    <mergeCell ref="R178:R179"/>
    <mergeCell ref="S178:S179"/>
    <mergeCell ref="H178:H179"/>
    <mergeCell ref="I178:I179"/>
    <mergeCell ref="J178:J179"/>
    <mergeCell ref="K178:K179"/>
    <mergeCell ref="L178:L179"/>
    <mergeCell ref="M178:M179"/>
    <mergeCell ref="AM167:AM172"/>
    <mergeCell ref="K170:K172"/>
    <mergeCell ref="C176:K176"/>
    <mergeCell ref="A178:A179"/>
    <mergeCell ref="B178:B179"/>
    <mergeCell ref="C178:C179"/>
    <mergeCell ref="D178:D179"/>
    <mergeCell ref="E178:E179"/>
    <mergeCell ref="F178:F179"/>
    <mergeCell ref="G178:G179"/>
    <mergeCell ref="H167:H172"/>
    <mergeCell ref="I167:I172"/>
    <mergeCell ref="J167:J172"/>
    <mergeCell ref="K167:K169"/>
    <mergeCell ref="AK167:AK172"/>
    <mergeCell ref="AL167:AL172"/>
    <mergeCell ref="AK180:AK185"/>
    <mergeCell ref="AL180:AL185"/>
    <mergeCell ref="AM180:AM185"/>
    <mergeCell ref="K183:K185"/>
    <mergeCell ref="AL178:AL179"/>
    <mergeCell ref="AM178:AM179"/>
    <mergeCell ref="A180:A185"/>
    <mergeCell ref="B180:B185"/>
    <mergeCell ref="C180:C185"/>
    <mergeCell ref="D180:D185"/>
    <mergeCell ref="E180:E185"/>
    <mergeCell ref="F180:F185"/>
    <mergeCell ref="G180:G185"/>
    <mergeCell ref="H180:H185"/>
    <mergeCell ref="AF178:AF179"/>
    <mergeCell ref="AG178:AG179"/>
    <mergeCell ref="AH178:AH179"/>
    <mergeCell ref="AI178:AI179"/>
    <mergeCell ref="AJ178:AJ179"/>
    <mergeCell ref="AK178:AK179"/>
    <mergeCell ref="Z178:Z179"/>
    <mergeCell ref="AA178:AA179"/>
    <mergeCell ref="AB178:AB179"/>
    <mergeCell ref="AC178:AC179"/>
    <mergeCell ref="AD178:AD179"/>
    <mergeCell ref="AE178:AE179"/>
    <mergeCell ref="T178:T179"/>
    <mergeCell ref="U178:U179"/>
    <mergeCell ref="V178:V179"/>
    <mergeCell ref="W178:W179"/>
    <mergeCell ref="X178:X179"/>
    <mergeCell ref="Y178:Y179"/>
    <mergeCell ref="Q188:Q189"/>
    <mergeCell ref="R188:R189"/>
    <mergeCell ref="G188:G189"/>
    <mergeCell ref="H188:H189"/>
    <mergeCell ref="I188:I189"/>
    <mergeCell ref="J188:J189"/>
    <mergeCell ref="K188:K189"/>
    <mergeCell ref="L188:L189"/>
    <mergeCell ref="A188:A189"/>
    <mergeCell ref="B188:B189"/>
    <mergeCell ref="C188:C189"/>
    <mergeCell ref="D188:D189"/>
    <mergeCell ref="E188:E189"/>
    <mergeCell ref="F188:F189"/>
    <mergeCell ref="I180:I185"/>
    <mergeCell ref="J180:J185"/>
    <mergeCell ref="K180:K182"/>
    <mergeCell ref="AK188:AK189"/>
    <mergeCell ref="AL188:AL189"/>
    <mergeCell ref="AM188:AM189"/>
    <mergeCell ref="A190:A195"/>
    <mergeCell ref="B190:B195"/>
    <mergeCell ref="C190:C195"/>
    <mergeCell ref="D190:D195"/>
    <mergeCell ref="E190:E195"/>
    <mergeCell ref="F190:F195"/>
    <mergeCell ref="G190:G195"/>
    <mergeCell ref="AE188:AE189"/>
    <mergeCell ref="AF188:AF189"/>
    <mergeCell ref="AG188:AG189"/>
    <mergeCell ref="AH188:AH189"/>
    <mergeCell ref="AI188:AI189"/>
    <mergeCell ref="AJ188:AJ189"/>
    <mergeCell ref="Y188:Y189"/>
    <mergeCell ref="Z188:Z189"/>
    <mergeCell ref="AA188:AA189"/>
    <mergeCell ref="AB188:AB189"/>
    <mergeCell ref="AC188:AC189"/>
    <mergeCell ref="AD188:AD189"/>
    <mergeCell ref="S188:S189"/>
    <mergeCell ref="T188:T189"/>
    <mergeCell ref="U188:U189"/>
    <mergeCell ref="V188:V189"/>
    <mergeCell ref="W188:W189"/>
    <mergeCell ref="X188:X189"/>
    <mergeCell ref="M188:M189"/>
    <mergeCell ref="N188:N189"/>
    <mergeCell ref="O188:O189"/>
    <mergeCell ref="P188:P189"/>
    <mergeCell ref="AM190:AM195"/>
    <mergeCell ref="K193:K195"/>
    <mergeCell ref="A198:A199"/>
    <mergeCell ref="B198:B199"/>
    <mergeCell ref="C198:C199"/>
    <mergeCell ref="D198:D199"/>
    <mergeCell ref="E198:E199"/>
    <mergeCell ref="F198:F199"/>
    <mergeCell ref="G198:G199"/>
    <mergeCell ref="H198:H199"/>
    <mergeCell ref="H190:H195"/>
    <mergeCell ref="I190:I195"/>
    <mergeCell ref="J190:J195"/>
    <mergeCell ref="K190:K192"/>
    <mergeCell ref="AK190:AK195"/>
    <mergeCell ref="AL190:AL195"/>
    <mergeCell ref="AA198:AA199"/>
    <mergeCell ref="AB198:AB199"/>
    <mergeCell ref="AC198:AC199"/>
    <mergeCell ref="AD198:AD199"/>
    <mergeCell ref="AE198:AE199"/>
    <mergeCell ref="AF198:AF199"/>
    <mergeCell ref="U198:U199"/>
    <mergeCell ref="V198:V199"/>
    <mergeCell ref="W198:W199"/>
    <mergeCell ref="X198:X199"/>
    <mergeCell ref="C209:K209"/>
    <mergeCell ref="A211:A212"/>
    <mergeCell ref="B211:B212"/>
    <mergeCell ref="C211:C212"/>
    <mergeCell ref="D211:D212"/>
    <mergeCell ref="E211:E212"/>
    <mergeCell ref="F211:F212"/>
    <mergeCell ref="G211:G212"/>
    <mergeCell ref="H211:H212"/>
    <mergeCell ref="I211:I212"/>
    <mergeCell ref="J200:J205"/>
    <mergeCell ref="K200:K202"/>
    <mergeCell ref="I198:I199"/>
    <mergeCell ref="J198:J199"/>
    <mergeCell ref="K198:K199"/>
    <mergeCell ref="L198:L199"/>
    <mergeCell ref="M198:M199"/>
    <mergeCell ref="AK200:AK205"/>
    <mergeCell ref="AL200:AL205"/>
    <mergeCell ref="AM200:AM205"/>
    <mergeCell ref="K203:K205"/>
    <mergeCell ref="AM198:AM199"/>
    <mergeCell ref="A200:A205"/>
    <mergeCell ref="B200:B205"/>
    <mergeCell ref="C200:C205"/>
    <mergeCell ref="D200:D205"/>
    <mergeCell ref="E200:E205"/>
    <mergeCell ref="F200:F205"/>
    <mergeCell ref="G200:G205"/>
    <mergeCell ref="H200:H205"/>
    <mergeCell ref="I200:I205"/>
    <mergeCell ref="AG198:AG199"/>
    <mergeCell ref="AH198:AH199"/>
    <mergeCell ref="AI198:AI199"/>
    <mergeCell ref="AJ198:AJ199"/>
    <mergeCell ref="AK198:AK199"/>
    <mergeCell ref="AL198:AL199"/>
    <mergeCell ref="Y198:Y199"/>
    <mergeCell ref="Z198:Z199"/>
    <mergeCell ref="O198:O199"/>
    <mergeCell ref="P198:P199"/>
    <mergeCell ref="Q198:Q199"/>
    <mergeCell ref="R198:R199"/>
    <mergeCell ref="S198:S199"/>
    <mergeCell ref="T198:T199"/>
    <mergeCell ref="N198:N199"/>
    <mergeCell ref="E213:E218"/>
    <mergeCell ref="F213:F218"/>
    <mergeCell ref="AH211:AH212"/>
    <mergeCell ref="AI211:AI212"/>
    <mergeCell ref="AJ211:AJ212"/>
    <mergeCell ref="AK211:AK212"/>
    <mergeCell ref="AL211:AL212"/>
    <mergeCell ref="AM211:AM212"/>
    <mergeCell ref="AB211:AB212"/>
    <mergeCell ref="AC211:AC212"/>
    <mergeCell ref="AD211:AD212"/>
    <mergeCell ref="AE211:AE212"/>
    <mergeCell ref="AF211:AF212"/>
    <mergeCell ref="AG211:AG212"/>
    <mergeCell ref="V211:V212"/>
    <mergeCell ref="W211:W212"/>
    <mergeCell ref="X211:X212"/>
    <mergeCell ref="Y211:Y212"/>
    <mergeCell ref="Z211:Z212"/>
    <mergeCell ref="AA211:AA212"/>
    <mergeCell ref="P211:P212"/>
    <mergeCell ref="Q211:Q212"/>
    <mergeCell ref="R211:R212"/>
    <mergeCell ref="S211:S212"/>
    <mergeCell ref="T211:T212"/>
    <mergeCell ref="U211:U212"/>
    <mergeCell ref="J211:J212"/>
    <mergeCell ref="K211:K212"/>
    <mergeCell ref="L211:L212"/>
    <mergeCell ref="M211:M212"/>
    <mergeCell ref="N211:N212"/>
    <mergeCell ref="O211:O212"/>
    <mergeCell ref="N221:N222"/>
    <mergeCell ref="O221:O222"/>
    <mergeCell ref="P221:P222"/>
    <mergeCell ref="Q221:Q222"/>
    <mergeCell ref="R221:R222"/>
    <mergeCell ref="S221:S222"/>
    <mergeCell ref="H221:H222"/>
    <mergeCell ref="I221:I222"/>
    <mergeCell ref="J221:J222"/>
    <mergeCell ref="K221:K222"/>
    <mergeCell ref="L221:L222"/>
    <mergeCell ref="M221:M222"/>
    <mergeCell ref="AL213:AL218"/>
    <mergeCell ref="AM213:AM218"/>
    <mergeCell ref="K216:K218"/>
    <mergeCell ref="A221:A222"/>
    <mergeCell ref="B221:B222"/>
    <mergeCell ref="C221:C222"/>
    <mergeCell ref="D221:D222"/>
    <mergeCell ref="E221:E222"/>
    <mergeCell ref="F221:F222"/>
    <mergeCell ref="G221:G222"/>
    <mergeCell ref="G213:G218"/>
    <mergeCell ref="H213:H218"/>
    <mergeCell ref="I213:I218"/>
    <mergeCell ref="J213:J218"/>
    <mergeCell ref="K213:K215"/>
    <mergeCell ref="AK213:AK218"/>
    <mergeCell ref="A213:A218"/>
    <mergeCell ref="B213:B218"/>
    <mergeCell ref="C213:C218"/>
    <mergeCell ref="D213:D218"/>
    <mergeCell ref="AK223:AK228"/>
    <mergeCell ref="AL223:AL228"/>
    <mergeCell ref="AM223:AM228"/>
    <mergeCell ref="K226:K228"/>
    <mergeCell ref="AL221:AL222"/>
    <mergeCell ref="AM221:AM222"/>
    <mergeCell ref="A223:A228"/>
    <mergeCell ref="B223:B228"/>
    <mergeCell ref="C223:C228"/>
    <mergeCell ref="D223:D228"/>
    <mergeCell ref="E223:E228"/>
    <mergeCell ref="F223:F228"/>
    <mergeCell ref="G223:G228"/>
    <mergeCell ref="H223:H228"/>
    <mergeCell ref="AF221:AF222"/>
    <mergeCell ref="AG221:AG222"/>
    <mergeCell ref="AH221:AH222"/>
    <mergeCell ref="AI221:AI222"/>
    <mergeCell ref="AJ221:AJ222"/>
    <mergeCell ref="AK221:AK222"/>
    <mergeCell ref="Z221:Z222"/>
    <mergeCell ref="AA221:AA222"/>
    <mergeCell ref="AB221:AB222"/>
    <mergeCell ref="AC221:AC222"/>
    <mergeCell ref="AD221:AD222"/>
    <mergeCell ref="AE221:AE222"/>
    <mergeCell ref="T221:T222"/>
    <mergeCell ref="U221:U222"/>
    <mergeCell ref="V221:V222"/>
    <mergeCell ref="W221:W222"/>
    <mergeCell ref="X221:X222"/>
    <mergeCell ref="Y221:Y222"/>
    <mergeCell ref="Q231:Q232"/>
    <mergeCell ref="R231:R232"/>
    <mergeCell ref="G231:G232"/>
    <mergeCell ref="H231:H232"/>
    <mergeCell ref="I231:I232"/>
    <mergeCell ref="J231:J232"/>
    <mergeCell ref="K231:K232"/>
    <mergeCell ref="L231:L232"/>
    <mergeCell ref="A231:A232"/>
    <mergeCell ref="B231:B232"/>
    <mergeCell ref="C231:C232"/>
    <mergeCell ref="D231:D232"/>
    <mergeCell ref="E231:E232"/>
    <mergeCell ref="F231:F232"/>
    <mergeCell ref="I223:I228"/>
    <mergeCell ref="J223:J228"/>
    <mergeCell ref="K223:K225"/>
    <mergeCell ref="AK231:AK232"/>
    <mergeCell ref="AL231:AL232"/>
    <mergeCell ref="AM231:AM232"/>
    <mergeCell ref="A233:A238"/>
    <mergeCell ref="B233:B238"/>
    <mergeCell ref="C233:C238"/>
    <mergeCell ref="D233:D238"/>
    <mergeCell ref="E233:E238"/>
    <mergeCell ref="F233:F238"/>
    <mergeCell ref="G233:G238"/>
    <mergeCell ref="AE231:AE232"/>
    <mergeCell ref="AF231:AF232"/>
    <mergeCell ref="AG231:AG232"/>
    <mergeCell ref="AH231:AH232"/>
    <mergeCell ref="AI231:AI232"/>
    <mergeCell ref="AJ231:AJ232"/>
    <mergeCell ref="Y231:Y232"/>
    <mergeCell ref="Z231:Z232"/>
    <mergeCell ref="AA231:AA232"/>
    <mergeCell ref="AB231:AB232"/>
    <mergeCell ref="AC231:AC232"/>
    <mergeCell ref="AD231:AD232"/>
    <mergeCell ref="S231:S232"/>
    <mergeCell ref="T231:T232"/>
    <mergeCell ref="U231:U232"/>
    <mergeCell ref="V231:V232"/>
    <mergeCell ref="W231:W232"/>
    <mergeCell ref="X231:X232"/>
    <mergeCell ref="M231:M232"/>
    <mergeCell ref="N231:N232"/>
    <mergeCell ref="O231:O232"/>
    <mergeCell ref="P231:P232"/>
    <mergeCell ref="N244:N245"/>
    <mergeCell ref="O244:O245"/>
    <mergeCell ref="P244:P245"/>
    <mergeCell ref="Q244:Q245"/>
    <mergeCell ref="R244:R245"/>
    <mergeCell ref="S244:S245"/>
    <mergeCell ref="H244:H245"/>
    <mergeCell ref="I244:I245"/>
    <mergeCell ref="J244:J245"/>
    <mergeCell ref="K244:K245"/>
    <mergeCell ref="L244:L245"/>
    <mergeCell ref="M244:M245"/>
    <mergeCell ref="AM233:AM238"/>
    <mergeCell ref="K236:K238"/>
    <mergeCell ref="C242:K242"/>
    <mergeCell ref="A244:A245"/>
    <mergeCell ref="B244:B245"/>
    <mergeCell ref="C244:C245"/>
    <mergeCell ref="D244:D245"/>
    <mergeCell ref="E244:E245"/>
    <mergeCell ref="F244:F245"/>
    <mergeCell ref="G244:G245"/>
    <mergeCell ref="H233:H238"/>
    <mergeCell ref="I233:I238"/>
    <mergeCell ref="J233:J238"/>
    <mergeCell ref="K233:K235"/>
    <mergeCell ref="AK233:AK238"/>
    <mergeCell ref="AL233:AL238"/>
    <mergeCell ref="AK246:AK251"/>
    <mergeCell ref="AL246:AL251"/>
    <mergeCell ref="AM246:AM251"/>
    <mergeCell ref="K249:K251"/>
    <mergeCell ref="AL244:AL245"/>
    <mergeCell ref="AM244:AM245"/>
    <mergeCell ref="A246:A251"/>
    <mergeCell ref="B246:B251"/>
    <mergeCell ref="C246:C251"/>
    <mergeCell ref="D246:D251"/>
    <mergeCell ref="E246:E251"/>
    <mergeCell ref="F246:F251"/>
    <mergeCell ref="G246:G251"/>
    <mergeCell ref="H246:H251"/>
    <mergeCell ref="AF244:AF245"/>
    <mergeCell ref="AG244:AG245"/>
    <mergeCell ref="AH244:AH245"/>
    <mergeCell ref="AI244:AI245"/>
    <mergeCell ref="AJ244:AJ245"/>
    <mergeCell ref="AK244:AK245"/>
    <mergeCell ref="Z244:Z245"/>
    <mergeCell ref="AA244:AA245"/>
    <mergeCell ref="AB244:AB245"/>
    <mergeCell ref="AC244:AC245"/>
    <mergeCell ref="AD244:AD245"/>
    <mergeCell ref="AE244:AE245"/>
    <mergeCell ref="T244:T245"/>
    <mergeCell ref="U244:U245"/>
    <mergeCell ref="V244:V245"/>
    <mergeCell ref="W244:W245"/>
    <mergeCell ref="X244:X245"/>
    <mergeCell ref="Y244:Y245"/>
    <mergeCell ref="Q254:Q255"/>
    <mergeCell ref="R254:R255"/>
    <mergeCell ref="G254:G255"/>
    <mergeCell ref="H254:H255"/>
    <mergeCell ref="I254:I255"/>
    <mergeCell ref="J254:J255"/>
    <mergeCell ref="K254:K255"/>
    <mergeCell ref="L254:L255"/>
    <mergeCell ref="A254:A255"/>
    <mergeCell ref="B254:B255"/>
    <mergeCell ref="C254:C255"/>
    <mergeCell ref="D254:D255"/>
    <mergeCell ref="E254:E255"/>
    <mergeCell ref="F254:F255"/>
    <mergeCell ref="I246:I251"/>
    <mergeCell ref="J246:J251"/>
    <mergeCell ref="K246:K248"/>
    <mergeCell ref="AK254:AK255"/>
    <mergeCell ref="AL254:AL255"/>
    <mergeCell ref="AM254:AM255"/>
    <mergeCell ref="A256:A261"/>
    <mergeCell ref="B256:B261"/>
    <mergeCell ref="C256:C261"/>
    <mergeCell ref="D256:D261"/>
    <mergeCell ref="E256:E261"/>
    <mergeCell ref="F256:F261"/>
    <mergeCell ref="G256:G261"/>
    <mergeCell ref="AE254:AE255"/>
    <mergeCell ref="AF254:AF255"/>
    <mergeCell ref="AG254:AG255"/>
    <mergeCell ref="AH254:AH255"/>
    <mergeCell ref="AI254:AI255"/>
    <mergeCell ref="AJ254:AJ255"/>
    <mergeCell ref="Y254:Y255"/>
    <mergeCell ref="Z254:Z255"/>
    <mergeCell ref="AA254:AA255"/>
    <mergeCell ref="AB254:AB255"/>
    <mergeCell ref="AC254:AC255"/>
    <mergeCell ref="AD254:AD255"/>
    <mergeCell ref="S254:S255"/>
    <mergeCell ref="T254:T255"/>
    <mergeCell ref="U254:U255"/>
    <mergeCell ref="V254:V255"/>
    <mergeCell ref="W254:W255"/>
    <mergeCell ref="X254:X255"/>
    <mergeCell ref="M254:M255"/>
    <mergeCell ref="N254:N255"/>
    <mergeCell ref="O254:O255"/>
    <mergeCell ref="P254:P255"/>
    <mergeCell ref="AM256:AM261"/>
    <mergeCell ref="K259:K261"/>
    <mergeCell ref="A264:A265"/>
    <mergeCell ref="B264:B265"/>
    <mergeCell ref="C264:C265"/>
    <mergeCell ref="D264:D265"/>
    <mergeCell ref="E264:E265"/>
    <mergeCell ref="F264:F265"/>
    <mergeCell ref="G264:G265"/>
    <mergeCell ref="H264:H265"/>
    <mergeCell ref="H256:H261"/>
    <mergeCell ref="I256:I261"/>
    <mergeCell ref="J256:J261"/>
    <mergeCell ref="K256:K258"/>
    <mergeCell ref="AK256:AK261"/>
    <mergeCell ref="AL256:AL261"/>
    <mergeCell ref="AA264:AA265"/>
    <mergeCell ref="AB264:AB265"/>
    <mergeCell ref="AC264:AC265"/>
    <mergeCell ref="AD264:AD265"/>
    <mergeCell ref="AE264:AE265"/>
    <mergeCell ref="AF264:AF265"/>
    <mergeCell ref="U264:U265"/>
    <mergeCell ref="V264:V265"/>
    <mergeCell ref="W264:W265"/>
    <mergeCell ref="X264:X265"/>
    <mergeCell ref="C275:K275"/>
    <mergeCell ref="A277:A278"/>
    <mergeCell ref="B277:B278"/>
    <mergeCell ref="C277:C278"/>
    <mergeCell ref="D277:D278"/>
    <mergeCell ref="E277:E278"/>
    <mergeCell ref="F277:F278"/>
    <mergeCell ref="G277:G278"/>
    <mergeCell ref="H277:H278"/>
    <mergeCell ref="I277:I278"/>
    <mergeCell ref="J266:J271"/>
    <mergeCell ref="K266:K268"/>
    <mergeCell ref="I264:I265"/>
    <mergeCell ref="J264:J265"/>
    <mergeCell ref="K264:K265"/>
    <mergeCell ref="L264:L265"/>
    <mergeCell ref="M264:M265"/>
    <mergeCell ref="AK266:AK271"/>
    <mergeCell ref="AL266:AL271"/>
    <mergeCell ref="AM266:AM271"/>
    <mergeCell ref="K269:K271"/>
    <mergeCell ref="AM264:AM265"/>
    <mergeCell ref="A266:A271"/>
    <mergeCell ref="B266:B271"/>
    <mergeCell ref="C266:C271"/>
    <mergeCell ref="D266:D271"/>
    <mergeCell ref="E266:E271"/>
    <mergeCell ref="F266:F271"/>
    <mergeCell ref="G266:G271"/>
    <mergeCell ref="H266:H271"/>
    <mergeCell ref="I266:I271"/>
    <mergeCell ref="AG264:AG265"/>
    <mergeCell ref="AH264:AH265"/>
    <mergeCell ref="AI264:AI265"/>
    <mergeCell ref="AJ264:AJ265"/>
    <mergeCell ref="AK264:AK265"/>
    <mergeCell ref="AL264:AL265"/>
    <mergeCell ref="Y264:Y265"/>
    <mergeCell ref="Z264:Z265"/>
    <mergeCell ref="O264:O265"/>
    <mergeCell ref="P264:P265"/>
    <mergeCell ref="Q264:Q265"/>
    <mergeCell ref="R264:R265"/>
    <mergeCell ref="S264:S265"/>
    <mergeCell ref="T264:T265"/>
    <mergeCell ref="N264:N265"/>
    <mergeCell ref="E279:E284"/>
    <mergeCell ref="F279:F284"/>
    <mergeCell ref="AH277:AH278"/>
    <mergeCell ref="AI277:AI278"/>
    <mergeCell ref="AJ277:AJ278"/>
    <mergeCell ref="AK277:AK278"/>
    <mergeCell ref="AL277:AL278"/>
    <mergeCell ref="AM277:AM278"/>
    <mergeCell ref="AB277:AB278"/>
    <mergeCell ref="AC277:AC278"/>
    <mergeCell ref="AD277:AD278"/>
    <mergeCell ref="AE277:AE278"/>
    <mergeCell ref="AF277:AF278"/>
    <mergeCell ref="AG277:AG278"/>
    <mergeCell ref="V277:V278"/>
    <mergeCell ref="W277:W278"/>
    <mergeCell ref="X277:X278"/>
    <mergeCell ref="Y277:Y278"/>
    <mergeCell ref="Z277:Z278"/>
    <mergeCell ref="AA277:AA278"/>
    <mergeCell ref="P277:P278"/>
    <mergeCell ref="Q277:Q278"/>
    <mergeCell ref="R277:R278"/>
    <mergeCell ref="S277:S278"/>
    <mergeCell ref="T277:T278"/>
    <mergeCell ref="U277:U278"/>
    <mergeCell ref="J277:J278"/>
    <mergeCell ref="K277:K278"/>
    <mergeCell ref="L277:L278"/>
    <mergeCell ref="M277:M278"/>
    <mergeCell ref="N277:N278"/>
    <mergeCell ref="O277:O278"/>
    <mergeCell ref="N287:N288"/>
    <mergeCell ref="O287:O288"/>
    <mergeCell ref="P287:P288"/>
    <mergeCell ref="Q287:Q288"/>
    <mergeCell ref="R287:R288"/>
    <mergeCell ref="S287:S288"/>
    <mergeCell ref="H287:H288"/>
    <mergeCell ref="I287:I288"/>
    <mergeCell ref="J287:J288"/>
    <mergeCell ref="K287:K288"/>
    <mergeCell ref="L287:L288"/>
    <mergeCell ref="M287:M288"/>
    <mergeCell ref="AL279:AL284"/>
    <mergeCell ref="AM279:AM284"/>
    <mergeCell ref="K282:K284"/>
    <mergeCell ref="A287:A288"/>
    <mergeCell ref="B287:B288"/>
    <mergeCell ref="C287:C288"/>
    <mergeCell ref="D287:D288"/>
    <mergeCell ref="E287:E288"/>
    <mergeCell ref="F287:F288"/>
    <mergeCell ref="G287:G288"/>
    <mergeCell ref="G279:G284"/>
    <mergeCell ref="H279:H284"/>
    <mergeCell ref="I279:I284"/>
    <mergeCell ref="J279:J284"/>
    <mergeCell ref="K279:K281"/>
    <mergeCell ref="AK279:AK284"/>
    <mergeCell ref="A279:A284"/>
    <mergeCell ref="B279:B284"/>
    <mergeCell ref="C279:C284"/>
    <mergeCell ref="D279:D284"/>
    <mergeCell ref="AK289:AK294"/>
    <mergeCell ref="AL289:AL294"/>
    <mergeCell ref="AM289:AM294"/>
    <mergeCell ref="K292:K294"/>
    <mergeCell ref="AL287:AL288"/>
    <mergeCell ref="AM287:AM288"/>
    <mergeCell ref="A289:A294"/>
    <mergeCell ref="B289:B294"/>
    <mergeCell ref="C289:C294"/>
    <mergeCell ref="D289:D294"/>
    <mergeCell ref="E289:E294"/>
    <mergeCell ref="F289:F294"/>
    <mergeCell ref="G289:G294"/>
    <mergeCell ref="H289:H294"/>
    <mergeCell ref="AF287:AF288"/>
    <mergeCell ref="AG287:AG288"/>
    <mergeCell ref="AH287:AH288"/>
    <mergeCell ref="AI287:AI288"/>
    <mergeCell ref="AJ287:AJ288"/>
    <mergeCell ref="AK287:AK288"/>
    <mergeCell ref="Z287:Z288"/>
    <mergeCell ref="AA287:AA288"/>
    <mergeCell ref="AB287:AB288"/>
    <mergeCell ref="AC287:AC288"/>
    <mergeCell ref="AD287:AD288"/>
    <mergeCell ref="AE287:AE288"/>
    <mergeCell ref="T287:T288"/>
    <mergeCell ref="U287:U288"/>
    <mergeCell ref="V287:V288"/>
    <mergeCell ref="W287:W288"/>
    <mergeCell ref="X287:X288"/>
    <mergeCell ref="Y287:Y288"/>
    <mergeCell ref="Q297:Q298"/>
    <mergeCell ref="R297:R298"/>
    <mergeCell ref="G297:G298"/>
    <mergeCell ref="H297:H298"/>
    <mergeCell ref="I297:I298"/>
    <mergeCell ref="J297:J298"/>
    <mergeCell ref="K297:K298"/>
    <mergeCell ref="L297:L298"/>
    <mergeCell ref="A297:A298"/>
    <mergeCell ref="B297:B298"/>
    <mergeCell ref="C297:C298"/>
    <mergeCell ref="D297:D298"/>
    <mergeCell ref="E297:E298"/>
    <mergeCell ref="F297:F298"/>
    <mergeCell ref="I289:I294"/>
    <mergeCell ref="J289:J294"/>
    <mergeCell ref="K289:K291"/>
    <mergeCell ref="AK297:AK298"/>
    <mergeCell ref="AL297:AL298"/>
    <mergeCell ref="AM297:AM298"/>
    <mergeCell ref="A299:A304"/>
    <mergeCell ref="B299:B304"/>
    <mergeCell ref="C299:C304"/>
    <mergeCell ref="D299:D304"/>
    <mergeCell ref="E299:E304"/>
    <mergeCell ref="F299:F304"/>
    <mergeCell ref="G299:G304"/>
    <mergeCell ref="AE297:AE298"/>
    <mergeCell ref="AF297:AF298"/>
    <mergeCell ref="AG297:AG298"/>
    <mergeCell ref="AH297:AH298"/>
    <mergeCell ref="AI297:AI298"/>
    <mergeCell ref="AJ297:AJ298"/>
    <mergeCell ref="Y297:Y298"/>
    <mergeCell ref="Z297:Z298"/>
    <mergeCell ref="AA297:AA298"/>
    <mergeCell ref="AB297:AB298"/>
    <mergeCell ref="AC297:AC298"/>
    <mergeCell ref="AD297:AD298"/>
    <mergeCell ref="S297:S298"/>
    <mergeCell ref="T297:T298"/>
    <mergeCell ref="U297:U298"/>
    <mergeCell ref="V297:V298"/>
    <mergeCell ref="W297:W298"/>
    <mergeCell ref="X297:X298"/>
    <mergeCell ref="M297:M298"/>
    <mergeCell ref="N297:N298"/>
    <mergeCell ref="O297:O298"/>
    <mergeCell ref="P297:P298"/>
    <mergeCell ref="N310:N311"/>
    <mergeCell ref="O310:O311"/>
    <mergeCell ref="P310:P311"/>
    <mergeCell ref="Q310:Q311"/>
    <mergeCell ref="R310:R311"/>
    <mergeCell ref="S310:S311"/>
    <mergeCell ref="H310:H311"/>
    <mergeCell ref="I310:I311"/>
    <mergeCell ref="J310:J311"/>
    <mergeCell ref="K310:K311"/>
    <mergeCell ref="L310:L311"/>
    <mergeCell ref="M310:M311"/>
    <mergeCell ref="AM299:AM304"/>
    <mergeCell ref="K302:K304"/>
    <mergeCell ref="C308:K308"/>
    <mergeCell ref="A310:A311"/>
    <mergeCell ref="B310:B311"/>
    <mergeCell ref="C310:C311"/>
    <mergeCell ref="D310:D311"/>
    <mergeCell ref="E310:E311"/>
    <mergeCell ref="F310:F311"/>
    <mergeCell ref="G310:G311"/>
    <mergeCell ref="H299:H304"/>
    <mergeCell ref="I299:I304"/>
    <mergeCell ref="J299:J304"/>
    <mergeCell ref="K299:K301"/>
    <mergeCell ref="AK299:AK304"/>
    <mergeCell ref="AL299:AL304"/>
    <mergeCell ref="AK312:AK317"/>
    <mergeCell ref="AL312:AL317"/>
    <mergeCell ref="AM312:AM317"/>
    <mergeCell ref="K315:K317"/>
    <mergeCell ref="AL310:AL311"/>
    <mergeCell ref="AM310:AM311"/>
    <mergeCell ref="A312:A317"/>
    <mergeCell ref="B312:B317"/>
    <mergeCell ref="C312:C317"/>
    <mergeCell ref="D312:D317"/>
    <mergeCell ref="E312:E317"/>
    <mergeCell ref="F312:F317"/>
    <mergeCell ref="G312:G317"/>
    <mergeCell ref="H312:H317"/>
    <mergeCell ref="AF310:AF311"/>
    <mergeCell ref="AG310:AG311"/>
    <mergeCell ref="AH310:AH311"/>
    <mergeCell ref="AI310:AI311"/>
    <mergeCell ref="AJ310:AJ311"/>
    <mergeCell ref="AK310:AK311"/>
    <mergeCell ref="Z310:Z311"/>
    <mergeCell ref="AA310:AA311"/>
    <mergeCell ref="AB310:AB311"/>
    <mergeCell ref="AC310:AC311"/>
    <mergeCell ref="AD310:AD311"/>
    <mergeCell ref="AE310:AE311"/>
    <mergeCell ref="T310:T311"/>
    <mergeCell ref="U310:U311"/>
    <mergeCell ref="V310:V311"/>
    <mergeCell ref="W310:W311"/>
    <mergeCell ref="X310:X311"/>
    <mergeCell ref="Y310:Y311"/>
    <mergeCell ref="Q320:Q321"/>
    <mergeCell ref="R320:R321"/>
    <mergeCell ref="G320:G321"/>
    <mergeCell ref="H320:H321"/>
    <mergeCell ref="I320:I321"/>
    <mergeCell ref="J320:J321"/>
    <mergeCell ref="K320:K321"/>
    <mergeCell ref="L320:L321"/>
    <mergeCell ref="A320:A321"/>
    <mergeCell ref="B320:B321"/>
    <mergeCell ref="C320:C321"/>
    <mergeCell ref="D320:D321"/>
    <mergeCell ref="E320:E321"/>
    <mergeCell ref="F320:F321"/>
    <mergeCell ref="I312:I317"/>
    <mergeCell ref="J312:J317"/>
    <mergeCell ref="K312:K314"/>
    <mergeCell ref="AK320:AK321"/>
    <mergeCell ref="AL320:AL321"/>
    <mergeCell ref="AM320:AM321"/>
    <mergeCell ref="A322:A327"/>
    <mergeCell ref="B322:B327"/>
    <mergeCell ref="C322:C327"/>
    <mergeCell ref="D322:D327"/>
    <mergeCell ref="E322:E327"/>
    <mergeCell ref="F322:F327"/>
    <mergeCell ref="G322:G327"/>
    <mergeCell ref="AE320:AE321"/>
    <mergeCell ref="AF320:AF321"/>
    <mergeCell ref="AG320:AG321"/>
    <mergeCell ref="AH320:AH321"/>
    <mergeCell ref="AI320:AI321"/>
    <mergeCell ref="AJ320:AJ321"/>
    <mergeCell ref="Y320:Y321"/>
    <mergeCell ref="Z320:Z321"/>
    <mergeCell ref="AA320:AA321"/>
    <mergeCell ref="AB320:AB321"/>
    <mergeCell ref="AC320:AC321"/>
    <mergeCell ref="AD320:AD321"/>
    <mergeCell ref="S320:S321"/>
    <mergeCell ref="T320:T321"/>
    <mergeCell ref="U320:U321"/>
    <mergeCell ref="V320:V321"/>
    <mergeCell ref="W320:W321"/>
    <mergeCell ref="X320:X321"/>
    <mergeCell ref="M320:M321"/>
    <mergeCell ref="N320:N321"/>
    <mergeCell ref="O320:O321"/>
    <mergeCell ref="P320:P321"/>
    <mergeCell ref="AM322:AM327"/>
    <mergeCell ref="K325:K327"/>
    <mergeCell ref="A330:A331"/>
    <mergeCell ref="B330:B331"/>
    <mergeCell ref="C330:C331"/>
    <mergeCell ref="D330:D331"/>
    <mergeCell ref="E330:E331"/>
    <mergeCell ref="F330:F331"/>
    <mergeCell ref="G330:G331"/>
    <mergeCell ref="H330:H331"/>
    <mergeCell ref="H322:H327"/>
    <mergeCell ref="I322:I327"/>
    <mergeCell ref="J322:J327"/>
    <mergeCell ref="K322:K324"/>
    <mergeCell ref="AK322:AK327"/>
    <mergeCell ref="AL322:AL327"/>
    <mergeCell ref="AA330:AA331"/>
    <mergeCell ref="AB330:AB331"/>
    <mergeCell ref="AC330:AC331"/>
    <mergeCell ref="AD330:AD331"/>
    <mergeCell ref="AE330:AE331"/>
    <mergeCell ref="AF330:AF331"/>
    <mergeCell ref="U330:U331"/>
    <mergeCell ref="V330:V331"/>
    <mergeCell ref="W330:W331"/>
    <mergeCell ref="X330:X331"/>
    <mergeCell ref="C341:K341"/>
    <mergeCell ref="A343:A344"/>
    <mergeCell ref="B343:B344"/>
    <mergeCell ref="C343:C344"/>
    <mergeCell ref="D343:D344"/>
    <mergeCell ref="E343:E344"/>
    <mergeCell ref="F343:F344"/>
    <mergeCell ref="G343:G344"/>
    <mergeCell ref="H343:H344"/>
    <mergeCell ref="I343:I344"/>
    <mergeCell ref="J332:J337"/>
    <mergeCell ref="K332:K334"/>
    <mergeCell ref="I330:I331"/>
    <mergeCell ref="J330:J331"/>
    <mergeCell ref="K330:K331"/>
    <mergeCell ref="L330:L331"/>
    <mergeCell ref="M330:M331"/>
    <mergeCell ref="AK332:AK337"/>
    <mergeCell ref="AL332:AL337"/>
    <mergeCell ref="AM332:AM337"/>
    <mergeCell ref="K335:K337"/>
    <mergeCell ref="AM330:AM331"/>
    <mergeCell ref="A332:A337"/>
    <mergeCell ref="B332:B337"/>
    <mergeCell ref="C332:C337"/>
    <mergeCell ref="D332:D337"/>
    <mergeCell ref="E332:E337"/>
    <mergeCell ref="F332:F337"/>
    <mergeCell ref="G332:G337"/>
    <mergeCell ref="H332:H337"/>
    <mergeCell ref="I332:I337"/>
    <mergeCell ref="AG330:AG331"/>
    <mergeCell ref="AH330:AH331"/>
    <mergeCell ref="AI330:AI331"/>
    <mergeCell ref="AJ330:AJ331"/>
    <mergeCell ref="AK330:AK331"/>
    <mergeCell ref="AL330:AL331"/>
    <mergeCell ref="Y330:Y331"/>
    <mergeCell ref="Z330:Z331"/>
    <mergeCell ref="O330:O331"/>
    <mergeCell ref="P330:P331"/>
    <mergeCell ref="Q330:Q331"/>
    <mergeCell ref="R330:R331"/>
    <mergeCell ref="S330:S331"/>
    <mergeCell ref="T330:T331"/>
    <mergeCell ref="N330:N331"/>
    <mergeCell ref="E345:E350"/>
    <mergeCell ref="F345:F350"/>
    <mergeCell ref="AH343:AH344"/>
    <mergeCell ref="AI343:AI344"/>
    <mergeCell ref="AJ343:AJ344"/>
    <mergeCell ref="AK343:AK344"/>
    <mergeCell ref="AL343:AL344"/>
    <mergeCell ref="AM343:AM344"/>
    <mergeCell ref="AB343:AB344"/>
    <mergeCell ref="AC343:AC344"/>
    <mergeCell ref="AD343:AD344"/>
    <mergeCell ref="AE343:AE344"/>
    <mergeCell ref="AF343:AF344"/>
    <mergeCell ref="AG343:AG344"/>
    <mergeCell ref="V343:V344"/>
    <mergeCell ref="W343:W344"/>
    <mergeCell ref="X343:X344"/>
    <mergeCell ref="Y343:Y344"/>
    <mergeCell ref="Z343:Z344"/>
    <mergeCell ref="AA343:AA344"/>
    <mergeCell ref="P343:P344"/>
    <mergeCell ref="Q343:Q344"/>
    <mergeCell ref="R343:R344"/>
    <mergeCell ref="S343:S344"/>
    <mergeCell ref="T343:T344"/>
    <mergeCell ref="U343:U344"/>
    <mergeCell ref="J343:J344"/>
    <mergeCell ref="K343:K344"/>
    <mergeCell ref="L343:L344"/>
    <mergeCell ref="M343:M344"/>
    <mergeCell ref="N343:N344"/>
    <mergeCell ref="O343:O344"/>
    <mergeCell ref="N353:N354"/>
    <mergeCell ref="O353:O354"/>
    <mergeCell ref="P353:P354"/>
    <mergeCell ref="Q353:Q354"/>
    <mergeCell ref="R353:R354"/>
    <mergeCell ref="S353:S354"/>
    <mergeCell ref="H353:H354"/>
    <mergeCell ref="I353:I354"/>
    <mergeCell ref="J353:J354"/>
    <mergeCell ref="K353:K354"/>
    <mergeCell ref="L353:L354"/>
    <mergeCell ref="M353:M354"/>
    <mergeCell ref="AL345:AL350"/>
    <mergeCell ref="AM345:AM350"/>
    <mergeCell ref="K348:K350"/>
    <mergeCell ref="A353:A354"/>
    <mergeCell ref="B353:B354"/>
    <mergeCell ref="C353:C354"/>
    <mergeCell ref="D353:D354"/>
    <mergeCell ref="E353:E354"/>
    <mergeCell ref="F353:F354"/>
    <mergeCell ref="G353:G354"/>
    <mergeCell ref="G345:G350"/>
    <mergeCell ref="H345:H350"/>
    <mergeCell ref="I345:I350"/>
    <mergeCell ref="J345:J350"/>
    <mergeCell ref="K345:K347"/>
    <mergeCell ref="AK345:AK350"/>
    <mergeCell ref="A345:A350"/>
    <mergeCell ref="B345:B350"/>
    <mergeCell ref="C345:C350"/>
    <mergeCell ref="D345:D350"/>
    <mergeCell ref="AK355:AK360"/>
    <mergeCell ref="AL355:AL360"/>
    <mergeCell ref="AM355:AM360"/>
    <mergeCell ref="K358:K360"/>
    <mergeCell ref="AL353:AL354"/>
    <mergeCell ref="AM353:AM354"/>
    <mergeCell ref="A355:A360"/>
    <mergeCell ref="B355:B360"/>
    <mergeCell ref="C355:C360"/>
    <mergeCell ref="D355:D360"/>
    <mergeCell ref="E355:E360"/>
    <mergeCell ref="F355:F360"/>
    <mergeCell ref="G355:G360"/>
    <mergeCell ref="H355:H360"/>
    <mergeCell ref="AF353:AF354"/>
    <mergeCell ref="AG353:AG354"/>
    <mergeCell ref="AH353:AH354"/>
    <mergeCell ref="AI353:AI354"/>
    <mergeCell ref="AJ353:AJ354"/>
    <mergeCell ref="AK353:AK354"/>
    <mergeCell ref="Z353:Z354"/>
    <mergeCell ref="AA353:AA354"/>
    <mergeCell ref="AB353:AB354"/>
    <mergeCell ref="AC353:AC354"/>
    <mergeCell ref="AD353:AD354"/>
    <mergeCell ref="AE353:AE354"/>
    <mergeCell ref="T353:T354"/>
    <mergeCell ref="U353:U354"/>
    <mergeCell ref="V353:V354"/>
    <mergeCell ref="W353:W354"/>
    <mergeCell ref="X353:X354"/>
    <mergeCell ref="Y353:Y354"/>
    <mergeCell ref="Q363:Q364"/>
    <mergeCell ref="R363:R364"/>
    <mergeCell ref="G363:G364"/>
    <mergeCell ref="H363:H364"/>
    <mergeCell ref="I363:I364"/>
    <mergeCell ref="J363:J364"/>
    <mergeCell ref="K363:K364"/>
    <mergeCell ref="L363:L364"/>
    <mergeCell ref="A363:A364"/>
    <mergeCell ref="B363:B364"/>
    <mergeCell ref="C363:C364"/>
    <mergeCell ref="D363:D364"/>
    <mergeCell ref="E363:E364"/>
    <mergeCell ref="F363:F364"/>
    <mergeCell ref="I355:I360"/>
    <mergeCell ref="J355:J360"/>
    <mergeCell ref="K355:K357"/>
    <mergeCell ref="AK363:AK364"/>
    <mergeCell ref="AL363:AL364"/>
    <mergeCell ref="AM363:AM364"/>
    <mergeCell ref="A365:A370"/>
    <mergeCell ref="B365:B370"/>
    <mergeCell ref="C365:C370"/>
    <mergeCell ref="D365:D370"/>
    <mergeCell ref="E365:E370"/>
    <mergeCell ref="F365:F370"/>
    <mergeCell ref="G365:G370"/>
    <mergeCell ref="AE363:AE364"/>
    <mergeCell ref="AF363:AF364"/>
    <mergeCell ref="AG363:AG364"/>
    <mergeCell ref="AH363:AH364"/>
    <mergeCell ref="AI363:AI364"/>
    <mergeCell ref="AJ363:AJ364"/>
    <mergeCell ref="Y363:Y364"/>
    <mergeCell ref="Z363:Z364"/>
    <mergeCell ref="AA363:AA364"/>
    <mergeCell ref="AB363:AB364"/>
    <mergeCell ref="AC363:AC364"/>
    <mergeCell ref="AD363:AD364"/>
    <mergeCell ref="S363:S364"/>
    <mergeCell ref="T363:T364"/>
    <mergeCell ref="U363:U364"/>
    <mergeCell ref="V363:V364"/>
    <mergeCell ref="W363:W364"/>
    <mergeCell ref="X363:X364"/>
    <mergeCell ref="M363:M364"/>
    <mergeCell ref="N363:N364"/>
    <mergeCell ref="O363:O364"/>
    <mergeCell ref="P363:P364"/>
    <mergeCell ref="N376:N377"/>
    <mergeCell ref="O376:O377"/>
    <mergeCell ref="P376:P377"/>
    <mergeCell ref="Q376:Q377"/>
    <mergeCell ref="R376:R377"/>
    <mergeCell ref="S376:S377"/>
    <mergeCell ref="H376:H377"/>
    <mergeCell ref="I376:I377"/>
    <mergeCell ref="J376:J377"/>
    <mergeCell ref="K376:K377"/>
    <mergeCell ref="L376:L377"/>
    <mergeCell ref="M376:M377"/>
    <mergeCell ref="AM365:AM370"/>
    <mergeCell ref="K368:K370"/>
    <mergeCell ref="C374:K374"/>
    <mergeCell ref="A376:A377"/>
    <mergeCell ref="B376:B377"/>
    <mergeCell ref="C376:C377"/>
    <mergeCell ref="D376:D377"/>
    <mergeCell ref="E376:E377"/>
    <mergeCell ref="F376:F377"/>
    <mergeCell ref="G376:G377"/>
    <mergeCell ref="H365:H370"/>
    <mergeCell ref="I365:I370"/>
    <mergeCell ref="J365:J370"/>
    <mergeCell ref="K365:K367"/>
    <mergeCell ref="AK365:AK370"/>
    <mergeCell ref="AL365:AL370"/>
    <mergeCell ref="AK378:AK383"/>
    <mergeCell ref="AL378:AL383"/>
    <mergeCell ref="AM378:AM383"/>
    <mergeCell ref="K381:K383"/>
    <mergeCell ref="AL376:AL377"/>
    <mergeCell ref="AM376:AM377"/>
    <mergeCell ref="A378:A383"/>
    <mergeCell ref="B378:B383"/>
    <mergeCell ref="C378:C383"/>
    <mergeCell ref="D378:D383"/>
    <mergeCell ref="E378:E383"/>
    <mergeCell ref="F378:F383"/>
    <mergeCell ref="G378:G383"/>
    <mergeCell ref="H378:H383"/>
    <mergeCell ref="AF376:AF377"/>
    <mergeCell ref="AG376:AG377"/>
    <mergeCell ref="AH376:AH377"/>
    <mergeCell ref="AI376:AI377"/>
    <mergeCell ref="AJ376:AJ377"/>
    <mergeCell ref="AK376:AK377"/>
    <mergeCell ref="Z376:Z377"/>
    <mergeCell ref="AA376:AA377"/>
    <mergeCell ref="AB376:AB377"/>
    <mergeCell ref="AC376:AC377"/>
    <mergeCell ref="AD376:AD377"/>
    <mergeCell ref="AE376:AE377"/>
    <mergeCell ref="T376:T377"/>
    <mergeCell ref="U376:U377"/>
    <mergeCell ref="V376:V377"/>
    <mergeCell ref="W376:W377"/>
    <mergeCell ref="X376:X377"/>
    <mergeCell ref="Y376:Y377"/>
    <mergeCell ref="Q386:Q387"/>
    <mergeCell ref="R386:R387"/>
    <mergeCell ref="G386:G387"/>
    <mergeCell ref="H386:H387"/>
    <mergeCell ref="I386:I387"/>
    <mergeCell ref="J386:J387"/>
    <mergeCell ref="K386:K387"/>
    <mergeCell ref="L386:L387"/>
    <mergeCell ref="A386:A387"/>
    <mergeCell ref="B386:B387"/>
    <mergeCell ref="C386:C387"/>
    <mergeCell ref="D386:D387"/>
    <mergeCell ref="E386:E387"/>
    <mergeCell ref="F386:F387"/>
    <mergeCell ref="I378:I383"/>
    <mergeCell ref="J378:J383"/>
    <mergeCell ref="K378:K380"/>
    <mergeCell ref="AK386:AK387"/>
    <mergeCell ref="AL386:AL387"/>
    <mergeCell ref="AM386:AM387"/>
    <mergeCell ref="A388:A393"/>
    <mergeCell ref="B388:B393"/>
    <mergeCell ref="C388:C393"/>
    <mergeCell ref="D388:D393"/>
    <mergeCell ref="E388:E393"/>
    <mergeCell ref="F388:F393"/>
    <mergeCell ref="G388:G393"/>
    <mergeCell ref="AE386:AE387"/>
    <mergeCell ref="AF386:AF387"/>
    <mergeCell ref="AG386:AG387"/>
    <mergeCell ref="AH386:AH387"/>
    <mergeCell ref="AI386:AI387"/>
    <mergeCell ref="AJ386:AJ387"/>
    <mergeCell ref="Y386:Y387"/>
    <mergeCell ref="Z386:Z387"/>
    <mergeCell ref="AA386:AA387"/>
    <mergeCell ref="AB386:AB387"/>
    <mergeCell ref="AC386:AC387"/>
    <mergeCell ref="AD386:AD387"/>
    <mergeCell ref="S386:S387"/>
    <mergeCell ref="T386:T387"/>
    <mergeCell ref="U386:U387"/>
    <mergeCell ref="V386:V387"/>
    <mergeCell ref="W386:W387"/>
    <mergeCell ref="X386:X387"/>
    <mergeCell ref="M386:M387"/>
    <mergeCell ref="N386:N387"/>
    <mergeCell ref="O386:O387"/>
    <mergeCell ref="P386:P387"/>
    <mergeCell ref="AM388:AM393"/>
    <mergeCell ref="K391:K393"/>
    <mergeCell ref="A396:A397"/>
    <mergeCell ref="B396:B397"/>
    <mergeCell ref="C396:C397"/>
    <mergeCell ref="D396:D397"/>
    <mergeCell ref="E396:E397"/>
    <mergeCell ref="F396:F397"/>
    <mergeCell ref="G396:G397"/>
    <mergeCell ref="H396:H397"/>
    <mergeCell ref="H388:H393"/>
    <mergeCell ref="I388:I393"/>
    <mergeCell ref="J388:J393"/>
    <mergeCell ref="K388:K390"/>
    <mergeCell ref="AK388:AK393"/>
    <mergeCell ref="AL388:AL393"/>
    <mergeCell ref="AA396:AA397"/>
    <mergeCell ref="AB396:AB397"/>
    <mergeCell ref="AC396:AC397"/>
    <mergeCell ref="AD396:AD397"/>
    <mergeCell ref="AE396:AE397"/>
    <mergeCell ref="AF396:AF397"/>
    <mergeCell ref="U396:U397"/>
    <mergeCell ref="V396:V397"/>
    <mergeCell ref="W396:W397"/>
    <mergeCell ref="X396:X397"/>
    <mergeCell ref="C407:K407"/>
    <mergeCell ref="A409:A410"/>
    <mergeCell ref="B409:B410"/>
    <mergeCell ref="C409:C410"/>
    <mergeCell ref="D409:D410"/>
    <mergeCell ref="E409:E410"/>
    <mergeCell ref="F409:F410"/>
    <mergeCell ref="G409:G410"/>
    <mergeCell ref="H409:H410"/>
    <mergeCell ref="I409:I410"/>
    <mergeCell ref="J398:J403"/>
    <mergeCell ref="K398:K400"/>
    <mergeCell ref="I396:I397"/>
    <mergeCell ref="J396:J397"/>
    <mergeCell ref="K396:K397"/>
    <mergeCell ref="L396:L397"/>
    <mergeCell ref="M396:M397"/>
    <mergeCell ref="AK398:AK403"/>
    <mergeCell ref="AL398:AL403"/>
    <mergeCell ref="AM398:AM403"/>
    <mergeCell ref="K401:K403"/>
    <mergeCell ref="AM396:AM397"/>
    <mergeCell ref="A398:A403"/>
    <mergeCell ref="B398:B403"/>
    <mergeCell ref="C398:C403"/>
    <mergeCell ref="D398:D403"/>
    <mergeCell ref="E398:E403"/>
    <mergeCell ref="F398:F403"/>
    <mergeCell ref="G398:G403"/>
    <mergeCell ref="H398:H403"/>
    <mergeCell ref="I398:I403"/>
    <mergeCell ref="AG396:AG397"/>
    <mergeCell ref="AH396:AH397"/>
    <mergeCell ref="AI396:AI397"/>
    <mergeCell ref="AJ396:AJ397"/>
    <mergeCell ref="AK396:AK397"/>
    <mergeCell ref="AL396:AL397"/>
    <mergeCell ref="Y396:Y397"/>
    <mergeCell ref="Z396:Z397"/>
    <mergeCell ref="O396:O397"/>
    <mergeCell ref="P396:P397"/>
    <mergeCell ref="Q396:Q397"/>
    <mergeCell ref="R396:R397"/>
    <mergeCell ref="S396:S397"/>
    <mergeCell ref="T396:T397"/>
    <mergeCell ref="N396:N397"/>
    <mergeCell ref="E411:E416"/>
    <mergeCell ref="F411:F416"/>
    <mergeCell ref="AH409:AH410"/>
    <mergeCell ref="AI409:AI410"/>
    <mergeCell ref="AJ409:AJ410"/>
    <mergeCell ref="AK409:AK410"/>
    <mergeCell ref="AL409:AL410"/>
    <mergeCell ref="AM409:AM410"/>
    <mergeCell ref="AB409:AB410"/>
    <mergeCell ref="AC409:AC410"/>
    <mergeCell ref="AD409:AD410"/>
    <mergeCell ref="AE409:AE410"/>
    <mergeCell ref="AF409:AF410"/>
    <mergeCell ref="AG409:AG410"/>
    <mergeCell ref="V409:V410"/>
    <mergeCell ref="W409:W410"/>
    <mergeCell ref="X409:X410"/>
    <mergeCell ref="Y409:Y410"/>
    <mergeCell ref="Z409:Z410"/>
    <mergeCell ref="AA409:AA410"/>
    <mergeCell ref="P409:P410"/>
    <mergeCell ref="Q409:Q410"/>
    <mergeCell ref="R409:R410"/>
    <mergeCell ref="S409:S410"/>
    <mergeCell ref="T409:T410"/>
    <mergeCell ref="U409:U410"/>
    <mergeCell ref="J409:J410"/>
    <mergeCell ref="K409:K410"/>
    <mergeCell ref="L409:L410"/>
    <mergeCell ref="M409:M410"/>
    <mergeCell ref="N409:N410"/>
    <mergeCell ref="O409:O410"/>
    <mergeCell ref="N419:N420"/>
    <mergeCell ref="O419:O420"/>
    <mergeCell ref="P419:P420"/>
    <mergeCell ref="Q419:Q420"/>
    <mergeCell ref="R419:R420"/>
    <mergeCell ref="S419:S420"/>
    <mergeCell ref="H419:H420"/>
    <mergeCell ref="I419:I420"/>
    <mergeCell ref="J419:J420"/>
    <mergeCell ref="K419:K420"/>
    <mergeCell ref="L419:L420"/>
    <mergeCell ref="M419:M420"/>
    <mergeCell ref="AL411:AL416"/>
    <mergeCell ref="AM411:AM416"/>
    <mergeCell ref="K414:K416"/>
    <mergeCell ref="A419:A420"/>
    <mergeCell ref="B419:B420"/>
    <mergeCell ref="C419:C420"/>
    <mergeCell ref="D419:D420"/>
    <mergeCell ref="E419:E420"/>
    <mergeCell ref="F419:F420"/>
    <mergeCell ref="G419:G420"/>
    <mergeCell ref="G411:G416"/>
    <mergeCell ref="H411:H416"/>
    <mergeCell ref="I411:I416"/>
    <mergeCell ref="J411:J416"/>
    <mergeCell ref="K411:K413"/>
    <mergeCell ref="AK411:AK416"/>
    <mergeCell ref="A411:A416"/>
    <mergeCell ref="B411:B416"/>
    <mergeCell ref="C411:C416"/>
    <mergeCell ref="D411:D416"/>
    <mergeCell ref="AK421:AK426"/>
    <mergeCell ref="AL421:AL426"/>
    <mergeCell ref="AM421:AM426"/>
    <mergeCell ref="K424:K426"/>
    <mergeCell ref="AL419:AL420"/>
    <mergeCell ref="AM419:AM420"/>
    <mergeCell ref="A421:A426"/>
    <mergeCell ref="B421:B426"/>
    <mergeCell ref="C421:C426"/>
    <mergeCell ref="D421:D426"/>
    <mergeCell ref="E421:E426"/>
    <mergeCell ref="F421:F426"/>
    <mergeCell ref="G421:G426"/>
    <mergeCell ref="H421:H426"/>
    <mergeCell ref="AF419:AF420"/>
    <mergeCell ref="AG419:AG420"/>
    <mergeCell ref="AH419:AH420"/>
    <mergeCell ref="AI419:AI420"/>
    <mergeCell ref="AJ419:AJ420"/>
    <mergeCell ref="AK419:AK420"/>
    <mergeCell ref="Z419:Z420"/>
    <mergeCell ref="AA419:AA420"/>
    <mergeCell ref="AB419:AB420"/>
    <mergeCell ref="AC419:AC420"/>
    <mergeCell ref="AD419:AD420"/>
    <mergeCell ref="AE419:AE420"/>
    <mergeCell ref="T419:T420"/>
    <mergeCell ref="U419:U420"/>
    <mergeCell ref="V419:V420"/>
    <mergeCell ref="W419:W420"/>
    <mergeCell ref="X419:X420"/>
    <mergeCell ref="Y419:Y420"/>
    <mergeCell ref="Q429:Q430"/>
    <mergeCell ref="R429:R430"/>
    <mergeCell ref="G429:G430"/>
    <mergeCell ref="H429:H430"/>
    <mergeCell ref="I429:I430"/>
    <mergeCell ref="J429:J430"/>
    <mergeCell ref="K429:K430"/>
    <mergeCell ref="L429:L430"/>
    <mergeCell ref="A429:A430"/>
    <mergeCell ref="B429:B430"/>
    <mergeCell ref="C429:C430"/>
    <mergeCell ref="D429:D430"/>
    <mergeCell ref="E429:E430"/>
    <mergeCell ref="F429:F430"/>
    <mergeCell ref="I421:I426"/>
    <mergeCell ref="J421:J426"/>
    <mergeCell ref="K421:K423"/>
    <mergeCell ref="AK429:AK430"/>
    <mergeCell ref="AL429:AL430"/>
    <mergeCell ref="AM429:AM430"/>
    <mergeCell ref="A431:A436"/>
    <mergeCell ref="B431:B436"/>
    <mergeCell ref="C431:C436"/>
    <mergeCell ref="D431:D436"/>
    <mergeCell ref="E431:E436"/>
    <mergeCell ref="F431:F436"/>
    <mergeCell ref="G431:G436"/>
    <mergeCell ref="AE429:AE430"/>
    <mergeCell ref="AF429:AF430"/>
    <mergeCell ref="AG429:AG430"/>
    <mergeCell ref="AH429:AH430"/>
    <mergeCell ref="AI429:AI430"/>
    <mergeCell ref="AJ429:AJ430"/>
    <mergeCell ref="Y429:Y430"/>
    <mergeCell ref="Z429:Z430"/>
    <mergeCell ref="AA429:AA430"/>
    <mergeCell ref="AB429:AB430"/>
    <mergeCell ref="AC429:AC430"/>
    <mergeCell ref="AD429:AD430"/>
    <mergeCell ref="S429:S430"/>
    <mergeCell ref="T429:T430"/>
    <mergeCell ref="U429:U430"/>
    <mergeCell ref="V429:V430"/>
    <mergeCell ref="W429:W430"/>
    <mergeCell ref="X429:X430"/>
    <mergeCell ref="M429:M430"/>
    <mergeCell ref="N429:N430"/>
    <mergeCell ref="O429:O430"/>
    <mergeCell ref="P429:P430"/>
    <mergeCell ref="N442:N443"/>
    <mergeCell ref="O442:O443"/>
    <mergeCell ref="P442:P443"/>
    <mergeCell ref="Q442:Q443"/>
    <mergeCell ref="R442:R443"/>
    <mergeCell ref="S442:S443"/>
    <mergeCell ref="H442:H443"/>
    <mergeCell ref="I442:I443"/>
    <mergeCell ref="J442:J443"/>
    <mergeCell ref="K442:K443"/>
    <mergeCell ref="L442:L443"/>
    <mergeCell ref="M442:M443"/>
    <mergeCell ref="AM431:AM436"/>
    <mergeCell ref="K434:K436"/>
    <mergeCell ref="C440:K440"/>
    <mergeCell ref="A442:A443"/>
    <mergeCell ref="B442:B443"/>
    <mergeCell ref="C442:C443"/>
    <mergeCell ref="D442:D443"/>
    <mergeCell ref="E442:E443"/>
    <mergeCell ref="F442:F443"/>
    <mergeCell ref="G442:G443"/>
    <mergeCell ref="H431:H436"/>
    <mergeCell ref="I431:I436"/>
    <mergeCell ref="J431:J436"/>
    <mergeCell ref="K431:K433"/>
    <mergeCell ref="AK431:AK436"/>
    <mergeCell ref="AL431:AL436"/>
    <mergeCell ref="AK444:AK449"/>
    <mergeCell ref="AL444:AL449"/>
    <mergeCell ref="AM444:AM449"/>
    <mergeCell ref="K447:K449"/>
    <mergeCell ref="AL442:AL443"/>
    <mergeCell ref="AM442:AM443"/>
    <mergeCell ref="A444:A449"/>
    <mergeCell ref="B444:B449"/>
    <mergeCell ref="C444:C449"/>
    <mergeCell ref="D444:D449"/>
    <mergeCell ref="E444:E449"/>
    <mergeCell ref="F444:F449"/>
    <mergeCell ref="G444:G449"/>
    <mergeCell ref="H444:H449"/>
    <mergeCell ref="AF442:AF443"/>
    <mergeCell ref="AG442:AG443"/>
    <mergeCell ref="AH442:AH443"/>
    <mergeCell ref="AI442:AI443"/>
    <mergeCell ref="AJ442:AJ443"/>
    <mergeCell ref="AK442:AK443"/>
    <mergeCell ref="Z442:Z443"/>
    <mergeCell ref="AA442:AA443"/>
    <mergeCell ref="AB442:AB443"/>
    <mergeCell ref="AC442:AC443"/>
    <mergeCell ref="AD442:AD443"/>
    <mergeCell ref="AE442:AE443"/>
    <mergeCell ref="T442:T443"/>
    <mergeCell ref="U442:U443"/>
    <mergeCell ref="V442:V443"/>
    <mergeCell ref="W442:W443"/>
    <mergeCell ref="X442:X443"/>
    <mergeCell ref="Y442:Y443"/>
    <mergeCell ref="Q452:Q453"/>
    <mergeCell ref="R452:R453"/>
    <mergeCell ref="G452:G453"/>
    <mergeCell ref="H452:H453"/>
    <mergeCell ref="I452:I453"/>
    <mergeCell ref="J452:J453"/>
    <mergeCell ref="K452:K453"/>
    <mergeCell ref="L452:L453"/>
    <mergeCell ref="A452:A453"/>
    <mergeCell ref="B452:B453"/>
    <mergeCell ref="C452:C453"/>
    <mergeCell ref="D452:D453"/>
    <mergeCell ref="E452:E453"/>
    <mergeCell ref="F452:F453"/>
    <mergeCell ref="I444:I449"/>
    <mergeCell ref="J444:J449"/>
    <mergeCell ref="K444:K446"/>
    <mergeCell ref="AK452:AK453"/>
    <mergeCell ref="AL452:AL453"/>
    <mergeCell ref="AM452:AM453"/>
    <mergeCell ref="A454:A459"/>
    <mergeCell ref="B454:B459"/>
    <mergeCell ref="C454:C459"/>
    <mergeCell ref="D454:D459"/>
    <mergeCell ref="E454:E459"/>
    <mergeCell ref="F454:F459"/>
    <mergeCell ref="G454:G459"/>
    <mergeCell ref="AE452:AE453"/>
    <mergeCell ref="AF452:AF453"/>
    <mergeCell ref="AG452:AG453"/>
    <mergeCell ref="AH452:AH453"/>
    <mergeCell ref="AI452:AI453"/>
    <mergeCell ref="AJ452:AJ453"/>
    <mergeCell ref="Y452:Y453"/>
    <mergeCell ref="Z452:Z453"/>
    <mergeCell ref="AA452:AA453"/>
    <mergeCell ref="AB452:AB453"/>
    <mergeCell ref="AC452:AC453"/>
    <mergeCell ref="AD452:AD453"/>
    <mergeCell ref="S452:S453"/>
    <mergeCell ref="T452:T453"/>
    <mergeCell ref="U452:U453"/>
    <mergeCell ref="V452:V453"/>
    <mergeCell ref="W452:W453"/>
    <mergeCell ref="X452:X453"/>
    <mergeCell ref="M452:M453"/>
    <mergeCell ref="N452:N453"/>
    <mergeCell ref="O452:O453"/>
    <mergeCell ref="P452:P453"/>
    <mergeCell ref="AM454:AM459"/>
    <mergeCell ref="K457:K459"/>
    <mergeCell ref="A462:A463"/>
    <mergeCell ref="B462:B463"/>
    <mergeCell ref="C462:C463"/>
    <mergeCell ref="D462:D463"/>
    <mergeCell ref="E462:E463"/>
    <mergeCell ref="F462:F463"/>
    <mergeCell ref="G462:G463"/>
    <mergeCell ref="H462:H463"/>
    <mergeCell ref="H454:H459"/>
    <mergeCell ref="I454:I459"/>
    <mergeCell ref="J454:J459"/>
    <mergeCell ref="K454:K456"/>
    <mergeCell ref="AK454:AK459"/>
    <mergeCell ref="AL454:AL459"/>
    <mergeCell ref="AA462:AA463"/>
    <mergeCell ref="AB462:AB463"/>
    <mergeCell ref="AC462:AC463"/>
    <mergeCell ref="AD462:AD463"/>
    <mergeCell ref="AE462:AE463"/>
    <mergeCell ref="AF462:AF463"/>
    <mergeCell ref="U462:U463"/>
    <mergeCell ref="V462:V463"/>
    <mergeCell ref="W462:W463"/>
    <mergeCell ref="X462:X463"/>
    <mergeCell ref="C473:K473"/>
    <mergeCell ref="A475:A476"/>
    <mergeCell ref="B475:B476"/>
    <mergeCell ref="C475:C476"/>
    <mergeCell ref="D475:D476"/>
    <mergeCell ref="E475:E476"/>
    <mergeCell ref="F475:F476"/>
    <mergeCell ref="G475:G476"/>
    <mergeCell ref="H475:H476"/>
    <mergeCell ref="I475:I476"/>
    <mergeCell ref="J464:J469"/>
    <mergeCell ref="K464:K466"/>
    <mergeCell ref="I462:I463"/>
    <mergeCell ref="J462:J463"/>
    <mergeCell ref="K462:K463"/>
    <mergeCell ref="L462:L463"/>
    <mergeCell ref="M462:M463"/>
    <mergeCell ref="AK464:AK469"/>
    <mergeCell ref="AL464:AL469"/>
    <mergeCell ref="AM464:AM469"/>
    <mergeCell ref="K467:K469"/>
    <mergeCell ref="AM462:AM463"/>
    <mergeCell ref="A464:A469"/>
    <mergeCell ref="B464:B469"/>
    <mergeCell ref="C464:C469"/>
    <mergeCell ref="D464:D469"/>
    <mergeCell ref="E464:E469"/>
    <mergeCell ref="F464:F469"/>
    <mergeCell ref="G464:G469"/>
    <mergeCell ref="H464:H469"/>
    <mergeCell ref="I464:I469"/>
    <mergeCell ref="AG462:AG463"/>
    <mergeCell ref="AH462:AH463"/>
    <mergeCell ref="AI462:AI463"/>
    <mergeCell ref="AJ462:AJ463"/>
    <mergeCell ref="AK462:AK463"/>
    <mergeCell ref="AL462:AL463"/>
    <mergeCell ref="Y462:Y463"/>
    <mergeCell ref="Z462:Z463"/>
    <mergeCell ref="O462:O463"/>
    <mergeCell ref="P462:P463"/>
    <mergeCell ref="Q462:Q463"/>
    <mergeCell ref="R462:R463"/>
    <mergeCell ref="S462:S463"/>
    <mergeCell ref="T462:T463"/>
    <mergeCell ref="N462:N463"/>
    <mergeCell ref="E477:E482"/>
    <mergeCell ref="F477:F482"/>
    <mergeCell ref="AH475:AH476"/>
    <mergeCell ref="AI475:AI476"/>
    <mergeCell ref="AJ475:AJ476"/>
    <mergeCell ref="AK475:AK476"/>
    <mergeCell ref="AL475:AL476"/>
    <mergeCell ref="AM475:AM476"/>
    <mergeCell ref="AB475:AB476"/>
    <mergeCell ref="AC475:AC476"/>
    <mergeCell ref="AD475:AD476"/>
    <mergeCell ref="AE475:AE476"/>
    <mergeCell ref="AF475:AF476"/>
    <mergeCell ref="AG475:AG476"/>
    <mergeCell ref="V475:V476"/>
    <mergeCell ref="W475:W476"/>
    <mergeCell ref="X475:X476"/>
    <mergeCell ref="Y475:Y476"/>
    <mergeCell ref="Z475:Z476"/>
    <mergeCell ref="AA475:AA476"/>
    <mergeCell ref="P475:P476"/>
    <mergeCell ref="Q475:Q476"/>
    <mergeCell ref="R475:R476"/>
    <mergeCell ref="S475:S476"/>
    <mergeCell ref="T475:T476"/>
    <mergeCell ref="U475:U476"/>
    <mergeCell ref="J475:J476"/>
    <mergeCell ref="K475:K476"/>
    <mergeCell ref="L475:L476"/>
    <mergeCell ref="M475:M476"/>
    <mergeCell ref="N475:N476"/>
    <mergeCell ref="O475:O476"/>
    <mergeCell ref="N485:N486"/>
    <mergeCell ref="O485:O486"/>
    <mergeCell ref="P485:P486"/>
    <mergeCell ref="Q485:Q486"/>
    <mergeCell ref="R485:R486"/>
    <mergeCell ref="S485:S486"/>
    <mergeCell ref="H485:H486"/>
    <mergeCell ref="I485:I486"/>
    <mergeCell ref="J485:J486"/>
    <mergeCell ref="K485:K486"/>
    <mergeCell ref="L485:L486"/>
    <mergeCell ref="M485:M486"/>
    <mergeCell ref="AL477:AL482"/>
    <mergeCell ref="AM477:AM482"/>
    <mergeCell ref="K480:K482"/>
    <mergeCell ref="A485:A486"/>
    <mergeCell ref="B485:B486"/>
    <mergeCell ref="C485:C486"/>
    <mergeCell ref="D485:D486"/>
    <mergeCell ref="E485:E486"/>
    <mergeCell ref="F485:F486"/>
    <mergeCell ref="G485:G486"/>
    <mergeCell ref="G477:G482"/>
    <mergeCell ref="H477:H482"/>
    <mergeCell ref="I477:I482"/>
    <mergeCell ref="J477:J482"/>
    <mergeCell ref="K477:K479"/>
    <mergeCell ref="AK477:AK482"/>
    <mergeCell ref="A477:A482"/>
    <mergeCell ref="B477:B482"/>
    <mergeCell ref="C477:C482"/>
    <mergeCell ref="D477:D482"/>
    <mergeCell ref="AK487:AK492"/>
    <mergeCell ref="AL487:AL492"/>
    <mergeCell ref="AM487:AM492"/>
    <mergeCell ref="K490:K492"/>
    <mergeCell ref="AL485:AL486"/>
    <mergeCell ref="AM485:AM486"/>
    <mergeCell ref="A487:A492"/>
    <mergeCell ref="B487:B492"/>
    <mergeCell ref="C487:C492"/>
    <mergeCell ref="D487:D492"/>
    <mergeCell ref="E487:E492"/>
    <mergeCell ref="F487:F492"/>
    <mergeCell ref="G487:G492"/>
    <mergeCell ref="H487:H492"/>
    <mergeCell ref="AF485:AF486"/>
    <mergeCell ref="AG485:AG486"/>
    <mergeCell ref="AH485:AH486"/>
    <mergeCell ref="AI485:AI486"/>
    <mergeCell ref="AJ485:AJ486"/>
    <mergeCell ref="AK485:AK486"/>
    <mergeCell ref="Z485:Z486"/>
    <mergeCell ref="AA485:AA486"/>
    <mergeCell ref="AB485:AB486"/>
    <mergeCell ref="AC485:AC486"/>
    <mergeCell ref="AD485:AD486"/>
    <mergeCell ref="AE485:AE486"/>
    <mergeCell ref="T485:T486"/>
    <mergeCell ref="U485:U486"/>
    <mergeCell ref="V485:V486"/>
    <mergeCell ref="W485:W486"/>
    <mergeCell ref="X485:X486"/>
    <mergeCell ref="Y485:Y486"/>
    <mergeCell ref="Q495:Q496"/>
    <mergeCell ref="R495:R496"/>
    <mergeCell ref="G495:G496"/>
    <mergeCell ref="H495:H496"/>
    <mergeCell ref="I495:I496"/>
    <mergeCell ref="J495:J496"/>
    <mergeCell ref="K495:K496"/>
    <mergeCell ref="L495:L496"/>
    <mergeCell ref="A495:A496"/>
    <mergeCell ref="B495:B496"/>
    <mergeCell ref="C495:C496"/>
    <mergeCell ref="D495:D496"/>
    <mergeCell ref="E495:E496"/>
    <mergeCell ref="F495:F496"/>
    <mergeCell ref="I487:I492"/>
    <mergeCell ref="J487:J492"/>
    <mergeCell ref="K487:K489"/>
    <mergeCell ref="AK495:AK496"/>
    <mergeCell ref="AL495:AL496"/>
    <mergeCell ref="AM495:AM496"/>
    <mergeCell ref="A497:A502"/>
    <mergeCell ref="B497:B502"/>
    <mergeCell ref="C497:C502"/>
    <mergeCell ref="D497:D502"/>
    <mergeCell ref="E497:E502"/>
    <mergeCell ref="F497:F502"/>
    <mergeCell ref="G497:G502"/>
    <mergeCell ref="AE495:AE496"/>
    <mergeCell ref="AF495:AF496"/>
    <mergeCell ref="AG495:AG496"/>
    <mergeCell ref="AH495:AH496"/>
    <mergeCell ref="AI495:AI496"/>
    <mergeCell ref="AJ495:AJ496"/>
    <mergeCell ref="Y495:Y496"/>
    <mergeCell ref="Z495:Z496"/>
    <mergeCell ref="AA495:AA496"/>
    <mergeCell ref="AB495:AB496"/>
    <mergeCell ref="AC495:AC496"/>
    <mergeCell ref="AD495:AD496"/>
    <mergeCell ref="S495:S496"/>
    <mergeCell ref="T495:T496"/>
    <mergeCell ref="U495:U496"/>
    <mergeCell ref="V495:V496"/>
    <mergeCell ref="W495:W496"/>
    <mergeCell ref="X495:X496"/>
    <mergeCell ref="M495:M496"/>
    <mergeCell ref="N495:N496"/>
    <mergeCell ref="O495:O496"/>
    <mergeCell ref="P495:P496"/>
    <mergeCell ref="N508:N509"/>
    <mergeCell ref="O508:O509"/>
    <mergeCell ref="P508:P509"/>
    <mergeCell ref="Q508:Q509"/>
    <mergeCell ref="R508:R509"/>
    <mergeCell ref="S508:S509"/>
    <mergeCell ref="H508:H509"/>
    <mergeCell ref="I508:I509"/>
    <mergeCell ref="J508:J509"/>
    <mergeCell ref="K508:K509"/>
    <mergeCell ref="L508:L509"/>
    <mergeCell ref="M508:M509"/>
    <mergeCell ref="AM497:AM502"/>
    <mergeCell ref="K500:K502"/>
    <mergeCell ref="C506:K506"/>
    <mergeCell ref="A508:A509"/>
    <mergeCell ref="B508:B509"/>
    <mergeCell ref="C508:C509"/>
    <mergeCell ref="D508:D509"/>
    <mergeCell ref="E508:E509"/>
    <mergeCell ref="F508:F509"/>
    <mergeCell ref="G508:G509"/>
    <mergeCell ref="H497:H502"/>
    <mergeCell ref="I497:I502"/>
    <mergeCell ref="J497:J502"/>
    <mergeCell ref="K497:K499"/>
    <mergeCell ref="AK497:AK502"/>
    <mergeCell ref="AL497:AL502"/>
    <mergeCell ref="AK510:AK515"/>
    <mergeCell ref="AL510:AL515"/>
    <mergeCell ref="AM510:AM515"/>
    <mergeCell ref="K513:K515"/>
    <mergeCell ref="AL508:AL509"/>
    <mergeCell ref="AM508:AM509"/>
    <mergeCell ref="A510:A515"/>
    <mergeCell ref="B510:B515"/>
    <mergeCell ref="C510:C515"/>
    <mergeCell ref="D510:D515"/>
    <mergeCell ref="E510:E515"/>
    <mergeCell ref="F510:F515"/>
    <mergeCell ref="G510:G515"/>
    <mergeCell ref="H510:H515"/>
    <mergeCell ref="AF508:AF509"/>
    <mergeCell ref="AG508:AG509"/>
    <mergeCell ref="AH508:AH509"/>
    <mergeCell ref="AI508:AI509"/>
    <mergeCell ref="AJ508:AJ509"/>
    <mergeCell ref="AK508:AK509"/>
    <mergeCell ref="Z508:Z509"/>
    <mergeCell ref="AA508:AA509"/>
    <mergeCell ref="AB508:AB509"/>
    <mergeCell ref="AC508:AC509"/>
    <mergeCell ref="AD508:AD509"/>
    <mergeCell ref="AE508:AE509"/>
    <mergeCell ref="T508:T509"/>
    <mergeCell ref="U508:U509"/>
    <mergeCell ref="V508:V509"/>
    <mergeCell ref="W508:W509"/>
    <mergeCell ref="X508:X509"/>
    <mergeCell ref="Y508:Y509"/>
    <mergeCell ref="Q518:Q519"/>
    <mergeCell ref="R518:R519"/>
    <mergeCell ref="G518:G519"/>
    <mergeCell ref="H518:H519"/>
    <mergeCell ref="I518:I519"/>
    <mergeCell ref="J518:J519"/>
    <mergeCell ref="K518:K519"/>
    <mergeCell ref="L518:L519"/>
    <mergeCell ref="A518:A519"/>
    <mergeCell ref="B518:B519"/>
    <mergeCell ref="C518:C519"/>
    <mergeCell ref="D518:D519"/>
    <mergeCell ref="E518:E519"/>
    <mergeCell ref="F518:F519"/>
    <mergeCell ref="I510:I515"/>
    <mergeCell ref="J510:J515"/>
    <mergeCell ref="K510:K512"/>
    <mergeCell ref="AK518:AK519"/>
    <mergeCell ref="AL518:AL519"/>
    <mergeCell ref="AM518:AM519"/>
    <mergeCell ref="A520:A525"/>
    <mergeCell ref="B520:B525"/>
    <mergeCell ref="C520:C525"/>
    <mergeCell ref="D520:D525"/>
    <mergeCell ref="E520:E525"/>
    <mergeCell ref="F520:F525"/>
    <mergeCell ref="G520:G525"/>
    <mergeCell ref="AE518:AE519"/>
    <mergeCell ref="AF518:AF519"/>
    <mergeCell ref="AG518:AG519"/>
    <mergeCell ref="AH518:AH519"/>
    <mergeCell ref="AI518:AI519"/>
    <mergeCell ref="AJ518:AJ519"/>
    <mergeCell ref="Y518:Y519"/>
    <mergeCell ref="Z518:Z519"/>
    <mergeCell ref="AA518:AA519"/>
    <mergeCell ref="AB518:AB519"/>
    <mergeCell ref="AC518:AC519"/>
    <mergeCell ref="AD518:AD519"/>
    <mergeCell ref="S518:S519"/>
    <mergeCell ref="T518:T519"/>
    <mergeCell ref="U518:U519"/>
    <mergeCell ref="V518:V519"/>
    <mergeCell ref="W518:W519"/>
    <mergeCell ref="X518:X519"/>
    <mergeCell ref="M518:M519"/>
    <mergeCell ref="N518:N519"/>
    <mergeCell ref="O518:O519"/>
    <mergeCell ref="P518:P519"/>
    <mergeCell ref="Y528:Y529"/>
    <mergeCell ref="Z528:Z529"/>
    <mergeCell ref="O528:O529"/>
    <mergeCell ref="P528:P529"/>
    <mergeCell ref="Q528:Q529"/>
    <mergeCell ref="R528:R529"/>
    <mergeCell ref="S528:S529"/>
    <mergeCell ref="T528:T529"/>
    <mergeCell ref="I528:I529"/>
    <mergeCell ref="J528:J529"/>
    <mergeCell ref="K528:K529"/>
    <mergeCell ref="L528:L529"/>
    <mergeCell ref="M528:M529"/>
    <mergeCell ref="N528:N529"/>
    <mergeCell ref="AM520:AM525"/>
    <mergeCell ref="K523:K525"/>
    <mergeCell ref="A528:A529"/>
    <mergeCell ref="B528:B529"/>
    <mergeCell ref="C528:C529"/>
    <mergeCell ref="D528:D529"/>
    <mergeCell ref="E528:E529"/>
    <mergeCell ref="F528:F529"/>
    <mergeCell ref="G528:G529"/>
    <mergeCell ref="H528:H529"/>
    <mergeCell ref="H520:H525"/>
    <mergeCell ref="I520:I525"/>
    <mergeCell ref="J520:J525"/>
    <mergeCell ref="K520:K522"/>
    <mergeCell ref="AK520:AK525"/>
    <mergeCell ref="AL520:AL525"/>
    <mergeCell ref="J530:J535"/>
    <mergeCell ref="K530:K532"/>
    <mergeCell ref="AK530:AK535"/>
    <mergeCell ref="AL530:AL535"/>
    <mergeCell ref="AM530:AM535"/>
    <mergeCell ref="K533:K535"/>
    <mergeCell ref="AM528:AM529"/>
    <mergeCell ref="A530:A535"/>
    <mergeCell ref="B530:B535"/>
    <mergeCell ref="C530:C535"/>
    <mergeCell ref="D530:D535"/>
    <mergeCell ref="E530:E535"/>
    <mergeCell ref="F530:F535"/>
    <mergeCell ref="G530:G535"/>
    <mergeCell ref="H530:H535"/>
    <mergeCell ref="I530:I535"/>
    <mergeCell ref="AG528:AG529"/>
    <mergeCell ref="AH528:AH529"/>
    <mergeCell ref="AI528:AI529"/>
    <mergeCell ref="AJ528:AJ529"/>
    <mergeCell ref="AK528:AK529"/>
    <mergeCell ref="AL528:AL529"/>
    <mergeCell ref="AA528:AA529"/>
    <mergeCell ref="AB528:AB529"/>
    <mergeCell ref="AC528:AC529"/>
    <mergeCell ref="AD528:AD529"/>
    <mergeCell ref="AE528:AE529"/>
    <mergeCell ref="AF528:AF529"/>
    <mergeCell ref="U528:U529"/>
    <mergeCell ref="V528:V529"/>
    <mergeCell ref="W528:W529"/>
    <mergeCell ref="X528:X529"/>
    <mergeCell ref="P541:P542"/>
    <mergeCell ref="Q541:Q542"/>
    <mergeCell ref="R541:R542"/>
    <mergeCell ref="S541:S542"/>
    <mergeCell ref="T541:T542"/>
    <mergeCell ref="U541:U542"/>
    <mergeCell ref="J541:J542"/>
    <mergeCell ref="K541:K542"/>
    <mergeCell ref="L541:L542"/>
    <mergeCell ref="M541:M542"/>
    <mergeCell ref="N541:N542"/>
    <mergeCell ref="O541:O542"/>
    <mergeCell ref="C539:K539"/>
    <mergeCell ref="A541:A542"/>
    <mergeCell ref="B541:B542"/>
    <mergeCell ref="C541:C542"/>
    <mergeCell ref="D541:D542"/>
    <mergeCell ref="E541:E542"/>
    <mergeCell ref="F541:F542"/>
    <mergeCell ref="G541:G542"/>
    <mergeCell ref="H541:H542"/>
    <mergeCell ref="I541:I542"/>
    <mergeCell ref="AH541:AH542"/>
    <mergeCell ref="AI541:AI542"/>
    <mergeCell ref="AJ541:AJ542"/>
    <mergeCell ref="AK541:AK542"/>
    <mergeCell ref="AL541:AL542"/>
    <mergeCell ref="AM541:AM542"/>
    <mergeCell ref="AB541:AB542"/>
    <mergeCell ref="AC541:AC542"/>
    <mergeCell ref="AD541:AD542"/>
    <mergeCell ref="AE541:AE542"/>
    <mergeCell ref="AF541:AF542"/>
    <mergeCell ref="AG541:AG542"/>
    <mergeCell ref="V541:V542"/>
    <mergeCell ref="W541:W542"/>
    <mergeCell ref="X541:X542"/>
    <mergeCell ref="Y541:Y542"/>
    <mergeCell ref="Z541:Z542"/>
    <mergeCell ref="AA541:AA542"/>
    <mergeCell ref="G543:G548"/>
    <mergeCell ref="H543:H548"/>
    <mergeCell ref="I543:I548"/>
    <mergeCell ref="J543:J548"/>
    <mergeCell ref="K543:K545"/>
    <mergeCell ref="AK543:AK548"/>
    <mergeCell ref="A543:A548"/>
    <mergeCell ref="B543:B548"/>
    <mergeCell ref="C543:C548"/>
    <mergeCell ref="D543:D548"/>
    <mergeCell ref="E543:E548"/>
    <mergeCell ref="F543:F548"/>
    <mergeCell ref="W551:W552"/>
    <mergeCell ref="X551:X552"/>
    <mergeCell ref="Y551:Y552"/>
    <mergeCell ref="N551:N552"/>
    <mergeCell ref="O551:O552"/>
    <mergeCell ref="P551:P552"/>
    <mergeCell ref="Q551:Q552"/>
    <mergeCell ref="R551:R552"/>
    <mergeCell ref="S551:S552"/>
    <mergeCell ref="H551:H552"/>
    <mergeCell ref="I551:I552"/>
    <mergeCell ref="J551:J552"/>
    <mergeCell ref="K551:K552"/>
    <mergeCell ref="AD551:AD552"/>
    <mergeCell ref="AE551:AE552"/>
    <mergeCell ref="AL543:AL548"/>
    <mergeCell ref="AM543:AM548"/>
    <mergeCell ref="K546:K548"/>
    <mergeCell ref="I553:I558"/>
    <mergeCell ref="J553:J558"/>
    <mergeCell ref="K553:K555"/>
    <mergeCell ref="AK553:AK558"/>
    <mergeCell ref="AL553:AL558"/>
    <mergeCell ref="AM553:AM558"/>
    <mergeCell ref="K556:K558"/>
    <mergeCell ref="AL551:AL552"/>
    <mergeCell ref="AM551:AM552"/>
    <mergeCell ref="A553:A558"/>
    <mergeCell ref="B553:B558"/>
    <mergeCell ref="C553:C558"/>
    <mergeCell ref="D553:D558"/>
    <mergeCell ref="E553:E558"/>
    <mergeCell ref="F553:F558"/>
    <mergeCell ref="G553:G558"/>
    <mergeCell ref="H553:H558"/>
    <mergeCell ref="AF551:AF552"/>
    <mergeCell ref="AG551:AG552"/>
    <mergeCell ref="AH551:AH552"/>
    <mergeCell ref="AI551:AI552"/>
    <mergeCell ref="AJ551:AJ552"/>
    <mergeCell ref="AK551:AK552"/>
    <mergeCell ref="Z551:Z552"/>
    <mergeCell ref="AA551:AA552"/>
    <mergeCell ref="AB551:AB552"/>
    <mergeCell ref="AC551:AC552"/>
    <mergeCell ref="A551:A552"/>
    <mergeCell ref="B551:B552"/>
    <mergeCell ref="AM563:AM568"/>
    <mergeCell ref="K566:K568"/>
    <mergeCell ref="H563:H568"/>
    <mergeCell ref="I563:I568"/>
    <mergeCell ref="J563:J568"/>
    <mergeCell ref="K563:K565"/>
    <mergeCell ref="AK563:AK568"/>
    <mergeCell ref="AL563:AL568"/>
    <mergeCell ref="AK561:AK562"/>
    <mergeCell ref="AL561:AL562"/>
    <mergeCell ref="AM561:AM562"/>
    <mergeCell ref="A563:A568"/>
    <mergeCell ref="B563:B568"/>
    <mergeCell ref="C563:C568"/>
    <mergeCell ref="D563:D568"/>
    <mergeCell ref="E563:E568"/>
    <mergeCell ref="F563:F568"/>
    <mergeCell ref="G563:G568"/>
    <mergeCell ref="U561:U562"/>
    <mergeCell ref="V561:V562"/>
    <mergeCell ref="W561:W562"/>
    <mergeCell ref="X561:X562"/>
    <mergeCell ref="M561:M562"/>
    <mergeCell ref="N561:N562"/>
    <mergeCell ref="O561:O562"/>
    <mergeCell ref="P561:P562"/>
    <mergeCell ref="Q561:Q562"/>
    <mergeCell ref="R561:R562"/>
    <mergeCell ref="G561:G562"/>
    <mergeCell ref="H561:H562"/>
    <mergeCell ref="I561:I562"/>
    <mergeCell ref="J561:J562"/>
    <mergeCell ref="AE561:AE562"/>
    <mergeCell ref="AF561:AF562"/>
    <mergeCell ref="AG561:AG562"/>
    <mergeCell ref="AH561:AH562"/>
    <mergeCell ref="AI561:AI562"/>
    <mergeCell ref="AJ561:AJ562"/>
    <mergeCell ref="Y561:Y562"/>
    <mergeCell ref="Z561:Z562"/>
    <mergeCell ref="AA561:AA562"/>
    <mergeCell ref="AB561:AB562"/>
    <mergeCell ref="AC561:AC562"/>
    <mergeCell ref="AD561:AD562"/>
    <mergeCell ref="S561:S562"/>
    <mergeCell ref="T561:T562"/>
    <mergeCell ref="L551:L552"/>
    <mergeCell ref="M551:M552"/>
    <mergeCell ref="A561:A562"/>
    <mergeCell ref="B561:B562"/>
    <mergeCell ref="C561:C562"/>
    <mergeCell ref="D561:D562"/>
    <mergeCell ref="E561:E562"/>
    <mergeCell ref="F561:F562"/>
    <mergeCell ref="T551:T552"/>
    <mergeCell ref="U551:U552"/>
    <mergeCell ref="V551:V552"/>
    <mergeCell ref="K561:K562"/>
    <mergeCell ref="L561:L562"/>
    <mergeCell ref="C551:C552"/>
    <mergeCell ref="D551:D552"/>
    <mergeCell ref="E551:E552"/>
    <mergeCell ref="F551:F552"/>
    <mergeCell ref="G551:G552"/>
  </mergeCells>
  <conditionalFormatting sqref="L28:L29">
    <cfRule type="expression" dxfId="3" priority="4">
      <formula>#REF!=0</formula>
    </cfRule>
  </conditionalFormatting>
  <conditionalFormatting sqref="L38:L39">
    <cfRule type="expression" dxfId="2" priority="3">
      <formula>#REF!=0</formula>
    </cfRule>
  </conditionalFormatting>
  <conditionalFormatting sqref="L61:L62">
    <cfRule type="expression" dxfId="1" priority="2">
      <formula>#REF!=0</formula>
    </cfRule>
  </conditionalFormatting>
  <conditionalFormatting sqref="L71:L72">
    <cfRule type="expression" dxfId="0" priority="1">
      <formula>#REF!=0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4FB7E-F57B-41E2-949F-4EEDE346EF7A}">
  <dimension ref="A1:AL19"/>
  <sheetViews>
    <sheetView topLeftCell="A11" zoomScale="102" zoomScaleNormal="102" workbookViewId="0">
      <pane xSplit="4" ySplit="2" topLeftCell="E13" activePane="bottomRight" state="frozen"/>
      <selection pane="bottomRight" activeCell="C13" sqref="C13:C18"/>
      <selection pane="bottomLeft" activeCell="A13" sqref="A13"/>
      <selection pane="topRight" activeCell="E11" sqref="E11"/>
    </sheetView>
  </sheetViews>
  <sheetFormatPr defaultColWidth="11.42578125" defaultRowHeight="12.6"/>
  <cols>
    <col min="2" max="2" width="25.7109375" customWidth="1"/>
    <col min="3" max="4" width="18.7109375" customWidth="1"/>
    <col min="10" max="10" width="19.28515625" customWidth="1"/>
    <col min="36" max="36" width="20.140625" customWidth="1"/>
  </cols>
  <sheetData>
    <row r="1" spans="1:38" s="6" customFormat="1" ht="12.75" customHeight="1">
      <c r="B1" s="280"/>
      <c r="C1" s="280"/>
      <c r="D1" s="281"/>
      <c r="E1" s="258" t="s">
        <v>0</v>
      </c>
      <c r="F1" s="264"/>
      <c r="G1" s="264"/>
      <c r="H1" s="264"/>
      <c r="I1" s="264"/>
      <c r="J1" s="264"/>
      <c r="K1" s="264"/>
      <c r="L1" s="265"/>
      <c r="M1" s="258" t="s">
        <v>1</v>
      </c>
      <c r="N1" s="259"/>
      <c r="O1" s="259"/>
      <c r="P1" s="260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</row>
    <row r="2" spans="1:38" s="6" customFormat="1" ht="12.75" customHeight="1">
      <c r="B2" s="282"/>
      <c r="C2" s="282"/>
      <c r="D2" s="283"/>
      <c r="E2" s="261"/>
      <c r="F2" s="266"/>
      <c r="G2" s="266"/>
      <c r="H2" s="266"/>
      <c r="I2" s="266"/>
      <c r="J2" s="266"/>
      <c r="K2" s="266"/>
      <c r="L2" s="267"/>
      <c r="M2" s="271" t="s">
        <v>2</v>
      </c>
      <c r="N2" s="272"/>
      <c r="O2" s="272"/>
      <c r="P2" s="273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</row>
    <row r="3" spans="1:38" s="6" customFormat="1" ht="15.75" customHeight="1">
      <c r="B3" s="282"/>
      <c r="C3" s="282"/>
      <c r="D3" s="283"/>
      <c r="E3" s="261"/>
      <c r="F3" s="266"/>
      <c r="G3" s="266"/>
      <c r="H3" s="266"/>
      <c r="I3" s="266"/>
      <c r="J3" s="266"/>
      <c r="K3" s="266"/>
      <c r="L3" s="267"/>
      <c r="M3" s="261"/>
      <c r="N3" s="262"/>
      <c r="O3" s="262"/>
      <c r="P3" s="263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</row>
    <row r="4" spans="1:38" s="6" customFormat="1" ht="12.75" customHeight="1">
      <c r="B4" s="282"/>
      <c r="C4" s="282"/>
      <c r="D4" s="283"/>
      <c r="E4" s="261"/>
      <c r="F4" s="266"/>
      <c r="G4" s="266"/>
      <c r="H4" s="266"/>
      <c r="I4" s="266"/>
      <c r="J4" s="266"/>
      <c r="K4" s="266"/>
      <c r="L4" s="267"/>
      <c r="M4" s="8"/>
      <c r="N4" s="9"/>
      <c r="O4" s="9"/>
      <c r="P4" s="10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</row>
    <row r="5" spans="1:38" s="6" customFormat="1" ht="20.25" customHeight="1">
      <c r="B5" s="284"/>
      <c r="C5" s="284"/>
      <c r="D5" s="285"/>
      <c r="E5" s="268"/>
      <c r="F5" s="269"/>
      <c r="G5" s="269"/>
      <c r="H5" s="269"/>
      <c r="I5" s="269"/>
      <c r="J5" s="269"/>
      <c r="K5" s="269"/>
      <c r="L5" s="270"/>
      <c r="M5" s="276" t="s">
        <v>3</v>
      </c>
      <c r="N5" s="277"/>
      <c r="O5" s="277"/>
      <c r="P5" s="278"/>
      <c r="Q5" s="7"/>
      <c r="R5" s="7"/>
      <c r="S5" s="7"/>
      <c r="T5" s="7" t="s">
        <v>4</v>
      </c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</row>
    <row r="6" spans="1:38" s="2" customFormat="1" ht="15.75" customHeight="1">
      <c r="B6" s="247" t="s">
        <v>5</v>
      </c>
      <c r="C6" s="248"/>
      <c r="D6" s="249"/>
      <c r="E6" s="244" t="s">
        <v>6</v>
      </c>
      <c r="F6" s="245"/>
      <c r="G6" s="245"/>
      <c r="H6" s="245"/>
      <c r="I6" s="245"/>
      <c r="J6" s="245"/>
      <c r="K6" s="245"/>
      <c r="L6" s="246"/>
      <c r="M6" s="244" t="s">
        <v>7</v>
      </c>
      <c r="N6" s="245"/>
      <c r="O6" s="245"/>
      <c r="P6" s="246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</row>
    <row r="7" spans="1:38" s="6" customFormat="1" ht="16.5" customHeight="1">
      <c r="E7" s="4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</row>
    <row r="8" spans="1:38" s="6" customFormat="1" ht="15.6">
      <c r="B8" s="3" t="s">
        <v>214</v>
      </c>
      <c r="C8" s="4"/>
      <c r="D8" s="5"/>
      <c r="E8" s="11"/>
      <c r="K8" s="13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12"/>
      <c r="Z8" s="7"/>
      <c r="AA8" s="7"/>
      <c r="AB8" s="7"/>
      <c r="AC8" s="7"/>
      <c r="AD8" s="12"/>
      <c r="AE8" s="7"/>
      <c r="AF8" s="7"/>
      <c r="AG8" s="7"/>
      <c r="AH8" s="7"/>
      <c r="AI8" s="12"/>
    </row>
    <row r="9" spans="1:38" s="6" customFormat="1" ht="16.5" customHeight="1">
      <c r="B9" s="3" t="s">
        <v>215</v>
      </c>
      <c r="C9" s="4"/>
      <c r="D9" s="4"/>
      <c r="E9" s="11"/>
      <c r="K9" s="137"/>
      <c r="L9" s="7"/>
      <c r="M9" s="7"/>
      <c r="N9" s="7"/>
      <c r="O9" s="7"/>
      <c r="P9" s="12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</row>
    <row r="10" spans="1:38" s="6" customFormat="1" ht="15.95" thickBot="1">
      <c r="B10" s="3"/>
      <c r="C10" s="3"/>
      <c r="D10" s="3"/>
      <c r="E10" s="4"/>
      <c r="L10" s="7"/>
      <c r="M10" s="7"/>
      <c r="N10" s="13"/>
      <c r="O10" s="13"/>
      <c r="P10" s="14"/>
      <c r="Q10" s="13"/>
      <c r="R10" s="13"/>
      <c r="S10" s="13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13"/>
      <c r="AH10" s="13"/>
      <c r="AI10" s="13"/>
      <c r="AJ10" s="15"/>
      <c r="AK10" s="15"/>
      <c r="AL10" s="15"/>
    </row>
    <row r="11" spans="1:38" s="16" customFormat="1" ht="22.9" customHeight="1" thickTop="1">
      <c r="A11" s="286" t="s">
        <v>10</v>
      </c>
      <c r="B11" s="286" t="s">
        <v>11</v>
      </c>
      <c r="C11" s="286" t="s">
        <v>12</v>
      </c>
      <c r="D11" s="305" t="s">
        <v>13</v>
      </c>
      <c r="E11" s="308" t="s">
        <v>14</v>
      </c>
      <c r="F11" s="308" t="s">
        <v>15</v>
      </c>
      <c r="G11" s="308" t="s">
        <v>16</v>
      </c>
      <c r="H11" s="308" t="s">
        <v>17</v>
      </c>
      <c r="I11" s="308" t="s">
        <v>118</v>
      </c>
      <c r="J11" s="305" t="s">
        <v>20</v>
      </c>
      <c r="K11" s="305" t="s">
        <v>21</v>
      </c>
      <c r="L11" s="305" t="s">
        <v>22</v>
      </c>
      <c r="M11" s="305" t="s">
        <v>23</v>
      </c>
      <c r="N11" s="286" t="s">
        <v>24</v>
      </c>
      <c r="O11" s="305" t="s">
        <v>25</v>
      </c>
      <c r="P11" s="305" t="s">
        <v>26</v>
      </c>
      <c r="Q11" s="305" t="s">
        <v>27</v>
      </c>
      <c r="R11" s="305" t="s">
        <v>28</v>
      </c>
      <c r="S11" s="305" t="s">
        <v>29</v>
      </c>
      <c r="T11" s="286" t="s">
        <v>30</v>
      </c>
      <c r="U11" s="286" t="s">
        <v>31</v>
      </c>
      <c r="V11" s="305" t="s">
        <v>32</v>
      </c>
      <c r="W11" s="436" t="s">
        <v>33</v>
      </c>
      <c r="X11" s="305" t="s">
        <v>34</v>
      </c>
      <c r="Y11" s="305" t="s">
        <v>35</v>
      </c>
      <c r="Z11" s="305" t="s">
        <v>36</v>
      </c>
      <c r="AA11" s="305" t="s">
        <v>37</v>
      </c>
      <c r="AB11" s="305" t="s">
        <v>38</v>
      </c>
      <c r="AC11" s="305" t="s">
        <v>39</v>
      </c>
      <c r="AD11" s="305" t="s">
        <v>40</v>
      </c>
      <c r="AE11" s="286" t="s">
        <v>41</v>
      </c>
      <c r="AF11" s="305" t="s">
        <v>42</v>
      </c>
      <c r="AG11" s="305" t="s">
        <v>43</v>
      </c>
      <c r="AH11" s="308" t="s">
        <v>216</v>
      </c>
      <c r="AI11" s="305" t="s">
        <v>45</v>
      </c>
      <c r="AJ11" s="305" t="s">
        <v>46</v>
      </c>
      <c r="AK11" s="308" t="s">
        <v>47</v>
      </c>
      <c r="AL11" s="305" t="s">
        <v>48</v>
      </c>
    </row>
    <row r="12" spans="1:38" s="16" customFormat="1" ht="22.9" customHeight="1" thickBot="1">
      <c r="A12" s="287"/>
      <c r="B12" s="287"/>
      <c r="C12" s="287"/>
      <c r="D12" s="306"/>
      <c r="E12" s="309"/>
      <c r="F12" s="309"/>
      <c r="G12" s="309"/>
      <c r="H12" s="309"/>
      <c r="I12" s="309"/>
      <c r="J12" s="306"/>
      <c r="K12" s="433"/>
      <c r="L12" s="306"/>
      <c r="M12" s="306"/>
      <c r="N12" s="287"/>
      <c r="O12" s="306"/>
      <c r="P12" s="306"/>
      <c r="Q12" s="306"/>
      <c r="R12" s="434"/>
      <c r="S12" s="306"/>
      <c r="T12" s="435"/>
      <c r="U12" s="435"/>
      <c r="V12" s="434"/>
      <c r="W12" s="437"/>
      <c r="X12" s="306"/>
      <c r="Y12" s="434"/>
      <c r="Z12" s="434"/>
      <c r="AA12" s="434"/>
      <c r="AB12" s="434"/>
      <c r="AC12" s="434"/>
      <c r="AD12" s="434"/>
      <c r="AE12" s="435"/>
      <c r="AF12" s="434"/>
      <c r="AG12" s="306"/>
      <c r="AH12" s="309"/>
      <c r="AI12" s="306"/>
      <c r="AJ12" s="447"/>
      <c r="AK12" s="309"/>
      <c r="AL12" s="306"/>
    </row>
    <row r="13" spans="1:38" s="139" customFormat="1" ht="22.9" customHeight="1" thickTop="1">
      <c r="A13" s="438" t="s">
        <v>217</v>
      </c>
      <c r="B13" s="147" t="s">
        <v>64</v>
      </c>
      <c r="C13" s="441" t="s">
        <v>218</v>
      </c>
      <c r="D13" s="441" t="s">
        <v>219</v>
      </c>
      <c r="E13" s="150" t="s">
        <v>67</v>
      </c>
      <c r="F13" s="150" t="s">
        <v>68</v>
      </c>
      <c r="G13" s="189" t="s">
        <v>69</v>
      </c>
      <c r="H13" s="153" t="s">
        <v>70</v>
      </c>
      <c r="I13" s="444">
        <f>K14</f>
        <v>1</v>
      </c>
      <c r="J13" s="448" t="s">
        <v>220</v>
      </c>
      <c r="K13" s="42" t="s">
        <v>57</v>
      </c>
      <c r="L13" s="42" t="s">
        <v>57</v>
      </c>
      <c r="M13" s="42" t="s">
        <v>57</v>
      </c>
      <c r="N13" s="59" t="s">
        <v>57</v>
      </c>
      <c r="O13" s="42" t="s">
        <v>57</v>
      </c>
      <c r="P13" s="59" t="s">
        <v>57</v>
      </c>
      <c r="Q13" s="42" t="s">
        <v>57</v>
      </c>
      <c r="R13" s="59" t="s">
        <v>57</v>
      </c>
      <c r="S13" s="42" t="s">
        <v>57</v>
      </c>
      <c r="T13" s="59" t="s">
        <v>57</v>
      </c>
      <c r="U13" s="42" t="s">
        <v>57</v>
      </c>
      <c r="V13" s="59" t="s">
        <v>57</v>
      </c>
      <c r="W13" s="42" t="s">
        <v>57</v>
      </c>
      <c r="X13" s="59" t="s">
        <v>57</v>
      </c>
      <c r="Y13" s="42" t="s">
        <v>57</v>
      </c>
      <c r="Z13" s="59" t="s">
        <v>57</v>
      </c>
      <c r="AA13" s="42" t="s">
        <v>57</v>
      </c>
      <c r="AB13" s="59" t="s">
        <v>57</v>
      </c>
      <c r="AC13" s="42" t="s">
        <v>57</v>
      </c>
      <c r="AD13" s="59" t="s">
        <v>57</v>
      </c>
      <c r="AE13" s="42" t="s">
        <v>57</v>
      </c>
      <c r="AF13" s="59" t="s">
        <v>57</v>
      </c>
      <c r="AG13" s="42" t="s">
        <v>57</v>
      </c>
      <c r="AH13" s="59" t="s">
        <v>57</v>
      </c>
      <c r="AI13" s="138"/>
      <c r="AJ13" s="177"/>
      <c r="AK13" s="195"/>
      <c r="AL13" s="156" t="s">
        <v>221</v>
      </c>
    </row>
    <row r="14" spans="1:38" s="139" customFormat="1" ht="22.9" customHeight="1">
      <c r="A14" s="439"/>
      <c r="B14" s="256"/>
      <c r="C14" s="442"/>
      <c r="D14" s="442"/>
      <c r="E14" s="151"/>
      <c r="F14" s="151"/>
      <c r="G14" s="190"/>
      <c r="H14" s="154"/>
      <c r="I14" s="445"/>
      <c r="J14" s="449"/>
      <c r="K14" s="43">
        <f>IF(K16&lt;&gt;0,+K16/K18,0%)</f>
        <v>1</v>
      </c>
      <c r="L14" s="58">
        <f>IF(L16&lt;&gt;0,+L16/L18,0%)</f>
        <v>0</v>
      </c>
      <c r="M14" s="58">
        <f>IF(M16&lt;&gt;0,+M16/M18,0%)</f>
        <v>0</v>
      </c>
      <c r="N14" s="57">
        <f t="shared" ref="N14" si="0">IF(N16&lt;&gt;0,+N16/N18,0%)</f>
        <v>0</v>
      </c>
      <c r="O14" s="58">
        <f>IF(O16&lt;&gt;0,+O16/O18,0%)</f>
        <v>0</v>
      </c>
      <c r="P14" s="140">
        <v>0</v>
      </c>
      <c r="Q14" s="58">
        <f>IF(Q16&lt;&gt;0,+Q16/Q18,0%)</f>
        <v>0</v>
      </c>
      <c r="R14" s="140">
        <v>0</v>
      </c>
      <c r="S14" s="58">
        <f>IF(S16&lt;&gt;0,+S16/S18,0%)</f>
        <v>0</v>
      </c>
      <c r="T14" s="140">
        <v>0</v>
      </c>
      <c r="U14" s="58">
        <f>IF(U16&lt;&gt;0,+U16/U18,0%)</f>
        <v>0</v>
      </c>
      <c r="V14" s="140">
        <v>0</v>
      </c>
      <c r="W14" s="58">
        <f>IF(W16&lt;&gt;0,+W16/W18,0%)</f>
        <v>0</v>
      </c>
      <c r="X14" s="140">
        <v>0</v>
      </c>
      <c r="Y14" s="58">
        <f>IF(Y16&lt;&gt;0,+Y16/Y18,0%)</f>
        <v>0</v>
      </c>
      <c r="Z14" s="140">
        <v>0</v>
      </c>
      <c r="AA14" s="58">
        <f>IF(AA16&lt;&gt;0,+AA16/AA18,0%)</f>
        <v>0</v>
      </c>
      <c r="AB14" s="140">
        <v>0</v>
      </c>
      <c r="AC14" s="58">
        <f>IF(AC16&lt;&gt;0,+AC16/AC18,0%)</f>
        <v>0</v>
      </c>
      <c r="AD14" s="140">
        <v>0</v>
      </c>
      <c r="AE14" s="58">
        <f>IF(AE16&lt;&gt;0,+AE16/AE18,0%)</f>
        <v>0</v>
      </c>
      <c r="AF14" s="140">
        <v>0</v>
      </c>
      <c r="AG14" s="58">
        <f>IF(AG16&lt;&gt;0,+AG16/AG18,0%)</f>
        <v>0</v>
      </c>
      <c r="AH14" s="57">
        <f t="shared" ref="AH14" si="1">IF(AH16&lt;&gt;0,+AH16/AH18,0%)</f>
        <v>0</v>
      </c>
      <c r="AI14" s="141"/>
      <c r="AJ14" s="178"/>
      <c r="AK14" s="196"/>
      <c r="AL14" s="157"/>
    </row>
    <row r="15" spans="1:38" s="139" customFormat="1" ht="22.9" customHeight="1" thickBot="1">
      <c r="A15" s="439"/>
      <c r="B15" s="256"/>
      <c r="C15" s="442"/>
      <c r="D15" s="442"/>
      <c r="E15" s="151"/>
      <c r="F15" s="151"/>
      <c r="G15" s="190"/>
      <c r="H15" s="154"/>
      <c r="I15" s="445"/>
      <c r="J15" s="450"/>
      <c r="K15" s="44" t="s">
        <v>60</v>
      </c>
      <c r="L15" s="44" t="s">
        <v>60</v>
      </c>
      <c r="M15" s="44" t="s">
        <v>60</v>
      </c>
      <c r="N15" s="56" t="s">
        <v>60</v>
      </c>
      <c r="O15" s="44" t="s">
        <v>60</v>
      </c>
      <c r="P15" s="56" t="s">
        <v>60</v>
      </c>
      <c r="Q15" s="44" t="s">
        <v>60</v>
      </c>
      <c r="R15" s="56" t="s">
        <v>60</v>
      </c>
      <c r="S15" s="44" t="s">
        <v>60</v>
      </c>
      <c r="T15" s="56" t="s">
        <v>60</v>
      </c>
      <c r="U15" s="44" t="s">
        <v>60</v>
      </c>
      <c r="V15" s="56" t="s">
        <v>60</v>
      </c>
      <c r="W15" s="44" t="s">
        <v>60</v>
      </c>
      <c r="X15" s="56" t="s">
        <v>60</v>
      </c>
      <c r="Y15" s="44" t="s">
        <v>60</v>
      </c>
      <c r="Z15" s="56" t="s">
        <v>60</v>
      </c>
      <c r="AA15" s="44" t="s">
        <v>60</v>
      </c>
      <c r="AB15" s="56" t="s">
        <v>60</v>
      </c>
      <c r="AC15" s="44" t="s">
        <v>60</v>
      </c>
      <c r="AD15" s="56" t="s">
        <v>60</v>
      </c>
      <c r="AE15" s="44" t="s">
        <v>60</v>
      </c>
      <c r="AF15" s="56" t="s">
        <v>60</v>
      </c>
      <c r="AG15" s="44" t="s">
        <v>60</v>
      </c>
      <c r="AH15" s="56" t="s">
        <v>60</v>
      </c>
      <c r="AI15" s="141"/>
      <c r="AJ15" s="178"/>
      <c r="AK15" s="196"/>
      <c r="AL15" s="157"/>
    </row>
    <row r="16" spans="1:38" s="139" customFormat="1" ht="22.9" customHeight="1" thickTop="1">
      <c r="A16" s="439"/>
      <c r="B16" s="256"/>
      <c r="C16" s="442"/>
      <c r="D16" s="442"/>
      <c r="E16" s="151"/>
      <c r="F16" s="151"/>
      <c r="G16" s="190"/>
      <c r="H16" s="154"/>
      <c r="I16" s="445"/>
      <c r="J16" s="448" t="s">
        <v>222</v>
      </c>
      <c r="K16" s="45">
        <v>19</v>
      </c>
      <c r="L16" s="48"/>
      <c r="M16" s="48"/>
      <c r="N16" s="49">
        <f t="shared" ref="N16:AH16" si="2">+L16+M16</f>
        <v>0</v>
      </c>
      <c r="O16" s="48"/>
      <c r="P16" s="49">
        <f t="shared" si="2"/>
        <v>0</v>
      </c>
      <c r="Q16" s="48"/>
      <c r="R16" s="49">
        <f t="shared" si="2"/>
        <v>0</v>
      </c>
      <c r="S16" s="48"/>
      <c r="T16" s="49">
        <f t="shared" si="2"/>
        <v>0</v>
      </c>
      <c r="U16" s="48"/>
      <c r="V16" s="49">
        <f t="shared" si="2"/>
        <v>0</v>
      </c>
      <c r="W16" s="48"/>
      <c r="X16" s="49">
        <f t="shared" si="2"/>
        <v>0</v>
      </c>
      <c r="Y16" s="48"/>
      <c r="Z16" s="49">
        <f t="shared" si="2"/>
        <v>0</v>
      </c>
      <c r="AA16" s="48"/>
      <c r="AB16" s="49">
        <f t="shared" si="2"/>
        <v>0</v>
      </c>
      <c r="AC16" s="48"/>
      <c r="AD16" s="49">
        <f t="shared" si="2"/>
        <v>0</v>
      </c>
      <c r="AE16" s="48"/>
      <c r="AF16" s="49">
        <f t="shared" si="2"/>
        <v>0</v>
      </c>
      <c r="AG16" s="48"/>
      <c r="AH16" s="49">
        <f t="shared" si="2"/>
        <v>0</v>
      </c>
      <c r="AI16" s="55">
        <f>AH14/K14</f>
        <v>0</v>
      </c>
      <c r="AJ16" s="178"/>
      <c r="AK16" s="196"/>
      <c r="AL16" s="157"/>
    </row>
    <row r="17" spans="1:38" s="139" customFormat="1" ht="22.9" customHeight="1">
      <c r="A17" s="439"/>
      <c r="B17" s="256"/>
      <c r="C17" s="442"/>
      <c r="D17" s="442"/>
      <c r="E17" s="151"/>
      <c r="F17" s="151"/>
      <c r="G17" s="190"/>
      <c r="H17" s="154"/>
      <c r="I17" s="445"/>
      <c r="J17" s="451"/>
      <c r="K17" s="46" t="s">
        <v>62</v>
      </c>
      <c r="L17" s="46" t="s">
        <v>62</v>
      </c>
      <c r="M17" s="46" t="s">
        <v>62</v>
      </c>
      <c r="N17" s="50" t="s">
        <v>62</v>
      </c>
      <c r="O17" s="46" t="s">
        <v>62</v>
      </c>
      <c r="P17" s="50" t="s">
        <v>62</v>
      </c>
      <c r="Q17" s="46" t="s">
        <v>62</v>
      </c>
      <c r="R17" s="50" t="s">
        <v>62</v>
      </c>
      <c r="S17" s="46" t="s">
        <v>62</v>
      </c>
      <c r="T17" s="50" t="s">
        <v>62</v>
      </c>
      <c r="U17" s="46" t="s">
        <v>62</v>
      </c>
      <c r="V17" s="50" t="s">
        <v>62</v>
      </c>
      <c r="W17" s="46" t="s">
        <v>62</v>
      </c>
      <c r="X17" s="50" t="s">
        <v>62</v>
      </c>
      <c r="Y17" s="46" t="s">
        <v>62</v>
      </c>
      <c r="Z17" s="50" t="s">
        <v>62</v>
      </c>
      <c r="AA17" s="46" t="s">
        <v>62</v>
      </c>
      <c r="AB17" s="50" t="s">
        <v>62</v>
      </c>
      <c r="AC17" s="46" t="s">
        <v>62</v>
      </c>
      <c r="AD17" s="50" t="s">
        <v>62</v>
      </c>
      <c r="AE17" s="46" t="s">
        <v>62</v>
      </c>
      <c r="AF17" s="50" t="s">
        <v>62</v>
      </c>
      <c r="AG17" s="46" t="s">
        <v>62</v>
      </c>
      <c r="AH17" s="50" t="s">
        <v>62</v>
      </c>
      <c r="AI17" s="141"/>
      <c r="AJ17" s="178"/>
      <c r="AK17" s="196"/>
      <c r="AL17" s="157"/>
    </row>
    <row r="18" spans="1:38" s="139" customFormat="1" ht="22.9" customHeight="1" thickBot="1">
      <c r="A18" s="440"/>
      <c r="B18" s="257"/>
      <c r="C18" s="443"/>
      <c r="D18" s="443"/>
      <c r="E18" s="152"/>
      <c r="F18" s="152"/>
      <c r="G18" s="191"/>
      <c r="H18" s="155"/>
      <c r="I18" s="446"/>
      <c r="J18" s="452"/>
      <c r="K18" s="47">
        <v>19</v>
      </c>
      <c r="L18" s="51">
        <v>19</v>
      </c>
      <c r="M18" s="51">
        <v>19</v>
      </c>
      <c r="N18" s="52">
        <v>19</v>
      </c>
      <c r="O18" s="51">
        <v>19</v>
      </c>
      <c r="P18" s="52">
        <v>19</v>
      </c>
      <c r="Q18" s="51">
        <v>19</v>
      </c>
      <c r="R18" s="52">
        <v>19</v>
      </c>
      <c r="S18" s="51">
        <v>19</v>
      </c>
      <c r="T18" s="52">
        <v>19</v>
      </c>
      <c r="U18" s="51">
        <v>19</v>
      </c>
      <c r="V18" s="52">
        <v>19</v>
      </c>
      <c r="W18" s="51">
        <v>19</v>
      </c>
      <c r="X18" s="52">
        <v>19</v>
      </c>
      <c r="Y18" s="51">
        <v>19</v>
      </c>
      <c r="Z18" s="52">
        <v>19</v>
      </c>
      <c r="AA18" s="51">
        <v>19</v>
      </c>
      <c r="AB18" s="52">
        <v>19</v>
      </c>
      <c r="AC18" s="51">
        <v>19</v>
      </c>
      <c r="AD18" s="52">
        <v>19</v>
      </c>
      <c r="AE18" s="51">
        <v>19</v>
      </c>
      <c r="AF18" s="52">
        <v>19</v>
      </c>
      <c r="AG18" s="51">
        <v>19</v>
      </c>
      <c r="AH18" s="52">
        <v>19</v>
      </c>
      <c r="AI18" s="142"/>
      <c r="AJ18" s="179"/>
      <c r="AK18" s="197"/>
      <c r="AL18" s="158"/>
    </row>
    <row r="19" spans="1:38" ht="12.95" thickTop="1"/>
  </sheetData>
  <mergeCells count="61">
    <mergeCell ref="J13:J15"/>
    <mergeCell ref="AJ13:AJ18"/>
    <mergeCell ref="AK13:AK18"/>
    <mergeCell ref="AL13:AL18"/>
    <mergeCell ref="J16:J18"/>
    <mergeCell ref="AL11:AL12"/>
    <mergeCell ref="A13:A18"/>
    <mergeCell ref="B13:B18"/>
    <mergeCell ref="C13:C18"/>
    <mergeCell ref="D13:D18"/>
    <mergeCell ref="E13:E18"/>
    <mergeCell ref="F13:F18"/>
    <mergeCell ref="G13:G18"/>
    <mergeCell ref="H13:H18"/>
    <mergeCell ref="I13:I18"/>
    <mergeCell ref="AF11:AF12"/>
    <mergeCell ref="AG11:AG12"/>
    <mergeCell ref="AH11:AH12"/>
    <mergeCell ref="AI11:AI12"/>
    <mergeCell ref="AJ11:AJ12"/>
    <mergeCell ref="AK11:AK12"/>
    <mergeCell ref="AE11:AE12"/>
    <mergeCell ref="T11:T12"/>
    <mergeCell ref="U11:U12"/>
    <mergeCell ref="V11:V12"/>
    <mergeCell ref="W11:W12"/>
    <mergeCell ref="X11:X12"/>
    <mergeCell ref="Y11:Y12"/>
    <mergeCell ref="Z11:Z12"/>
    <mergeCell ref="AA11:AA12"/>
    <mergeCell ref="AB11:AB12"/>
    <mergeCell ref="AC11:AC12"/>
    <mergeCell ref="AD11:AD12"/>
    <mergeCell ref="S11:S12"/>
    <mergeCell ref="H11:H12"/>
    <mergeCell ref="I11:I12"/>
    <mergeCell ref="J11:J12"/>
    <mergeCell ref="K11:K12"/>
    <mergeCell ref="L11:L12"/>
    <mergeCell ref="M11:M12"/>
    <mergeCell ref="N11:N12"/>
    <mergeCell ref="O11:O12"/>
    <mergeCell ref="P11:P12"/>
    <mergeCell ref="Q11:Q12"/>
    <mergeCell ref="R11:R12"/>
    <mergeCell ref="B6:D6"/>
    <mergeCell ref="E6:L6"/>
    <mergeCell ref="M6:P6"/>
    <mergeCell ref="A11:A12"/>
    <mergeCell ref="B11:B12"/>
    <mergeCell ref="C11:C12"/>
    <mergeCell ref="D11:D12"/>
    <mergeCell ref="E11:E12"/>
    <mergeCell ref="F11:F12"/>
    <mergeCell ref="G11:G12"/>
    <mergeCell ref="B1:D5"/>
    <mergeCell ref="E1:L5"/>
    <mergeCell ref="M1:P1"/>
    <mergeCell ref="M2:P2"/>
    <mergeCell ref="M3:P3"/>
    <mergeCell ref="M5:P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IPS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Planilla SIG Operaciones</dc:title>
  <dc:subject/>
  <dc:creator>Salvador Aguilera</dc:creator>
  <cp:keywords/>
  <dc:description/>
  <cp:lastModifiedBy>Carla Nicol Adasme Valdivia</cp:lastModifiedBy>
  <cp:revision/>
  <dcterms:created xsi:type="dcterms:W3CDTF">2008-08-20T14:03:15Z</dcterms:created>
  <dcterms:modified xsi:type="dcterms:W3CDTF">2026-02-18T18:57:16Z</dcterms:modified>
  <cp:category/>
  <cp:contentStatus/>
</cp:coreProperties>
</file>