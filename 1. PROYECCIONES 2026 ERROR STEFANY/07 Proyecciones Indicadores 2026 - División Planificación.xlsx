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241" documentId="8_{20EB2A42-3D0B-4F2B-BC11-0B9A650D4FBD}" xr6:coauthVersionLast="47" xr6:coauthVersionMax="47" xr10:uidLastSave="{DF071155-E838-4870-9A01-E92E78C1E548}"/>
  <bookViews>
    <workbookView xWindow="-28920" yWindow="2790" windowWidth="29040" windowHeight="15720" firstSheet="2" activeTab="1" xr2:uid="{00000000-000D-0000-FFFF-FFFF00000000}"/>
  </bookViews>
  <sheets>
    <sheet name="CDC 2026" sheetId="1" r:id="rId1"/>
    <sheet name="PMG 2026" sheetId="4" r:id="rId2"/>
    <sheet name="Riesgos 2026" sheetId="2" r:id="rId3"/>
  </sheets>
  <definedNames>
    <definedName name="_xlnm.Print_Area" localSheetId="0">'CDC 2026'!$B$1:$AL$24</definedName>
    <definedName name="_xlnm.Print_Area" localSheetId="1">'PMG 2026'!$B$1:$AK$18</definedName>
    <definedName name="_xlnm.Print_Area" localSheetId="2">'Riesgos 2026'!$B$1:$AK$11</definedName>
    <definedName name="_xlnm.Print_Titles" localSheetId="0">'CDC 2026'!$1:$12</definedName>
    <definedName name="_xlnm.Print_Titles" localSheetId="1">'PMG 2026'!$1:$12</definedName>
    <definedName name="_xlnm.Print_Titles" localSheetId="2">'Riesgos 2026'!$1:$11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2" l="1"/>
  <c r="Q27" i="2" s="1"/>
  <c r="AH25" i="2"/>
  <c r="AF25" i="2"/>
  <c r="AD25" i="2"/>
  <c r="AB25" i="2"/>
  <c r="Z25" i="2"/>
  <c r="X25" i="2"/>
  <c r="V25" i="2"/>
  <c r="T25" i="2"/>
  <c r="R25" i="2"/>
  <c r="P25" i="2"/>
  <c r="O25" i="2"/>
  <c r="N25" i="2"/>
  <c r="M25" i="2"/>
  <c r="L25" i="2"/>
  <c r="O21" i="2"/>
  <c r="Q21" i="2" s="1"/>
  <c r="AH19" i="2"/>
  <c r="AF19" i="2"/>
  <c r="AD19" i="2"/>
  <c r="AB19" i="2"/>
  <c r="Z19" i="2"/>
  <c r="X19" i="2"/>
  <c r="V19" i="2"/>
  <c r="T19" i="2"/>
  <c r="R19" i="2"/>
  <c r="P19" i="2"/>
  <c r="O19" i="2"/>
  <c r="N19" i="2"/>
  <c r="M19" i="2"/>
  <c r="L19" i="2"/>
  <c r="Q25" i="2" l="1"/>
  <c r="S27" i="2"/>
  <c r="S21" i="2"/>
  <c r="Q19" i="2"/>
  <c r="U27" i="2" l="1"/>
  <c r="S25" i="2"/>
  <c r="U21" i="2"/>
  <c r="S19" i="2"/>
  <c r="W27" i="2" l="1"/>
  <c r="U25" i="2"/>
  <c r="W21" i="2"/>
  <c r="U19" i="2"/>
  <c r="Y27" i="2" l="1"/>
  <c r="W25" i="2"/>
  <c r="Y21" i="2"/>
  <c r="W19" i="2"/>
  <c r="AA27" i="2" l="1"/>
  <c r="Y25" i="2"/>
  <c r="AA21" i="2"/>
  <c r="Y19" i="2"/>
  <c r="AA25" i="2" l="1"/>
  <c r="AC27" i="2"/>
  <c r="AC21" i="2"/>
  <c r="AA19" i="2"/>
  <c r="AC25" i="2" l="1"/>
  <c r="AE27" i="2"/>
  <c r="AC19" i="2"/>
  <c r="AE21" i="2"/>
  <c r="AG27" i="2" l="1"/>
  <c r="AE25" i="2"/>
  <c r="AE19" i="2"/>
  <c r="AG21" i="2"/>
  <c r="AI27" i="2" l="1"/>
  <c r="AI25" i="2" s="1"/>
  <c r="AJ27" i="2" s="1"/>
  <c r="AG25" i="2"/>
  <c r="AG19" i="2"/>
  <c r="AI21" i="2"/>
  <c r="AI19" i="2" s="1"/>
  <c r="AJ21" i="2" s="1"/>
  <c r="O15" i="2" l="1"/>
  <c r="O13" i="2" s="1"/>
  <c r="AH13" i="2"/>
  <c r="AF13" i="2"/>
  <c r="AD13" i="2"/>
  <c r="AB13" i="2"/>
  <c r="Z13" i="2"/>
  <c r="X13" i="2"/>
  <c r="V13" i="2"/>
  <c r="T13" i="2"/>
  <c r="R13" i="2"/>
  <c r="P13" i="2"/>
  <c r="N13" i="2"/>
  <c r="M13" i="2"/>
  <c r="L13" i="2"/>
  <c r="Q15" i="2" l="1"/>
  <c r="S15" i="2" l="1"/>
  <c r="Q13" i="2"/>
  <c r="S13" i="2" l="1"/>
  <c r="U15" i="2"/>
  <c r="W15" i="2" l="1"/>
  <c r="U13" i="2"/>
  <c r="Y15" i="2" l="1"/>
  <c r="W13" i="2"/>
  <c r="AA15" i="2" l="1"/>
  <c r="Y13" i="2"/>
  <c r="AC15" i="2" l="1"/>
  <c r="AA13" i="2"/>
  <c r="AC13" i="2" l="1"/>
  <c r="AE15" i="2"/>
  <c r="AE13" i="2" l="1"/>
  <c r="AG15" i="2"/>
  <c r="AG13" i="2" l="1"/>
  <c r="AI15" i="2"/>
  <c r="AI13" i="2" s="1"/>
  <c r="AJ15" i="2" s="1"/>
  <c r="J43" i="1" l="1"/>
  <c r="O40" i="1" l="1"/>
  <c r="Q40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O38" i="1" l="1"/>
  <c r="Q38" i="1"/>
  <c r="S40" i="1"/>
  <c r="U40" i="1" l="1"/>
  <c r="S38" i="1"/>
  <c r="W40" i="1" l="1"/>
  <c r="U38" i="1"/>
  <c r="Y40" i="1" l="1"/>
  <c r="W38" i="1"/>
  <c r="Y38" i="1" l="1"/>
  <c r="AA40" i="1"/>
  <c r="AC40" i="1" l="1"/>
  <c r="AA38" i="1"/>
  <c r="AE40" i="1" l="1"/>
  <c r="AC38" i="1"/>
  <c r="AE38" i="1" l="1"/>
  <c r="AG40" i="1"/>
  <c r="AG38" i="1" l="1"/>
  <c r="AI40" i="1"/>
  <c r="AI38" i="1" s="1"/>
  <c r="AJ40" i="1" s="1"/>
  <c r="N16" i="4" l="1"/>
  <c r="AG14" i="4"/>
  <c r="AE14" i="4"/>
  <c r="AC14" i="4"/>
  <c r="AA14" i="4"/>
  <c r="Y14" i="4"/>
  <c r="W14" i="4"/>
  <c r="U14" i="4"/>
  <c r="S14" i="4"/>
  <c r="Q14" i="4"/>
  <c r="O14" i="4"/>
  <c r="M14" i="4"/>
  <c r="L14" i="4"/>
  <c r="K14" i="4"/>
  <c r="I13" i="4"/>
  <c r="N14" i="4" l="1"/>
  <c r="P16" i="4"/>
  <c r="P14" i="4" l="1"/>
  <c r="R16" i="4"/>
  <c r="T16" i="4" l="1"/>
  <c r="R14" i="4"/>
  <c r="T14" i="4" l="1"/>
  <c r="V16" i="4"/>
  <c r="X16" i="4" l="1"/>
  <c r="V14" i="4"/>
  <c r="X14" i="4" l="1"/>
  <c r="Z16" i="4"/>
  <c r="AB16" i="4" l="1"/>
  <c r="Z14" i="4"/>
  <c r="AB14" i="4" l="1"/>
  <c r="AD16" i="4"/>
  <c r="AD14" i="4" l="1"/>
  <c r="AF16" i="4"/>
  <c r="AF14" i="4" l="1"/>
  <c r="AH16" i="4"/>
  <c r="AH14" i="4" s="1"/>
  <c r="AI16" i="4" s="1"/>
  <c r="O28" i="1" l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O22" i="1"/>
  <c r="Q22" i="1" s="1"/>
  <c r="S22" i="1" s="1"/>
  <c r="U22" i="1" s="1"/>
  <c r="W22" i="1" s="1"/>
  <c r="Y22" i="1" s="1"/>
  <c r="AA22" i="1" s="1"/>
  <c r="AC22" i="1" s="1"/>
  <c r="AE22" i="1" s="1"/>
  <c r="AG22" i="1" s="1"/>
  <c r="AI22" i="1" s="1"/>
  <c r="O16" i="1"/>
  <c r="Q16" i="1" s="1"/>
  <c r="S16" i="1" s="1"/>
  <c r="U16" i="1" s="1"/>
  <c r="W16" i="1" s="1"/>
  <c r="Y16" i="1" s="1"/>
  <c r="AA16" i="1" s="1"/>
  <c r="AC16" i="1" s="1"/>
  <c r="AE16" i="1" s="1"/>
  <c r="AG16" i="1" s="1"/>
  <c r="AI16" i="1" s="1"/>
  <c r="I31" i="1" l="1"/>
  <c r="AF26" i="1"/>
  <c r="Z26" i="1"/>
  <c r="X26" i="1"/>
  <c r="T26" i="1"/>
  <c r="R26" i="1"/>
  <c r="P26" i="1"/>
  <c r="N26" i="1"/>
  <c r="AH26" i="1"/>
  <c r="V26" i="1"/>
  <c r="L26" i="1"/>
  <c r="I25" i="1" s="1"/>
  <c r="V20" i="1"/>
  <c r="T20" i="1"/>
  <c r="R20" i="1"/>
  <c r="P20" i="1"/>
  <c r="N20" i="1"/>
  <c r="M20" i="1"/>
  <c r="AH20" i="1"/>
  <c r="AD20" i="1"/>
  <c r="AB20" i="1"/>
  <c r="Z20" i="1"/>
  <c r="X20" i="1"/>
  <c r="L20" i="1"/>
  <c r="I19" i="1" s="1"/>
  <c r="AD14" i="1"/>
  <c r="AB14" i="1"/>
  <c r="X14" i="1"/>
  <c r="V14" i="1"/>
  <c r="T14" i="1"/>
  <c r="P14" i="1"/>
  <c r="M14" i="1"/>
  <c r="AH14" i="1"/>
  <c r="L14" i="1"/>
  <c r="I13" i="1" s="1"/>
  <c r="AF20" i="1" l="1"/>
  <c r="N14" i="1"/>
  <c r="AB26" i="1"/>
  <c r="AF14" i="1"/>
  <c r="O20" i="1"/>
  <c r="R14" i="1"/>
  <c r="Z14" i="1"/>
  <c r="O26" i="1"/>
  <c r="M26" i="1"/>
  <c r="Q26" i="1" l="1"/>
  <c r="Q20" i="1"/>
  <c r="AD26" i="1"/>
  <c r="O14" i="1"/>
  <c r="S20" i="1" l="1"/>
  <c r="S26" i="1"/>
  <c r="Q14" i="1"/>
  <c r="S14" i="1" l="1"/>
  <c r="U20" i="1"/>
  <c r="U26" i="1"/>
  <c r="W26" i="1" l="1"/>
  <c r="U14" i="1"/>
  <c r="W20" i="1"/>
  <c r="W14" i="1" l="1"/>
  <c r="Y20" i="1"/>
  <c r="Y26" i="1"/>
  <c r="AA20" i="1" l="1"/>
  <c r="Y14" i="1"/>
  <c r="AA26" i="1"/>
  <c r="AC20" i="1" l="1"/>
  <c r="AC26" i="1"/>
  <c r="AA14" i="1"/>
  <c r="AE26" i="1" l="1"/>
  <c r="AC14" i="1"/>
  <c r="AE20" i="1"/>
  <c r="AI26" i="1" l="1"/>
  <c r="AJ28" i="1" s="1"/>
  <c r="AG26" i="1"/>
  <c r="AI20" i="1"/>
  <c r="AJ22" i="1" s="1"/>
  <c r="AG20" i="1"/>
  <c r="AE14" i="1"/>
  <c r="AJ34" i="1"/>
  <c r="AG14" i="1" l="1"/>
  <c r="AI14" i="1"/>
  <c r="AJ16" i="1" s="1"/>
</calcChain>
</file>

<file path=xl/sharedStrings.xml><?xml version="1.0" encoding="utf-8"?>
<sst xmlns="http://schemas.openxmlformats.org/spreadsheetml/2006/main" count="910" uniqueCount="124">
  <si>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</si>
  <si>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</si>
  <si>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</si>
  <si>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</si>
  <si>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</si>
  <si>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</si>
  <si>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</si>
  <si>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</si>
  <si>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</si>
  <si>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DIVISIÓN PLANIFICACIÓN Y DESARROLLO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</si>
  <si>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</si>
  <si>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</si>
  <si>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</si>
  <si>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</si>
  <si>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</si>
  <si>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</si>
  <si>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</si>
  <si>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</si>
  <si>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</si>
  <si>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</si>
  <si>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</si>
  <si>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</si>
  <si>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</si>
  <si>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</si>
  <si>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</si>
  <si>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</si>
  <si>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</si>
  <si>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</si>
  <si>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</si>
  <si>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</si>
  <si>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</si>
  <si>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</si>
  <si>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</si>
  <si>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</si>
  <si>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</si>
  <si>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</si>
  <si>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</si>
  <si>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</si>
  <si>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</si>
  <si>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</si>
  <si>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</si>
  <si>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</si>
  <si>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</si>
  <si>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</si>
  <si>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</si>
  <si>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</si>
  <si>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</si>
  <si>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</si>
  <si>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</si>
  <si>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5.4.1.61</t>
  </si>
  <si>
    <t xml:space="preserve">5.- Proceso de Apoyo                                                
5.4.- Planificación y Control de Gestión                         
5.4.1.- Control de Gestión Institucional                                   </t>
  </si>
  <si>
    <r>
      <t xml:space="preserve">1) Eficacia/Proceso
</t>
    </r>
    <r>
      <rPr>
        <sz val="8"/>
        <rFont val="Arial Narrow"/>
        <family val="2"/>
      </rPr>
      <t xml:space="preserve">Porcentaje de hitos cumplidos del Plan Anual de Acción para el mejoramiento del Sistema de Informacón de Gestión Institucional en el año t 
</t>
    </r>
  </si>
  <si>
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</si>
  <si>
    <t>División Planificación y Desarrollo</t>
  </si>
  <si>
    <t>Jorge Antonio Farah Ojeda</t>
  </si>
  <si>
    <t>Patricia Schubert Urzua</t>
  </si>
  <si>
    <t>Monica Smith Guerrero</t>
  </si>
  <si>
    <t xml:space="preserve">(Sumatoria de hitos cumplidos del Plan Anual de acción para el mejoramiento del Sistema de Información de Gestión Institucional </t>
  </si>
  <si>
    <t xml:space="preserve">Valor indicador=   </t>
  </si>
  <si>
    <t xml:space="preserve">Reportes/Informes 
-	Plan anual de acción para el mejoramiento del sistema de información de Gestión Institucional.
-	Medios de verificación de los hitos comprometidos en el plan.  </t>
  </si>
  <si>
    <t>CDC. Div. Planificación y Desarrollo</t>
  </si>
  <si>
    <t xml:space="preserve">Operando 1=   </t>
  </si>
  <si>
    <t>N° total de hitos cumplidos del Plan de acción para el mejoramiento del Sistema de Información de Gestión Institucional en el año t)*100</t>
  </si>
  <si>
    <t xml:space="preserve">Operando 2=    </t>
  </si>
  <si>
    <t>5.4.1.46</t>
  </si>
  <si>
    <t xml:space="preserve">5.- Proceso de Apoyo                                                5.4.- Planificación y Control de Gestión                  
5.4.1.- Control de Gestión Institucional                                   </t>
  </si>
  <si>
    <r>
      <t xml:space="preserve">2) Eficacia/Proceso
</t>
    </r>
    <r>
      <rPr>
        <sz val="8"/>
        <rFont val="Arial Narrow"/>
        <family val="2"/>
      </rPr>
      <t>Porcentaje de medidas para la igualdad de género del Programa de Trabajo implementadas en el año (CDC)</t>
    </r>
    <r>
      <rPr>
        <b/>
        <u/>
        <sz val="8"/>
        <rFont val="Arial Narrow"/>
        <family val="2"/>
      </rPr>
      <t xml:space="preserve">
</t>
    </r>
  </si>
  <si>
    <t xml:space="preserve">(Número  de medidas  para  la igualdad de género del Programa de Trabajo implementadas en  el año t / N° de medidas  para la igualdad de género comprometidas para el año t en el Programa de Trabajo)* 100
</t>
  </si>
  <si>
    <t>Pamela Carrasco Geve</t>
  </si>
  <si>
    <t xml:space="preserve">(Número  de medidas  para  la igualdad de género del Programa de Trabajo implementadas en  el año t  </t>
  </si>
  <si>
    <t>Reportes/Informes 
-	Programa de Trabajo año t.
-	Medios de verificación definidos para cada medida comprometida</t>
  </si>
  <si>
    <t>CDC: Div. Planificación y Desarrollo</t>
  </si>
  <si>
    <t xml:space="preserve">N° de medidas  para la igualdad de género comprometidas para el año t en el Programa de Trabajo)* 100
</t>
  </si>
  <si>
    <t>5.4.1.94</t>
  </si>
  <si>
    <t xml:space="preserve">5.- Proceso de Apoyo                                                5.4.- Planificación y Control de Gestión                   
5.4.1.- Control de Gestión Institucional         </t>
  </si>
  <si>
    <r>
      <rPr>
        <b/>
        <u/>
        <sz val="8"/>
        <color rgb="FF000000"/>
        <rFont val="Arial Narrow"/>
      </rPr>
      <t xml:space="preserve">3) Eficacia/Proceso
</t>
    </r>
    <r>
      <rPr>
        <sz val="8"/>
        <color rgb="FF000000"/>
        <rFont val="Arial Narrow"/>
      </rPr>
      <t>Porcentaje de hitos cumplidos del plan anual de innovación y proyectos estratégicos realizados en el año t.</t>
    </r>
  </si>
  <si>
    <t>(Nº de hitos del plan anual de innovación y proyectos estratégicos cumplidos en el año t / Nº de hitos del plan anual de innovación y proyectos estratégicos planificados en el año t) *100</t>
  </si>
  <si>
    <t>Marcela Castillo Darvich</t>
  </si>
  <si>
    <t>Andres Enrique Rojas Gonzalez</t>
  </si>
  <si>
    <t>Nº de hitos del plan anual de innovación y proyectos estratégicos cumplidos en el año t</t>
  </si>
  <si>
    <t>Reportes/Informes
-	Plan anual de innovación y proyectos estratégicos.
-	Medios de verificación de las actividades definidas en el plan.</t>
  </si>
  <si>
    <t>Nº de hitos del plan anual de innovación y proyectos estratégicos planificados en el año t) *100</t>
  </si>
  <si>
    <t>5.4.1.91</t>
  </si>
  <si>
    <r>
      <rPr>
        <b/>
        <u/>
        <sz val="8"/>
        <color rgb="FF000000"/>
        <rFont val="Arial Narrow"/>
      </rPr>
      <t xml:space="preserve">4) Eficacia/Proceso
</t>
    </r>
    <r>
      <rPr>
        <sz val="8"/>
        <color rgb="FF000000"/>
        <rFont val="Arial Narrow"/>
      </rPr>
      <t xml:space="preserve">Porcentaje de documentos revisados en un plazo máximo de 10 días hábiles en el año t </t>
    </r>
  </si>
  <si>
    <t>(Sumatoria de documentos revisados en un plazo máximo de 10 días hábiles en el año t   / Número total de documentos revisados en el año t) * 100</t>
  </si>
  <si>
    <t>Lorena Espinoza Duran</t>
  </si>
  <si>
    <t>(Sumatoria de documentos revisados en un plazo máximo de 10 días hábiles en el año t</t>
  </si>
  <si>
    <t>Reportes/Informes 
-	Reporte de documentos revisados.</t>
  </si>
  <si>
    <t>Número total de documentos revisados en el año t) * 100</t>
  </si>
  <si>
    <t>5.4.1.95</t>
  </si>
  <si>
    <r>
      <rPr>
        <b/>
        <u/>
        <sz val="8"/>
        <color rgb="FF000000"/>
        <rFont val="Arial Narrow"/>
      </rPr>
      <t xml:space="preserve">5) Eficacia/Proceso
</t>
    </r>
    <r>
      <rPr>
        <sz val="8"/>
        <color rgb="FF000000"/>
        <rFont val="Arial Narrow"/>
      </rPr>
      <t>Porcentaje de planes de continuidad operacional (PCO) de procesos priorizados formalizados en el año t.</t>
    </r>
  </si>
  <si>
    <t>(N° de planes de continuidad operacional (PCO) de procesos priorizados formalizados en el año t / N° total de planes de continuidad operacional (PCO) de procesos priorizados a formalizar en el año t) * 100</t>
  </si>
  <si>
    <t>Gloria Verdugo</t>
  </si>
  <si>
    <t>Joselyn Loren Loyola Abel</t>
  </si>
  <si>
    <t>N° de planes de continuidad operacional (PCO) de procesos priorizados formalizados en el año t</t>
  </si>
  <si>
    <t>Reportes/Informes
- Plan de Monitoreo y Control de Riesgos (PMCR) nuevos, emergentes y materializados.
- Medios de verificación de las actividades definidas en el plan.</t>
  </si>
  <si>
    <t>N° total de planes de continuidad operacional (PCO) de procesos priorizados a formalizar en el año t) * 100</t>
  </si>
  <si>
    <t xml:space="preserve"> </t>
  </si>
  <si>
    <t>5.4.1.73</t>
  </si>
  <si>
    <r>
      <t xml:space="preserve">2) Eficacia/Proceso
</t>
    </r>
    <r>
      <rPr>
        <sz val="8"/>
        <rFont val="Arial Narrow"/>
        <family val="2"/>
      </rPr>
      <t>Medidas de equidad de Género (PMG)</t>
    </r>
  </si>
  <si>
    <t>(Número de medidas para la igualdad de género implementadas en el año t / Número total de medidas para la igualdad de género establecidas en el programa de marco del año t)*100</t>
  </si>
  <si>
    <t>Número de medidas para la igualdad de género implementadas en el año t</t>
  </si>
  <si>
    <t>Reportes/Informes 
-	Programa de Trabajo Año t aprobado por el jefe Superior del Servicio a más tardar el diciembre del año t-1.
-	Informe de Cumplimiento del Plan de Trabajo año t aprobado por el jefe Superior del Servicio.</t>
  </si>
  <si>
    <t>PMG 2022 obj 1
CDC: Div. Planificación y Desarrollo</t>
  </si>
  <si>
    <t>Número total de medidas para la igualdad de género establecidas en el programa de marco del año t)*100</t>
  </si>
  <si>
    <t>INDICADORES DE RIESGOS - 2025</t>
  </si>
  <si>
    <t>Meta 2025</t>
  </si>
  <si>
    <t>5.4.1.96</t>
  </si>
  <si>
    <t xml:space="preserve">5.-Proceso de Apoyo
5.4.-Planificación y Control de Gestión 
5.4.1.-Control de Gestión Institucional
</t>
  </si>
  <si>
    <r>
      <rPr>
        <b/>
        <u/>
        <sz val="8"/>
        <rFont val="Arial Narrow"/>
        <family val="2"/>
      </rPr>
      <t xml:space="preserve">5) Eficacia/Procesos
</t>
    </r>
    <r>
      <rPr>
        <sz val="8"/>
        <rFont val="Arial Narrow"/>
        <family val="2"/>
      </rPr>
      <t>Porcentaje de procesos priorizados con Planes de Continuidad Operacional formalizados en el año t</t>
    </r>
  </si>
  <si>
    <t>(N° de procesos priorizados con Planes de Continuidad Operacional formalizados en el año t / N° total de procesos priorizados en el año t) *100</t>
  </si>
  <si>
    <t>Jorge Farah</t>
  </si>
  <si>
    <t>Joselyn Loyola</t>
  </si>
  <si>
    <t>N° de procesos priorizados con Planes de Continuidad Operacional formalizados en el año t</t>
  </si>
  <si>
    <t>Reportes/Informes
Resolución del Plan de Continuidad
Operacional (PCO) del Proceso Priorizado Comprometido.</t>
  </si>
  <si>
    <t>CDC: Div Informática.</t>
  </si>
  <si>
    <t>5.4.-Planificación y Control de Gestión</t>
  </si>
  <si>
    <t>5.4.1.-Control de Gestión Institucional</t>
  </si>
  <si>
    <t>N° total de procesos priorizados en el año t</t>
  </si>
  <si>
    <t>5.4.1.97</t>
  </si>
  <si>
    <t>CDC: Div Beneficios</t>
  </si>
  <si>
    <t>5.4.1.98</t>
  </si>
  <si>
    <r>
      <rPr>
        <b/>
        <u/>
        <sz val="8"/>
        <color rgb="FF000000"/>
        <rFont val="Arial Narrow"/>
      </rPr>
      <t xml:space="preserve">5) Eficacia/Procesos
</t>
    </r>
    <r>
      <rPr>
        <sz val="8"/>
        <color rgb="FF000000"/>
        <rFont val="Arial Narrow"/>
      </rPr>
      <t>Porcentaje de procesos priorizados con Planes de Continuidad Operacional formalizados en el año t</t>
    </r>
  </si>
  <si>
    <t>CDC: Subd. Servicios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</si>
</sst>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b/>
      <sz val="12"/>
      <color indexed="1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rgb="FFFF0000"/>
      <name val="Arial Narrow"/>
      <family val="2"/>
    </font>
    <font>
      <u/>
      <sz val="8"/>
      <name val="Arial Narrow"/>
      <family val="2"/>
    </font>
    <font>
      <u/>
      <sz val="10"/>
      <name val="Arial Narrow"/>
      <family val="2"/>
    </font>
    <font>
      <b/>
      <u/>
      <sz val="8"/>
      <color rgb="FF000000"/>
      <name val="Arial Narrow"/>
    </font>
    <font>
      <sz val="8"/>
      <color rgb="FF000000"/>
      <name val="Arial Narrow"/>
    </font>
    <font>
      <b/>
      <u/>
      <sz val="8"/>
      <color rgb="FF000000"/>
      <name val="Arial Narrow"/>
      <family val="2"/>
    </font>
    <font>
      <u/>
      <sz val="8"/>
      <color rgb="FF000000"/>
      <name val="Arial Narrow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CD5B4"/>
        <bgColor rgb="FF000000"/>
      </patternFill>
    </fill>
  </fills>
  <borders count="4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rgb="FF000000"/>
      </left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indexed="64"/>
      </right>
      <top/>
      <bottom style="double">
        <color rgb="FF000000"/>
      </bottom>
      <diagonal/>
    </border>
    <border>
      <left style="double">
        <color indexed="64"/>
      </left>
      <right style="double">
        <color indexed="64"/>
      </right>
      <top/>
      <bottom style="double">
        <color rgb="FF000000"/>
      </bottom>
      <diagonal/>
    </border>
    <border>
      <left/>
      <right style="double">
        <color indexed="64"/>
      </right>
      <top/>
      <bottom style="double">
        <color rgb="FF000000"/>
      </bottom>
      <diagonal/>
    </border>
    <border>
      <left style="double">
        <color indexed="64"/>
      </left>
      <right style="double">
        <color rgb="FF000000"/>
      </right>
      <top/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rgb="FF000000"/>
      </right>
      <top/>
      <bottom style="double">
        <color indexed="64"/>
      </bottom>
      <diagonal/>
    </border>
    <border>
      <left style="double">
        <color rgb="FF000000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rgb="FF000000"/>
      </right>
      <top style="double">
        <color indexed="64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4">
    <xf numFmtId="0" fontId="0" fillId="0" borderId="0" xfId="0"/>
    <xf numFmtId="0" fontId="6" fillId="0" borderId="0" xfId="0" applyFont="1"/>
    <xf numFmtId="10" fontId="4" fillId="4" borderId="3" xfId="4" applyNumberFormat="1" applyFont="1" applyFill="1" applyBorder="1" applyAlignment="1" applyProtection="1">
      <alignment vertical="center"/>
    </xf>
    <xf numFmtId="10" fontId="4" fillId="3" borderId="4" xfId="4" applyNumberFormat="1" applyFont="1" applyFill="1" applyBorder="1" applyAlignment="1" applyProtection="1">
      <alignment vertical="center"/>
    </xf>
    <xf numFmtId="3" fontId="4" fillId="4" borderId="3" xfId="0" applyNumberFormat="1" applyFont="1" applyFill="1" applyBorder="1" applyAlignment="1" applyProtection="1">
      <alignment horizontal="right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3" fontId="7" fillId="0" borderId="0" xfId="0" applyNumberFormat="1" applyFont="1" applyAlignment="1">
      <alignment horizontal="center"/>
    </xf>
    <xf numFmtId="0" fontId="7" fillId="0" borderId="9" xfId="0" applyFont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10" fontId="4" fillId="4" borderId="3" xfId="4" applyNumberFormat="1" applyFont="1" applyFill="1" applyBorder="1" applyAlignment="1" applyProtection="1">
      <alignment horizontal="right" vertical="center"/>
    </xf>
    <xf numFmtId="0" fontId="4" fillId="0" borderId="10" xfId="0" applyFont="1" applyBorder="1"/>
    <xf numFmtId="10" fontId="3" fillId="0" borderId="3" xfId="4" applyNumberFormat="1" applyFont="1" applyFill="1" applyBorder="1" applyAlignment="1" applyProtection="1">
      <alignment horizontal="right" vertical="center"/>
    </xf>
    <xf numFmtId="10" fontId="4" fillId="0" borderId="3" xfId="4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9" fontId="3" fillId="0" borderId="3" xfId="4" applyFont="1" applyFill="1" applyBorder="1" applyAlignment="1" applyProtection="1">
      <alignment horizontal="right" vertical="center"/>
    </xf>
    <xf numFmtId="9" fontId="4" fillId="0" borderId="3" xfId="4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3" fontId="4" fillId="3" borderId="4" xfId="0" applyNumberFormat="1" applyFont="1" applyFill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left" vertical="center" wrapText="1"/>
    </xf>
    <xf numFmtId="3" fontId="4" fillId="3" borderId="4" xfId="0" applyNumberFormat="1" applyFont="1" applyFill="1" applyBorder="1" applyAlignment="1">
      <alignment horizontal="left" vertical="center" wrapText="1"/>
    </xf>
    <xf numFmtId="9" fontId="4" fillId="0" borderId="5" xfId="4" applyFont="1" applyFill="1" applyBorder="1" applyAlignment="1">
      <alignment vertical="center"/>
    </xf>
    <xf numFmtId="9" fontId="4" fillId="0" borderId="2" xfId="4" applyFont="1" applyFill="1" applyBorder="1" applyAlignment="1">
      <alignment vertical="center"/>
    </xf>
    <xf numFmtId="9" fontId="4" fillId="0" borderId="4" xfId="4" applyFont="1" applyFill="1" applyBorder="1" applyAlignment="1">
      <alignment vertical="center"/>
    </xf>
    <xf numFmtId="10" fontId="4" fillId="0" borderId="4" xfId="4" applyNumberFormat="1" applyFont="1" applyFill="1" applyBorder="1" applyAlignment="1">
      <alignment horizontal="center" vertical="center"/>
    </xf>
    <xf numFmtId="9" fontId="4" fillId="0" borderId="11" xfId="4" applyFont="1" applyFill="1" applyBorder="1" applyAlignment="1">
      <alignment vertical="center"/>
    </xf>
    <xf numFmtId="3" fontId="4" fillId="5" borderId="5" xfId="0" applyNumberFormat="1" applyFont="1" applyFill="1" applyBorder="1" applyAlignment="1">
      <alignment horizontal="right" vertical="center" wrapText="1"/>
    </xf>
    <xf numFmtId="3" fontId="4" fillId="4" borderId="5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0" fontId="12" fillId="6" borderId="3" xfId="4" applyNumberFormat="1" applyFont="1" applyFill="1" applyBorder="1" applyAlignment="1" applyProtection="1">
      <alignment horizontal="right" vertical="center"/>
    </xf>
    <xf numFmtId="10" fontId="13" fillId="2" borderId="4" xfId="4" applyNumberFormat="1" applyFont="1" applyFill="1" applyBorder="1" applyAlignment="1" applyProtection="1">
      <alignment vertical="center"/>
    </xf>
    <xf numFmtId="0" fontId="13" fillId="0" borderId="3" xfId="0" applyFont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3" fontId="13" fillId="2" borderId="3" xfId="0" applyNumberFormat="1" applyFont="1" applyFill="1" applyBorder="1" applyAlignment="1">
      <alignment horizontal="right" vertical="center" wrapText="1"/>
    </xf>
    <xf numFmtId="3" fontId="13" fillId="0" borderId="3" xfId="0" applyNumberFormat="1" applyFont="1" applyBorder="1" applyAlignment="1">
      <alignment horizontal="left" vertical="center" wrapText="1"/>
    </xf>
    <xf numFmtId="3" fontId="13" fillId="2" borderId="4" xfId="0" applyNumberFormat="1" applyFont="1" applyFill="1" applyBorder="1" applyAlignment="1">
      <alignment horizontal="left" vertical="center" wrapText="1"/>
    </xf>
    <xf numFmtId="3" fontId="13" fillId="5" borderId="3" xfId="0" applyNumberFormat="1" applyFont="1" applyFill="1" applyBorder="1" applyAlignment="1">
      <alignment horizontal="right" vertical="center" wrapText="1"/>
    </xf>
    <xf numFmtId="9" fontId="13" fillId="0" borderId="1" xfId="4" applyFont="1" applyBorder="1" applyAlignment="1">
      <alignment vertical="center"/>
    </xf>
    <xf numFmtId="10" fontId="13" fillId="7" borderId="3" xfId="4" applyNumberFormat="1" applyFont="1" applyFill="1" applyBorder="1" applyAlignment="1" applyProtection="1">
      <alignment horizontal="right" vertical="center"/>
    </xf>
    <xf numFmtId="9" fontId="13" fillId="0" borderId="3" xfId="4" applyFont="1" applyBorder="1" applyAlignment="1">
      <alignment vertical="center"/>
    </xf>
    <xf numFmtId="3" fontId="13" fillId="7" borderId="3" xfId="0" applyNumberFormat="1" applyFont="1" applyFill="1" applyBorder="1" applyAlignment="1">
      <alignment horizontal="right" vertical="center" wrapText="1"/>
    </xf>
    <xf numFmtId="165" fontId="13" fillId="7" borderId="3" xfId="0" applyNumberFormat="1" applyFont="1" applyFill="1" applyBorder="1" applyAlignment="1">
      <alignment horizontal="right" vertical="center" wrapText="1"/>
    </xf>
    <xf numFmtId="165" fontId="13" fillId="2" borderId="3" xfId="0" applyNumberFormat="1" applyFont="1" applyFill="1" applyBorder="1" applyAlignment="1">
      <alignment horizontal="right" vertical="center" wrapText="1"/>
    </xf>
    <xf numFmtId="10" fontId="13" fillId="0" borderId="3" xfId="4" applyNumberFormat="1" applyFont="1" applyBorder="1" applyAlignment="1">
      <alignment horizontal="center" vertical="center"/>
    </xf>
    <xf numFmtId="3" fontId="13" fillId="7" borderId="5" xfId="0" applyNumberFormat="1" applyFont="1" applyFill="1" applyBorder="1" applyAlignment="1">
      <alignment horizontal="right" vertical="center" wrapText="1"/>
    </xf>
    <xf numFmtId="9" fontId="13" fillId="0" borderId="5" xfId="4" applyFont="1" applyBorder="1" applyAlignment="1">
      <alignment vertical="center"/>
    </xf>
    <xf numFmtId="9" fontId="6" fillId="0" borderId="0" xfId="0" applyNumberFormat="1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9" borderId="2" xfId="0" applyFont="1" applyFill="1" applyBorder="1" applyAlignment="1">
      <alignment wrapText="1"/>
    </xf>
    <xf numFmtId="10" fontId="3" fillId="0" borderId="3" xfId="0" applyNumberFormat="1" applyFont="1" applyBorder="1"/>
    <xf numFmtId="10" fontId="4" fillId="10" borderId="4" xfId="0" applyNumberFormat="1" applyFont="1" applyFill="1" applyBorder="1"/>
    <xf numFmtId="10" fontId="4" fillId="9" borderId="4" xfId="0" applyNumberFormat="1" applyFont="1" applyFill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4" fillId="11" borderId="3" xfId="0" applyFont="1" applyFill="1" applyBorder="1" applyAlignment="1">
      <alignment wrapText="1"/>
    </xf>
    <xf numFmtId="0" fontId="4" fillId="10" borderId="4" xfId="0" applyFont="1" applyFill="1" applyBorder="1" applyAlignment="1">
      <alignment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9" fontId="4" fillId="0" borderId="26" xfId="4" applyFont="1" applyFill="1" applyBorder="1" applyAlignment="1">
      <alignment vertical="center"/>
    </xf>
    <xf numFmtId="10" fontId="3" fillId="0" borderId="28" xfId="4" applyNumberFormat="1" applyFont="1" applyFill="1" applyBorder="1" applyAlignment="1" applyProtection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3" fontId="4" fillId="5" borderId="28" xfId="0" applyNumberFormat="1" applyFont="1" applyFill="1" applyBorder="1" applyAlignment="1">
      <alignment horizontal="right" vertical="center" wrapText="1"/>
    </xf>
    <xf numFmtId="3" fontId="4" fillId="0" borderId="28" xfId="0" applyNumberFormat="1" applyFont="1" applyBorder="1" applyAlignment="1">
      <alignment horizontal="left" vertical="center" wrapText="1"/>
    </xf>
    <xf numFmtId="3" fontId="4" fillId="5" borderId="30" xfId="0" applyNumberFormat="1" applyFont="1" applyFill="1" applyBorder="1" applyAlignment="1">
      <alignment horizontal="right" vertical="center" wrapText="1"/>
    </xf>
    <xf numFmtId="3" fontId="4" fillId="4" borderId="31" xfId="0" applyNumberFormat="1" applyFont="1" applyFill="1" applyBorder="1" applyAlignment="1">
      <alignment horizontal="right" vertical="center" wrapText="1"/>
    </xf>
    <xf numFmtId="3" fontId="4" fillId="3" borderId="32" xfId="0" applyNumberFormat="1" applyFont="1" applyFill="1" applyBorder="1" applyAlignment="1">
      <alignment horizontal="right" vertical="center" wrapText="1"/>
    </xf>
    <xf numFmtId="9" fontId="4" fillId="0" borderId="31" xfId="4" applyFont="1" applyFill="1" applyBorder="1" applyAlignment="1">
      <alignment vertical="center"/>
    </xf>
    <xf numFmtId="0" fontId="16" fillId="0" borderId="0" xfId="0" applyFont="1" applyAlignment="1">
      <alignment horizontal="center"/>
    </xf>
    <xf numFmtId="3" fontId="4" fillId="5" borderId="31" xfId="0" applyNumberFormat="1" applyFont="1" applyFill="1" applyBorder="1" applyAlignment="1">
      <alignment horizontal="right" vertical="center" wrapText="1"/>
    </xf>
    <xf numFmtId="0" fontId="4" fillId="3" borderId="39" xfId="0" applyFont="1" applyFill="1" applyBorder="1" applyAlignment="1">
      <alignment horizontal="left" vertical="center" wrapText="1"/>
    </xf>
    <xf numFmtId="10" fontId="4" fillId="3" borderId="22" xfId="4" applyNumberFormat="1" applyFont="1" applyFill="1" applyBorder="1" applyAlignment="1" applyProtection="1">
      <alignment vertical="center"/>
    </xf>
    <xf numFmtId="0" fontId="4" fillId="3" borderId="22" xfId="0" applyFont="1" applyFill="1" applyBorder="1" applyAlignment="1">
      <alignment horizontal="left" vertical="center" wrapText="1"/>
    </xf>
    <xf numFmtId="3" fontId="4" fillId="3" borderId="22" xfId="0" applyNumberFormat="1" applyFont="1" applyFill="1" applyBorder="1" applyAlignment="1">
      <alignment horizontal="right" vertical="center" wrapText="1"/>
    </xf>
    <xf numFmtId="3" fontId="4" fillId="3" borderId="22" xfId="0" applyNumberFormat="1" applyFont="1" applyFill="1" applyBorder="1" applyAlignment="1">
      <alignment horizontal="left" vertical="center" wrapText="1"/>
    </xf>
    <xf numFmtId="3" fontId="4" fillId="3" borderId="23" xfId="0" applyNumberFormat="1" applyFont="1" applyFill="1" applyBorder="1" applyAlignment="1">
      <alignment horizontal="right" vertical="center" wrapText="1"/>
    </xf>
    <xf numFmtId="0" fontId="6" fillId="0" borderId="4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2" fillId="2" borderId="1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9" fontId="4" fillId="8" borderId="1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9" fontId="4" fillId="8" borderId="1" xfId="4" applyFont="1" applyFill="1" applyBorder="1" applyAlignment="1">
      <alignment horizontal="center" vertical="center" wrapText="1"/>
    </xf>
    <xf numFmtId="9" fontId="4" fillId="8" borderId="3" xfId="4" applyFont="1" applyFill="1" applyBorder="1" applyAlignment="1">
      <alignment horizontal="center" vertical="center" wrapText="1"/>
    </xf>
    <xf numFmtId="9" fontId="4" fillId="8" borderId="5" xfId="4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12" fillId="2" borderId="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1" fontId="4" fillId="8" borderId="1" xfId="0" applyNumberFormat="1" applyFont="1" applyFill="1" applyBorder="1" applyAlignment="1">
      <alignment horizontal="left" vertical="center" wrapText="1"/>
    </xf>
    <xf numFmtId="1" fontId="4" fillId="8" borderId="3" xfId="0" applyNumberFormat="1" applyFont="1" applyFill="1" applyBorder="1" applyAlignment="1">
      <alignment horizontal="left" vertical="center" wrapText="1"/>
    </xf>
    <xf numFmtId="1" fontId="4" fillId="8" borderId="5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64" fontId="4" fillId="0" borderId="1" xfId="4" applyNumberFormat="1" applyFont="1" applyBorder="1" applyAlignment="1">
      <alignment horizontal="left" vertical="center" wrapText="1"/>
    </xf>
    <xf numFmtId="164" fontId="4" fillId="0" borderId="3" xfId="4" applyNumberFormat="1" applyFont="1" applyBorder="1" applyAlignment="1">
      <alignment horizontal="left" vertical="center" wrapText="1"/>
    </xf>
    <xf numFmtId="164" fontId="4" fillId="0" borderId="5" xfId="4" applyNumberFormat="1" applyFont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left" vertical="center" wrapText="1"/>
    </xf>
    <xf numFmtId="164" fontId="14" fillId="0" borderId="3" xfId="4" applyNumberFormat="1" applyFont="1" applyBorder="1" applyAlignment="1">
      <alignment horizontal="left" vertical="center" wrapText="1"/>
    </xf>
    <xf numFmtId="164" fontId="14" fillId="0" borderId="5" xfId="4" applyNumberFormat="1" applyFont="1" applyBorder="1" applyAlignment="1">
      <alignment horizontal="left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4" fillId="8" borderId="3" xfId="2" applyFont="1" applyFill="1" applyBorder="1" applyAlignment="1">
      <alignment horizontal="left" vertical="center" wrapText="1"/>
    </xf>
    <xf numFmtId="0" fontId="4" fillId="8" borderId="5" xfId="2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4" fillId="8" borderId="1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8" borderId="5" xfId="2" applyFont="1" applyFill="1" applyBorder="1" applyAlignment="1">
      <alignment horizontal="center" vertical="center" wrapText="1"/>
    </xf>
    <xf numFmtId="9" fontId="4" fillId="8" borderId="3" xfId="0" applyNumberFormat="1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1" fontId="4" fillId="8" borderId="34" xfId="0" applyNumberFormat="1" applyFont="1" applyFill="1" applyBorder="1" applyAlignment="1">
      <alignment horizontal="left" vertical="center" wrapText="1"/>
    </xf>
    <xf numFmtId="1" fontId="4" fillId="8" borderId="10" xfId="0" applyNumberFormat="1" applyFont="1" applyFill="1" applyBorder="1" applyAlignment="1">
      <alignment horizontal="left" vertical="center" wrapText="1"/>
    </xf>
    <xf numFmtId="1" fontId="4" fillId="8" borderId="24" xfId="0" applyNumberFormat="1" applyFont="1" applyFill="1" applyBorder="1" applyAlignment="1">
      <alignment horizontal="left" vertical="center" wrapText="1"/>
    </xf>
    <xf numFmtId="164" fontId="4" fillId="0" borderId="26" xfId="4" applyNumberFormat="1" applyFont="1" applyBorder="1" applyAlignment="1">
      <alignment horizontal="left" vertical="center" wrapText="1"/>
    </xf>
    <xf numFmtId="164" fontId="4" fillId="0" borderId="31" xfId="4" applyNumberFormat="1" applyFont="1" applyBorder="1" applyAlignment="1">
      <alignment horizontal="left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9" xfId="2" applyFont="1" applyFill="1" applyBorder="1" applyAlignment="1">
      <alignment horizontal="center" vertical="center" wrapText="1"/>
    </xf>
    <xf numFmtId="0" fontId="4" fillId="3" borderId="33" xfId="2" applyFont="1" applyFill="1" applyBorder="1" applyAlignment="1">
      <alignment horizontal="center" vertical="center" wrapText="1"/>
    </xf>
    <xf numFmtId="1" fontId="4" fillId="8" borderId="38" xfId="0" applyNumberFormat="1" applyFont="1" applyFill="1" applyBorder="1" applyAlignment="1">
      <alignment horizontal="left" vertical="center" wrapText="1"/>
    </xf>
    <xf numFmtId="1" fontId="4" fillId="8" borderId="28" xfId="0" applyNumberFormat="1" applyFont="1" applyFill="1" applyBorder="1" applyAlignment="1">
      <alignment horizontal="left" vertical="center" wrapText="1"/>
    </xf>
    <xf numFmtId="1" fontId="4" fillId="8" borderId="30" xfId="0" applyNumberFormat="1" applyFont="1" applyFill="1" applyBorder="1" applyAlignment="1">
      <alignment horizontal="left" vertical="center" wrapText="1"/>
    </xf>
    <xf numFmtId="9" fontId="4" fillId="8" borderId="34" xfId="4" applyFont="1" applyFill="1" applyBorder="1" applyAlignment="1">
      <alignment horizontal="center" vertical="center" wrapText="1"/>
    </xf>
    <xf numFmtId="9" fontId="4" fillId="8" borderId="10" xfId="4" applyFont="1" applyFill="1" applyBorder="1" applyAlignment="1">
      <alignment horizontal="center" vertical="center" wrapText="1"/>
    </xf>
    <xf numFmtId="9" fontId="4" fillId="8" borderId="24" xfId="4" applyFont="1" applyFill="1" applyBorder="1" applyAlignment="1">
      <alignment horizontal="center" vertical="center" wrapText="1"/>
    </xf>
    <xf numFmtId="1" fontId="4" fillId="8" borderId="36" xfId="0" applyNumberFormat="1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2" applyFont="1" applyFill="1" applyBorder="1" applyAlignment="1">
      <alignment horizontal="center" vertical="center" wrapText="1"/>
    </xf>
    <xf numFmtId="0" fontId="12" fillId="2" borderId="37" xfId="2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34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13" fillId="3" borderId="3" xfId="2" applyFont="1" applyFill="1" applyBorder="1" applyAlignment="1">
      <alignment horizontal="center" vertical="center" wrapText="1"/>
    </xf>
    <xf numFmtId="0" fontId="13" fillId="3" borderId="5" xfId="2" applyFont="1" applyFill="1" applyBorder="1" applyAlignment="1">
      <alignment horizontal="center" vertical="center" wrapText="1"/>
    </xf>
    <xf numFmtId="9" fontId="13" fillId="8" borderId="1" xfId="0" applyNumberFormat="1" applyFont="1" applyFill="1" applyBorder="1" applyAlignment="1">
      <alignment horizontal="left" vertical="center" wrapText="1"/>
    </xf>
    <xf numFmtId="9" fontId="13" fillId="8" borderId="3" xfId="0" applyNumberFormat="1" applyFont="1" applyFill="1" applyBorder="1" applyAlignment="1">
      <alignment horizontal="left" vertical="center" wrapText="1"/>
    </xf>
    <xf numFmtId="9" fontId="13" fillId="8" borderId="5" xfId="0" applyNumberFormat="1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/>
    </xf>
    <xf numFmtId="0" fontId="4" fillId="8" borderId="5" xfId="0" applyFont="1" applyFill="1" applyBorder="1" applyAlignment="1">
      <alignment horizontal="left" vertical="top"/>
    </xf>
    <xf numFmtId="0" fontId="13" fillId="8" borderId="1" xfId="3" applyFont="1" applyFill="1" applyBorder="1" applyAlignment="1">
      <alignment horizontal="center" vertical="center" wrapText="1"/>
    </xf>
    <xf numFmtId="10" fontId="13" fillId="8" borderId="1" xfId="4" applyNumberFormat="1" applyFont="1" applyFill="1" applyBorder="1" applyAlignment="1">
      <alignment horizontal="center" vertical="center" wrapText="1"/>
    </xf>
    <xf numFmtId="10" fontId="13" fillId="8" borderId="3" xfId="4" applyNumberFormat="1" applyFont="1" applyFill="1" applyBorder="1" applyAlignment="1">
      <alignment horizontal="center" vertical="center" wrapText="1"/>
    </xf>
    <xf numFmtId="10" fontId="13" fillId="8" borderId="5" xfId="4" applyNumberFormat="1" applyFont="1" applyFill="1" applyBorder="1" applyAlignment="1">
      <alignment horizontal="center" vertical="center" wrapText="1"/>
    </xf>
    <xf numFmtId="9" fontId="13" fillId="8" borderId="1" xfId="4" applyFont="1" applyFill="1" applyBorder="1" applyAlignment="1">
      <alignment horizontal="center" vertical="center" wrapText="1"/>
    </xf>
    <xf numFmtId="9" fontId="13" fillId="8" borderId="3" xfId="4" applyFont="1" applyFill="1" applyBorder="1" applyAlignment="1">
      <alignment horizontal="center" vertical="center" wrapText="1"/>
    </xf>
    <xf numFmtId="9" fontId="13" fillId="8" borderId="5" xfId="4" applyFont="1" applyFill="1" applyBorder="1" applyAlignment="1">
      <alignment horizontal="center" vertical="center" wrapText="1"/>
    </xf>
    <xf numFmtId="164" fontId="13" fillId="0" borderId="1" xfId="4" applyNumberFormat="1" applyFont="1" applyFill="1" applyBorder="1" applyAlignment="1">
      <alignment horizontal="left" vertical="center" wrapText="1"/>
    </xf>
    <xf numFmtId="164" fontId="13" fillId="0" borderId="3" xfId="4" applyNumberFormat="1" applyFont="1" applyFill="1" applyBorder="1" applyAlignment="1">
      <alignment horizontal="left" vertical="center" wrapText="1"/>
    </xf>
    <xf numFmtId="164" fontId="13" fillId="0" borderId="5" xfId="4" applyNumberFormat="1" applyFont="1" applyFill="1" applyBorder="1" applyAlignment="1">
      <alignment horizontal="left" vertical="center" wrapText="1"/>
    </xf>
    <xf numFmtId="164" fontId="13" fillId="0" borderId="1" xfId="4" applyNumberFormat="1" applyFont="1" applyBorder="1" applyAlignment="1">
      <alignment horizontal="left" vertical="center" wrapText="1"/>
    </xf>
    <xf numFmtId="164" fontId="13" fillId="0" borderId="3" xfId="4" applyNumberFormat="1" applyFont="1" applyBorder="1" applyAlignment="1">
      <alignment horizontal="left" vertical="center" wrapText="1"/>
    </xf>
    <xf numFmtId="164" fontId="13" fillId="0" borderId="5" xfId="4" applyNumberFormat="1" applyFont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top" wrapText="1"/>
    </xf>
    <xf numFmtId="0" fontId="4" fillId="8" borderId="3" xfId="0" applyFont="1" applyFill="1" applyBorder="1" applyAlignment="1"/>
    <xf numFmtId="0" fontId="4" fillId="8" borderId="5" xfId="0" applyFont="1" applyFill="1" applyBorder="1" applyAlignment="1"/>
    <xf numFmtId="0" fontId="13" fillId="8" borderId="3" xfId="3" applyFont="1" applyFill="1" applyBorder="1" applyAlignment="1"/>
    <xf numFmtId="0" fontId="13" fillId="8" borderId="5" xfId="3" applyFont="1" applyFill="1" applyBorder="1" applyAlignment="1"/>
  </cellXfs>
  <cellStyles count="7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  <cellStyle name="Porcentaje 4" xfId="6" xr:uid="{35E863F0-7A7D-4F37-9A7C-8C058E2933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583" name="Picture 67" descr="image002">
          <a:extLst>
            <a:ext uri="{FF2B5EF4-FFF2-40B4-BE49-F238E27FC236}">
              <a16:creationId xmlns:a16="http://schemas.microsoft.com/office/drawing/2014/main" id="{4A40088E-EFCB-446E-9C32-56244A0A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EF161806-60CC-4966-8B93-76C7F6D9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0"/>
          <a:ext cx="79248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174341AC-F38F-4B13-9FA3-52589219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16"/>
  <sheetViews>
    <sheetView showGridLines="0" topLeftCell="A7" zoomScale="110" zoomScaleNormal="110" workbookViewId="0">
      <pane xSplit="1" ySplit="6" topLeftCell="N19" activePane="bottomRight" state="frozen"/>
      <selection pane="bottomRight" activeCell="AD22" sqref="AD22"/>
      <selection pane="bottomLeft" activeCell="A13" sqref="A13"/>
      <selection pane="topRight" activeCell="B7" sqref="B7"/>
    </sheetView>
  </sheetViews>
  <sheetFormatPr defaultColWidth="11.42578125" defaultRowHeight="12.95"/>
  <cols>
    <col min="1" max="1" width="11.42578125" style="1"/>
    <col min="2" max="2" width="26.7109375" style="1" customWidth="1"/>
    <col min="3" max="3" width="20.28515625" style="1" customWidth="1"/>
    <col min="4" max="4" width="26.7109375" style="1" customWidth="1"/>
    <col min="5" max="5" width="14.7109375" style="1" customWidth="1"/>
    <col min="6" max="6" width="14.5703125" style="1" customWidth="1"/>
    <col min="7" max="7" width="14.7109375" style="1" customWidth="1"/>
    <col min="8" max="8" width="12.42578125" style="1" customWidth="1"/>
    <col min="9" max="9" width="6.5703125" style="1" customWidth="1"/>
    <col min="10" max="10" width="8.28515625" style="1" customWidth="1"/>
    <col min="11" max="11" width="28.5703125" style="1" customWidth="1"/>
    <col min="12" max="12" width="17" style="1" customWidth="1"/>
    <col min="13" max="13" width="11.140625" style="1" customWidth="1"/>
    <col min="14" max="14" width="11.7109375" style="10" customWidth="1"/>
    <col min="15" max="35" width="10.7109375" style="10" customWidth="1"/>
    <col min="36" max="36" width="16" style="10" customWidth="1"/>
    <col min="37" max="37" width="27.85546875" style="10" customWidth="1"/>
    <col min="38" max="38" width="26.42578125" style="1" customWidth="1"/>
    <col min="39" max="39" width="21.5703125" style="1" customWidth="1"/>
    <col min="40" max="40" width="21.28515625" style="1" customWidth="1"/>
    <col min="41" max="41" width="2.28515625" style="1" customWidth="1"/>
    <col min="42" max="16384" width="11.42578125" style="1"/>
  </cols>
  <sheetData>
    <row r="1" spans="1:39" s="5" customFormat="1" ht="12.75" customHeight="1">
      <c r="B1" s="96"/>
      <c r="C1" s="96"/>
      <c r="D1" s="97"/>
      <c r="E1" s="125" t="s">
        <v>0</v>
      </c>
      <c r="F1" s="131"/>
      <c r="G1" s="131"/>
      <c r="H1" s="131"/>
      <c r="I1" s="131"/>
      <c r="J1" s="131"/>
      <c r="K1" s="131"/>
      <c r="L1" s="131"/>
      <c r="M1" s="131"/>
      <c r="N1" s="132"/>
      <c r="O1" s="125" t="s">
        <v>1</v>
      </c>
      <c r="P1" s="126"/>
      <c r="Q1" s="126"/>
      <c r="R1" s="127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9" s="5" customFormat="1" ht="12.75" customHeight="1">
      <c r="B2" s="98"/>
      <c r="C2" s="98"/>
      <c r="D2" s="99"/>
      <c r="E2" s="128"/>
      <c r="F2" s="133"/>
      <c r="G2" s="133"/>
      <c r="H2" s="133"/>
      <c r="I2" s="133"/>
      <c r="J2" s="133"/>
      <c r="K2" s="133"/>
      <c r="L2" s="133"/>
      <c r="M2" s="133"/>
      <c r="N2" s="134"/>
      <c r="O2" s="138" t="s">
        <v>2</v>
      </c>
      <c r="P2" s="139"/>
      <c r="Q2" s="139"/>
      <c r="R2" s="140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9" s="5" customFormat="1" ht="15.75" customHeight="1">
      <c r="B3" s="98"/>
      <c r="C3" s="98"/>
      <c r="D3" s="99"/>
      <c r="E3" s="128"/>
      <c r="F3" s="133"/>
      <c r="G3" s="133"/>
      <c r="H3" s="133"/>
      <c r="I3" s="133"/>
      <c r="J3" s="133"/>
      <c r="K3" s="133"/>
      <c r="L3" s="133"/>
      <c r="M3" s="133"/>
      <c r="N3" s="134"/>
      <c r="O3" s="128"/>
      <c r="P3" s="129"/>
      <c r="Q3" s="129"/>
      <c r="R3" s="130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9" s="5" customFormat="1" ht="12.75" customHeight="1">
      <c r="B4" s="98"/>
      <c r="C4" s="98"/>
      <c r="D4" s="99"/>
      <c r="E4" s="128"/>
      <c r="F4" s="133"/>
      <c r="G4" s="133"/>
      <c r="H4" s="133"/>
      <c r="I4" s="133"/>
      <c r="J4" s="133"/>
      <c r="K4" s="133"/>
      <c r="L4" s="133"/>
      <c r="M4" s="133"/>
      <c r="N4" s="134"/>
      <c r="O4" s="7"/>
      <c r="P4" s="8"/>
      <c r="Q4" s="8"/>
      <c r="R4" s="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9" s="5" customFormat="1" ht="20.25" customHeight="1">
      <c r="B5" s="100"/>
      <c r="C5" s="100"/>
      <c r="D5" s="101"/>
      <c r="E5" s="135"/>
      <c r="F5" s="136"/>
      <c r="G5" s="136"/>
      <c r="H5" s="136"/>
      <c r="I5" s="136"/>
      <c r="J5" s="136"/>
      <c r="K5" s="136"/>
      <c r="L5" s="136"/>
      <c r="M5" s="136"/>
      <c r="N5" s="137"/>
      <c r="O5" s="142" t="s">
        <v>3</v>
      </c>
      <c r="P5" s="143"/>
      <c r="Q5" s="143"/>
      <c r="R5" s="144"/>
      <c r="S5" s="6"/>
      <c r="T5" s="6"/>
      <c r="U5" s="6"/>
      <c r="V5" s="6" t="s">
        <v>4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9" ht="15.75" customHeight="1">
      <c r="B6" s="121" t="s">
        <v>5</v>
      </c>
      <c r="C6" s="122"/>
      <c r="D6" s="123"/>
      <c r="E6" s="145" t="s">
        <v>6</v>
      </c>
      <c r="F6" s="146"/>
      <c r="G6" s="146"/>
      <c r="H6" s="146"/>
      <c r="I6" s="146"/>
      <c r="J6" s="146"/>
      <c r="K6" s="146"/>
      <c r="L6" s="146"/>
      <c r="M6" s="146"/>
      <c r="N6" s="147"/>
      <c r="O6" s="145" t="s">
        <v>7</v>
      </c>
      <c r="P6" s="146"/>
      <c r="Q6" s="146"/>
      <c r="R6" s="147"/>
    </row>
    <row r="7" spans="1:39" s="5" customFormat="1" ht="16.5" customHeight="1">
      <c r="E7" s="11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9" s="5" customFormat="1" ht="15.6">
      <c r="B8" s="12" t="s">
        <v>8</v>
      </c>
      <c r="C8" s="11"/>
      <c r="D8" s="23"/>
      <c r="E8" s="13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4"/>
      <c r="AB8" s="6"/>
      <c r="AC8" s="6"/>
      <c r="AD8" s="6"/>
      <c r="AE8" s="6"/>
      <c r="AF8" s="14"/>
      <c r="AG8" s="6"/>
      <c r="AH8" s="6"/>
      <c r="AI8" s="6"/>
      <c r="AJ8" s="6"/>
      <c r="AK8" s="14"/>
    </row>
    <row r="9" spans="1:39" s="5" customFormat="1" ht="16.5" customHeight="1">
      <c r="B9" s="12" t="s">
        <v>9</v>
      </c>
      <c r="C9" s="11"/>
      <c r="D9" s="11"/>
      <c r="E9" s="13"/>
      <c r="N9" s="6"/>
      <c r="O9" s="6"/>
      <c r="P9" s="6"/>
      <c r="Q9" s="6"/>
      <c r="R9" s="1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9" s="5" customFormat="1" ht="15.95" thickBot="1">
      <c r="B10" s="12"/>
      <c r="C10" s="12"/>
      <c r="D10" s="12"/>
      <c r="E10" s="11"/>
      <c r="N10" s="6"/>
      <c r="O10" s="6"/>
      <c r="P10" s="15"/>
      <c r="Q10" s="15"/>
      <c r="R10" s="16"/>
      <c r="S10" s="15"/>
      <c r="T10" s="15"/>
      <c r="U10" s="1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5"/>
      <c r="AJ10" s="15"/>
      <c r="AK10" s="15"/>
      <c r="AL10" s="24"/>
      <c r="AM10" s="24"/>
    </row>
    <row r="11" spans="1:39" s="17" customFormat="1" ht="22.9" customHeight="1" thickTop="1">
      <c r="A11" s="151" t="s">
        <v>10</v>
      </c>
      <c r="B11" s="104" t="s">
        <v>11</v>
      </c>
      <c r="C11" s="104" t="s">
        <v>12</v>
      </c>
      <c r="D11" s="106" t="s">
        <v>13</v>
      </c>
      <c r="E11" s="102" t="s">
        <v>14</v>
      </c>
      <c r="F11" s="102" t="s">
        <v>15</v>
      </c>
      <c r="G11" s="102" t="s">
        <v>16</v>
      </c>
      <c r="H11" s="102" t="s">
        <v>17</v>
      </c>
      <c r="I11" s="102" t="s">
        <v>18</v>
      </c>
      <c r="J11" s="102" t="s">
        <v>19</v>
      </c>
      <c r="K11" s="106" t="s">
        <v>20</v>
      </c>
      <c r="L11" s="106" t="s">
        <v>21</v>
      </c>
      <c r="M11" s="106" t="s">
        <v>22</v>
      </c>
      <c r="N11" s="106" t="s">
        <v>23</v>
      </c>
      <c r="O11" s="104" t="s">
        <v>24</v>
      </c>
      <c r="P11" s="106" t="s">
        <v>25</v>
      </c>
      <c r="Q11" s="106" t="s">
        <v>26</v>
      </c>
      <c r="R11" s="106" t="s">
        <v>27</v>
      </c>
      <c r="S11" s="106" t="s">
        <v>28</v>
      </c>
      <c r="T11" s="106" t="s">
        <v>29</v>
      </c>
      <c r="U11" s="104" t="s">
        <v>30</v>
      </c>
      <c r="V11" s="104" t="s">
        <v>31</v>
      </c>
      <c r="W11" s="106" t="s">
        <v>32</v>
      </c>
      <c r="X11" s="170" t="s">
        <v>33</v>
      </c>
      <c r="Y11" s="106" t="s">
        <v>34</v>
      </c>
      <c r="Z11" s="106" t="s">
        <v>35</v>
      </c>
      <c r="AA11" s="106" t="s">
        <v>36</v>
      </c>
      <c r="AB11" s="106" t="s">
        <v>37</v>
      </c>
      <c r="AC11" s="106" t="s">
        <v>38</v>
      </c>
      <c r="AD11" s="106" t="s">
        <v>39</v>
      </c>
      <c r="AE11" s="106" t="s">
        <v>40</v>
      </c>
      <c r="AF11" s="104" t="s">
        <v>41</v>
      </c>
      <c r="AG11" s="106" t="s">
        <v>42</v>
      </c>
      <c r="AH11" s="106" t="s">
        <v>43</v>
      </c>
      <c r="AI11" s="102" t="s">
        <v>44</v>
      </c>
      <c r="AJ11" s="106" t="s">
        <v>45</v>
      </c>
      <c r="AK11" s="106" t="s">
        <v>46</v>
      </c>
      <c r="AL11" s="165" t="s">
        <v>47</v>
      </c>
      <c r="AM11" s="167" t="s">
        <v>48</v>
      </c>
    </row>
    <row r="12" spans="1:39" s="17" customFormat="1" ht="22.9" customHeight="1" thickBot="1">
      <c r="A12" s="152"/>
      <c r="B12" s="105"/>
      <c r="C12" s="105"/>
      <c r="D12" s="107"/>
      <c r="E12" s="103"/>
      <c r="F12" s="103"/>
      <c r="G12" s="103"/>
      <c r="H12" s="103"/>
      <c r="I12" s="103"/>
      <c r="J12" s="103"/>
      <c r="K12" s="107"/>
      <c r="L12" s="141"/>
      <c r="M12" s="107"/>
      <c r="N12" s="107"/>
      <c r="O12" s="105"/>
      <c r="P12" s="107"/>
      <c r="Q12" s="107"/>
      <c r="R12" s="107"/>
      <c r="S12" s="124"/>
      <c r="T12" s="107"/>
      <c r="U12" s="169"/>
      <c r="V12" s="169"/>
      <c r="W12" s="124"/>
      <c r="X12" s="171"/>
      <c r="Y12" s="107"/>
      <c r="Z12" s="124"/>
      <c r="AA12" s="124"/>
      <c r="AB12" s="124"/>
      <c r="AC12" s="124"/>
      <c r="AD12" s="124"/>
      <c r="AE12" s="124"/>
      <c r="AF12" s="169"/>
      <c r="AG12" s="124"/>
      <c r="AH12" s="107"/>
      <c r="AI12" s="103"/>
      <c r="AJ12" s="107"/>
      <c r="AK12" s="161"/>
      <c r="AL12" s="166"/>
      <c r="AM12" s="168"/>
    </row>
    <row r="13" spans="1:39" s="18" customFormat="1" ht="22.9" customHeight="1" thickTop="1">
      <c r="A13" s="153" t="s">
        <v>49</v>
      </c>
      <c r="B13" s="118" t="s">
        <v>50</v>
      </c>
      <c r="C13" s="108" t="s">
        <v>51</v>
      </c>
      <c r="D13" s="114" t="s">
        <v>52</v>
      </c>
      <c r="E13" s="111" t="s">
        <v>53</v>
      </c>
      <c r="F13" s="114" t="s">
        <v>54</v>
      </c>
      <c r="G13" s="114" t="s">
        <v>55</v>
      </c>
      <c r="H13" s="114" t="s">
        <v>56</v>
      </c>
      <c r="I13" s="115">
        <f>+L14</f>
        <v>1</v>
      </c>
      <c r="J13" s="115">
        <v>0.2</v>
      </c>
      <c r="K13" s="148" t="s">
        <v>57</v>
      </c>
      <c r="L13" s="25" t="s">
        <v>58</v>
      </c>
      <c r="M13" s="25" t="s">
        <v>58</v>
      </c>
      <c r="N13" s="25" t="s">
        <v>58</v>
      </c>
      <c r="O13" s="26" t="s">
        <v>58</v>
      </c>
      <c r="P13" s="25" t="s">
        <v>58</v>
      </c>
      <c r="Q13" s="26" t="s">
        <v>58</v>
      </c>
      <c r="R13" s="25" t="s">
        <v>58</v>
      </c>
      <c r="S13" s="26" t="s">
        <v>58</v>
      </c>
      <c r="T13" s="25" t="s">
        <v>58</v>
      </c>
      <c r="U13" s="26" t="s">
        <v>58</v>
      </c>
      <c r="V13" s="25" t="s">
        <v>58</v>
      </c>
      <c r="W13" s="26" t="s">
        <v>58</v>
      </c>
      <c r="X13" s="25" t="s">
        <v>58</v>
      </c>
      <c r="Y13" s="26" t="s">
        <v>58</v>
      </c>
      <c r="Z13" s="25" t="s">
        <v>58</v>
      </c>
      <c r="AA13" s="26" t="s">
        <v>58</v>
      </c>
      <c r="AB13" s="25" t="s">
        <v>58</v>
      </c>
      <c r="AC13" s="26" t="s">
        <v>58</v>
      </c>
      <c r="AD13" s="25" t="s">
        <v>58</v>
      </c>
      <c r="AE13" s="26" t="s">
        <v>58</v>
      </c>
      <c r="AF13" s="25" t="s">
        <v>58</v>
      </c>
      <c r="AG13" s="26" t="s">
        <v>58</v>
      </c>
      <c r="AH13" s="25" t="s">
        <v>58</v>
      </c>
      <c r="AI13" s="26" t="s">
        <v>58</v>
      </c>
      <c r="AJ13" s="27"/>
      <c r="AK13" s="162" t="s">
        <v>59</v>
      </c>
      <c r="AL13" s="162"/>
      <c r="AM13" s="158" t="s">
        <v>60</v>
      </c>
    </row>
    <row r="14" spans="1:39" s="18" customFormat="1" ht="22.9" customHeight="1">
      <c r="A14" s="154"/>
      <c r="B14" s="119"/>
      <c r="C14" s="109"/>
      <c r="D14" s="240"/>
      <c r="E14" s="112"/>
      <c r="F14" s="112"/>
      <c r="G14" s="112"/>
      <c r="H14" s="112"/>
      <c r="I14" s="116"/>
      <c r="J14" s="116"/>
      <c r="K14" s="149"/>
      <c r="L14" s="28">
        <f t="shared" ref="L14:AH14" si="0">IF(L16&lt;&gt;0,+L16/L18,0%)</f>
        <v>1</v>
      </c>
      <c r="M14" s="2">
        <f t="shared" si="0"/>
        <v>0</v>
      </c>
      <c r="N14" s="2">
        <f t="shared" si="0"/>
        <v>0</v>
      </c>
      <c r="O14" s="3">
        <f t="shared" si="0"/>
        <v>0</v>
      </c>
      <c r="P14" s="2">
        <f t="shared" si="0"/>
        <v>0</v>
      </c>
      <c r="Q14" s="3">
        <f>IF(Q16&lt;&gt;0,+Q16/Q18,0%)</f>
        <v>0</v>
      </c>
      <c r="R14" s="2">
        <f t="shared" si="0"/>
        <v>0</v>
      </c>
      <c r="S14" s="3">
        <f>IF(S16&lt;&gt;0,+S16/S18,0%)</f>
        <v>0</v>
      </c>
      <c r="T14" s="2">
        <f t="shared" ref="T14" si="1">IF(T16&lt;&gt;0,+T16/T18,0%)</f>
        <v>0</v>
      </c>
      <c r="U14" s="3">
        <f>IF(U16&lt;&gt;0,+U16/U18,0%)</f>
        <v>0</v>
      </c>
      <c r="V14" s="2">
        <f t="shared" si="0"/>
        <v>0</v>
      </c>
      <c r="W14" s="3">
        <f>IF(W16&lt;&gt;0,+W16/W18,0%)</f>
        <v>0</v>
      </c>
      <c r="X14" s="2">
        <f t="shared" si="0"/>
        <v>0</v>
      </c>
      <c r="Y14" s="3">
        <f>IF(Y16&lt;&gt;0,+Y16/Y18,0%)</f>
        <v>0</v>
      </c>
      <c r="Z14" s="2">
        <f t="shared" ref="Z14" si="2">IF(Z16&lt;&gt;0,+Z16/Z18,0%)</f>
        <v>0</v>
      </c>
      <c r="AA14" s="3">
        <f>IF(AA16&lt;&gt;0,+AA16/AA18,0%)</f>
        <v>0</v>
      </c>
      <c r="AB14" s="2">
        <f t="shared" si="0"/>
        <v>0.25</v>
      </c>
      <c r="AC14" s="3">
        <f>IF(AC16&lt;&gt;0,+AC16/AC18,0%)</f>
        <v>0.25</v>
      </c>
      <c r="AD14" s="2">
        <f t="shared" ref="AD14" si="3">IF(AD16&lt;&gt;0,+AD16/AD18,0%)</f>
        <v>0.25</v>
      </c>
      <c r="AE14" s="3">
        <f>IF(AE16&lt;&gt;0,+AE16/AE18,0%)</f>
        <v>0.5</v>
      </c>
      <c r="AF14" s="2">
        <f t="shared" si="0"/>
        <v>0.5</v>
      </c>
      <c r="AG14" s="3">
        <f>IF(AG16&lt;&gt;0,+AG16/AG18,0%)</f>
        <v>1</v>
      </c>
      <c r="AH14" s="2">
        <f t="shared" si="0"/>
        <v>0</v>
      </c>
      <c r="AI14" s="3">
        <f>IF(AI16&lt;&gt;0,+AI16/AI18,0%)</f>
        <v>1</v>
      </c>
      <c r="AJ14" s="29"/>
      <c r="AK14" s="163"/>
      <c r="AL14" s="163"/>
      <c r="AM14" s="159"/>
    </row>
    <row r="15" spans="1:39" s="18" customFormat="1" ht="22.9" customHeight="1" thickBot="1">
      <c r="A15" s="154"/>
      <c r="B15" s="119"/>
      <c r="C15" s="109"/>
      <c r="D15" s="240"/>
      <c r="E15" s="112"/>
      <c r="F15" s="112"/>
      <c r="G15" s="112"/>
      <c r="H15" s="112"/>
      <c r="I15" s="116"/>
      <c r="J15" s="116"/>
      <c r="K15" s="150"/>
      <c r="L15" s="30" t="s">
        <v>61</v>
      </c>
      <c r="M15" s="30" t="s">
        <v>61</v>
      </c>
      <c r="N15" s="30" t="s">
        <v>61</v>
      </c>
      <c r="O15" s="31" t="s">
        <v>61</v>
      </c>
      <c r="P15" s="30" t="s">
        <v>61</v>
      </c>
      <c r="Q15" s="31" t="s">
        <v>61</v>
      </c>
      <c r="R15" s="30" t="s">
        <v>61</v>
      </c>
      <c r="S15" s="31" t="s">
        <v>61</v>
      </c>
      <c r="T15" s="30" t="s">
        <v>61</v>
      </c>
      <c r="U15" s="31" t="s">
        <v>61</v>
      </c>
      <c r="V15" s="30" t="s">
        <v>61</v>
      </c>
      <c r="W15" s="31" t="s">
        <v>61</v>
      </c>
      <c r="X15" s="30" t="s">
        <v>61</v>
      </c>
      <c r="Y15" s="31" t="s">
        <v>61</v>
      </c>
      <c r="Z15" s="30" t="s">
        <v>61</v>
      </c>
      <c r="AA15" s="31" t="s">
        <v>61</v>
      </c>
      <c r="AB15" s="30" t="s">
        <v>61</v>
      </c>
      <c r="AC15" s="31" t="s">
        <v>61</v>
      </c>
      <c r="AD15" s="30" t="s">
        <v>61</v>
      </c>
      <c r="AE15" s="31" t="s">
        <v>61</v>
      </c>
      <c r="AF15" s="30" t="s">
        <v>61</v>
      </c>
      <c r="AG15" s="31" t="s">
        <v>61</v>
      </c>
      <c r="AH15" s="30" t="s">
        <v>61</v>
      </c>
      <c r="AI15" s="31" t="s">
        <v>61</v>
      </c>
      <c r="AJ15" s="29"/>
      <c r="AK15" s="163"/>
      <c r="AL15" s="163"/>
      <c r="AM15" s="159"/>
    </row>
    <row r="16" spans="1:39" s="18" customFormat="1" ht="22.9" customHeight="1" thickTop="1">
      <c r="A16" s="154"/>
      <c r="B16" s="119"/>
      <c r="C16" s="109"/>
      <c r="D16" s="240"/>
      <c r="E16" s="112"/>
      <c r="F16" s="112"/>
      <c r="G16" s="112"/>
      <c r="H16" s="112"/>
      <c r="I16" s="116"/>
      <c r="J16" s="116"/>
      <c r="K16" s="149" t="s">
        <v>62</v>
      </c>
      <c r="L16" s="32">
        <v>4</v>
      </c>
      <c r="M16" s="4"/>
      <c r="N16" s="4"/>
      <c r="O16" s="33">
        <f>+M16+N16</f>
        <v>0</v>
      </c>
      <c r="P16" s="4"/>
      <c r="Q16" s="33">
        <f>+O16+P16</f>
        <v>0</v>
      </c>
      <c r="R16" s="4"/>
      <c r="S16" s="33">
        <f>+Q16+R16</f>
        <v>0</v>
      </c>
      <c r="T16" s="4"/>
      <c r="U16" s="33">
        <f>+S16+T16</f>
        <v>0</v>
      </c>
      <c r="V16" s="4"/>
      <c r="W16" s="33">
        <f>+U16+V16</f>
        <v>0</v>
      </c>
      <c r="X16" s="4"/>
      <c r="Y16" s="33">
        <f>+W16+X16</f>
        <v>0</v>
      </c>
      <c r="Z16" s="4"/>
      <c r="AA16" s="33">
        <f>+Y16+Z16</f>
        <v>0</v>
      </c>
      <c r="AB16" s="4">
        <v>1</v>
      </c>
      <c r="AC16" s="33">
        <f>+AA16+AB16</f>
        <v>1</v>
      </c>
      <c r="AD16" s="4">
        <v>1</v>
      </c>
      <c r="AE16" s="33">
        <f>+AC16+AD16</f>
        <v>2</v>
      </c>
      <c r="AF16" s="4">
        <v>2</v>
      </c>
      <c r="AG16" s="33">
        <f>+AE16+AF16</f>
        <v>4</v>
      </c>
      <c r="AH16" s="4"/>
      <c r="AI16" s="33">
        <f>+AG16+AH16</f>
        <v>4</v>
      </c>
      <c r="AJ16" s="22">
        <f>+AI14/L14</f>
        <v>1</v>
      </c>
      <c r="AK16" s="163"/>
      <c r="AL16" s="163"/>
      <c r="AM16" s="159"/>
    </row>
    <row r="17" spans="1:40" s="18" customFormat="1" ht="22.9" customHeight="1">
      <c r="A17" s="154"/>
      <c r="B17" s="119"/>
      <c r="C17" s="109"/>
      <c r="D17" s="240"/>
      <c r="E17" s="112"/>
      <c r="F17" s="112"/>
      <c r="G17" s="112"/>
      <c r="H17" s="112"/>
      <c r="I17" s="116"/>
      <c r="J17" s="116"/>
      <c r="K17" s="149"/>
      <c r="L17" s="34" t="s">
        <v>63</v>
      </c>
      <c r="M17" s="34" t="s">
        <v>63</v>
      </c>
      <c r="N17" s="34" t="s">
        <v>63</v>
      </c>
      <c r="O17" s="35" t="s">
        <v>63</v>
      </c>
      <c r="P17" s="34" t="s">
        <v>63</v>
      </c>
      <c r="Q17" s="35" t="s">
        <v>63</v>
      </c>
      <c r="R17" s="34" t="s">
        <v>63</v>
      </c>
      <c r="S17" s="35" t="s">
        <v>63</v>
      </c>
      <c r="T17" s="34" t="s">
        <v>63</v>
      </c>
      <c r="U17" s="35" t="s">
        <v>63</v>
      </c>
      <c r="V17" s="34" t="s">
        <v>63</v>
      </c>
      <c r="W17" s="35" t="s">
        <v>63</v>
      </c>
      <c r="X17" s="34" t="s">
        <v>63</v>
      </c>
      <c r="Y17" s="35" t="s">
        <v>63</v>
      </c>
      <c r="Z17" s="34" t="s">
        <v>63</v>
      </c>
      <c r="AA17" s="35" t="s">
        <v>63</v>
      </c>
      <c r="AB17" s="34" t="s">
        <v>63</v>
      </c>
      <c r="AC17" s="35" t="s">
        <v>63</v>
      </c>
      <c r="AD17" s="34" t="s">
        <v>63</v>
      </c>
      <c r="AE17" s="35" t="s">
        <v>63</v>
      </c>
      <c r="AF17" s="34" t="s">
        <v>63</v>
      </c>
      <c r="AG17" s="35" t="s">
        <v>63</v>
      </c>
      <c r="AH17" s="34" t="s">
        <v>63</v>
      </c>
      <c r="AI17" s="35" t="s">
        <v>63</v>
      </c>
      <c r="AJ17" s="29"/>
      <c r="AK17" s="163"/>
      <c r="AL17" s="163"/>
      <c r="AM17" s="159"/>
    </row>
    <row r="18" spans="1:40" s="18" customFormat="1" ht="22.9" customHeight="1" thickBot="1">
      <c r="A18" s="155"/>
      <c r="B18" s="120"/>
      <c r="C18" s="110"/>
      <c r="D18" s="241"/>
      <c r="E18" s="113"/>
      <c r="F18" s="113"/>
      <c r="G18" s="113"/>
      <c r="H18" s="113"/>
      <c r="I18" s="117"/>
      <c r="J18" s="117"/>
      <c r="K18" s="150"/>
      <c r="L18" s="32">
        <v>4</v>
      </c>
      <c r="M18" s="42">
        <v>4</v>
      </c>
      <c r="N18" s="42">
        <v>4</v>
      </c>
      <c r="O18" s="33">
        <v>4</v>
      </c>
      <c r="P18" s="42">
        <v>4</v>
      </c>
      <c r="Q18" s="33">
        <v>4</v>
      </c>
      <c r="R18" s="42">
        <v>4</v>
      </c>
      <c r="S18" s="33">
        <v>4</v>
      </c>
      <c r="T18" s="42">
        <v>4</v>
      </c>
      <c r="U18" s="33">
        <v>4</v>
      </c>
      <c r="V18" s="42">
        <v>4</v>
      </c>
      <c r="W18" s="33">
        <v>4</v>
      </c>
      <c r="X18" s="42">
        <v>4</v>
      </c>
      <c r="Y18" s="33">
        <v>4</v>
      </c>
      <c r="Z18" s="42">
        <v>4</v>
      </c>
      <c r="AA18" s="33">
        <v>4</v>
      </c>
      <c r="AB18" s="42">
        <v>4</v>
      </c>
      <c r="AC18" s="33">
        <v>4</v>
      </c>
      <c r="AD18" s="42">
        <v>4</v>
      </c>
      <c r="AE18" s="33">
        <v>4</v>
      </c>
      <c r="AF18" s="42">
        <v>4</v>
      </c>
      <c r="AG18" s="33">
        <v>4</v>
      </c>
      <c r="AH18" s="42">
        <v>4</v>
      </c>
      <c r="AI18" s="33">
        <v>4</v>
      </c>
      <c r="AJ18" s="36"/>
      <c r="AK18" s="164"/>
      <c r="AL18" s="164"/>
      <c r="AM18" s="160"/>
    </row>
    <row r="19" spans="1:40" s="18" customFormat="1" ht="22.9" customHeight="1" thickTop="1">
      <c r="A19" s="153" t="s">
        <v>64</v>
      </c>
      <c r="B19" s="118" t="s">
        <v>65</v>
      </c>
      <c r="C19" s="108" t="s">
        <v>66</v>
      </c>
      <c r="D19" s="114" t="s">
        <v>67</v>
      </c>
      <c r="E19" s="114" t="s">
        <v>53</v>
      </c>
      <c r="F19" s="114" t="s">
        <v>54</v>
      </c>
      <c r="G19" s="114" t="s">
        <v>68</v>
      </c>
      <c r="H19" s="114" t="s">
        <v>56</v>
      </c>
      <c r="I19" s="115">
        <f>+L20</f>
        <v>0.5</v>
      </c>
      <c r="J19" s="115">
        <v>0.2</v>
      </c>
      <c r="K19" s="148" t="s">
        <v>69</v>
      </c>
      <c r="L19" s="25" t="s">
        <v>58</v>
      </c>
      <c r="M19" s="25" t="s">
        <v>58</v>
      </c>
      <c r="N19" s="25" t="s">
        <v>58</v>
      </c>
      <c r="O19" s="26" t="s">
        <v>58</v>
      </c>
      <c r="P19" s="25" t="s">
        <v>58</v>
      </c>
      <c r="Q19" s="26" t="s">
        <v>58</v>
      </c>
      <c r="R19" s="25" t="s">
        <v>58</v>
      </c>
      <c r="S19" s="26" t="s">
        <v>58</v>
      </c>
      <c r="T19" s="25" t="s">
        <v>58</v>
      </c>
      <c r="U19" s="26" t="s">
        <v>58</v>
      </c>
      <c r="V19" s="25" t="s">
        <v>58</v>
      </c>
      <c r="W19" s="26" t="s">
        <v>58</v>
      </c>
      <c r="X19" s="25" t="s">
        <v>58</v>
      </c>
      <c r="Y19" s="26" t="s">
        <v>58</v>
      </c>
      <c r="Z19" s="25" t="s">
        <v>58</v>
      </c>
      <c r="AA19" s="26" t="s">
        <v>58</v>
      </c>
      <c r="AB19" s="25" t="s">
        <v>58</v>
      </c>
      <c r="AC19" s="26" t="s">
        <v>58</v>
      </c>
      <c r="AD19" s="25" t="s">
        <v>58</v>
      </c>
      <c r="AE19" s="26" t="s">
        <v>58</v>
      </c>
      <c r="AF19" s="25" t="s">
        <v>58</v>
      </c>
      <c r="AG19" s="26" t="s">
        <v>58</v>
      </c>
      <c r="AH19" s="25" t="s">
        <v>58</v>
      </c>
      <c r="AI19" s="26" t="s">
        <v>58</v>
      </c>
      <c r="AJ19" s="27"/>
      <c r="AK19" s="162" t="s">
        <v>70</v>
      </c>
      <c r="AL19" s="162"/>
      <c r="AM19" s="158" t="s">
        <v>71</v>
      </c>
      <c r="AN19" s="20"/>
    </row>
    <row r="20" spans="1:40" s="18" customFormat="1" ht="22.9" customHeight="1">
      <c r="A20" s="154"/>
      <c r="B20" s="119"/>
      <c r="C20" s="156"/>
      <c r="D20" s="112"/>
      <c r="E20" s="112"/>
      <c r="F20" s="112"/>
      <c r="G20" s="112"/>
      <c r="H20" s="112"/>
      <c r="I20" s="116"/>
      <c r="J20" s="116"/>
      <c r="K20" s="149"/>
      <c r="L20" s="21">
        <f t="shared" ref="L20:P20" si="4">IF(L22&lt;&gt;0,+L22/L24,0%)</f>
        <v>0.5</v>
      </c>
      <c r="M20" s="19">
        <f t="shared" si="4"/>
        <v>0</v>
      </c>
      <c r="N20" s="19">
        <f t="shared" si="4"/>
        <v>0</v>
      </c>
      <c r="O20" s="3">
        <f t="shared" si="4"/>
        <v>0</v>
      </c>
      <c r="P20" s="19">
        <f t="shared" si="4"/>
        <v>0</v>
      </c>
      <c r="Q20" s="3">
        <f>IF(Q22&lt;&gt;0,+Q22/Q24,0%)</f>
        <v>0</v>
      </c>
      <c r="R20" s="19">
        <f t="shared" ref="R20:T20" si="5">IF(R22&lt;&gt;0,+R22/R24,0%)</f>
        <v>0</v>
      </c>
      <c r="S20" s="3">
        <f>IF(S22&lt;&gt;0,+S22/S24,0%)</f>
        <v>0</v>
      </c>
      <c r="T20" s="19">
        <f t="shared" si="5"/>
        <v>0</v>
      </c>
      <c r="U20" s="3">
        <f>IF(U22&lt;&gt;0,+U22/U24,0%)</f>
        <v>0</v>
      </c>
      <c r="V20" s="19">
        <f t="shared" ref="V20:X20" si="6">IF(V22&lt;&gt;0,+V22/V24,0%)</f>
        <v>0</v>
      </c>
      <c r="W20" s="3">
        <f>IF(W22&lt;&gt;0,+W22/W24,0%)</f>
        <v>0</v>
      </c>
      <c r="X20" s="19">
        <f t="shared" si="6"/>
        <v>0</v>
      </c>
      <c r="Y20" s="3">
        <f>IF(Y22&lt;&gt;0,+Y22/Y24,0%)</f>
        <v>0</v>
      </c>
      <c r="Z20" s="19">
        <f t="shared" ref="Z20:AB20" si="7">IF(Z22&lt;&gt;0,+Z22/Z24,0%)</f>
        <v>0</v>
      </c>
      <c r="AA20" s="3">
        <f>IF(AA22&lt;&gt;0,+AA22/AA24,0%)</f>
        <v>0</v>
      </c>
      <c r="AB20" s="19">
        <f t="shared" si="7"/>
        <v>0.375</v>
      </c>
      <c r="AC20" s="3">
        <f>IF(AC22&lt;&gt;0,+AC22/AC24,0%)</f>
        <v>0.375</v>
      </c>
      <c r="AD20" s="19">
        <f t="shared" ref="AD20:AF20" si="8">IF(AD22&lt;&gt;0,+AD22/AD24,0%)</f>
        <v>0.125</v>
      </c>
      <c r="AE20" s="3">
        <f>IF(AE22&lt;&gt;0,+AE22/AE24,0%)</f>
        <v>0.5</v>
      </c>
      <c r="AF20" s="19">
        <f t="shared" si="8"/>
        <v>0</v>
      </c>
      <c r="AG20" s="3">
        <f>IF(AG22&lt;&gt;0,+AG22/AG24,0%)</f>
        <v>0.5</v>
      </c>
      <c r="AH20" s="19">
        <f t="shared" ref="AH20" si="9">IF(AH22&lt;&gt;0,+AH22/AH24,0%)</f>
        <v>0</v>
      </c>
      <c r="AI20" s="3">
        <f>IF(AI22&lt;&gt;0,+AI22/AI24,0%)</f>
        <v>0.5</v>
      </c>
      <c r="AJ20" s="29"/>
      <c r="AK20" s="163"/>
      <c r="AL20" s="163"/>
      <c r="AM20" s="159"/>
    </row>
    <row r="21" spans="1:40" s="18" customFormat="1" ht="22.9" customHeight="1" thickBot="1">
      <c r="A21" s="154"/>
      <c r="B21" s="119"/>
      <c r="C21" s="156"/>
      <c r="D21" s="112"/>
      <c r="E21" s="112"/>
      <c r="F21" s="112"/>
      <c r="G21" s="112"/>
      <c r="H21" s="112"/>
      <c r="I21" s="116"/>
      <c r="J21" s="116"/>
      <c r="K21" s="150"/>
      <c r="L21" s="30" t="s">
        <v>61</v>
      </c>
      <c r="M21" s="30" t="s">
        <v>61</v>
      </c>
      <c r="N21" s="30" t="s">
        <v>61</v>
      </c>
      <c r="O21" s="31" t="s">
        <v>61</v>
      </c>
      <c r="P21" s="30" t="s">
        <v>61</v>
      </c>
      <c r="Q21" s="31" t="s">
        <v>61</v>
      </c>
      <c r="R21" s="30" t="s">
        <v>61</v>
      </c>
      <c r="S21" s="31" t="s">
        <v>61</v>
      </c>
      <c r="T21" s="30" t="s">
        <v>61</v>
      </c>
      <c r="U21" s="31" t="s">
        <v>61</v>
      </c>
      <c r="V21" s="30" t="s">
        <v>61</v>
      </c>
      <c r="W21" s="31" t="s">
        <v>61</v>
      </c>
      <c r="X21" s="30" t="s">
        <v>61</v>
      </c>
      <c r="Y21" s="31" t="s">
        <v>61</v>
      </c>
      <c r="Z21" s="30" t="s">
        <v>61</v>
      </c>
      <c r="AA21" s="31" t="s">
        <v>61</v>
      </c>
      <c r="AB21" s="30" t="s">
        <v>61</v>
      </c>
      <c r="AC21" s="31" t="s">
        <v>61</v>
      </c>
      <c r="AD21" s="30" t="s">
        <v>61</v>
      </c>
      <c r="AE21" s="31" t="s">
        <v>61</v>
      </c>
      <c r="AF21" s="30" t="s">
        <v>61</v>
      </c>
      <c r="AG21" s="31" t="s">
        <v>61</v>
      </c>
      <c r="AH21" s="30" t="s">
        <v>61</v>
      </c>
      <c r="AI21" s="31" t="s">
        <v>61</v>
      </c>
      <c r="AJ21" s="29"/>
      <c r="AK21" s="163"/>
      <c r="AL21" s="163"/>
      <c r="AM21" s="159"/>
    </row>
    <row r="22" spans="1:40" s="18" customFormat="1" ht="22.9" customHeight="1" thickTop="1">
      <c r="A22" s="154"/>
      <c r="B22" s="119"/>
      <c r="C22" s="156"/>
      <c r="D22" s="112"/>
      <c r="E22" s="112"/>
      <c r="F22" s="112"/>
      <c r="G22" s="112"/>
      <c r="H22" s="112"/>
      <c r="I22" s="116"/>
      <c r="J22" s="116"/>
      <c r="K22" s="148" t="s">
        <v>72</v>
      </c>
      <c r="L22" s="32">
        <v>4</v>
      </c>
      <c r="M22" s="4"/>
      <c r="N22" s="4"/>
      <c r="O22" s="33">
        <f>+M22+N22</f>
        <v>0</v>
      </c>
      <c r="P22" s="4"/>
      <c r="Q22" s="33">
        <f>+O22+P22</f>
        <v>0</v>
      </c>
      <c r="R22" s="4"/>
      <c r="S22" s="33">
        <f>+Q22+R22</f>
        <v>0</v>
      </c>
      <c r="T22" s="4"/>
      <c r="U22" s="33">
        <f>+S22+T22</f>
        <v>0</v>
      </c>
      <c r="V22" s="4"/>
      <c r="W22" s="33">
        <f>+U22+V22</f>
        <v>0</v>
      </c>
      <c r="X22" s="4"/>
      <c r="Y22" s="33">
        <f>+W22+X22</f>
        <v>0</v>
      </c>
      <c r="Z22" s="4"/>
      <c r="AA22" s="33">
        <f>+Y22+Z22</f>
        <v>0</v>
      </c>
      <c r="AB22" s="4">
        <v>3</v>
      </c>
      <c r="AC22" s="33">
        <f>+AA22+AB22</f>
        <v>3</v>
      </c>
      <c r="AD22" s="4">
        <v>1</v>
      </c>
      <c r="AE22" s="33">
        <f>+AC22+AD22</f>
        <v>4</v>
      </c>
      <c r="AF22" s="4"/>
      <c r="AG22" s="33">
        <f>+AE22+AF22</f>
        <v>4</v>
      </c>
      <c r="AH22" s="4"/>
      <c r="AI22" s="33">
        <f>+AG22+AH22</f>
        <v>4</v>
      </c>
      <c r="AJ22" s="22">
        <f>+AI20/L20</f>
        <v>1</v>
      </c>
      <c r="AK22" s="163"/>
      <c r="AL22" s="163"/>
      <c r="AM22" s="159"/>
    </row>
    <row r="23" spans="1:40" s="18" customFormat="1" ht="22.9" customHeight="1">
      <c r="A23" s="154"/>
      <c r="B23" s="119"/>
      <c r="C23" s="156"/>
      <c r="D23" s="112"/>
      <c r="E23" s="112"/>
      <c r="F23" s="112"/>
      <c r="G23" s="112"/>
      <c r="H23" s="112"/>
      <c r="I23" s="116"/>
      <c r="J23" s="116"/>
      <c r="K23" s="149"/>
      <c r="L23" s="34" t="s">
        <v>63</v>
      </c>
      <c r="M23" s="34" t="s">
        <v>63</v>
      </c>
      <c r="N23" s="34" t="s">
        <v>63</v>
      </c>
      <c r="O23" s="35" t="s">
        <v>63</v>
      </c>
      <c r="P23" s="34" t="s">
        <v>63</v>
      </c>
      <c r="Q23" s="35" t="s">
        <v>63</v>
      </c>
      <c r="R23" s="34" t="s">
        <v>63</v>
      </c>
      <c r="S23" s="35" t="s">
        <v>63</v>
      </c>
      <c r="T23" s="34" t="s">
        <v>63</v>
      </c>
      <c r="U23" s="35" t="s">
        <v>63</v>
      </c>
      <c r="V23" s="34" t="s">
        <v>63</v>
      </c>
      <c r="W23" s="35" t="s">
        <v>63</v>
      </c>
      <c r="X23" s="34" t="s">
        <v>63</v>
      </c>
      <c r="Y23" s="35" t="s">
        <v>63</v>
      </c>
      <c r="Z23" s="34" t="s">
        <v>63</v>
      </c>
      <c r="AA23" s="35" t="s">
        <v>63</v>
      </c>
      <c r="AB23" s="34" t="s">
        <v>63</v>
      </c>
      <c r="AC23" s="35" t="s">
        <v>63</v>
      </c>
      <c r="AD23" s="34" t="s">
        <v>63</v>
      </c>
      <c r="AE23" s="35" t="s">
        <v>63</v>
      </c>
      <c r="AF23" s="34" t="s">
        <v>63</v>
      </c>
      <c r="AG23" s="35" t="s">
        <v>63</v>
      </c>
      <c r="AH23" s="34" t="s">
        <v>63</v>
      </c>
      <c r="AI23" s="35" t="s">
        <v>63</v>
      </c>
      <c r="AJ23" s="29"/>
      <c r="AK23" s="163"/>
      <c r="AL23" s="163"/>
      <c r="AM23" s="159"/>
    </row>
    <row r="24" spans="1:40" s="18" customFormat="1" ht="22.9" customHeight="1" thickBot="1">
      <c r="A24" s="155"/>
      <c r="B24" s="120"/>
      <c r="C24" s="157"/>
      <c r="D24" s="113"/>
      <c r="E24" s="113"/>
      <c r="F24" s="113"/>
      <c r="G24" s="113"/>
      <c r="H24" s="113"/>
      <c r="I24" s="117"/>
      <c r="J24" s="117"/>
      <c r="K24" s="150"/>
      <c r="L24" s="32">
        <v>8</v>
      </c>
      <c r="M24" s="42">
        <v>8</v>
      </c>
      <c r="N24" s="42">
        <v>8</v>
      </c>
      <c r="O24" s="33">
        <v>8</v>
      </c>
      <c r="P24" s="42">
        <v>8</v>
      </c>
      <c r="Q24" s="33">
        <v>8</v>
      </c>
      <c r="R24" s="42">
        <v>8</v>
      </c>
      <c r="S24" s="33">
        <v>8</v>
      </c>
      <c r="T24" s="42">
        <v>8</v>
      </c>
      <c r="U24" s="33">
        <v>8</v>
      </c>
      <c r="V24" s="42">
        <v>8</v>
      </c>
      <c r="W24" s="33">
        <v>8</v>
      </c>
      <c r="X24" s="42">
        <v>8</v>
      </c>
      <c r="Y24" s="33">
        <v>8</v>
      </c>
      <c r="Z24" s="42">
        <v>8</v>
      </c>
      <c r="AA24" s="33">
        <v>8</v>
      </c>
      <c r="AB24" s="42">
        <v>8</v>
      </c>
      <c r="AC24" s="33">
        <v>8</v>
      </c>
      <c r="AD24" s="42">
        <v>8</v>
      </c>
      <c r="AE24" s="33">
        <v>8</v>
      </c>
      <c r="AF24" s="42">
        <v>8</v>
      </c>
      <c r="AG24" s="33">
        <v>8</v>
      </c>
      <c r="AH24" s="42">
        <v>8</v>
      </c>
      <c r="AI24" s="33">
        <v>8</v>
      </c>
      <c r="AJ24" s="36"/>
      <c r="AK24" s="164"/>
      <c r="AL24" s="164"/>
      <c r="AM24" s="160"/>
    </row>
    <row r="25" spans="1:40" s="18" customFormat="1" ht="22.9" customHeight="1" thickTop="1">
      <c r="A25" s="177" t="s">
        <v>73</v>
      </c>
      <c r="B25" s="180" t="s">
        <v>74</v>
      </c>
      <c r="C25" s="183" t="s">
        <v>75</v>
      </c>
      <c r="D25" s="114" t="s">
        <v>76</v>
      </c>
      <c r="E25" s="184" t="s">
        <v>53</v>
      </c>
      <c r="F25" s="114" t="s">
        <v>54</v>
      </c>
      <c r="G25" s="184" t="s">
        <v>77</v>
      </c>
      <c r="H25" s="111" t="s">
        <v>78</v>
      </c>
      <c r="I25" s="115">
        <f>+L26</f>
        <v>1</v>
      </c>
      <c r="J25" s="115">
        <v>0.2</v>
      </c>
      <c r="K25" s="148" t="s">
        <v>79</v>
      </c>
      <c r="L25" s="25" t="s">
        <v>58</v>
      </c>
      <c r="M25" s="25" t="s">
        <v>58</v>
      </c>
      <c r="N25" s="25" t="s">
        <v>58</v>
      </c>
      <c r="O25" s="26" t="s">
        <v>58</v>
      </c>
      <c r="P25" s="25" t="s">
        <v>58</v>
      </c>
      <c r="Q25" s="26" t="s">
        <v>58</v>
      </c>
      <c r="R25" s="25" t="s">
        <v>58</v>
      </c>
      <c r="S25" s="26" t="s">
        <v>58</v>
      </c>
      <c r="T25" s="25" t="s">
        <v>58</v>
      </c>
      <c r="U25" s="26" t="s">
        <v>58</v>
      </c>
      <c r="V25" s="25" t="s">
        <v>58</v>
      </c>
      <c r="W25" s="26" t="s">
        <v>58</v>
      </c>
      <c r="X25" s="25" t="s">
        <v>58</v>
      </c>
      <c r="Y25" s="26" t="s">
        <v>58</v>
      </c>
      <c r="Z25" s="25" t="s">
        <v>58</v>
      </c>
      <c r="AA25" s="26" t="s">
        <v>58</v>
      </c>
      <c r="AB25" s="25" t="s">
        <v>58</v>
      </c>
      <c r="AC25" s="26" t="s">
        <v>58</v>
      </c>
      <c r="AD25" s="25" t="s">
        <v>58</v>
      </c>
      <c r="AE25" s="26" t="s">
        <v>58</v>
      </c>
      <c r="AF25" s="25" t="s">
        <v>58</v>
      </c>
      <c r="AG25" s="26" t="s">
        <v>58</v>
      </c>
      <c r="AH25" s="25" t="s">
        <v>58</v>
      </c>
      <c r="AI25" s="26" t="s">
        <v>58</v>
      </c>
      <c r="AJ25" s="27"/>
      <c r="AK25" s="162" t="s">
        <v>80</v>
      </c>
      <c r="AL25" s="172"/>
      <c r="AM25" s="158" t="s">
        <v>71</v>
      </c>
    </row>
    <row r="26" spans="1:40" s="18" customFormat="1" ht="22.9" customHeight="1">
      <c r="A26" s="178"/>
      <c r="B26" s="181"/>
      <c r="C26" s="156"/>
      <c r="D26" s="112"/>
      <c r="E26" s="185"/>
      <c r="F26" s="112"/>
      <c r="G26" s="185"/>
      <c r="H26" s="187"/>
      <c r="I26" s="116"/>
      <c r="J26" s="116"/>
      <c r="K26" s="149"/>
      <c r="L26" s="21">
        <f t="shared" ref="L26:P26" si="10">IF(L28&lt;&gt;0,+L28/L30,0%)</f>
        <v>1</v>
      </c>
      <c r="M26" s="19">
        <f t="shared" si="10"/>
        <v>0</v>
      </c>
      <c r="N26" s="19">
        <f t="shared" si="10"/>
        <v>0</v>
      </c>
      <c r="O26" s="3">
        <f t="shared" si="10"/>
        <v>0</v>
      </c>
      <c r="P26" s="19">
        <f t="shared" si="10"/>
        <v>0</v>
      </c>
      <c r="Q26" s="3">
        <f>IF(Q28&lt;&gt;0,+Q28/Q30,0%)</f>
        <v>0</v>
      </c>
      <c r="R26" s="19">
        <f t="shared" ref="R26:T26" si="11">IF(R28&lt;&gt;0,+R28/R30,0%)</f>
        <v>0</v>
      </c>
      <c r="S26" s="3">
        <f>IF(S28&lt;&gt;0,+S28/S30,0%)</f>
        <v>0</v>
      </c>
      <c r="T26" s="19">
        <f t="shared" si="11"/>
        <v>0</v>
      </c>
      <c r="U26" s="3">
        <f>IF(U28&lt;&gt;0,+U28/U30,0%)</f>
        <v>0</v>
      </c>
      <c r="V26" s="19">
        <f t="shared" ref="V26:X26" si="12">IF(V28&lt;&gt;0,+V28/V30,0%)</f>
        <v>0</v>
      </c>
      <c r="W26" s="3">
        <f>IF(W28&lt;&gt;0,+W28/W30,0%)</f>
        <v>0</v>
      </c>
      <c r="X26" s="19">
        <f t="shared" si="12"/>
        <v>0</v>
      </c>
      <c r="Y26" s="3">
        <f>IF(Y28&lt;&gt;0,+Y28/Y30,0%)</f>
        <v>0</v>
      </c>
      <c r="Z26" s="19">
        <f t="shared" ref="Z26:AB26" si="13">IF(Z28&lt;&gt;0,+Z28/Z30,0%)</f>
        <v>0</v>
      </c>
      <c r="AA26" s="3">
        <f>IF(AA28&lt;&gt;0,+AA28/AA30,0%)</f>
        <v>0</v>
      </c>
      <c r="AB26" s="19">
        <f t="shared" si="13"/>
        <v>0</v>
      </c>
      <c r="AC26" s="3">
        <f>IF(AC28&lt;&gt;0,+AC28/AC30,0%)</f>
        <v>0</v>
      </c>
      <c r="AD26" s="19">
        <f t="shared" ref="AD26:AF26" si="14">IF(AD28&lt;&gt;0,+AD28/AD30,0%)</f>
        <v>0</v>
      </c>
      <c r="AE26" s="3">
        <f>IF(AE28&lt;&gt;0,+AE28/AE30,0%)</f>
        <v>0</v>
      </c>
      <c r="AF26" s="19">
        <f t="shared" si="14"/>
        <v>1</v>
      </c>
      <c r="AG26" s="3">
        <f>IF(AG28&lt;&gt;0,+AG28/AG30,0%)</f>
        <v>1</v>
      </c>
      <c r="AH26" s="19">
        <f t="shared" ref="AH26" si="15">IF(AH28&lt;&gt;0,+AH28/AH30,0%)</f>
        <v>0</v>
      </c>
      <c r="AI26" s="3">
        <f>IF(AI28&lt;&gt;0,+AI28/AI30,0%)</f>
        <v>1</v>
      </c>
      <c r="AJ26" s="29"/>
      <c r="AK26" s="163"/>
      <c r="AL26" s="173"/>
      <c r="AM26" s="175"/>
    </row>
    <row r="27" spans="1:40" s="18" customFormat="1" ht="22.9" customHeight="1" thickBot="1">
      <c r="A27" s="178"/>
      <c r="B27" s="181"/>
      <c r="C27" s="156"/>
      <c r="D27" s="112"/>
      <c r="E27" s="185"/>
      <c r="F27" s="112"/>
      <c r="G27" s="185"/>
      <c r="H27" s="187"/>
      <c r="I27" s="116"/>
      <c r="J27" s="116"/>
      <c r="K27" s="150"/>
      <c r="L27" s="30" t="s">
        <v>61</v>
      </c>
      <c r="M27" s="30" t="s">
        <v>61</v>
      </c>
      <c r="N27" s="30" t="s">
        <v>61</v>
      </c>
      <c r="O27" s="31" t="s">
        <v>61</v>
      </c>
      <c r="P27" s="30" t="s">
        <v>61</v>
      </c>
      <c r="Q27" s="31" t="s">
        <v>61</v>
      </c>
      <c r="R27" s="30" t="s">
        <v>61</v>
      </c>
      <c r="S27" s="31" t="s">
        <v>61</v>
      </c>
      <c r="T27" s="30" t="s">
        <v>61</v>
      </c>
      <c r="U27" s="31" t="s">
        <v>61</v>
      </c>
      <c r="V27" s="30" t="s">
        <v>61</v>
      </c>
      <c r="W27" s="31" t="s">
        <v>61</v>
      </c>
      <c r="X27" s="30" t="s">
        <v>61</v>
      </c>
      <c r="Y27" s="31" t="s">
        <v>61</v>
      </c>
      <c r="Z27" s="30" t="s">
        <v>61</v>
      </c>
      <c r="AA27" s="31" t="s">
        <v>61</v>
      </c>
      <c r="AB27" s="30" t="s">
        <v>61</v>
      </c>
      <c r="AC27" s="31" t="s">
        <v>61</v>
      </c>
      <c r="AD27" s="30" t="s">
        <v>61</v>
      </c>
      <c r="AE27" s="31" t="s">
        <v>61</v>
      </c>
      <c r="AF27" s="30" t="s">
        <v>61</v>
      </c>
      <c r="AG27" s="31" t="s">
        <v>61</v>
      </c>
      <c r="AH27" s="30" t="s">
        <v>61</v>
      </c>
      <c r="AI27" s="31" t="s">
        <v>61</v>
      </c>
      <c r="AJ27" s="29"/>
      <c r="AK27" s="163"/>
      <c r="AL27" s="173"/>
      <c r="AM27" s="175"/>
    </row>
    <row r="28" spans="1:40" s="18" customFormat="1" ht="22.9" customHeight="1" thickTop="1">
      <c r="A28" s="178"/>
      <c r="B28" s="181"/>
      <c r="C28" s="156"/>
      <c r="D28" s="112"/>
      <c r="E28" s="185"/>
      <c r="F28" s="112"/>
      <c r="G28" s="185"/>
      <c r="H28" s="187"/>
      <c r="I28" s="116"/>
      <c r="J28" s="116"/>
      <c r="K28" s="149" t="s">
        <v>81</v>
      </c>
      <c r="L28" s="32">
        <v>4</v>
      </c>
      <c r="M28" s="4"/>
      <c r="N28" s="4"/>
      <c r="O28" s="33">
        <f>+M28+N28</f>
        <v>0</v>
      </c>
      <c r="P28" s="4"/>
      <c r="Q28" s="33">
        <f>+O28+P28</f>
        <v>0</v>
      </c>
      <c r="R28" s="4"/>
      <c r="S28" s="33">
        <f>+Q28+R28</f>
        <v>0</v>
      </c>
      <c r="T28" s="4"/>
      <c r="U28" s="33">
        <f>+S28+T28</f>
        <v>0</v>
      </c>
      <c r="V28" s="4"/>
      <c r="W28" s="33">
        <f>+U28+V28</f>
        <v>0</v>
      </c>
      <c r="X28" s="4"/>
      <c r="Y28" s="33">
        <f>+W28+X28</f>
        <v>0</v>
      </c>
      <c r="Z28" s="4"/>
      <c r="AA28" s="33">
        <f>+Y28+Z28</f>
        <v>0</v>
      </c>
      <c r="AB28" s="4"/>
      <c r="AC28" s="33">
        <f>+AA28+AB28</f>
        <v>0</v>
      </c>
      <c r="AD28" s="4"/>
      <c r="AE28" s="33">
        <f>+AC28+AD28</f>
        <v>0</v>
      </c>
      <c r="AF28" s="4">
        <v>4</v>
      </c>
      <c r="AG28" s="33">
        <f>+AE28+AF28</f>
        <v>4</v>
      </c>
      <c r="AH28" s="4"/>
      <c r="AI28" s="33">
        <f>+AG28+AH28</f>
        <v>4</v>
      </c>
      <c r="AJ28" s="22">
        <f>+AI26/L26</f>
        <v>1</v>
      </c>
      <c r="AK28" s="163"/>
      <c r="AL28" s="173"/>
      <c r="AM28" s="175"/>
    </row>
    <row r="29" spans="1:40" s="18" customFormat="1" ht="22.9" customHeight="1">
      <c r="A29" s="178"/>
      <c r="B29" s="181"/>
      <c r="C29" s="156"/>
      <c r="D29" s="112"/>
      <c r="E29" s="185"/>
      <c r="F29" s="112"/>
      <c r="G29" s="185"/>
      <c r="H29" s="187"/>
      <c r="I29" s="116"/>
      <c r="J29" s="116"/>
      <c r="K29" s="149"/>
      <c r="L29" s="34" t="s">
        <v>63</v>
      </c>
      <c r="M29" s="34" t="s">
        <v>63</v>
      </c>
      <c r="N29" s="34" t="s">
        <v>63</v>
      </c>
      <c r="O29" s="35" t="s">
        <v>63</v>
      </c>
      <c r="P29" s="34" t="s">
        <v>63</v>
      </c>
      <c r="Q29" s="35" t="s">
        <v>63</v>
      </c>
      <c r="R29" s="34" t="s">
        <v>63</v>
      </c>
      <c r="S29" s="35" t="s">
        <v>63</v>
      </c>
      <c r="T29" s="34" t="s">
        <v>63</v>
      </c>
      <c r="U29" s="35" t="s">
        <v>63</v>
      </c>
      <c r="V29" s="34" t="s">
        <v>63</v>
      </c>
      <c r="W29" s="35" t="s">
        <v>63</v>
      </c>
      <c r="X29" s="34" t="s">
        <v>63</v>
      </c>
      <c r="Y29" s="35" t="s">
        <v>63</v>
      </c>
      <c r="Z29" s="34" t="s">
        <v>63</v>
      </c>
      <c r="AA29" s="35" t="s">
        <v>63</v>
      </c>
      <c r="AB29" s="34" t="s">
        <v>63</v>
      </c>
      <c r="AC29" s="35" t="s">
        <v>63</v>
      </c>
      <c r="AD29" s="34" t="s">
        <v>63</v>
      </c>
      <c r="AE29" s="35" t="s">
        <v>63</v>
      </c>
      <c r="AF29" s="34" t="s">
        <v>63</v>
      </c>
      <c r="AG29" s="35" t="s">
        <v>63</v>
      </c>
      <c r="AH29" s="34" t="s">
        <v>63</v>
      </c>
      <c r="AI29" s="35" t="s">
        <v>63</v>
      </c>
      <c r="AJ29" s="29"/>
      <c r="AK29" s="163"/>
      <c r="AL29" s="173"/>
      <c r="AM29" s="175"/>
    </row>
    <row r="30" spans="1:40" s="18" customFormat="1" ht="22.9" customHeight="1">
      <c r="A30" s="179"/>
      <c r="B30" s="182"/>
      <c r="C30" s="157"/>
      <c r="D30" s="113"/>
      <c r="E30" s="186"/>
      <c r="F30" s="113"/>
      <c r="G30" s="186"/>
      <c r="H30" s="188"/>
      <c r="I30" s="117"/>
      <c r="J30" s="117"/>
      <c r="K30" s="150"/>
      <c r="L30" s="41">
        <v>4</v>
      </c>
      <c r="M30" s="42">
        <v>4</v>
      </c>
      <c r="N30" s="42">
        <v>4</v>
      </c>
      <c r="O30" s="33">
        <v>4</v>
      </c>
      <c r="P30" s="42">
        <v>4</v>
      </c>
      <c r="Q30" s="33">
        <v>4</v>
      </c>
      <c r="R30" s="42">
        <v>4</v>
      </c>
      <c r="S30" s="33">
        <v>4</v>
      </c>
      <c r="T30" s="42">
        <v>4</v>
      </c>
      <c r="U30" s="33">
        <v>4</v>
      </c>
      <c r="V30" s="42">
        <v>4</v>
      </c>
      <c r="W30" s="33">
        <v>4</v>
      </c>
      <c r="X30" s="42">
        <v>4</v>
      </c>
      <c r="Y30" s="33">
        <v>4</v>
      </c>
      <c r="Z30" s="42">
        <v>4</v>
      </c>
      <c r="AA30" s="33">
        <v>4</v>
      </c>
      <c r="AB30" s="42">
        <v>4</v>
      </c>
      <c r="AC30" s="33">
        <v>4</v>
      </c>
      <c r="AD30" s="42">
        <v>4</v>
      </c>
      <c r="AE30" s="33">
        <v>4</v>
      </c>
      <c r="AF30" s="42">
        <v>4</v>
      </c>
      <c r="AG30" s="33">
        <v>4</v>
      </c>
      <c r="AH30" s="42">
        <v>4</v>
      </c>
      <c r="AI30" s="33">
        <v>4</v>
      </c>
      <c r="AJ30" s="36"/>
      <c r="AK30" s="164"/>
      <c r="AL30" s="174"/>
      <c r="AM30" s="176"/>
    </row>
    <row r="31" spans="1:40" s="18" customFormat="1" ht="22.9" customHeight="1">
      <c r="A31" s="177" t="s">
        <v>82</v>
      </c>
      <c r="B31" s="180" t="s">
        <v>74</v>
      </c>
      <c r="C31" s="189" t="s">
        <v>83</v>
      </c>
      <c r="D31" s="114" t="s">
        <v>84</v>
      </c>
      <c r="E31" s="184" t="s">
        <v>53</v>
      </c>
      <c r="F31" s="114" t="s">
        <v>54</v>
      </c>
      <c r="G31" s="184" t="s">
        <v>85</v>
      </c>
      <c r="H31" s="111" t="s">
        <v>56</v>
      </c>
      <c r="I31" s="115">
        <f>+L32</f>
        <v>0.59460000000000002</v>
      </c>
      <c r="J31" s="115">
        <v>0.2</v>
      </c>
      <c r="K31" s="148" t="s">
        <v>86</v>
      </c>
      <c r="L31" s="64" t="s">
        <v>58</v>
      </c>
      <c r="M31" s="65" t="s">
        <v>58</v>
      </c>
      <c r="N31" s="65" t="s">
        <v>58</v>
      </c>
      <c r="O31" s="66" t="s">
        <v>58</v>
      </c>
      <c r="P31" s="65" t="s">
        <v>58</v>
      </c>
      <c r="Q31" s="66" t="s">
        <v>58</v>
      </c>
      <c r="R31" s="65" t="s">
        <v>58</v>
      </c>
      <c r="S31" s="66" t="s">
        <v>58</v>
      </c>
      <c r="T31" s="65" t="s">
        <v>58</v>
      </c>
      <c r="U31" s="66" t="s">
        <v>58</v>
      </c>
      <c r="V31" s="65" t="s">
        <v>58</v>
      </c>
      <c r="W31" s="66" t="s">
        <v>58</v>
      </c>
      <c r="X31" s="65" t="s">
        <v>58</v>
      </c>
      <c r="Y31" s="66" t="s">
        <v>58</v>
      </c>
      <c r="Z31" s="65" t="s">
        <v>58</v>
      </c>
      <c r="AA31" s="66" t="s">
        <v>58</v>
      </c>
      <c r="AB31" s="65" t="s">
        <v>58</v>
      </c>
      <c r="AC31" s="66" t="s">
        <v>58</v>
      </c>
      <c r="AD31" s="65" t="s">
        <v>58</v>
      </c>
      <c r="AE31" s="66" t="s">
        <v>58</v>
      </c>
      <c r="AF31" s="65" t="s">
        <v>58</v>
      </c>
      <c r="AG31" s="66" t="s">
        <v>58</v>
      </c>
      <c r="AH31" s="65" t="s">
        <v>58</v>
      </c>
      <c r="AI31" s="66" t="s">
        <v>58</v>
      </c>
      <c r="AJ31" s="27"/>
      <c r="AK31" s="162" t="s">
        <v>87</v>
      </c>
      <c r="AL31" s="162"/>
      <c r="AM31" s="158" t="s">
        <v>71</v>
      </c>
    </row>
    <row r="32" spans="1:40" s="18" customFormat="1" ht="22.9" customHeight="1">
      <c r="A32" s="178"/>
      <c r="B32" s="181"/>
      <c r="C32" s="156"/>
      <c r="D32" s="112"/>
      <c r="E32" s="185"/>
      <c r="F32" s="112"/>
      <c r="G32" s="185"/>
      <c r="H32" s="187"/>
      <c r="I32" s="116"/>
      <c r="J32" s="116"/>
      <c r="K32" s="149"/>
      <c r="L32" s="67">
        <v>0.59460000000000002</v>
      </c>
      <c r="M32" s="68">
        <v>0.1757</v>
      </c>
      <c r="N32" s="68">
        <v>8.1100000000000005E-2</v>
      </c>
      <c r="O32" s="69">
        <v>0.25679999999999997</v>
      </c>
      <c r="P32" s="68">
        <v>2.7E-2</v>
      </c>
      <c r="Q32" s="69">
        <v>0.2838</v>
      </c>
      <c r="R32" s="68">
        <v>2.7E-2</v>
      </c>
      <c r="S32" s="69">
        <v>0.31080000000000002</v>
      </c>
      <c r="T32" s="68">
        <v>4.0500000000000001E-2</v>
      </c>
      <c r="U32" s="69">
        <v>0.35139999999999999</v>
      </c>
      <c r="V32" s="68">
        <v>2.7E-2</v>
      </c>
      <c r="W32" s="69">
        <v>0.37840000000000001</v>
      </c>
      <c r="X32" s="68">
        <v>2.7E-2</v>
      </c>
      <c r="Y32" s="69">
        <v>0.40539999999999998</v>
      </c>
      <c r="Z32" s="68">
        <v>4.0500000000000001E-2</v>
      </c>
      <c r="AA32" s="69">
        <v>0.44590000000000002</v>
      </c>
      <c r="AB32" s="68">
        <v>2.7E-2</v>
      </c>
      <c r="AC32" s="69">
        <v>0.47299999999999998</v>
      </c>
      <c r="AD32" s="68">
        <v>4.0500000000000001E-2</v>
      </c>
      <c r="AE32" s="69">
        <v>0.51349999999999996</v>
      </c>
      <c r="AF32" s="68">
        <v>4.0500000000000001E-2</v>
      </c>
      <c r="AG32" s="69">
        <v>0.55410000000000004</v>
      </c>
      <c r="AH32" s="68">
        <v>4.0500000000000001E-2</v>
      </c>
      <c r="AI32" s="69">
        <v>0.59460000000000002</v>
      </c>
      <c r="AJ32" s="29"/>
      <c r="AK32" s="163"/>
      <c r="AL32" s="163"/>
      <c r="AM32" s="175"/>
    </row>
    <row r="33" spans="1:39" s="18" customFormat="1" ht="22.9" customHeight="1">
      <c r="A33" s="178"/>
      <c r="B33" s="181"/>
      <c r="C33" s="156"/>
      <c r="D33" s="112"/>
      <c r="E33" s="185"/>
      <c r="F33" s="112"/>
      <c r="G33" s="185"/>
      <c r="H33" s="187"/>
      <c r="I33" s="116"/>
      <c r="J33" s="116"/>
      <c r="K33" s="150"/>
      <c r="L33" s="70" t="s">
        <v>61</v>
      </c>
      <c r="M33" s="71" t="s">
        <v>61</v>
      </c>
      <c r="N33" s="71" t="s">
        <v>61</v>
      </c>
      <c r="O33" s="72" t="s">
        <v>61</v>
      </c>
      <c r="P33" s="71" t="s">
        <v>61</v>
      </c>
      <c r="Q33" s="72" t="s">
        <v>61</v>
      </c>
      <c r="R33" s="71" t="s">
        <v>61</v>
      </c>
      <c r="S33" s="72" t="s">
        <v>61</v>
      </c>
      <c r="T33" s="71" t="s">
        <v>61</v>
      </c>
      <c r="U33" s="72" t="s">
        <v>61</v>
      </c>
      <c r="V33" s="71" t="s">
        <v>61</v>
      </c>
      <c r="W33" s="72" t="s">
        <v>61</v>
      </c>
      <c r="X33" s="71" t="s">
        <v>61</v>
      </c>
      <c r="Y33" s="72" t="s">
        <v>61</v>
      </c>
      <c r="Z33" s="71" t="s">
        <v>61</v>
      </c>
      <c r="AA33" s="72" t="s">
        <v>61</v>
      </c>
      <c r="AB33" s="71" t="s">
        <v>61</v>
      </c>
      <c r="AC33" s="72" t="s">
        <v>61</v>
      </c>
      <c r="AD33" s="71" t="s">
        <v>61</v>
      </c>
      <c r="AE33" s="72" t="s">
        <v>61</v>
      </c>
      <c r="AF33" s="71" t="s">
        <v>61</v>
      </c>
      <c r="AG33" s="72" t="s">
        <v>61</v>
      </c>
      <c r="AH33" s="71" t="s">
        <v>61</v>
      </c>
      <c r="AI33" s="72" t="s">
        <v>61</v>
      </c>
      <c r="AJ33" s="29"/>
      <c r="AK33" s="163"/>
      <c r="AL33" s="163"/>
      <c r="AM33" s="175"/>
    </row>
    <row r="34" spans="1:39" s="18" customFormat="1" ht="22.9" customHeight="1">
      <c r="A34" s="178"/>
      <c r="B34" s="181"/>
      <c r="C34" s="156"/>
      <c r="D34" s="112"/>
      <c r="E34" s="185"/>
      <c r="F34" s="112"/>
      <c r="G34" s="185"/>
      <c r="H34" s="187"/>
      <c r="I34" s="116"/>
      <c r="J34" s="116"/>
      <c r="K34" s="149" t="s">
        <v>88</v>
      </c>
      <c r="L34" s="73">
        <v>44</v>
      </c>
      <c r="M34" s="74">
        <v>13</v>
      </c>
      <c r="N34" s="74">
        <v>6</v>
      </c>
      <c r="O34" s="72">
        <v>19</v>
      </c>
      <c r="P34" s="74">
        <v>2</v>
      </c>
      <c r="Q34" s="72">
        <v>21</v>
      </c>
      <c r="R34" s="74">
        <v>2</v>
      </c>
      <c r="S34" s="72">
        <v>23</v>
      </c>
      <c r="T34" s="74">
        <v>3</v>
      </c>
      <c r="U34" s="72">
        <v>26</v>
      </c>
      <c r="V34" s="74">
        <v>2</v>
      </c>
      <c r="W34" s="72">
        <v>28</v>
      </c>
      <c r="X34" s="74">
        <v>2</v>
      </c>
      <c r="Y34" s="72">
        <v>30</v>
      </c>
      <c r="Z34" s="74">
        <v>3</v>
      </c>
      <c r="AA34" s="72">
        <v>33</v>
      </c>
      <c r="AB34" s="74">
        <v>2</v>
      </c>
      <c r="AC34" s="72">
        <v>35</v>
      </c>
      <c r="AD34" s="74">
        <v>3</v>
      </c>
      <c r="AE34" s="72">
        <v>38</v>
      </c>
      <c r="AF34" s="74">
        <v>3</v>
      </c>
      <c r="AG34" s="72">
        <v>41</v>
      </c>
      <c r="AH34" s="74">
        <v>3</v>
      </c>
      <c r="AI34" s="72">
        <v>44</v>
      </c>
      <c r="AJ34" s="22">
        <f>+AI32/L32</f>
        <v>1</v>
      </c>
      <c r="AK34" s="163"/>
      <c r="AL34" s="163"/>
      <c r="AM34" s="175"/>
    </row>
    <row r="35" spans="1:39" s="18" customFormat="1" ht="22.9" customHeight="1">
      <c r="A35" s="178"/>
      <c r="B35" s="181"/>
      <c r="C35" s="156"/>
      <c r="D35" s="112"/>
      <c r="E35" s="185"/>
      <c r="F35" s="112"/>
      <c r="G35" s="185"/>
      <c r="H35" s="187"/>
      <c r="I35" s="116"/>
      <c r="J35" s="116"/>
      <c r="K35" s="149"/>
      <c r="L35" s="70" t="s">
        <v>63</v>
      </c>
      <c r="M35" s="71" t="s">
        <v>63</v>
      </c>
      <c r="N35" s="71" t="s">
        <v>63</v>
      </c>
      <c r="O35" s="72" t="s">
        <v>63</v>
      </c>
      <c r="P35" s="71" t="s">
        <v>63</v>
      </c>
      <c r="Q35" s="72" t="s">
        <v>63</v>
      </c>
      <c r="R35" s="71" t="s">
        <v>63</v>
      </c>
      <c r="S35" s="72" t="s">
        <v>63</v>
      </c>
      <c r="T35" s="71" t="s">
        <v>63</v>
      </c>
      <c r="U35" s="72" t="s">
        <v>63</v>
      </c>
      <c r="V35" s="71" t="s">
        <v>63</v>
      </c>
      <c r="W35" s="72" t="s">
        <v>63</v>
      </c>
      <c r="X35" s="71" t="s">
        <v>63</v>
      </c>
      <c r="Y35" s="72" t="s">
        <v>63</v>
      </c>
      <c r="Z35" s="71" t="s">
        <v>63</v>
      </c>
      <c r="AA35" s="72" t="s">
        <v>63</v>
      </c>
      <c r="AB35" s="71" t="s">
        <v>63</v>
      </c>
      <c r="AC35" s="72" t="s">
        <v>63</v>
      </c>
      <c r="AD35" s="71" t="s">
        <v>63</v>
      </c>
      <c r="AE35" s="72" t="s">
        <v>63</v>
      </c>
      <c r="AF35" s="71" t="s">
        <v>63</v>
      </c>
      <c r="AG35" s="72" t="s">
        <v>63</v>
      </c>
      <c r="AH35" s="71" t="s">
        <v>63</v>
      </c>
      <c r="AI35" s="72" t="s">
        <v>63</v>
      </c>
      <c r="AJ35" s="29"/>
      <c r="AK35" s="163"/>
      <c r="AL35" s="163"/>
      <c r="AM35" s="175"/>
    </row>
    <row r="36" spans="1:39" s="18" customFormat="1" ht="22.9" customHeight="1">
      <c r="A36" s="179"/>
      <c r="B36" s="182"/>
      <c r="C36" s="157"/>
      <c r="D36" s="113"/>
      <c r="E36" s="186"/>
      <c r="F36" s="113"/>
      <c r="G36" s="186"/>
      <c r="H36" s="188"/>
      <c r="I36" s="117"/>
      <c r="J36" s="117"/>
      <c r="K36" s="150"/>
      <c r="L36" s="73">
        <v>74</v>
      </c>
      <c r="M36" s="74">
        <v>74</v>
      </c>
      <c r="N36" s="74">
        <v>74</v>
      </c>
      <c r="O36" s="72">
        <v>74</v>
      </c>
      <c r="P36" s="74">
        <v>74</v>
      </c>
      <c r="Q36" s="72">
        <v>74</v>
      </c>
      <c r="R36" s="74">
        <v>74</v>
      </c>
      <c r="S36" s="72">
        <v>74</v>
      </c>
      <c r="T36" s="74">
        <v>74</v>
      </c>
      <c r="U36" s="72">
        <v>74</v>
      </c>
      <c r="V36" s="74">
        <v>74</v>
      </c>
      <c r="W36" s="72">
        <v>74</v>
      </c>
      <c r="X36" s="74">
        <v>74</v>
      </c>
      <c r="Y36" s="72">
        <v>74</v>
      </c>
      <c r="Z36" s="74">
        <v>74</v>
      </c>
      <c r="AA36" s="72">
        <v>74</v>
      </c>
      <c r="AB36" s="74">
        <v>74</v>
      </c>
      <c r="AC36" s="72">
        <v>74</v>
      </c>
      <c r="AD36" s="74">
        <v>74</v>
      </c>
      <c r="AE36" s="72">
        <v>74</v>
      </c>
      <c r="AF36" s="74">
        <v>74</v>
      </c>
      <c r="AG36" s="72">
        <v>74</v>
      </c>
      <c r="AH36" s="74">
        <v>74</v>
      </c>
      <c r="AI36" s="72">
        <v>74</v>
      </c>
      <c r="AJ36" s="29"/>
      <c r="AK36" s="163"/>
      <c r="AL36" s="163"/>
      <c r="AM36" s="175"/>
    </row>
    <row r="37" spans="1:39" s="18" customFormat="1" ht="22.9" customHeight="1">
      <c r="A37" s="177" t="s">
        <v>89</v>
      </c>
      <c r="B37" s="180" t="s">
        <v>74</v>
      </c>
      <c r="C37" s="183" t="s">
        <v>90</v>
      </c>
      <c r="D37" s="114" t="s">
        <v>91</v>
      </c>
      <c r="E37" s="184" t="s">
        <v>53</v>
      </c>
      <c r="F37" s="114" t="s">
        <v>54</v>
      </c>
      <c r="G37" s="184" t="s">
        <v>92</v>
      </c>
      <c r="H37" s="111" t="s">
        <v>93</v>
      </c>
      <c r="I37" s="115">
        <f>+L38</f>
        <v>1</v>
      </c>
      <c r="J37" s="115">
        <v>0.2</v>
      </c>
      <c r="K37" s="190" t="s">
        <v>94</v>
      </c>
      <c r="L37" s="75" t="s">
        <v>58</v>
      </c>
      <c r="M37" s="76" t="s">
        <v>58</v>
      </c>
      <c r="N37" s="76" t="s">
        <v>58</v>
      </c>
      <c r="O37" s="77" t="s">
        <v>58</v>
      </c>
      <c r="P37" s="76" t="s">
        <v>58</v>
      </c>
      <c r="Q37" s="77" t="s">
        <v>58</v>
      </c>
      <c r="R37" s="76" t="s">
        <v>58</v>
      </c>
      <c r="S37" s="77" t="s">
        <v>58</v>
      </c>
      <c r="T37" s="76" t="s">
        <v>58</v>
      </c>
      <c r="U37" s="77" t="s">
        <v>58</v>
      </c>
      <c r="V37" s="76" t="s">
        <v>58</v>
      </c>
      <c r="W37" s="77" t="s">
        <v>58</v>
      </c>
      <c r="X37" s="76" t="s">
        <v>58</v>
      </c>
      <c r="Y37" s="77" t="s">
        <v>58</v>
      </c>
      <c r="Z37" s="76" t="s">
        <v>58</v>
      </c>
      <c r="AA37" s="77" t="s">
        <v>58</v>
      </c>
      <c r="AB37" s="76" t="s">
        <v>58</v>
      </c>
      <c r="AC37" s="77" t="s">
        <v>58</v>
      </c>
      <c r="AD37" s="76" t="s">
        <v>58</v>
      </c>
      <c r="AE37" s="77" t="s">
        <v>58</v>
      </c>
      <c r="AF37" s="76" t="s">
        <v>58</v>
      </c>
      <c r="AG37" s="77" t="s">
        <v>58</v>
      </c>
      <c r="AH37" s="76" t="s">
        <v>58</v>
      </c>
      <c r="AI37" s="77" t="s">
        <v>58</v>
      </c>
      <c r="AJ37" s="78"/>
      <c r="AK37" s="193" t="s">
        <v>95</v>
      </c>
      <c r="AL37" s="193"/>
      <c r="AM37" s="195" t="s">
        <v>71</v>
      </c>
    </row>
    <row r="38" spans="1:39" s="18" customFormat="1" ht="22.9" customHeight="1">
      <c r="A38" s="178"/>
      <c r="B38" s="181"/>
      <c r="C38" s="156"/>
      <c r="D38" s="112"/>
      <c r="E38" s="185"/>
      <c r="F38" s="112"/>
      <c r="G38" s="185"/>
      <c r="H38" s="187"/>
      <c r="I38" s="116"/>
      <c r="J38" s="116"/>
      <c r="K38" s="191"/>
      <c r="L38" s="79">
        <f t="shared" ref="L38:P38" si="16">IF(L40&lt;&gt;0,+L40/L42,0%)</f>
        <v>1</v>
      </c>
      <c r="M38" s="19">
        <f t="shared" si="16"/>
        <v>0</v>
      </c>
      <c r="N38" s="19">
        <f t="shared" si="16"/>
        <v>0</v>
      </c>
      <c r="O38" s="3">
        <f t="shared" si="16"/>
        <v>0</v>
      </c>
      <c r="P38" s="19">
        <f t="shared" si="16"/>
        <v>0</v>
      </c>
      <c r="Q38" s="3">
        <f>IF(Q40&lt;&gt;0,+Q40/Q42,0%)</f>
        <v>0</v>
      </c>
      <c r="R38" s="19">
        <f t="shared" ref="R38" si="17">IF(R40&lt;&gt;0,+R40/R42,0%)</f>
        <v>0</v>
      </c>
      <c r="S38" s="3">
        <f>IF(S40&lt;&gt;0,+S40/S42,0%)</f>
        <v>0</v>
      </c>
      <c r="T38" s="19">
        <f t="shared" ref="T38" si="18">IF(T40&lt;&gt;0,+T40/T42,0%)</f>
        <v>0.16666666666666666</v>
      </c>
      <c r="U38" s="3">
        <f>IF(U40&lt;&gt;0,+U40/U42,0%)</f>
        <v>0.16666666666666666</v>
      </c>
      <c r="V38" s="19">
        <f t="shared" ref="V38" si="19">IF(V40&lt;&gt;0,+V40/V42,0%)</f>
        <v>0</v>
      </c>
      <c r="W38" s="3">
        <f>IF(W40&lt;&gt;0,+W40/W42,0%)</f>
        <v>0.16666666666666666</v>
      </c>
      <c r="X38" s="19">
        <f t="shared" ref="X38" si="20">IF(X40&lt;&gt;0,+X40/X42,0%)</f>
        <v>0</v>
      </c>
      <c r="Y38" s="3">
        <f>IF(Y40&lt;&gt;0,+Y40/Y42,0%)</f>
        <v>0.16666666666666666</v>
      </c>
      <c r="Z38" s="19">
        <f t="shared" ref="Z38" si="21">IF(Z40&lt;&gt;0,+Z40/Z42,0%)</f>
        <v>0.16666666666666666</v>
      </c>
      <c r="AA38" s="3">
        <f>IF(AA40&lt;&gt;0,+AA40/AA42,0%)</f>
        <v>0.33333333333333331</v>
      </c>
      <c r="AB38" s="19">
        <f t="shared" ref="AB38" si="22">IF(AB40&lt;&gt;0,+AB40/AB42,0%)</f>
        <v>0</v>
      </c>
      <c r="AC38" s="3">
        <f>IF(AC40&lt;&gt;0,+AC40/AC42,0%)</f>
        <v>0.33333333333333331</v>
      </c>
      <c r="AD38" s="19">
        <f t="shared" ref="AD38" si="23">IF(AD40&lt;&gt;0,+AD40/AD42,0%)</f>
        <v>0.33333333333333331</v>
      </c>
      <c r="AE38" s="3">
        <f>IF(AE40&lt;&gt;0,+AE40/AE42,0%)</f>
        <v>0.66666666666666663</v>
      </c>
      <c r="AF38" s="19">
        <f t="shared" ref="AF38" si="24">IF(AF40&lt;&gt;0,+AF40/AF42,0%)</f>
        <v>0.16666666666666666</v>
      </c>
      <c r="AG38" s="3">
        <f>IF(AG40&lt;&gt;0,+AG40/AG42,0%)</f>
        <v>0.83333333333333337</v>
      </c>
      <c r="AH38" s="19">
        <f t="shared" ref="AH38" si="25">IF(AH40&lt;&gt;0,+AH40/AH42,0%)</f>
        <v>0.16666666666666666</v>
      </c>
      <c r="AI38" s="3">
        <f>IF(AI40&lt;&gt;0,+AI40/AI42,0%)</f>
        <v>1</v>
      </c>
      <c r="AJ38" s="29"/>
      <c r="AK38" s="163"/>
      <c r="AL38" s="163"/>
      <c r="AM38" s="196"/>
    </row>
    <row r="39" spans="1:39" s="18" customFormat="1" ht="22.9" customHeight="1">
      <c r="A39" s="178"/>
      <c r="B39" s="181"/>
      <c r="C39" s="156"/>
      <c r="D39" s="112"/>
      <c r="E39" s="185"/>
      <c r="F39" s="112"/>
      <c r="G39" s="185"/>
      <c r="H39" s="187"/>
      <c r="I39" s="116"/>
      <c r="J39" s="116"/>
      <c r="K39" s="192"/>
      <c r="L39" s="80" t="s">
        <v>61</v>
      </c>
      <c r="M39" s="30" t="s">
        <v>61</v>
      </c>
      <c r="N39" s="30" t="s">
        <v>61</v>
      </c>
      <c r="O39" s="31" t="s">
        <v>61</v>
      </c>
      <c r="P39" s="30" t="s">
        <v>61</v>
      </c>
      <c r="Q39" s="31" t="s">
        <v>61</v>
      </c>
      <c r="R39" s="30" t="s">
        <v>61</v>
      </c>
      <c r="S39" s="31" t="s">
        <v>61</v>
      </c>
      <c r="T39" s="30" t="s">
        <v>61</v>
      </c>
      <c r="U39" s="31" t="s">
        <v>61</v>
      </c>
      <c r="V39" s="30" t="s">
        <v>61</v>
      </c>
      <c r="W39" s="31" t="s">
        <v>61</v>
      </c>
      <c r="X39" s="30" t="s">
        <v>61</v>
      </c>
      <c r="Y39" s="31" t="s">
        <v>61</v>
      </c>
      <c r="Z39" s="30" t="s">
        <v>61</v>
      </c>
      <c r="AA39" s="31" t="s">
        <v>61</v>
      </c>
      <c r="AB39" s="30" t="s">
        <v>61</v>
      </c>
      <c r="AC39" s="31" t="s">
        <v>61</v>
      </c>
      <c r="AD39" s="30" t="s">
        <v>61</v>
      </c>
      <c r="AE39" s="31" t="s">
        <v>61</v>
      </c>
      <c r="AF39" s="30" t="s">
        <v>61</v>
      </c>
      <c r="AG39" s="31" t="s">
        <v>61</v>
      </c>
      <c r="AH39" s="30" t="s">
        <v>61</v>
      </c>
      <c r="AI39" s="31" t="s">
        <v>61</v>
      </c>
      <c r="AJ39" s="29"/>
      <c r="AK39" s="163"/>
      <c r="AL39" s="163"/>
      <c r="AM39" s="196"/>
    </row>
    <row r="40" spans="1:39" s="18" customFormat="1" ht="22.9" customHeight="1">
      <c r="A40" s="178"/>
      <c r="B40" s="181"/>
      <c r="C40" s="156"/>
      <c r="D40" s="112"/>
      <c r="E40" s="185"/>
      <c r="F40" s="112"/>
      <c r="G40" s="185"/>
      <c r="H40" s="187"/>
      <c r="I40" s="116"/>
      <c r="J40" s="116"/>
      <c r="K40" s="191" t="s">
        <v>96</v>
      </c>
      <c r="L40" s="81">
        <v>6</v>
      </c>
      <c r="M40" s="4"/>
      <c r="N40" s="4"/>
      <c r="O40" s="33">
        <f>+M40+N40</f>
        <v>0</v>
      </c>
      <c r="P40" s="4"/>
      <c r="Q40" s="33">
        <f>+O40+P40</f>
        <v>0</v>
      </c>
      <c r="R40" s="4"/>
      <c r="S40" s="33">
        <f>+Q40+R40</f>
        <v>0</v>
      </c>
      <c r="T40" s="4">
        <v>1</v>
      </c>
      <c r="U40" s="33">
        <f>+S40+T40</f>
        <v>1</v>
      </c>
      <c r="V40" s="4"/>
      <c r="W40" s="33">
        <f>+U40+V40</f>
        <v>1</v>
      </c>
      <c r="X40" s="4"/>
      <c r="Y40" s="33">
        <f>+W40+X40</f>
        <v>1</v>
      </c>
      <c r="Z40" s="4">
        <v>1</v>
      </c>
      <c r="AA40" s="33">
        <f>+Y40+Z40</f>
        <v>2</v>
      </c>
      <c r="AB40" s="4"/>
      <c r="AC40" s="33">
        <f>+AA40+AB40</f>
        <v>2</v>
      </c>
      <c r="AD40" s="4">
        <v>2</v>
      </c>
      <c r="AE40" s="33">
        <f>+AC40+AD40</f>
        <v>4</v>
      </c>
      <c r="AF40" s="4">
        <v>1</v>
      </c>
      <c r="AG40" s="33">
        <f>+AE40+AF40</f>
        <v>5</v>
      </c>
      <c r="AH40" s="4">
        <v>1</v>
      </c>
      <c r="AI40" s="33">
        <f>+AG40+AH40</f>
        <v>6</v>
      </c>
      <c r="AJ40" s="22">
        <f>+AI38/L38</f>
        <v>1</v>
      </c>
      <c r="AK40" s="163"/>
      <c r="AL40" s="163"/>
      <c r="AM40" s="196"/>
    </row>
    <row r="41" spans="1:39" s="18" customFormat="1" ht="22.9" customHeight="1">
      <c r="A41" s="178"/>
      <c r="B41" s="181"/>
      <c r="C41" s="156"/>
      <c r="D41" s="112"/>
      <c r="E41" s="185"/>
      <c r="F41" s="112"/>
      <c r="G41" s="185"/>
      <c r="H41" s="187"/>
      <c r="I41" s="116"/>
      <c r="J41" s="116"/>
      <c r="K41" s="191"/>
      <c r="L41" s="82" t="s">
        <v>63</v>
      </c>
      <c r="M41" s="34" t="s">
        <v>63</v>
      </c>
      <c r="N41" s="34" t="s">
        <v>63</v>
      </c>
      <c r="O41" s="35" t="s">
        <v>63</v>
      </c>
      <c r="P41" s="34" t="s">
        <v>63</v>
      </c>
      <c r="Q41" s="35" t="s">
        <v>63</v>
      </c>
      <c r="R41" s="34" t="s">
        <v>63</v>
      </c>
      <c r="S41" s="35" t="s">
        <v>63</v>
      </c>
      <c r="T41" s="34" t="s">
        <v>63</v>
      </c>
      <c r="U41" s="35" t="s">
        <v>63</v>
      </c>
      <c r="V41" s="34" t="s">
        <v>63</v>
      </c>
      <c r="W41" s="35" t="s">
        <v>63</v>
      </c>
      <c r="X41" s="34" t="s">
        <v>63</v>
      </c>
      <c r="Y41" s="35" t="s">
        <v>63</v>
      </c>
      <c r="Z41" s="34" t="s">
        <v>63</v>
      </c>
      <c r="AA41" s="35" t="s">
        <v>63</v>
      </c>
      <c r="AB41" s="34" t="s">
        <v>63</v>
      </c>
      <c r="AC41" s="35" t="s">
        <v>63</v>
      </c>
      <c r="AD41" s="34" t="s">
        <v>63</v>
      </c>
      <c r="AE41" s="35" t="s">
        <v>63</v>
      </c>
      <c r="AF41" s="34" t="s">
        <v>63</v>
      </c>
      <c r="AG41" s="35" t="s">
        <v>63</v>
      </c>
      <c r="AH41" s="34" t="s">
        <v>63</v>
      </c>
      <c r="AI41" s="35" t="s">
        <v>63</v>
      </c>
      <c r="AJ41" s="29"/>
      <c r="AK41" s="163"/>
      <c r="AL41" s="163"/>
      <c r="AM41" s="196"/>
    </row>
    <row r="42" spans="1:39" s="18" customFormat="1" ht="22.9" customHeight="1">
      <c r="A42" s="179"/>
      <c r="B42" s="182"/>
      <c r="C42" s="157"/>
      <c r="D42" s="113"/>
      <c r="E42" s="186"/>
      <c r="F42" s="113"/>
      <c r="G42" s="186"/>
      <c r="H42" s="188"/>
      <c r="I42" s="117"/>
      <c r="J42" s="117"/>
      <c r="K42" s="192"/>
      <c r="L42" s="83">
        <v>6</v>
      </c>
      <c r="M42" s="84">
        <v>6</v>
      </c>
      <c r="N42" s="84">
        <v>6</v>
      </c>
      <c r="O42" s="85">
        <v>6</v>
      </c>
      <c r="P42" s="84">
        <v>6</v>
      </c>
      <c r="Q42" s="85">
        <v>6</v>
      </c>
      <c r="R42" s="84">
        <v>6</v>
      </c>
      <c r="S42" s="85">
        <v>6</v>
      </c>
      <c r="T42" s="84">
        <v>6</v>
      </c>
      <c r="U42" s="85">
        <v>6</v>
      </c>
      <c r="V42" s="84">
        <v>6</v>
      </c>
      <c r="W42" s="85">
        <v>6</v>
      </c>
      <c r="X42" s="84">
        <v>6</v>
      </c>
      <c r="Y42" s="85">
        <v>6</v>
      </c>
      <c r="Z42" s="84">
        <v>6</v>
      </c>
      <c r="AA42" s="85">
        <v>6</v>
      </c>
      <c r="AB42" s="84">
        <v>6</v>
      </c>
      <c r="AC42" s="85">
        <v>6</v>
      </c>
      <c r="AD42" s="84">
        <v>6</v>
      </c>
      <c r="AE42" s="85">
        <v>6</v>
      </c>
      <c r="AF42" s="84">
        <v>6</v>
      </c>
      <c r="AG42" s="85">
        <v>6</v>
      </c>
      <c r="AH42" s="84">
        <v>6</v>
      </c>
      <c r="AI42" s="85">
        <v>6</v>
      </c>
      <c r="AJ42" s="86"/>
      <c r="AK42" s="194"/>
      <c r="AL42" s="194"/>
      <c r="AM42" s="197"/>
    </row>
    <row r="43" spans="1:39" ht="12.75">
      <c r="J43" s="63">
        <f>SUM(J13:J42)</f>
        <v>1</v>
      </c>
    </row>
    <row r="49" spans="27:27" ht="12.75">
      <c r="AA49" s="87"/>
    </row>
    <row r="316" spans="5:5">
      <c r="E316" s="1" t="s">
        <v>97</v>
      </c>
    </row>
  </sheetData>
  <mergeCells count="123">
    <mergeCell ref="G37:G42"/>
    <mergeCell ref="H37:H42"/>
    <mergeCell ref="I37:I42"/>
    <mergeCell ref="J37:J42"/>
    <mergeCell ref="K37:K39"/>
    <mergeCell ref="AK37:AK42"/>
    <mergeCell ref="AL37:AL42"/>
    <mergeCell ref="AM37:AM42"/>
    <mergeCell ref="K40:K42"/>
    <mergeCell ref="A31:A36"/>
    <mergeCell ref="B31:B36"/>
    <mergeCell ref="C31:C36"/>
    <mergeCell ref="D31:D36"/>
    <mergeCell ref="E31:E36"/>
    <mergeCell ref="F31:F36"/>
    <mergeCell ref="A37:A42"/>
    <mergeCell ref="B37:B42"/>
    <mergeCell ref="C37:C42"/>
    <mergeCell ref="D37:D42"/>
    <mergeCell ref="E37:E42"/>
    <mergeCell ref="F37:F42"/>
    <mergeCell ref="AL31:AL36"/>
    <mergeCell ref="AM31:AM36"/>
    <mergeCell ref="K34:K36"/>
    <mergeCell ref="I31:I36"/>
    <mergeCell ref="J31:J36"/>
    <mergeCell ref="K31:K33"/>
    <mergeCell ref="AK31:AK36"/>
    <mergeCell ref="G31:G36"/>
    <mergeCell ref="H31:H36"/>
    <mergeCell ref="J25:J30"/>
    <mergeCell ref="K25:K27"/>
    <mergeCell ref="AK25:AK30"/>
    <mergeCell ref="AL25:AL30"/>
    <mergeCell ref="AM25:AM30"/>
    <mergeCell ref="K28:K30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AC11:AC12"/>
    <mergeCell ref="N11:N12"/>
    <mergeCell ref="AH11:AH12"/>
    <mergeCell ref="Z11:Z12"/>
    <mergeCell ref="Q11:Q12"/>
    <mergeCell ref="R11:R12"/>
    <mergeCell ref="W11:W12"/>
    <mergeCell ref="AD11:AD12"/>
    <mergeCell ref="AE11:AE12"/>
    <mergeCell ref="AF11:AF12"/>
    <mergeCell ref="X11:X12"/>
    <mergeCell ref="Y11:Y12"/>
    <mergeCell ref="AG11:AG12"/>
    <mergeCell ref="AB11:AB12"/>
    <mergeCell ref="AA11:AA12"/>
    <mergeCell ref="T11:T12"/>
    <mergeCell ref="U11:U12"/>
    <mergeCell ref="V11:V12"/>
    <mergeCell ref="AM13:AM18"/>
    <mergeCell ref="AM19:AM24"/>
    <mergeCell ref="AI11:AI12"/>
    <mergeCell ref="AJ11:AJ12"/>
    <mergeCell ref="AK11:AK12"/>
    <mergeCell ref="AL19:AL24"/>
    <mergeCell ref="AL11:AL12"/>
    <mergeCell ref="AL13:AL18"/>
    <mergeCell ref="AK19:AK24"/>
    <mergeCell ref="AM11:AM12"/>
    <mergeCell ref="AK13:AK18"/>
    <mergeCell ref="A11:A12"/>
    <mergeCell ref="A13:A18"/>
    <mergeCell ref="A19:A24"/>
    <mergeCell ref="H13:H18"/>
    <mergeCell ref="F11:F12"/>
    <mergeCell ref="K19:K21"/>
    <mergeCell ref="K22:K24"/>
    <mergeCell ref="D19:D24"/>
    <mergeCell ref="E19:E24"/>
    <mergeCell ref="J19:J24"/>
    <mergeCell ref="H19:H24"/>
    <mergeCell ref="I19:I24"/>
    <mergeCell ref="B19:B24"/>
    <mergeCell ref="G19:G24"/>
    <mergeCell ref="F19:F24"/>
    <mergeCell ref="C19:C24"/>
    <mergeCell ref="M11:M12"/>
    <mergeCell ref="S11:S12"/>
    <mergeCell ref="J13:J18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P11:P12"/>
    <mergeCell ref="E6:N6"/>
    <mergeCell ref="J11:J12"/>
    <mergeCell ref="H11:H12"/>
    <mergeCell ref="K11:K12"/>
    <mergeCell ref="K13:K15"/>
    <mergeCell ref="K16:K18"/>
    <mergeCell ref="B1:D5"/>
    <mergeCell ref="G11:G12"/>
    <mergeCell ref="C11:C12"/>
    <mergeCell ref="B11:B12"/>
    <mergeCell ref="D11:D12"/>
    <mergeCell ref="C13:C18"/>
    <mergeCell ref="E13:E18"/>
    <mergeCell ref="G13:G18"/>
    <mergeCell ref="I13:I18"/>
    <mergeCell ref="B13:B18"/>
    <mergeCell ref="B6:D6"/>
    <mergeCell ref="D13:D18"/>
    <mergeCell ref="F13:F18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661A-3B99-464B-BD69-608818ECA79B}">
  <dimension ref="A1:AM304"/>
  <sheetViews>
    <sheetView showGridLines="0" tabSelected="1" zoomScale="80" zoomScaleNormal="80" workbookViewId="0">
      <pane ySplit="12" topLeftCell="Q14" activePane="bottomLeft" state="frozen"/>
      <selection pane="bottomLeft" activeCell="M23" sqref="M23"/>
      <selection activeCell="A13" sqref="A13"/>
    </sheetView>
  </sheetViews>
  <sheetFormatPr defaultColWidth="11.42578125" defaultRowHeight="12.95"/>
  <cols>
    <col min="1" max="1" width="11.42578125" style="1"/>
    <col min="2" max="2" width="26.7109375" style="1" customWidth="1"/>
    <col min="3" max="3" width="31.28515625" style="1" customWidth="1"/>
    <col min="4" max="4" width="26.7109375" style="1" customWidth="1"/>
    <col min="5" max="5" width="14.7109375" style="1" customWidth="1"/>
    <col min="6" max="6" width="14.5703125" style="1" customWidth="1"/>
    <col min="7" max="7" width="14.7109375" style="1" customWidth="1"/>
    <col min="8" max="8" width="12.42578125" style="1" customWidth="1"/>
    <col min="9" max="9" width="6.5703125" style="1" customWidth="1"/>
    <col min="10" max="10" width="28.5703125" style="1" customWidth="1"/>
    <col min="11" max="11" width="17" style="1" customWidth="1"/>
    <col min="12" max="12" width="11.140625" style="1" customWidth="1"/>
    <col min="13" max="13" width="11.7109375" style="10" customWidth="1"/>
    <col min="14" max="34" width="10.7109375" style="10" customWidth="1"/>
    <col min="35" max="35" width="16" style="10" customWidth="1"/>
    <col min="36" max="36" width="27.85546875" style="10" customWidth="1"/>
    <col min="37" max="37" width="26.42578125" style="1" customWidth="1"/>
    <col min="38" max="38" width="21.5703125" style="1" customWidth="1"/>
    <col min="39" max="39" width="21.28515625" style="1" customWidth="1"/>
    <col min="40" max="40" width="2.28515625" style="1" customWidth="1"/>
    <col min="41" max="16384" width="11.42578125" style="1"/>
  </cols>
  <sheetData>
    <row r="1" spans="1:39" s="5" customFormat="1" ht="12.75" customHeight="1">
      <c r="B1" s="96"/>
      <c r="C1" s="96"/>
      <c r="D1" s="97"/>
      <c r="E1" s="125" t="s">
        <v>0</v>
      </c>
      <c r="F1" s="131"/>
      <c r="G1" s="131"/>
      <c r="H1" s="131"/>
      <c r="I1" s="131"/>
      <c r="J1" s="131"/>
      <c r="K1" s="131"/>
      <c r="L1" s="131"/>
      <c r="M1" s="132"/>
      <c r="N1" s="125" t="s">
        <v>1</v>
      </c>
      <c r="O1" s="126"/>
      <c r="P1" s="126"/>
      <c r="Q1" s="127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9" s="5" customFormat="1" ht="12.75" customHeight="1">
      <c r="B2" s="98"/>
      <c r="C2" s="98"/>
      <c r="D2" s="99"/>
      <c r="E2" s="128"/>
      <c r="F2" s="133"/>
      <c r="G2" s="133"/>
      <c r="H2" s="133"/>
      <c r="I2" s="133"/>
      <c r="J2" s="133"/>
      <c r="K2" s="133"/>
      <c r="L2" s="133"/>
      <c r="M2" s="134"/>
      <c r="N2" s="138" t="s">
        <v>2</v>
      </c>
      <c r="O2" s="139"/>
      <c r="P2" s="139"/>
      <c r="Q2" s="140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9" s="5" customFormat="1" ht="15.75" customHeight="1">
      <c r="B3" s="98"/>
      <c r="C3" s="98"/>
      <c r="D3" s="99"/>
      <c r="E3" s="128"/>
      <c r="F3" s="133"/>
      <c r="G3" s="133"/>
      <c r="H3" s="133"/>
      <c r="I3" s="133"/>
      <c r="J3" s="133"/>
      <c r="K3" s="133"/>
      <c r="L3" s="133"/>
      <c r="M3" s="134"/>
      <c r="N3" s="128"/>
      <c r="O3" s="129"/>
      <c r="P3" s="129"/>
      <c r="Q3" s="130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9" s="5" customFormat="1" ht="12.75" customHeight="1">
      <c r="B4" s="98"/>
      <c r="C4" s="98"/>
      <c r="D4" s="99"/>
      <c r="E4" s="128"/>
      <c r="F4" s="133"/>
      <c r="G4" s="133"/>
      <c r="H4" s="133"/>
      <c r="I4" s="133"/>
      <c r="J4" s="133"/>
      <c r="K4" s="133"/>
      <c r="L4" s="133"/>
      <c r="M4" s="134"/>
      <c r="N4" s="7"/>
      <c r="O4" s="8"/>
      <c r="P4" s="8"/>
      <c r="Q4" s="9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9" s="5" customFormat="1" ht="20.25" customHeight="1">
      <c r="B5" s="100"/>
      <c r="C5" s="100"/>
      <c r="D5" s="101"/>
      <c r="E5" s="135"/>
      <c r="F5" s="136"/>
      <c r="G5" s="136"/>
      <c r="H5" s="136"/>
      <c r="I5" s="136"/>
      <c r="J5" s="136"/>
      <c r="K5" s="136"/>
      <c r="L5" s="136"/>
      <c r="M5" s="137"/>
      <c r="N5" s="142" t="s">
        <v>3</v>
      </c>
      <c r="O5" s="143"/>
      <c r="P5" s="143"/>
      <c r="Q5" s="144"/>
      <c r="R5" s="6"/>
      <c r="S5" s="6"/>
      <c r="T5" s="6"/>
      <c r="U5" s="6" t="s">
        <v>4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9" ht="15.75" customHeight="1">
      <c r="B6" s="121" t="s">
        <v>5</v>
      </c>
      <c r="C6" s="122"/>
      <c r="D6" s="123"/>
      <c r="E6" s="145" t="s">
        <v>6</v>
      </c>
      <c r="F6" s="146"/>
      <c r="G6" s="146"/>
      <c r="H6" s="146"/>
      <c r="I6" s="146"/>
      <c r="J6" s="146"/>
      <c r="K6" s="146"/>
      <c r="L6" s="146"/>
      <c r="M6" s="147"/>
      <c r="N6" s="145" t="s">
        <v>7</v>
      </c>
      <c r="O6" s="146"/>
      <c r="P6" s="146"/>
      <c r="Q6" s="147"/>
    </row>
    <row r="7" spans="1:39" s="5" customFormat="1" ht="16.5" customHeight="1">
      <c r="E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9" s="5" customFormat="1" ht="15.6">
      <c r="B8" s="12" t="s">
        <v>8</v>
      </c>
      <c r="C8" s="11"/>
      <c r="D8" s="23"/>
      <c r="E8" s="1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4"/>
      <c r="AA8" s="6"/>
      <c r="AB8" s="6"/>
      <c r="AC8" s="6"/>
      <c r="AD8" s="6"/>
      <c r="AE8" s="14"/>
      <c r="AF8" s="6"/>
      <c r="AG8" s="6"/>
      <c r="AH8" s="6"/>
      <c r="AI8" s="6"/>
      <c r="AJ8" s="14"/>
    </row>
    <row r="9" spans="1:39" s="5" customFormat="1" ht="16.5" customHeight="1">
      <c r="B9" s="12" t="s">
        <v>9</v>
      </c>
      <c r="C9" s="11"/>
      <c r="D9" s="11"/>
      <c r="E9" s="13"/>
      <c r="M9" s="6"/>
      <c r="N9" s="6"/>
      <c r="O9" s="6"/>
      <c r="P9" s="6"/>
      <c r="Q9" s="14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9" s="5" customFormat="1" ht="15.75">
      <c r="B10" s="12"/>
      <c r="C10" s="12"/>
      <c r="D10" s="12"/>
      <c r="E10" s="11"/>
      <c r="M10" s="6"/>
      <c r="N10" s="6"/>
      <c r="O10" s="6"/>
      <c r="P10" s="6"/>
      <c r="Q10" s="14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15"/>
      <c r="AJ10" s="15"/>
      <c r="AK10" s="24"/>
      <c r="AL10" s="24"/>
    </row>
    <row r="11" spans="1:39" s="17" customFormat="1" ht="22.9" customHeight="1">
      <c r="A11" s="151" t="s">
        <v>10</v>
      </c>
      <c r="B11" s="104" t="s">
        <v>11</v>
      </c>
      <c r="C11" s="104" t="s">
        <v>12</v>
      </c>
      <c r="D11" s="106" t="s">
        <v>13</v>
      </c>
      <c r="E11" s="102" t="s">
        <v>14</v>
      </c>
      <c r="F11" s="102" t="s">
        <v>15</v>
      </c>
      <c r="G11" s="102" t="s">
        <v>16</v>
      </c>
      <c r="H11" s="102" t="s">
        <v>17</v>
      </c>
      <c r="I11" s="210" t="s">
        <v>18</v>
      </c>
      <c r="J11" s="212" t="s">
        <v>20</v>
      </c>
      <c r="K11" s="206" t="s">
        <v>21</v>
      </c>
      <c r="L11" s="206" t="s">
        <v>22</v>
      </c>
      <c r="M11" s="206" t="s">
        <v>23</v>
      </c>
      <c r="N11" s="205" t="s">
        <v>24</v>
      </c>
      <c r="O11" s="206" t="s">
        <v>25</v>
      </c>
      <c r="P11" s="206" t="s">
        <v>26</v>
      </c>
      <c r="Q11" s="206" t="s">
        <v>27</v>
      </c>
      <c r="R11" s="206" t="s">
        <v>28</v>
      </c>
      <c r="S11" s="206" t="s">
        <v>29</v>
      </c>
      <c r="T11" s="205" t="s">
        <v>30</v>
      </c>
      <c r="U11" s="205" t="s">
        <v>31</v>
      </c>
      <c r="V11" s="206" t="s">
        <v>32</v>
      </c>
      <c r="W11" s="209" t="s">
        <v>33</v>
      </c>
      <c r="X11" s="206" t="s">
        <v>34</v>
      </c>
      <c r="Y11" s="206" t="s">
        <v>35</v>
      </c>
      <c r="Z11" s="206" t="s">
        <v>36</v>
      </c>
      <c r="AA11" s="206" t="s">
        <v>37</v>
      </c>
      <c r="AB11" s="206" t="s">
        <v>38</v>
      </c>
      <c r="AC11" s="206" t="s">
        <v>39</v>
      </c>
      <c r="AD11" s="206" t="s">
        <v>40</v>
      </c>
      <c r="AE11" s="205" t="s">
        <v>41</v>
      </c>
      <c r="AF11" s="206" t="s">
        <v>42</v>
      </c>
      <c r="AG11" s="206" t="s">
        <v>43</v>
      </c>
      <c r="AH11" s="207" t="s">
        <v>44</v>
      </c>
      <c r="AI11" s="104" t="s">
        <v>45</v>
      </c>
      <c r="AJ11" s="106" t="s">
        <v>46</v>
      </c>
      <c r="AK11" s="165" t="s">
        <v>47</v>
      </c>
      <c r="AL11" s="167" t="s">
        <v>48</v>
      </c>
    </row>
    <row r="12" spans="1:39" s="17" customFormat="1" ht="22.9" customHeight="1">
      <c r="A12" s="152"/>
      <c r="B12" s="105"/>
      <c r="C12" s="105"/>
      <c r="D12" s="107"/>
      <c r="E12" s="103"/>
      <c r="F12" s="103"/>
      <c r="G12" s="103"/>
      <c r="H12" s="103"/>
      <c r="I12" s="211"/>
      <c r="J12" s="213"/>
      <c r="K12" s="141"/>
      <c r="L12" s="107"/>
      <c r="M12" s="107"/>
      <c r="N12" s="105"/>
      <c r="O12" s="107"/>
      <c r="P12" s="107"/>
      <c r="Q12" s="107"/>
      <c r="R12" s="124"/>
      <c r="S12" s="107"/>
      <c r="T12" s="169"/>
      <c r="U12" s="169"/>
      <c r="V12" s="124"/>
      <c r="W12" s="171"/>
      <c r="X12" s="107"/>
      <c r="Y12" s="124"/>
      <c r="Z12" s="124"/>
      <c r="AA12" s="124"/>
      <c r="AB12" s="124"/>
      <c r="AC12" s="124"/>
      <c r="AD12" s="124"/>
      <c r="AE12" s="169"/>
      <c r="AF12" s="124"/>
      <c r="AG12" s="107"/>
      <c r="AH12" s="208"/>
      <c r="AI12" s="105"/>
      <c r="AJ12" s="161"/>
      <c r="AK12" s="166"/>
      <c r="AL12" s="168"/>
    </row>
    <row r="13" spans="1:39" s="18" customFormat="1" ht="22.9" customHeight="1">
      <c r="A13" s="153" t="s">
        <v>98</v>
      </c>
      <c r="B13" s="118" t="s">
        <v>65</v>
      </c>
      <c r="C13" s="108" t="s">
        <v>99</v>
      </c>
      <c r="D13" s="114" t="s">
        <v>100</v>
      </c>
      <c r="E13" s="114" t="s">
        <v>53</v>
      </c>
      <c r="F13" s="114" t="s">
        <v>54</v>
      </c>
      <c r="G13" s="114" t="s">
        <v>68</v>
      </c>
      <c r="H13" s="114" t="s">
        <v>56</v>
      </c>
      <c r="I13" s="201">
        <f>+K14</f>
        <v>0.5</v>
      </c>
      <c r="J13" s="198" t="s">
        <v>101</v>
      </c>
      <c r="K13" s="25" t="s">
        <v>58</v>
      </c>
      <c r="L13" s="25" t="s">
        <v>58</v>
      </c>
      <c r="M13" s="25" t="s">
        <v>58</v>
      </c>
      <c r="N13" s="26" t="s">
        <v>58</v>
      </c>
      <c r="O13" s="25" t="s">
        <v>58</v>
      </c>
      <c r="P13" s="26" t="s">
        <v>58</v>
      </c>
      <c r="Q13" s="25" t="s">
        <v>58</v>
      </c>
      <c r="R13" s="26" t="s">
        <v>58</v>
      </c>
      <c r="S13" s="25" t="s">
        <v>58</v>
      </c>
      <c r="T13" s="26" t="s">
        <v>58</v>
      </c>
      <c r="U13" s="25" t="s">
        <v>58</v>
      </c>
      <c r="V13" s="26" t="s">
        <v>58</v>
      </c>
      <c r="W13" s="25" t="s">
        <v>58</v>
      </c>
      <c r="X13" s="26" t="s">
        <v>58</v>
      </c>
      <c r="Y13" s="25" t="s">
        <v>58</v>
      </c>
      <c r="Z13" s="26" t="s">
        <v>58</v>
      </c>
      <c r="AA13" s="25" t="s">
        <v>58</v>
      </c>
      <c r="AB13" s="26" t="s">
        <v>58</v>
      </c>
      <c r="AC13" s="25" t="s">
        <v>58</v>
      </c>
      <c r="AD13" s="26" t="s">
        <v>58</v>
      </c>
      <c r="AE13" s="25" t="s">
        <v>58</v>
      </c>
      <c r="AF13" s="26" t="s">
        <v>58</v>
      </c>
      <c r="AG13" s="25" t="s">
        <v>58</v>
      </c>
      <c r="AH13" s="89" t="s">
        <v>58</v>
      </c>
      <c r="AI13" s="37"/>
      <c r="AJ13" s="162" t="s">
        <v>102</v>
      </c>
      <c r="AK13" s="162"/>
      <c r="AL13" s="158" t="s">
        <v>103</v>
      </c>
      <c r="AM13" s="20"/>
    </row>
    <row r="14" spans="1:39" s="18" customFormat="1" ht="22.9" customHeight="1">
      <c r="A14" s="154"/>
      <c r="B14" s="119"/>
      <c r="C14" s="156"/>
      <c r="D14" s="112"/>
      <c r="E14" s="112"/>
      <c r="F14" s="112"/>
      <c r="G14" s="112"/>
      <c r="H14" s="112"/>
      <c r="I14" s="202"/>
      <c r="J14" s="199"/>
      <c r="K14" s="21">
        <f t="shared" ref="K14:O14" si="0">IF(K16&lt;&gt;0,+K16/K18,0%)</f>
        <v>0.5</v>
      </c>
      <c r="L14" s="19">
        <f t="shared" si="0"/>
        <v>0</v>
      </c>
      <c r="M14" s="19">
        <f t="shared" si="0"/>
        <v>0</v>
      </c>
      <c r="N14" s="3">
        <f t="shared" si="0"/>
        <v>0</v>
      </c>
      <c r="O14" s="19">
        <f t="shared" si="0"/>
        <v>0</v>
      </c>
      <c r="P14" s="3">
        <f>IF(P16&lt;&gt;0,+P16/P18,0%)</f>
        <v>0</v>
      </c>
      <c r="Q14" s="19">
        <f t="shared" ref="Q14:S14" si="1">IF(Q16&lt;&gt;0,+Q16/Q18,0%)</f>
        <v>0</v>
      </c>
      <c r="R14" s="3">
        <f>IF(R16&lt;&gt;0,+R16/R18,0%)</f>
        <v>0</v>
      </c>
      <c r="S14" s="19">
        <f t="shared" si="1"/>
        <v>0</v>
      </c>
      <c r="T14" s="3">
        <f>IF(T16&lt;&gt;0,+T16/T18,0%)</f>
        <v>0</v>
      </c>
      <c r="U14" s="19">
        <f t="shared" ref="U14:W14" si="2">IF(U16&lt;&gt;0,+U16/U18,0%)</f>
        <v>0</v>
      </c>
      <c r="V14" s="3">
        <f>IF(V16&lt;&gt;0,+V16/V18,0%)</f>
        <v>0</v>
      </c>
      <c r="W14" s="19">
        <f t="shared" si="2"/>
        <v>0</v>
      </c>
      <c r="X14" s="3">
        <f>IF(X16&lt;&gt;0,+X16/X18,0%)</f>
        <v>0</v>
      </c>
      <c r="Y14" s="19">
        <f t="shared" ref="Y14:AA14" si="3">IF(Y16&lt;&gt;0,+Y16/Y18,0%)</f>
        <v>0</v>
      </c>
      <c r="Z14" s="3">
        <f>IF(Z16&lt;&gt;0,+Z16/Z18,0%)</f>
        <v>0</v>
      </c>
      <c r="AA14" s="19">
        <f t="shared" si="3"/>
        <v>0.375</v>
      </c>
      <c r="AB14" s="3">
        <f>IF(AB16&lt;&gt;0,+AB16/AB18,0%)</f>
        <v>0.375</v>
      </c>
      <c r="AC14" s="19">
        <f t="shared" ref="AC14:AE14" si="4">IF(AC16&lt;&gt;0,+AC16/AC18,0%)</f>
        <v>0.125</v>
      </c>
      <c r="AD14" s="3">
        <f>IF(AD16&lt;&gt;0,+AD16/AD18,0%)</f>
        <v>0.5</v>
      </c>
      <c r="AE14" s="19">
        <f t="shared" si="4"/>
        <v>0</v>
      </c>
      <c r="AF14" s="3">
        <f>IF(AF16&lt;&gt;0,+AF16/AF18,0%)</f>
        <v>0.5</v>
      </c>
      <c r="AG14" s="19">
        <f t="shared" ref="AG14" si="5">IF(AG16&lt;&gt;0,+AG16/AG18,0%)</f>
        <v>0</v>
      </c>
      <c r="AH14" s="90">
        <f>IF(AH16&lt;&gt;0,+AH16/AH18,0%)</f>
        <v>0.5</v>
      </c>
      <c r="AI14" s="38"/>
      <c r="AJ14" s="163"/>
      <c r="AK14" s="163"/>
      <c r="AL14" s="159"/>
    </row>
    <row r="15" spans="1:39" s="18" customFormat="1" ht="22.9" customHeight="1">
      <c r="A15" s="154"/>
      <c r="B15" s="119"/>
      <c r="C15" s="156"/>
      <c r="D15" s="112"/>
      <c r="E15" s="112"/>
      <c r="F15" s="112"/>
      <c r="G15" s="112"/>
      <c r="H15" s="112"/>
      <c r="I15" s="202"/>
      <c r="J15" s="204"/>
      <c r="K15" s="30" t="s">
        <v>61</v>
      </c>
      <c r="L15" s="30" t="s">
        <v>61</v>
      </c>
      <c r="M15" s="30" t="s">
        <v>61</v>
      </c>
      <c r="N15" s="31" t="s">
        <v>61</v>
      </c>
      <c r="O15" s="30" t="s">
        <v>61</v>
      </c>
      <c r="P15" s="31" t="s">
        <v>61</v>
      </c>
      <c r="Q15" s="30" t="s">
        <v>61</v>
      </c>
      <c r="R15" s="31" t="s">
        <v>61</v>
      </c>
      <c r="S15" s="30" t="s">
        <v>61</v>
      </c>
      <c r="T15" s="31" t="s">
        <v>61</v>
      </c>
      <c r="U15" s="30" t="s">
        <v>61</v>
      </c>
      <c r="V15" s="31" t="s">
        <v>61</v>
      </c>
      <c r="W15" s="30" t="s">
        <v>61</v>
      </c>
      <c r="X15" s="31" t="s">
        <v>61</v>
      </c>
      <c r="Y15" s="30" t="s">
        <v>61</v>
      </c>
      <c r="Z15" s="31" t="s">
        <v>61</v>
      </c>
      <c r="AA15" s="30" t="s">
        <v>61</v>
      </c>
      <c r="AB15" s="31" t="s">
        <v>61</v>
      </c>
      <c r="AC15" s="30" t="s">
        <v>61</v>
      </c>
      <c r="AD15" s="31" t="s">
        <v>61</v>
      </c>
      <c r="AE15" s="30" t="s">
        <v>61</v>
      </c>
      <c r="AF15" s="31" t="s">
        <v>61</v>
      </c>
      <c r="AG15" s="30" t="s">
        <v>61</v>
      </c>
      <c r="AH15" s="91" t="s">
        <v>61</v>
      </c>
      <c r="AI15" s="38"/>
      <c r="AJ15" s="163"/>
      <c r="AK15" s="163"/>
      <c r="AL15" s="159"/>
    </row>
    <row r="16" spans="1:39" s="18" customFormat="1" ht="22.9" customHeight="1">
      <c r="A16" s="154"/>
      <c r="B16" s="119"/>
      <c r="C16" s="156"/>
      <c r="D16" s="112"/>
      <c r="E16" s="112"/>
      <c r="F16" s="112"/>
      <c r="G16" s="112"/>
      <c r="H16" s="112"/>
      <c r="I16" s="202"/>
      <c r="J16" s="198" t="s">
        <v>104</v>
      </c>
      <c r="K16" s="32">
        <v>4</v>
      </c>
      <c r="L16" s="4">
        <v>0</v>
      </c>
      <c r="M16" s="4">
        <v>0</v>
      </c>
      <c r="N16" s="33">
        <f>+L16+M16</f>
        <v>0</v>
      </c>
      <c r="O16" s="4">
        <v>0</v>
      </c>
      <c r="P16" s="33">
        <f>+N16+O16</f>
        <v>0</v>
      </c>
      <c r="Q16" s="4">
        <v>0</v>
      </c>
      <c r="R16" s="33">
        <f>+P16+Q16</f>
        <v>0</v>
      </c>
      <c r="S16" s="4">
        <v>0</v>
      </c>
      <c r="T16" s="33">
        <f>+R16+S16</f>
        <v>0</v>
      </c>
      <c r="U16" s="4">
        <v>0</v>
      </c>
      <c r="V16" s="33">
        <f>+T16+U16</f>
        <v>0</v>
      </c>
      <c r="W16" s="4">
        <v>0</v>
      </c>
      <c r="X16" s="33">
        <f>+V16+W16</f>
        <v>0</v>
      </c>
      <c r="Y16" s="4">
        <v>0</v>
      </c>
      <c r="Z16" s="33">
        <f>+X16+Y16</f>
        <v>0</v>
      </c>
      <c r="AA16" s="4">
        <v>3</v>
      </c>
      <c r="AB16" s="33">
        <f>+Z16+AA16</f>
        <v>3</v>
      </c>
      <c r="AC16" s="4">
        <v>1</v>
      </c>
      <c r="AD16" s="33">
        <f>+AB16+AC16</f>
        <v>4</v>
      </c>
      <c r="AE16" s="4">
        <v>0</v>
      </c>
      <c r="AF16" s="33">
        <f>+AD16+AE16</f>
        <v>4</v>
      </c>
      <c r="AG16" s="4">
        <v>0</v>
      </c>
      <c r="AH16" s="92">
        <f>+AF16+AG16</f>
        <v>4</v>
      </c>
      <c r="AI16" s="39">
        <f>+AH14/K14</f>
        <v>1</v>
      </c>
      <c r="AJ16" s="163"/>
      <c r="AK16" s="163"/>
      <c r="AL16" s="159"/>
    </row>
    <row r="17" spans="1:38" s="18" customFormat="1" ht="22.9" customHeight="1">
      <c r="A17" s="154"/>
      <c r="B17" s="119"/>
      <c r="C17" s="156"/>
      <c r="D17" s="112"/>
      <c r="E17" s="112"/>
      <c r="F17" s="112"/>
      <c r="G17" s="112"/>
      <c r="H17" s="112"/>
      <c r="I17" s="202"/>
      <c r="J17" s="199"/>
      <c r="K17" s="34" t="s">
        <v>63</v>
      </c>
      <c r="L17" s="34" t="s">
        <v>63</v>
      </c>
      <c r="M17" s="34" t="s">
        <v>63</v>
      </c>
      <c r="N17" s="35" t="s">
        <v>63</v>
      </c>
      <c r="O17" s="34" t="s">
        <v>63</v>
      </c>
      <c r="P17" s="35" t="s">
        <v>63</v>
      </c>
      <c r="Q17" s="34" t="s">
        <v>63</v>
      </c>
      <c r="R17" s="35" t="s">
        <v>63</v>
      </c>
      <c r="S17" s="34" t="s">
        <v>63</v>
      </c>
      <c r="T17" s="35" t="s">
        <v>63</v>
      </c>
      <c r="U17" s="34" t="s">
        <v>63</v>
      </c>
      <c r="V17" s="35" t="s">
        <v>63</v>
      </c>
      <c r="W17" s="34" t="s">
        <v>63</v>
      </c>
      <c r="X17" s="35" t="s">
        <v>63</v>
      </c>
      <c r="Y17" s="34" t="s">
        <v>63</v>
      </c>
      <c r="Z17" s="35" t="s">
        <v>63</v>
      </c>
      <c r="AA17" s="34" t="s">
        <v>63</v>
      </c>
      <c r="AB17" s="35" t="s">
        <v>63</v>
      </c>
      <c r="AC17" s="34" t="s">
        <v>63</v>
      </c>
      <c r="AD17" s="35" t="s">
        <v>63</v>
      </c>
      <c r="AE17" s="34" t="s">
        <v>63</v>
      </c>
      <c r="AF17" s="35" t="s">
        <v>63</v>
      </c>
      <c r="AG17" s="34" t="s">
        <v>63</v>
      </c>
      <c r="AH17" s="93" t="s">
        <v>63</v>
      </c>
      <c r="AI17" s="38"/>
      <c r="AJ17" s="163"/>
      <c r="AK17" s="163"/>
      <c r="AL17" s="159"/>
    </row>
    <row r="18" spans="1:38" s="18" customFormat="1" ht="22.9" customHeight="1">
      <c r="A18" s="155"/>
      <c r="B18" s="120"/>
      <c r="C18" s="157"/>
      <c r="D18" s="113"/>
      <c r="E18" s="113"/>
      <c r="F18" s="113"/>
      <c r="G18" s="113"/>
      <c r="H18" s="113"/>
      <c r="I18" s="203"/>
      <c r="J18" s="200"/>
      <c r="K18" s="88">
        <v>8</v>
      </c>
      <c r="L18" s="84">
        <v>8</v>
      </c>
      <c r="M18" s="84">
        <v>8</v>
      </c>
      <c r="N18" s="85">
        <v>8</v>
      </c>
      <c r="O18" s="84">
        <v>8</v>
      </c>
      <c r="P18" s="85">
        <v>8</v>
      </c>
      <c r="Q18" s="84">
        <v>8</v>
      </c>
      <c r="R18" s="85">
        <v>8</v>
      </c>
      <c r="S18" s="84">
        <v>8</v>
      </c>
      <c r="T18" s="85">
        <v>8</v>
      </c>
      <c r="U18" s="84">
        <v>8</v>
      </c>
      <c r="V18" s="85">
        <v>8</v>
      </c>
      <c r="W18" s="84">
        <v>8</v>
      </c>
      <c r="X18" s="85">
        <v>8</v>
      </c>
      <c r="Y18" s="84">
        <v>8</v>
      </c>
      <c r="Z18" s="85">
        <v>8</v>
      </c>
      <c r="AA18" s="84">
        <v>8</v>
      </c>
      <c r="AB18" s="85">
        <v>8</v>
      </c>
      <c r="AC18" s="84">
        <v>8</v>
      </c>
      <c r="AD18" s="85">
        <v>8</v>
      </c>
      <c r="AE18" s="84">
        <v>8</v>
      </c>
      <c r="AF18" s="85">
        <v>8</v>
      </c>
      <c r="AG18" s="84">
        <v>8</v>
      </c>
      <c r="AH18" s="94">
        <v>8</v>
      </c>
      <c r="AI18" s="40"/>
      <c r="AJ18" s="164"/>
      <c r="AK18" s="164"/>
      <c r="AL18" s="160"/>
    </row>
    <row r="19" spans="1:38" ht="12.75"/>
    <row r="23" spans="1:38" ht="12.75">
      <c r="M23" s="87"/>
    </row>
    <row r="24" spans="1:38" ht="12.75"/>
    <row r="25" spans="1:38" ht="12.75">
      <c r="P25" s="95"/>
    </row>
    <row r="26" spans="1:38" ht="12.75"/>
    <row r="304" spans="5:5">
      <c r="E304" s="1" t="s">
        <v>97</v>
      </c>
    </row>
  </sheetData>
  <mergeCells count="61"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R11:R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T11:T12"/>
    <mergeCell ref="U11:U12"/>
    <mergeCell ref="V11:V12"/>
    <mergeCell ref="W11:W12"/>
    <mergeCell ref="X11:X12"/>
    <mergeCell ref="F13:F18"/>
    <mergeCell ref="AK11:AK12"/>
    <mergeCell ref="AL11:AL12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S11:S12"/>
    <mergeCell ref="A13:A18"/>
    <mergeCell ref="B13:B18"/>
    <mergeCell ref="C13:C18"/>
    <mergeCell ref="D13:D18"/>
    <mergeCell ref="E13:E18"/>
    <mergeCell ref="AK13:AK18"/>
    <mergeCell ref="AL13:AL18"/>
    <mergeCell ref="J16:J18"/>
    <mergeCell ref="G13:G18"/>
    <mergeCell ref="H13:H18"/>
    <mergeCell ref="I13:I18"/>
    <mergeCell ref="J13:J15"/>
    <mergeCell ref="AJ13:AJ18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03A3-B28E-4B55-AF04-233600222DF3}">
  <dimension ref="A1:AM242"/>
  <sheetViews>
    <sheetView showGridLines="0" topLeftCell="A8" zoomScale="120" zoomScaleNormal="120" workbookViewId="0">
      <pane xSplit="1" ySplit="4" topLeftCell="AI22" activePane="bottomRight" state="frozen"/>
      <selection pane="bottomRight" activeCell="AM24" sqref="AM24:AM29"/>
      <selection pane="bottomLeft" activeCell="A12" sqref="A12"/>
      <selection pane="topRight" activeCell="B8" sqref="B8"/>
    </sheetView>
  </sheetViews>
  <sheetFormatPr defaultColWidth="11.42578125" defaultRowHeight="12.95"/>
  <cols>
    <col min="1" max="1" width="11.42578125" style="1"/>
    <col min="2" max="2" width="26.7109375" style="1" customWidth="1"/>
    <col min="3" max="3" width="20.28515625" style="1" customWidth="1"/>
    <col min="4" max="4" width="26.7109375" style="1" customWidth="1"/>
    <col min="5" max="5" width="14.7109375" style="1" customWidth="1"/>
    <col min="6" max="6" width="14.5703125" style="1" customWidth="1"/>
    <col min="7" max="7" width="14.7109375" style="1" customWidth="1"/>
    <col min="8" max="8" width="12.42578125" style="1" customWidth="1"/>
    <col min="9" max="9" width="6.5703125" style="1" customWidth="1"/>
    <col min="10" max="10" width="28.5703125" style="1" customWidth="1"/>
    <col min="11" max="11" width="17" style="1" customWidth="1"/>
    <col min="12" max="12" width="11.140625" style="1" customWidth="1"/>
    <col min="13" max="13" width="11.7109375" style="10" customWidth="1"/>
    <col min="14" max="34" width="10.7109375" style="10" customWidth="1"/>
    <col min="35" max="35" width="16" style="10" customWidth="1"/>
    <col min="36" max="36" width="27.85546875" style="10" customWidth="1"/>
    <col min="37" max="37" width="26.42578125" style="1" customWidth="1"/>
    <col min="38" max="38" width="21.5703125" style="1" customWidth="1"/>
    <col min="39" max="39" width="21.28515625" style="1" customWidth="1"/>
    <col min="40" max="40" width="2.28515625" style="1" customWidth="1"/>
    <col min="41" max="16384" width="11.42578125" style="1"/>
  </cols>
  <sheetData>
    <row r="1" spans="1:39" s="5" customFormat="1" ht="12.75" customHeight="1">
      <c r="B1" s="96"/>
      <c r="C1" s="96"/>
      <c r="D1" s="97"/>
      <c r="E1" s="125" t="s">
        <v>0</v>
      </c>
      <c r="F1" s="131"/>
      <c r="G1" s="131"/>
      <c r="H1" s="131"/>
      <c r="I1" s="131"/>
      <c r="J1" s="131"/>
      <c r="K1" s="131"/>
      <c r="L1" s="131"/>
      <c r="M1" s="132"/>
      <c r="N1" s="125" t="s">
        <v>1</v>
      </c>
      <c r="O1" s="126"/>
      <c r="P1" s="126"/>
      <c r="Q1" s="127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9" s="5" customFormat="1" ht="12.75" customHeight="1">
      <c r="B2" s="98"/>
      <c r="C2" s="98"/>
      <c r="D2" s="99"/>
      <c r="E2" s="128"/>
      <c r="F2" s="133"/>
      <c r="G2" s="133"/>
      <c r="H2" s="133"/>
      <c r="I2" s="133"/>
      <c r="J2" s="133"/>
      <c r="K2" s="133"/>
      <c r="L2" s="133"/>
      <c r="M2" s="134"/>
      <c r="N2" s="138" t="s">
        <v>2</v>
      </c>
      <c r="O2" s="139"/>
      <c r="P2" s="139"/>
      <c r="Q2" s="140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9" s="5" customFormat="1" ht="15.75" customHeight="1">
      <c r="B3" s="98"/>
      <c r="C3" s="98"/>
      <c r="D3" s="99"/>
      <c r="E3" s="128"/>
      <c r="F3" s="133"/>
      <c r="G3" s="133"/>
      <c r="H3" s="133"/>
      <c r="I3" s="133"/>
      <c r="J3" s="133"/>
      <c r="K3" s="133"/>
      <c r="L3" s="133"/>
      <c r="M3" s="134"/>
      <c r="N3" s="128"/>
      <c r="O3" s="129"/>
      <c r="P3" s="129"/>
      <c r="Q3" s="130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9" s="5" customFormat="1" ht="12.75" customHeight="1">
      <c r="B4" s="98"/>
      <c r="C4" s="98"/>
      <c r="D4" s="99"/>
      <c r="E4" s="128"/>
      <c r="F4" s="133"/>
      <c r="G4" s="133"/>
      <c r="H4" s="133"/>
      <c r="I4" s="133"/>
      <c r="J4" s="133"/>
      <c r="K4" s="133"/>
      <c r="L4" s="133"/>
      <c r="M4" s="134"/>
      <c r="N4" s="7"/>
      <c r="O4" s="8"/>
      <c r="P4" s="8"/>
      <c r="Q4" s="9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9" s="5" customFormat="1" ht="20.25" customHeight="1">
      <c r="B5" s="100"/>
      <c r="C5" s="100"/>
      <c r="D5" s="101"/>
      <c r="E5" s="135"/>
      <c r="F5" s="136"/>
      <c r="G5" s="136"/>
      <c r="H5" s="136"/>
      <c r="I5" s="136"/>
      <c r="J5" s="136"/>
      <c r="K5" s="136"/>
      <c r="L5" s="136"/>
      <c r="M5" s="137"/>
      <c r="N5" s="142" t="s">
        <v>3</v>
      </c>
      <c r="O5" s="143"/>
      <c r="P5" s="143"/>
      <c r="Q5" s="144"/>
      <c r="R5" s="6"/>
      <c r="S5" s="6"/>
      <c r="T5" s="6"/>
      <c r="U5" s="6" t="s">
        <v>4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9" ht="15.75" customHeight="1">
      <c r="B6" s="121" t="s">
        <v>5</v>
      </c>
      <c r="C6" s="122"/>
      <c r="D6" s="123"/>
      <c r="E6" s="145" t="s">
        <v>6</v>
      </c>
      <c r="F6" s="146"/>
      <c r="G6" s="146"/>
      <c r="H6" s="146"/>
      <c r="I6" s="146"/>
      <c r="J6" s="146"/>
      <c r="K6" s="146"/>
      <c r="L6" s="146"/>
      <c r="M6" s="147"/>
      <c r="N6" s="145" t="s">
        <v>7</v>
      </c>
      <c r="O6" s="146"/>
      <c r="P6" s="146"/>
      <c r="Q6" s="147"/>
    </row>
    <row r="7" spans="1:39" s="5" customFormat="1" ht="16.5" customHeight="1">
      <c r="E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9" s="5" customFormat="1" ht="15.6">
      <c r="B8" s="12" t="s">
        <v>105</v>
      </c>
      <c r="C8" s="11"/>
      <c r="D8" s="23"/>
      <c r="E8" s="1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4"/>
      <c r="AA8" s="6"/>
      <c r="AB8" s="6"/>
      <c r="AC8" s="6"/>
      <c r="AD8" s="6"/>
      <c r="AE8" s="14"/>
      <c r="AF8" s="6"/>
      <c r="AG8" s="6"/>
      <c r="AH8" s="6"/>
      <c r="AI8" s="6"/>
      <c r="AJ8" s="14"/>
    </row>
    <row r="9" spans="1:39" s="5" customFormat="1" ht="15.95" thickBot="1">
      <c r="B9" s="12"/>
      <c r="C9"/>
      <c r="D9" s="12"/>
      <c r="E9" s="11"/>
      <c r="G9"/>
      <c r="M9" s="6"/>
      <c r="N9" s="6"/>
      <c r="O9" s="15"/>
      <c r="P9" s="15"/>
      <c r="Q9" s="16"/>
      <c r="R9" s="15"/>
      <c r="S9" s="15"/>
      <c r="T9" s="15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15"/>
      <c r="AI9" s="15"/>
      <c r="AJ9" s="15"/>
      <c r="AK9" s="24"/>
      <c r="AL9" s="24"/>
    </row>
    <row r="10" spans="1:39" s="17" customFormat="1" ht="22.9" customHeight="1" thickTop="1">
      <c r="A10" s="151" t="s">
        <v>10</v>
      </c>
      <c r="B10" s="104" t="s">
        <v>11</v>
      </c>
      <c r="C10" s="104" t="s">
        <v>12</v>
      </c>
      <c r="D10" s="106" t="s">
        <v>13</v>
      </c>
      <c r="E10" s="102" t="s">
        <v>14</v>
      </c>
      <c r="F10" s="102" t="s">
        <v>15</v>
      </c>
      <c r="G10" s="102" t="s">
        <v>16</v>
      </c>
      <c r="H10" s="102" t="s">
        <v>17</v>
      </c>
      <c r="I10" s="102" t="s">
        <v>106</v>
      </c>
      <c r="J10" s="102" t="s">
        <v>19</v>
      </c>
      <c r="K10" s="106" t="s">
        <v>20</v>
      </c>
      <c r="L10" s="106" t="s">
        <v>21</v>
      </c>
      <c r="M10" s="106" t="s">
        <v>22</v>
      </c>
      <c r="N10" s="106" t="s">
        <v>23</v>
      </c>
      <c r="O10" s="104" t="s">
        <v>24</v>
      </c>
      <c r="P10" s="106" t="s">
        <v>25</v>
      </c>
      <c r="Q10" s="106" t="s">
        <v>26</v>
      </c>
      <c r="R10" s="106" t="s">
        <v>27</v>
      </c>
      <c r="S10" s="106" t="s">
        <v>28</v>
      </c>
      <c r="T10" s="106" t="s">
        <v>29</v>
      </c>
      <c r="U10" s="104" t="s">
        <v>30</v>
      </c>
      <c r="V10" s="104" t="s">
        <v>31</v>
      </c>
      <c r="W10" s="106" t="s">
        <v>32</v>
      </c>
      <c r="X10" s="170" t="s">
        <v>33</v>
      </c>
      <c r="Y10" s="106" t="s">
        <v>34</v>
      </c>
      <c r="Z10" s="106" t="s">
        <v>35</v>
      </c>
      <c r="AA10" s="106" t="s">
        <v>36</v>
      </c>
      <c r="AB10" s="106" t="s">
        <v>37</v>
      </c>
      <c r="AC10" s="106" t="s">
        <v>38</v>
      </c>
      <c r="AD10" s="106" t="s">
        <v>39</v>
      </c>
      <c r="AE10" s="106" t="s">
        <v>40</v>
      </c>
      <c r="AF10" s="104" t="s">
        <v>41</v>
      </c>
      <c r="AG10" s="106" t="s">
        <v>42</v>
      </c>
      <c r="AH10" s="106" t="s">
        <v>43</v>
      </c>
      <c r="AI10" s="102" t="s">
        <v>44</v>
      </c>
      <c r="AJ10" s="106" t="s">
        <v>45</v>
      </c>
      <c r="AK10" s="106" t="s">
        <v>46</v>
      </c>
      <c r="AL10" s="165" t="s">
        <v>47</v>
      </c>
      <c r="AM10" s="167" t="s">
        <v>48</v>
      </c>
    </row>
    <row r="11" spans="1:39" s="17" customFormat="1" ht="22.9" customHeight="1" thickBot="1">
      <c r="A11" s="152"/>
      <c r="B11" s="105"/>
      <c r="C11" s="105"/>
      <c r="D11" s="107"/>
      <c r="E11" s="103"/>
      <c r="F11" s="103"/>
      <c r="G11" s="103"/>
      <c r="H11" s="103"/>
      <c r="I11" s="103"/>
      <c r="J11" s="103"/>
      <c r="K11" s="107"/>
      <c r="L11" s="141"/>
      <c r="M11" s="107"/>
      <c r="N11" s="107"/>
      <c r="O11" s="105"/>
      <c r="P11" s="107"/>
      <c r="Q11" s="107"/>
      <c r="R11" s="107"/>
      <c r="S11" s="124"/>
      <c r="T11" s="107"/>
      <c r="U11" s="169"/>
      <c r="V11" s="169"/>
      <c r="W11" s="124"/>
      <c r="X11" s="171"/>
      <c r="Y11" s="107"/>
      <c r="Z11" s="124"/>
      <c r="AA11" s="124"/>
      <c r="AB11" s="124"/>
      <c r="AC11" s="124"/>
      <c r="AD11" s="124"/>
      <c r="AE11" s="124"/>
      <c r="AF11" s="169"/>
      <c r="AG11" s="124"/>
      <c r="AH11" s="107"/>
      <c r="AI11" s="103"/>
      <c r="AJ11" s="107"/>
      <c r="AK11" s="161"/>
      <c r="AL11" s="166"/>
      <c r="AM11" s="168"/>
    </row>
    <row r="12" spans="1:39" s="18" customFormat="1" ht="22.9" customHeight="1" thickTop="1">
      <c r="A12" s="220" t="s">
        <v>107</v>
      </c>
      <c r="B12" s="118" t="s">
        <v>108</v>
      </c>
      <c r="C12" s="223" t="s">
        <v>109</v>
      </c>
      <c r="D12" s="226" t="s">
        <v>110</v>
      </c>
      <c r="E12" s="114" t="s">
        <v>53</v>
      </c>
      <c r="F12" s="114" t="s">
        <v>111</v>
      </c>
      <c r="G12" s="114" t="s">
        <v>92</v>
      </c>
      <c r="H12" s="114" t="s">
        <v>112</v>
      </c>
      <c r="I12" s="227">
        <v>0.9</v>
      </c>
      <c r="J12" s="230">
        <v>0.2</v>
      </c>
      <c r="K12" s="217" t="s">
        <v>113</v>
      </c>
      <c r="L12" s="44" t="s">
        <v>58</v>
      </c>
      <c r="M12" s="44" t="s">
        <v>58</v>
      </c>
      <c r="N12" s="44" t="s">
        <v>58</v>
      </c>
      <c r="O12" s="45" t="s">
        <v>58</v>
      </c>
      <c r="P12" s="44" t="s">
        <v>58</v>
      </c>
      <c r="Q12" s="45" t="s">
        <v>58</v>
      </c>
      <c r="R12" s="44" t="s">
        <v>58</v>
      </c>
      <c r="S12" s="45" t="s">
        <v>58</v>
      </c>
      <c r="T12" s="44" t="s">
        <v>58</v>
      </c>
      <c r="U12" s="45" t="s">
        <v>58</v>
      </c>
      <c r="V12" s="44" t="s">
        <v>58</v>
      </c>
      <c r="W12" s="45" t="s">
        <v>58</v>
      </c>
      <c r="X12" s="44" t="s">
        <v>58</v>
      </c>
      <c r="Y12" s="45" t="s">
        <v>58</v>
      </c>
      <c r="Z12" s="44" t="s">
        <v>58</v>
      </c>
      <c r="AA12" s="45" t="s">
        <v>58</v>
      </c>
      <c r="AB12" s="44" t="s">
        <v>58</v>
      </c>
      <c r="AC12" s="45" t="s">
        <v>58</v>
      </c>
      <c r="AD12" s="44" t="s">
        <v>58</v>
      </c>
      <c r="AE12" s="45" t="s">
        <v>58</v>
      </c>
      <c r="AF12" s="44" t="s">
        <v>58</v>
      </c>
      <c r="AG12" s="45" t="s">
        <v>58</v>
      </c>
      <c r="AH12" s="44" t="s">
        <v>58</v>
      </c>
      <c r="AI12" s="45" t="s">
        <v>58</v>
      </c>
      <c r="AJ12" s="54"/>
      <c r="AK12" s="233" t="s">
        <v>114</v>
      </c>
      <c r="AL12" s="236"/>
      <c r="AM12" s="214" t="s">
        <v>115</v>
      </c>
    </row>
    <row r="13" spans="1:39" s="18" customFormat="1" ht="22.9" customHeight="1">
      <c r="A13" s="221"/>
      <c r="B13" s="119" t="s">
        <v>116</v>
      </c>
      <c r="C13" s="224"/>
      <c r="D13" s="242"/>
      <c r="E13" s="240"/>
      <c r="F13" s="112"/>
      <c r="G13" s="112"/>
      <c r="H13" s="112"/>
      <c r="I13" s="228"/>
      <c r="J13" s="231"/>
      <c r="K13" s="218"/>
      <c r="L13" s="46">
        <f>IF(L15&lt;&gt;0,+L15/L17,0%)</f>
        <v>1</v>
      </c>
      <c r="M13" s="55">
        <f>IF(M15&lt;&gt;0,+M15/M17,0%)</f>
        <v>0</v>
      </c>
      <c r="N13" s="55">
        <f>IF(N15&lt;&gt;0,+N15/N17,0%)</f>
        <v>0</v>
      </c>
      <c r="O13" s="47">
        <f t="shared" ref="O13" si="0">IF(O15&lt;&gt;0,+O15/O17,0%)</f>
        <v>0</v>
      </c>
      <c r="P13" s="55">
        <f>IF(P15&lt;&gt;0,+P15/P17,0%)</f>
        <v>0</v>
      </c>
      <c r="Q13" s="47">
        <f t="shared" ref="Q13" si="1">IF(Q15&lt;&gt;0,+Q15/Q17,0%)</f>
        <v>0</v>
      </c>
      <c r="R13" s="55">
        <f>IF(R15&lt;&gt;0,+R15/R17,0%)</f>
        <v>0</v>
      </c>
      <c r="S13" s="47">
        <f t="shared" ref="S13" si="2">IF(S15&lt;&gt;0,+S15/S17,0%)</f>
        <v>0</v>
      </c>
      <c r="T13" s="55">
        <f>IF(T15&lt;&gt;0,+T15/T17,0%)</f>
        <v>1</v>
      </c>
      <c r="U13" s="47">
        <f t="shared" ref="U13" si="3">IF(U15&lt;&gt;0,+U15/U17,0%)</f>
        <v>1</v>
      </c>
      <c r="V13" s="55">
        <f>IF(V15&lt;&gt;0,+V15/V17,0%)</f>
        <v>0</v>
      </c>
      <c r="W13" s="47">
        <f t="shared" ref="W13" si="4">IF(W15&lt;&gt;0,+W15/W17,0%)</f>
        <v>1</v>
      </c>
      <c r="X13" s="55">
        <f>IF(X15&lt;&gt;0,+X15/X17,0%)</f>
        <v>0</v>
      </c>
      <c r="Y13" s="47">
        <f t="shared" ref="Y13" si="5">IF(Y15&lt;&gt;0,+Y15/Y17,0%)</f>
        <v>1</v>
      </c>
      <c r="Z13" s="55">
        <f>IF(Z15&lt;&gt;0,+Z15/Z17,0%)</f>
        <v>0</v>
      </c>
      <c r="AA13" s="47">
        <f t="shared" ref="AA13" si="6">IF(AA15&lt;&gt;0,+AA15/AA17,0%)</f>
        <v>1</v>
      </c>
      <c r="AB13" s="55">
        <f>IF(AB15&lt;&gt;0,+AB15/AB17,0%)</f>
        <v>0</v>
      </c>
      <c r="AC13" s="47">
        <f t="shared" ref="AC13" si="7">IF(AC15&lt;&gt;0,+AC15/AC17,0%)</f>
        <v>1</v>
      </c>
      <c r="AD13" s="55">
        <f>IF(AD15&lt;&gt;0,+AD15/AD17,0%)</f>
        <v>0</v>
      </c>
      <c r="AE13" s="47">
        <f t="shared" ref="AE13" si="8">IF(AE15&lt;&gt;0,+AE15/AE17,0%)</f>
        <v>1</v>
      </c>
      <c r="AF13" s="55">
        <f>IF(AF15&lt;&gt;0,+AF15/AF17,0%)</f>
        <v>0</v>
      </c>
      <c r="AG13" s="47">
        <f t="shared" ref="AG13" si="9">IF(AG15&lt;&gt;0,+AG15/AG17,0%)</f>
        <v>1</v>
      </c>
      <c r="AH13" s="55">
        <f>IF(AH15&lt;&gt;0,+AH15/AH17,0%)</f>
        <v>0</v>
      </c>
      <c r="AI13" s="47">
        <f t="shared" ref="AI13" si="10">IF(AI15&lt;&gt;0,+AI15/AI17,0%)</f>
        <v>1</v>
      </c>
      <c r="AJ13" s="56"/>
      <c r="AK13" s="234"/>
      <c r="AL13" s="237"/>
      <c r="AM13" s="215"/>
    </row>
    <row r="14" spans="1:39" s="18" customFormat="1" ht="22.9" customHeight="1" thickBot="1">
      <c r="A14" s="221"/>
      <c r="B14" s="119" t="s">
        <v>117</v>
      </c>
      <c r="C14" s="224"/>
      <c r="D14" s="242"/>
      <c r="E14" s="240"/>
      <c r="F14" s="112"/>
      <c r="G14" s="112"/>
      <c r="H14" s="112"/>
      <c r="I14" s="228"/>
      <c r="J14" s="231"/>
      <c r="K14" s="219"/>
      <c r="L14" s="48" t="s">
        <v>61</v>
      </c>
      <c r="M14" s="48" t="s">
        <v>61</v>
      </c>
      <c r="N14" s="48" t="s">
        <v>61</v>
      </c>
      <c r="O14" s="49" t="s">
        <v>61</v>
      </c>
      <c r="P14" s="48" t="s">
        <v>61</v>
      </c>
      <c r="Q14" s="49" t="s">
        <v>61</v>
      </c>
      <c r="R14" s="48" t="s">
        <v>61</v>
      </c>
      <c r="S14" s="49" t="s">
        <v>61</v>
      </c>
      <c r="T14" s="48" t="s">
        <v>61</v>
      </c>
      <c r="U14" s="49" t="s">
        <v>61</v>
      </c>
      <c r="V14" s="48" t="s">
        <v>61</v>
      </c>
      <c r="W14" s="49" t="s">
        <v>61</v>
      </c>
      <c r="X14" s="48" t="s">
        <v>61</v>
      </c>
      <c r="Y14" s="49" t="s">
        <v>61</v>
      </c>
      <c r="Z14" s="48" t="s">
        <v>61</v>
      </c>
      <c r="AA14" s="49" t="s">
        <v>61</v>
      </c>
      <c r="AB14" s="48" t="s">
        <v>61</v>
      </c>
      <c r="AC14" s="49" t="s">
        <v>61</v>
      </c>
      <c r="AD14" s="48" t="s">
        <v>61</v>
      </c>
      <c r="AE14" s="49" t="s">
        <v>61</v>
      </c>
      <c r="AF14" s="48" t="s">
        <v>61</v>
      </c>
      <c r="AG14" s="49" t="s">
        <v>61</v>
      </c>
      <c r="AH14" s="48" t="s">
        <v>61</v>
      </c>
      <c r="AI14" s="49" t="s">
        <v>61</v>
      </c>
      <c r="AJ14" s="56"/>
      <c r="AK14" s="234"/>
      <c r="AL14" s="237"/>
      <c r="AM14" s="215"/>
    </row>
    <row r="15" spans="1:39" s="18" customFormat="1" ht="22.9" customHeight="1" thickTop="1">
      <c r="A15" s="221"/>
      <c r="B15" s="119"/>
      <c r="C15" s="224"/>
      <c r="D15" s="242"/>
      <c r="E15" s="240"/>
      <c r="F15" s="112"/>
      <c r="G15" s="112"/>
      <c r="H15" s="112"/>
      <c r="I15" s="228"/>
      <c r="J15" s="231"/>
      <c r="K15" s="217" t="s">
        <v>118</v>
      </c>
      <c r="L15" s="53">
        <v>1</v>
      </c>
      <c r="M15" s="57">
        <v>0</v>
      </c>
      <c r="N15" s="57">
        <v>0</v>
      </c>
      <c r="O15" s="50">
        <f t="shared" ref="O15" si="11">+M15+N15</f>
        <v>0</v>
      </c>
      <c r="P15" s="57">
        <v>0</v>
      </c>
      <c r="Q15" s="50">
        <f t="shared" ref="Q15" si="12">+O15+P15</f>
        <v>0</v>
      </c>
      <c r="R15" s="57">
        <v>0</v>
      </c>
      <c r="S15" s="50">
        <f t="shared" ref="S15" si="13">+Q15+R15</f>
        <v>0</v>
      </c>
      <c r="T15" s="57">
        <v>1</v>
      </c>
      <c r="U15" s="50">
        <f t="shared" ref="U15:W15" si="14">+S15+T15</f>
        <v>1</v>
      </c>
      <c r="V15" s="57">
        <v>0</v>
      </c>
      <c r="W15" s="50">
        <f t="shared" si="14"/>
        <v>1</v>
      </c>
      <c r="X15" s="57">
        <v>0</v>
      </c>
      <c r="Y15" s="50">
        <f t="shared" ref="Y15" si="15">+W15+X15</f>
        <v>1</v>
      </c>
      <c r="Z15" s="57">
        <v>0</v>
      </c>
      <c r="AA15" s="50">
        <f t="shared" ref="AA15" si="16">+Y15+Z15</f>
        <v>1</v>
      </c>
      <c r="AB15" s="57">
        <v>0</v>
      </c>
      <c r="AC15" s="50">
        <f t="shared" ref="AC15" si="17">+AA15+AB15</f>
        <v>1</v>
      </c>
      <c r="AD15" s="57">
        <v>0</v>
      </c>
      <c r="AE15" s="50">
        <f t="shared" ref="AE15" si="18">+AC15+AD15</f>
        <v>1</v>
      </c>
      <c r="AF15" s="57">
        <v>0</v>
      </c>
      <c r="AG15" s="50">
        <f t="shared" ref="AG15" si="19">+AE15+AF15</f>
        <v>1</v>
      </c>
      <c r="AH15" s="58"/>
      <c r="AI15" s="59">
        <f>+AG15+AH15</f>
        <v>1</v>
      </c>
      <c r="AJ15" s="60">
        <f>+AI13/L13</f>
        <v>1</v>
      </c>
      <c r="AK15" s="234"/>
      <c r="AL15" s="237"/>
      <c r="AM15" s="215"/>
    </row>
    <row r="16" spans="1:39" s="18" customFormat="1" ht="22.9" customHeight="1">
      <c r="A16" s="221"/>
      <c r="B16" s="119"/>
      <c r="C16" s="224"/>
      <c r="D16" s="242"/>
      <c r="E16" s="240"/>
      <c r="F16" s="112"/>
      <c r="G16" s="112"/>
      <c r="H16" s="112"/>
      <c r="I16" s="228"/>
      <c r="J16" s="231"/>
      <c r="K16" s="218"/>
      <c r="L16" s="51" t="s">
        <v>63</v>
      </c>
      <c r="M16" s="51" t="s">
        <v>63</v>
      </c>
      <c r="N16" s="51" t="s">
        <v>63</v>
      </c>
      <c r="O16" s="52" t="s">
        <v>63</v>
      </c>
      <c r="P16" s="51" t="s">
        <v>63</v>
      </c>
      <c r="Q16" s="52" t="s">
        <v>63</v>
      </c>
      <c r="R16" s="51" t="s">
        <v>63</v>
      </c>
      <c r="S16" s="52" t="s">
        <v>63</v>
      </c>
      <c r="T16" s="51" t="s">
        <v>63</v>
      </c>
      <c r="U16" s="52" t="s">
        <v>63</v>
      </c>
      <c r="V16" s="51" t="s">
        <v>63</v>
      </c>
      <c r="W16" s="52" t="s">
        <v>63</v>
      </c>
      <c r="X16" s="51" t="s">
        <v>63</v>
      </c>
      <c r="Y16" s="52" t="s">
        <v>63</v>
      </c>
      <c r="Z16" s="51" t="s">
        <v>63</v>
      </c>
      <c r="AA16" s="52" t="s">
        <v>63</v>
      </c>
      <c r="AB16" s="51" t="s">
        <v>63</v>
      </c>
      <c r="AC16" s="52" t="s">
        <v>63</v>
      </c>
      <c r="AD16" s="51" t="s">
        <v>63</v>
      </c>
      <c r="AE16" s="52" t="s">
        <v>63</v>
      </c>
      <c r="AF16" s="51" t="s">
        <v>63</v>
      </c>
      <c r="AG16" s="52" t="s">
        <v>63</v>
      </c>
      <c r="AH16" s="51" t="s">
        <v>63</v>
      </c>
      <c r="AI16" s="52" t="s">
        <v>63</v>
      </c>
      <c r="AJ16" s="56"/>
      <c r="AK16" s="234"/>
      <c r="AL16" s="237"/>
      <c r="AM16" s="215"/>
    </row>
    <row r="17" spans="1:39" s="18" customFormat="1" ht="22.9" customHeight="1" thickBot="1">
      <c r="A17" s="222"/>
      <c r="B17" s="120"/>
      <c r="C17" s="225"/>
      <c r="D17" s="243"/>
      <c r="E17" s="241"/>
      <c r="F17" s="113"/>
      <c r="G17" s="113"/>
      <c r="H17" s="113"/>
      <c r="I17" s="229"/>
      <c r="J17" s="232"/>
      <c r="K17" s="219"/>
      <c r="L17" s="53">
        <v>1</v>
      </c>
      <c r="M17" s="61">
        <v>1</v>
      </c>
      <c r="N17" s="61">
        <v>1</v>
      </c>
      <c r="O17" s="43">
        <v>1</v>
      </c>
      <c r="P17" s="42">
        <v>1</v>
      </c>
      <c r="Q17" s="43">
        <v>1</v>
      </c>
      <c r="R17" s="42">
        <v>1</v>
      </c>
      <c r="S17" s="43">
        <v>1</v>
      </c>
      <c r="T17" s="42">
        <v>1</v>
      </c>
      <c r="U17" s="43">
        <v>1</v>
      </c>
      <c r="V17" s="42">
        <v>1</v>
      </c>
      <c r="W17" s="43">
        <v>1</v>
      </c>
      <c r="X17" s="42">
        <v>1</v>
      </c>
      <c r="Y17" s="43">
        <v>1</v>
      </c>
      <c r="Z17" s="42">
        <v>1</v>
      </c>
      <c r="AA17" s="43">
        <v>1</v>
      </c>
      <c r="AB17" s="42">
        <v>1</v>
      </c>
      <c r="AC17" s="43">
        <v>1</v>
      </c>
      <c r="AD17" s="42">
        <v>1</v>
      </c>
      <c r="AE17" s="43">
        <v>1</v>
      </c>
      <c r="AF17" s="42">
        <v>1</v>
      </c>
      <c r="AG17" s="43">
        <v>1</v>
      </c>
      <c r="AH17" s="42">
        <v>1</v>
      </c>
      <c r="AI17" s="43">
        <v>1</v>
      </c>
      <c r="AJ17" s="62"/>
      <c r="AK17" s="235"/>
      <c r="AL17" s="238"/>
      <c r="AM17" s="216"/>
    </row>
    <row r="18" spans="1:39" s="18" customFormat="1" ht="22.9" customHeight="1" thickTop="1">
      <c r="A18" s="220" t="s">
        <v>119</v>
      </c>
      <c r="B18" s="118" t="s">
        <v>108</v>
      </c>
      <c r="C18" s="223" t="s">
        <v>109</v>
      </c>
      <c r="D18" s="226" t="s">
        <v>110</v>
      </c>
      <c r="E18" s="114" t="s">
        <v>53</v>
      </c>
      <c r="F18" s="114" t="s">
        <v>111</v>
      </c>
      <c r="G18" s="114" t="s">
        <v>92</v>
      </c>
      <c r="H18" s="114" t="s">
        <v>112</v>
      </c>
      <c r="I18" s="227">
        <v>0.9</v>
      </c>
      <c r="J18" s="230">
        <v>0.2</v>
      </c>
      <c r="K18" s="217" t="s">
        <v>113</v>
      </c>
      <c r="L18" s="44" t="s">
        <v>58</v>
      </c>
      <c r="M18" s="44" t="s">
        <v>58</v>
      </c>
      <c r="N18" s="44" t="s">
        <v>58</v>
      </c>
      <c r="O18" s="45" t="s">
        <v>58</v>
      </c>
      <c r="P18" s="44" t="s">
        <v>58</v>
      </c>
      <c r="Q18" s="45" t="s">
        <v>58</v>
      </c>
      <c r="R18" s="44" t="s">
        <v>58</v>
      </c>
      <c r="S18" s="45" t="s">
        <v>58</v>
      </c>
      <c r="T18" s="44" t="s">
        <v>58</v>
      </c>
      <c r="U18" s="45" t="s">
        <v>58</v>
      </c>
      <c r="V18" s="44" t="s">
        <v>58</v>
      </c>
      <c r="W18" s="45" t="s">
        <v>58</v>
      </c>
      <c r="X18" s="44" t="s">
        <v>58</v>
      </c>
      <c r="Y18" s="45" t="s">
        <v>58</v>
      </c>
      <c r="Z18" s="44" t="s">
        <v>58</v>
      </c>
      <c r="AA18" s="45" t="s">
        <v>58</v>
      </c>
      <c r="AB18" s="44" t="s">
        <v>58</v>
      </c>
      <c r="AC18" s="45" t="s">
        <v>58</v>
      </c>
      <c r="AD18" s="44" t="s">
        <v>58</v>
      </c>
      <c r="AE18" s="45" t="s">
        <v>58</v>
      </c>
      <c r="AF18" s="44" t="s">
        <v>58</v>
      </c>
      <c r="AG18" s="45" t="s">
        <v>58</v>
      </c>
      <c r="AH18" s="44" t="s">
        <v>58</v>
      </c>
      <c r="AI18" s="45" t="s">
        <v>58</v>
      </c>
      <c r="AJ18" s="54"/>
      <c r="AK18" s="233" t="s">
        <v>114</v>
      </c>
      <c r="AL18" s="236"/>
      <c r="AM18" s="214" t="s">
        <v>120</v>
      </c>
    </row>
    <row r="19" spans="1:39" s="18" customFormat="1" ht="22.9" customHeight="1">
      <c r="A19" s="221"/>
      <c r="B19" s="119" t="s">
        <v>116</v>
      </c>
      <c r="C19" s="224"/>
      <c r="D19" s="242"/>
      <c r="E19" s="240"/>
      <c r="F19" s="112"/>
      <c r="G19" s="112"/>
      <c r="H19" s="112"/>
      <c r="I19" s="228"/>
      <c r="J19" s="231"/>
      <c r="K19" s="218"/>
      <c r="L19" s="46">
        <f>IF(L21&lt;&gt;0,+L21/L23,0%)</f>
        <v>1</v>
      </c>
      <c r="M19" s="55">
        <f>IF(M21&lt;&gt;0,+M21/M23,0%)</f>
        <v>0</v>
      </c>
      <c r="N19" s="55">
        <f>IF(N21&lt;&gt;0,+N21/N23,0%)</f>
        <v>0</v>
      </c>
      <c r="O19" s="47">
        <f t="shared" ref="O19" si="20">IF(O21&lt;&gt;0,+O21/O23,0%)</f>
        <v>0</v>
      </c>
      <c r="P19" s="55">
        <f>IF(P21&lt;&gt;0,+P21/P23,0%)</f>
        <v>0</v>
      </c>
      <c r="Q19" s="47">
        <f t="shared" ref="Q19" si="21">IF(Q21&lt;&gt;0,+Q21/Q23,0%)</f>
        <v>0</v>
      </c>
      <c r="R19" s="55">
        <f>IF(R21&lt;&gt;0,+R21/R23,0%)</f>
        <v>0</v>
      </c>
      <c r="S19" s="47">
        <f t="shared" ref="S19" si="22">IF(S21&lt;&gt;0,+S21/S23,0%)</f>
        <v>0</v>
      </c>
      <c r="T19" s="55">
        <f>IF(T21&lt;&gt;0,+T21/T23,0%)</f>
        <v>0</v>
      </c>
      <c r="U19" s="47">
        <f t="shared" ref="U19" si="23">IF(U21&lt;&gt;0,+U21/U23,0%)</f>
        <v>0</v>
      </c>
      <c r="V19" s="55">
        <f>IF(V21&lt;&gt;0,+V21/V23,0%)</f>
        <v>0</v>
      </c>
      <c r="W19" s="47">
        <f t="shared" ref="W19" si="24">IF(W21&lt;&gt;0,+W21/W23,0%)</f>
        <v>0</v>
      </c>
      <c r="X19" s="55">
        <f>IF(X21&lt;&gt;0,+X21/X23,0%)</f>
        <v>0</v>
      </c>
      <c r="Y19" s="47">
        <f t="shared" ref="Y19" si="25">IF(Y21&lt;&gt;0,+Y21/Y23,0%)</f>
        <v>0</v>
      </c>
      <c r="Z19" s="55">
        <f>IF(Z21&lt;&gt;0,+Z21/Z23,0%)</f>
        <v>0</v>
      </c>
      <c r="AA19" s="47">
        <f t="shared" ref="AA19" si="26">IF(AA21&lt;&gt;0,+AA21/AA23,0%)</f>
        <v>0</v>
      </c>
      <c r="AB19" s="55">
        <f>IF(AB21&lt;&gt;0,+AB21/AB23,0%)</f>
        <v>0</v>
      </c>
      <c r="AC19" s="47">
        <f t="shared" ref="AC19" si="27">IF(AC21&lt;&gt;0,+AC21/AC23,0%)</f>
        <v>0</v>
      </c>
      <c r="AD19" s="55">
        <f>IF(AD21&lt;&gt;0,+AD21/AD23,0%)</f>
        <v>0.5</v>
      </c>
      <c r="AE19" s="47">
        <f t="shared" ref="AE19" si="28">IF(AE21&lt;&gt;0,+AE21/AE23,0%)</f>
        <v>0.5</v>
      </c>
      <c r="AF19" s="55">
        <f>IF(AF21&lt;&gt;0,+AF21/AF23,0%)</f>
        <v>0.5</v>
      </c>
      <c r="AG19" s="47">
        <f t="shared" ref="AG19" si="29">IF(AG21&lt;&gt;0,+AG21/AG23,0%)</f>
        <v>1</v>
      </c>
      <c r="AH19" s="55">
        <f>IF(AH21&lt;&gt;0,+AH21/AH23,0%)</f>
        <v>0</v>
      </c>
      <c r="AI19" s="47">
        <f t="shared" ref="AI19" si="30">IF(AI21&lt;&gt;0,+AI21/AI23,0%)</f>
        <v>1</v>
      </c>
      <c r="AJ19" s="56"/>
      <c r="AK19" s="234"/>
      <c r="AL19" s="237"/>
      <c r="AM19" s="215"/>
    </row>
    <row r="20" spans="1:39" s="18" customFormat="1" ht="22.9" customHeight="1" thickBot="1">
      <c r="A20" s="221"/>
      <c r="B20" s="119" t="s">
        <v>117</v>
      </c>
      <c r="C20" s="224"/>
      <c r="D20" s="242"/>
      <c r="E20" s="240"/>
      <c r="F20" s="112"/>
      <c r="G20" s="112"/>
      <c r="H20" s="112"/>
      <c r="I20" s="228"/>
      <c r="J20" s="231"/>
      <c r="K20" s="219"/>
      <c r="L20" s="48" t="s">
        <v>61</v>
      </c>
      <c r="M20" s="48" t="s">
        <v>61</v>
      </c>
      <c r="N20" s="48" t="s">
        <v>61</v>
      </c>
      <c r="O20" s="49" t="s">
        <v>61</v>
      </c>
      <c r="P20" s="48" t="s">
        <v>61</v>
      </c>
      <c r="Q20" s="49" t="s">
        <v>61</v>
      </c>
      <c r="R20" s="48" t="s">
        <v>61</v>
      </c>
      <c r="S20" s="49" t="s">
        <v>61</v>
      </c>
      <c r="T20" s="48" t="s">
        <v>61</v>
      </c>
      <c r="U20" s="49" t="s">
        <v>61</v>
      </c>
      <c r="V20" s="48" t="s">
        <v>61</v>
      </c>
      <c r="W20" s="49" t="s">
        <v>61</v>
      </c>
      <c r="X20" s="48" t="s">
        <v>61</v>
      </c>
      <c r="Y20" s="49" t="s">
        <v>61</v>
      </c>
      <c r="Z20" s="48" t="s">
        <v>61</v>
      </c>
      <c r="AA20" s="49" t="s">
        <v>61</v>
      </c>
      <c r="AB20" s="48" t="s">
        <v>61</v>
      </c>
      <c r="AC20" s="49" t="s">
        <v>61</v>
      </c>
      <c r="AD20" s="48" t="s">
        <v>61</v>
      </c>
      <c r="AE20" s="49" t="s">
        <v>61</v>
      </c>
      <c r="AF20" s="48" t="s">
        <v>61</v>
      </c>
      <c r="AG20" s="49" t="s">
        <v>61</v>
      </c>
      <c r="AH20" s="48" t="s">
        <v>61</v>
      </c>
      <c r="AI20" s="49" t="s">
        <v>61</v>
      </c>
      <c r="AJ20" s="56"/>
      <c r="AK20" s="234"/>
      <c r="AL20" s="237"/>
      <c r="AM20" s="215"/>
    </row>
    <row r="21" spans="1:39" s="18" customFormat="1" ht="22.9" customHeight="1" thickTop="1">
      <c r="A21" s="221"/>
      <c r="B21" s="119"/>
      <c r="C21" s="224"/>
      <c r="D21" s="242"/>
      <c r="E21" s="240"/>
      <c r="F21" s="112"/>
      <c r="G21" s="112"/>
      <c r="H21" s="112"/>
      <c r="I21" s="228"/>
      <c r="J21" s="231"/>
      <c r="K21" s="217" t="s">
        <v>118</v>
      </c>
      <c r="L21" s="53">
        <v>2</v>
      </c>
      <c r="M21" s="57">
        <v>0</v>
      </c>
      <c r="N21" s="57">
        <v>0</v>
      </c>
      <c r="O21" s="50">
        <f t="shared" ref="O21" si="31">+M21+N21</f>
        <v>0</v>
      </c>
      <c r="P21" s="57">
        <v>0</v>
      </c>
      <c r="Q21" s="50">
        <f t="shared" ref="Q21" si="32">+O21+P21</f>
        <v>0</v>
      </c>
      <c r="R21" s="57">
        <v>0</v>
      </c>
      <c r="S21" s="50">
        <f t="shared" ref="S21" si="33">+Q21+R21</f>
        <v>0</v>
      </c>
      <c r="T21" s="57">
        <v>0</v>
      </c>
      <c r="U21" s="50">
        <f t="shared" ref="U21" si="34">+S21+T21</f>
        <v>0</v>
      </c>
      <c r="V21" s="57">
        <v>0</v>
      </c>
      <c r="W21" s="50">
        <f t="shared" ref="W21" si="35">+U21+V21</f>
        <v>0</v>
      </c>
      <c r="X21" s="57">
        <v>0</v>
      </c>
      <c r="Y21" s="50">
        <f t="shared" ref="Y21" si="36">+W21+X21</f>
        <v>0</v>
      </c>
      <c r="Z21" s="57">
        <v>0</v>
      </c>
      <c r="AA21" s="50">
        <f t="shared" ref="AA21" si="37">+Y21+Z21</f>
        <v>0</v>
      </c>
      <c r="AB21" s="57">
        <v>0</v>
      </c>
      <c r="AC21" s="50">
        <f t="shared" ref="AC21" si="38">+AA21+AB21</f>
        <v>0</v>
      </c>
      <c r="AD21" s="57">
        <v>1</v>
      </c>
      <c r="AE21" s="50">
        <f t="shared" ref="AE21" si="39">+AC21+AD21</f>
        <v>1</v>
      </c>
      <c r="AF21" s="57">
        <v>1</v>
      </c>
      <c r="AG21" s="50">
        <f t="shared" ref="AG21" si="40">+AE21+AF21</f>
        <v>2</v>
      </c>
      <c r="AH21" s="58">
        <v>0</v>
      </c>
      <c r="AI21" s="59">
        <f>+AG21+AH21</f>
        <v>2</v>
      </c>
      <c r="AJ21" s="60">
        <f>+AI19/L19</f>
        <v>1</v>
      </c>
      <c r="AK21" s="234"/>
      <c r="AL21" s="237"/>
      <c r="AM21" s="215"/>
    </row>
    <row r="22" spans="1:39" s="18" customFormat="1" ht="22.9" customHeight="1">
      <c r="A22" s="221"/>
      <c r="B22" s="119"/>
      <c r="C22" s="224"/>
      <c r="D22" s="242"/>
      <c r="E22" s="240"/>
      <c r="F22" s="112"/>
      <c r="G22" s="112"/>
      <c r="H22" s="112"/>
      <c r="I22" s="228"/>
      <c r="J22" s="231"/>
      <c r="K22" s="218"/>
      <c r="L22" s="51" t="s">
        <v>63</v>
      </c>
      <c r="M22" s="51" t="s">
        <v>63</v>
      </c>
      <c r="N22" s="51" t="s">
        <v>63</v>
      </c>
      <c r="O22" s="52" t="s">
        <v>63</v>
      </c>
      <c r="P22" s="51" t="s">
        <v>63</v>
      </c>
      <c r="Q22" s="52" t="s">
        <v>63</v>
      </c>
      <c r="R22" s="51" t="s">
        <v>63</v>
      </c>
      <c r="S22" s="52" t="s">
        <v>63</v>
      </c>
      <c r="T22" s="51" t="s">
        <v>63</v>
      </c>
      <c r="U22" s="52" t="s">
        <v>63</v>
      </c>
      <c r="V22" s="51" t="s">
        <v>63</v>
      </c>
      <c r="W22" s="52" t="s">
        <v>63</v>
      </c>
      <c r="X22" s="51" t="s">
        <v>63</v>
      </c>
      <c r="Y22" s="52" t="s">
        <v>63</v>
      </c>
      <c r="Z22" s="51" t="s">
        <v>63</v>
      </c>
      <c r="AA22" s="52" t="s">
        <v>63</v>
      </c>
      <c r="AB22" s="51" t="s">
        <v>63</v>
      </c>
      <c r="AC22" s="52" t="s">
        <v>63</v>
      </c>
      <c r="AD22" s="51" t="s">
        <v>63</v>
      </c>
      <c r="AE22" s="52" t="s">
        <v>63</v>
      </c>
      <c r="AF22" s="51" t="s">
        <v>63</v>
      </c>
      <c r="AG22" s="52" t="s">
        <v>63</v>
      </c>
      <c r="AH22" s="51" t="s">
        <v>63</v>
      </c>
      <c r="AI22" s="52" t="s">
        <v>63</v>
      </c>
      <c r="AJ22" s="56"/>
      <c r="AK22" s="234"/>
      <c r="AL22" s="237"/>
      <c r="AM22" s="215"/>
    </row>
    <row r="23" spans="1:39" s="18" customFormat="1" ht="22.9" customHeight="1" thickBot="1">
      <c r="A23" s="222"/>
      <c r="B23" s="120"/>
      <c r="C23" s="225"/>
      <c r="D23" s="243"/>
      <c r="E23" s="241"/>
      <c r="F23" s="113"/>
      <c r="G23" s="113"/>
      <c r="H23" s="113"/>
      <c r="I23" s="229"/>
      <c r="J23" s="232"/>
      <c r="K23" s="219"/>
      <c r="L23" s="53">
        <v>2</v>
      </c>
      <c r="M23" s="61">
        <v>2</v>
      </c>
      <c r="N23" s="61">
        <v>2</v>
      </c>
      <c r="O23" s="43">
        <v>2</v>
      </c>
      <c r="P23" s="42">
        <v>2</v>
      </c>
      <c r="Q23" s="43">
        <v>2</v>
      </c>
      <c r="R23" s="42">
        <v>2</v>
      </c>
      <c r="S23" s="43">
        <v>2</v>
      </c>
      <c r="T23" s="42">
        <v>2</v>
      </c>
      <c r="U23" s="43">
        <v>2</v>
      </c>
      <c r="V23" s="42">
        <v>2</v>
      </c>
      <c r="W23" s="43">
        <v>2</v>
      </c>
      <c r="X23" s="42">
        <v>2</v>
      </c>
      <c r="Y23" s="43">
        <v>2</v>
      </c>
      <c r="Z23" s="42">
        <v>2</v>
      </c>
      <c r="AA23" s="43">
        <v>2</v>
      </c>
      <c r="AB23" s="42">
        <v>2</v>
      </c>
      <c r="AC23" s="43">
        <v>2</v>
      </c>
      <c r="AD23" s="42">
        <v>2</v>
      </c>
      <c r="AE23" s="43">
        <v>2</v>
      </c>
      <c r="AF23" s="42">
        <v>2</v>
      </c>
      <c r="AG23" s="43">
        <v>2</v>
      </c>
      <c r="AH23" s="42">
        <v>2</v>
      </c>
      <c r="AI23" s="43">
        <v>2</v>
      </c>
      <c r="AJ23" s="62"/>
      <c r="AK23" s="235"/>
      <c r="AL23" s="238"/>
      <c r="AM23" s="216"/>
    </row>
    <row r="24" spans="1:39" s="18" customFormat="1" ht="22.9" customHeight="1" thickTop="1">
      <c r="A24" s="220" t="s">
        <v>121</v>
      </c>
      <c r="B24" s="118" t="s">
        <v>108</v>
      </c>
      <c r="C24" s="239" t="s">
        <v>122</v>
      </c>
      <c r="D24" s="226" t="s">
        <v>110</v>
      </c>
      <c r="E24" s="114" t="s">
        <v>53</v>
      </c>
      <c r="F24" s="114" t="s">
        <v>111</v>
      </c>
      <c r="G24" s="114" t="s">
        <v>92</v>
      </c>
      <c r="H24" s="114" t="s">
        <v>112</v>
      </c>
      <c r="I24" s="227">
        <v>0.9</v>
      </c>
      <c r="J24" s="230">
        <v>0.2</v>
      </c>
      <c r="K24" s="217" t="s">
        <v>113</v>
      </c>
      <c r="L24" s="44" t="s">
        <v>58</v>
      </c>
      <c r="M24" s="44" t="s">
        <v>58</v>
      </c>
      <c r="N24" s="44" t="s">
        <v>58</v>
      </c>
      <c r="O24" s="45" t="s">
        <v>58</v>
      </c>
      <c r="P24" s="44" t="s">
        <v>58</v>
      </c>
      <c r="Q24" s="45" t="s">
        <v>58</v>
      </c>
      <c r="R24" s="44" t="s">
        <v>58</v>
      </c>
      <c r="S24" s="45" t="s">
        <v>58</v>
      </c>
      <c r="T24" s="44" t="s">
        <v>58</v>
      </c>
      <c r="U24" s="45" t="s">
        <v>58</v>
      </c>
      <c r="V24" s="44" t="s">
        <v>58</v>
      </c>
      <c r="W24" s="45" t="s">
        <v>58</v>
      </c>
      <c r="X24" s="44" t="s">
        <v>58</v>
      </c>
      <c r="Y24" s="45" t="s">
        <v>58</v>
      </c>
      <c r="Z24" s="44" t="s">
        <v>58</v>
      </c>
      <c r="AA24" s="45" t="s">
        <v>58</v>
      </c>
      <c r="AB24" s="44" t="s">
        <v>58</v>
      </c>
      <c r="AC24" s="45" t="s">
        <v>58</v>
      </c>
      <c r="AD24" s="44" t="s">
        <v>58</v>
      </c>
      <c r="AE24" s="45" t="s">
        <v>58</v>
      </c>
      <c r="AF24" s="44" t="s">
        <v>58</v>
      </c>
      <c r="AG24" s="45" t="s">
        <v>58</v>
      </c>
      <c r="AH24" s="44" t="s">
        <v>58</v>
      </c>
      <c r="AI24" s="45" t="s">
        <v>58</v>
      </c>
      <c r="AJ24" s="54"/>
      <c r="AK24" s="233" t="s">
        <v>114</v>
      </c>
      <c r="AL24" s="236"/>
      <c r="AM24" s="214" t="s">
        <v>123</v>
      </c>
    </row>
    <row r="25" spans="1:39" s="18" customFormat="1" ht="22.9" customHeight="1">
      <c r="A25" s="221"/>
      <c r="B25" s="119" t="s">
        <v>116</v>
      </c>
      <c r="C25" s="224"/>
      <c r="D25" s="242"/>
      <c r="E25" s="240"/>
      <c r="F25" s="112"/>
      <c r="G25" s="112"/>
      <c r="H25" s="112"/>
      <c r="I25" s="228"/>
      <c r="J25" s="231"/>
      <c r="K25" s="218"/>
      <c r="L25" s="46">
        <f>IF(L27&lt;&gt;0,+L27/L29,0%)</f>
        <v>1</v>
      </c>
      <c r="M25" s="55">
        <f>IF(M27&lt;&gt;0,+M27/M29,0%)</f>
        <v>0</v>
      </c>
      <c r="N25" s="55">
        <f>IF(N27&lt;&gt;0,+N27/N29,0%)</f>
        <v>0</v>
      </c>
      <c r="O25" s="47">
        <f t="shared" ref="O25" si="41">IF(O27&lt;&gt;0,+O27/O29,0%)</f>
        <v>0</v>
      </c>
      <c r="P25" s="55">
        <f>IF(P27&lt;&gt;0,+P27/P29,0%)</f>
        <v>0</v>
      </c>
      <c r="Q25" s="47">
        <f t="shared" ref="Q25" si="42">IF(Q27&lt;&gt;0,+Q27/Q29,0%)</f>
        <v>0</v>
      </c>
      <c r="R25" s="55">
        <f>IF(R27&lt;&gt;0,+R27/R29,0%)</f>
        <v>0</v>
      </c>
      <c r="S25" s="47">
        <f t="shared" ref="S25" si="43">IF(S27&lt;&gt;0,+S27/S29,0%)</f>
        <v>0</v>
      </c>
      <c r="T25" s="55">
        <f>IF(T27&lt;&gt;0,+T27/T29,0%)</f>
        <v>0</v>
      </c>
      <c r="U25" s="47">
        <f t="shared" ref="U25" si="44">IF(U27&lt;&gt;0,+U27/U29,0%)</f>
        <v>0</v>
      </c>
      <c r="V25" s="55">
        <f>IF(V27&lt;&gt;0,+V27/V29,0%)</f>
        <v>0</v>
      </c>
      <c r="W25" s="47">
        <f t="shared" ref="W25" si="45">IF(W27&lt;&gt;0,+W27/W29,0%)</f>
        <v>0</v>
      </c>
      <c r="X25" s="55">
        <f>IF(X27&lt;&gt;0,+X27/X29,0%)</f>
        <v>0</v>
      </c>
      <c r="Y25" s="47">
        <f t="shared" ref="Y25" si="46">IF(Y27&lt;&gt;0,+Y27/Y29,0%)</f>
        <v>0</v>
      </c>
      <c r="Z25" s="55">
        <f>IF(Z27&lt;&gt;0,+Z27/Z29,0%)</f>
        <v>0.33333333333333331</v>
      </c>
      <c r="AA25" s="47">
        <f t="shared" ref="AA25" si="47">IF(AA27&lt;&gt;0,+AA27/AA29,0%)</f>
        <v>0.33333333333333331</v>
      </c>
      <c r="AB25" s="55">
        <f>IF(AB27&lt;&gt;0,+AB27/AB29,0%)</f>
        <v>0</v>
      </c>
      <c r="AC25" s="47">
        <f t="shared" ref="AC25" si="48">IF(AC27&lt;&gt;0,+AC27/AC29,0%)</f>
        <v>0.33333333333333331</v>
      </c>
      <c r="AD25" s="55">
        <f>IF(AD27&lt;&gt;0,+AD27/AD29,0%)</f>
        <v>0.33333333333333331</v>
      </c>
      <c r="AE25" s="47">
        <f t="shared" ref="AE25" si="49">IF(AE27&lt;&gt;0,+AE27/AE29,0%)</f>
        <v>0.66666666666666663</v>
      </c>
      <c r="AF25" s="55">
        <f>IF(AF27&lt;&gt;0,+AF27/AF29,0%)</f>
        <v>0</v>
      </c>
      <c r="AG25" s="47">
        <f t="shared" ref="AG25" si="50">IF(AG27&lt;&gt;0,+AG27/AG29,0%)</f>
        <v>0.66666666666666663</v>
      </c>
      <c r="AH25" s="55">
        <f>IF(AH27&lt;&gt;0,+AH27/AH29,0%)</f>
        <v>0.33333333333333331</v>
      </c>
      <c r="AI25" s="47">
        <f t="shared" ref="AI25" si="51">IF(AI27&lt;&gt;0,+AI27/AI29,0%)</f>
        <v>1</v>
      </c>
      <c r="AJ25" s="56"/>
      <c r="AK25" s="234"/>
      <c r="AL25" s="237"/>
      <c r="AM25" s="215"/>
    </row>
    <row r="26" spans="1:39" s="18" customFormat="1" ht="22.9" customHeight="1" thickBot="1">
      <c r="A26" s="221"/>
      <c r="B26" s="119" t="s">
        <v>117</v>
      </c>
      <c r="C26" s="224"/>
      <c r="D26" s="242"/>
      <c r="E26" s="240"/>
      <c r="F26" s="112"/>
      <c r="G26" s="112"/>
      <c r="H26" s="112"/>
      <c r="I26" s="228"/>
      <c r="J26" s="231"/>
      <c r="K26" s="219"/>
      <c r="L26" s="48" t="s">
        <v>61</v>
      </c>
      <c r="M26" s="48" t="s">
        <v>61</v>
      </c>
      <c r="N26" s="48" t="s">
        <v>61</v>
      </c>
      <c r="O26" s="49" t="s">
        <v>61</v>
      </c>
      <c r="P26" s="48" t="s">
        <v>61</v>
      </c>
      <c r="Q26" s="49" t="s">
        <v>61</v>
      </c>
      <c r="R26" s="48" t="s">
        <v>61</v>
      </c>
      <c r="S26" s="49" t="s">
        <v>61</v>
      </c>
      <c r="T26" s="48" t="s">
        <v>61</v>
      </c>
      <c r="U26" s="49" t="s">
        <v>61</v>
      </c>
      <c r="V26" s="48" t="s">
        <v>61</v>
      </c>
      <c r="W26" s="49" t="s">
        <v>61</v>
      </c>
      <c r="X26" s="48" t="s">
        <v>61</v>
      </c>
      <c r="Y26" s="49" t="s">
        <v>61</v>
      </c>
      <c r="Z26" s="48" t="s">
        <v>61</v>
      </c>
      <c r="AA26" s="49" t="s">
        <v>61</v>
      </c>
      <c r="AB26" s="48" t="s">
        <v>61</v>
      </c>
      <c r="AC26" s="49" t="s">
        <v>61</v>
      </c>
      <c r="AD26" s="48" t="s">
        <v>61</v>
      </c>
      <c r="AE26" s="49" t="s">
        <v>61</v>
      </c>
      <c r="AF26" s="48" t="s">
        <v>61</v>
      </c>
      <c r="AG26" s="49" t="s">
        <v>61</v>
      </c>
      <c r="AH26" s="48" t="s">
        <v>61</v>
      </c>
      <c r="AI26" s="49" t="s">
        <v>61</v>
      </c>
      <c r="AJ26" s="56"/>
      <c r="AK26" s="234"/>
      <c r="AL26" s="237"/>
      <c r="AM26" s="215"/>
    </row>
    <row r="27" spans="1:39" s="18" customFormat="1" ht="22.9" customHeight="1" thickTop="1">
      <c r="A27" s="221"/>
      <c r="B27" s="119"/>
      <c r="C27" s="224"/>
      <c r="D27" s="242"/>
      <c r="E27" s="240"/>
      <c r="F27" s="112"/>
      <c r="G27" s="112"/>
      <c r="H27" s="112"/>
      <c r="I27" s="228"/>
      <c r="J27" s="231"/>
      <c r="K27" s="217" t="s">
        <v>118</v>
      </c>
      <c r="L27" s="53">
        <v>3</v>
      </c>
      <c r="M27" s="57">
        <v>0</v>
      </c>
      <c r="N27" s="57">
        <v>0</v>
      </c>
      <c r="O27" s="50">
        <f t="shared" ref="O27" si="52">+M27+N27</f>
        <v>0</v>
      </c>
      <c r="P27" s="57">
        <v>0</v>
      </c>
      <c r="Q27" s="50">
        <f t="shared" ref="Q27" si="53">+O27+P27</f>
        <v>0</v>
      </c>
      <c r="R27" s="57">
        <v>0</v>
      </c>
      <c r="S27" s="50">
        <f t="shared" ref="S27" si="54">+Q27+R27</f>
        <v>0</v>
      </c>
      <c r="T27" s="57">
        <v>0</v>
      </c>
      <c r="U27" s="50">
        <f t="shared" ref="U27" si="55">+S27+T27</f>
        <v>0</v>
      </c>
      <c r="V27" s="57">
        <v>0</v>
      </c>
      <c r="W27" s="50">
        <f t="shared" ref="W27" si="56">+U27+V27</f>
        <v>0</v>
      </c>
      <c r="X27" s="57">
        <v>0</v>
      </c>
      <c r="Y27" s="50">
        <f t="shared" ref="Y27" si="57">+W27+X27</f>
        <v>0</v>
      </c>
      <c r="Z27" s="57">
        <v>1</v>
      </c>
      <c r="AA27" s="50">
        <f t="shared" ref="AA27" si="58">+Y27+Z27</f>
        <v>1</v>
      </c>
      <c r="AB27" s="57">
        <v>0</v>
      </c>
      <c r="AC27" s="50">
        <f t="shared" ref="AC27" si="59">+AA27+AB27</f>
        <v>1</v>
      </c>
      <c r="AD27" s="57">
        <v>1</v>
      </c>
      <c r="AE27" s="50">
        <f t="shared" ref="AE27" si="60">+AC27+AD27</f>
        <v>2</v>
      </c>
      <c r="AF27" s="57">
        <v>0</v>
      </c>
      <c r="AG27" s="50">
        <f t="shared" ref="AG27" si="61">+AE27+AF27</f>
        <v>2</v>
      </c>
      <c r="AH27" s="58">
        <v>1</v>
      </c>
      <c r="AI27" s="59">
        <f>+AG27+AH27</f>
        <v>3</v>
      </c>
      <c r="AJ27" s="60">
        <f>+AI25/L25</f>
        <v>1</v>
      </c>
      <c r="AK27" s="234"/>
      <c r="AL27" s="237"/>
      <c r="AM27" s="215"/>
    </row>
    <row r="28" spans="1:39" s="18" customFormat="1" ht="22.9" customHeight="1">
      <c r="A28" s="221"/>
      <c r="B28" s="119"/>
      <c r="C28" s="224"/>
      <c r="D28" s="242"/>
      <c r="E28" s="240"/>
      <c r="F28" s="112"/>
      <c r="G28" s="112"/>
      <c r="H28" s="112"/>
      <c r="I28" s="228"/>
      <c r="J28" s="231"/>
      <c r="K28" s="218"/>
      <c r="L28" s="51" t="s">
        <v>63</v>
      </c>
      <c r="M28" s="51" t="s">
        <v>63</v>
      </c>
      <c r="N28" s="51" t="s">
        <v>63</v>
      </c>
      <c r="O28" s="52" t="s">
        <v>63</v>
      </c>
      <c r="P28" s="51" t="s">
        <v>63</v>
      </c>
      <c r="Q28" s="52" t="s">
        <v>63</v>
      </c>
      <c r="R28" s="51" t="s">
        <v>63</v>
      </c>
      <c r="S28" s="52" t="s">
        <v>63</v>
      </c>
      <c r="T28" s="51" t="s">
        <v>63</v>
      </c>
      <c r="U28" s="52" t="s">
        <v>63</v>
      </c>
      <c r="V28" s="51" t="s">
        <v>63</v>
      </c>
      <c r="W28" s="52" t="s">
        <v>63</v>
      </c>
      <c r="X28" s="51" t="s">
        <v>63</v>
      </c>
      <c r="Y28" s="52" t="s">
        <v>63</v>
      </c>
      <c r="Z28" s="51" t="s">
        <v>63</v>
      </c>
      <c r="AA28" s="52" t="s">
        <v>63</v>
      </c>
      <c r="AB28" s="51" t="s">
        <v>63</v>
      </c>
      <c r="AC28" s="52" t="s">
        <v>63</v>
      </c>
      <c r="AD28" s="51" t="s">
        <v>63</v>
      </c>
      <c r="AE28" s="52" t="s">
        <v>63</v>
      </c>
      <c r="AF28" s="51" t="s">
        <v>63</v>
      </c>
      <c r="AG28" s="52" t="s">
        <v>63</v>
      </c>
      <c r="AH28" s="51" t="s">
        <v>63</v>
      </c>
      <c r="AI28" s="52" t="s">
        <v>63</v>
      </c>
      <c r="AJ28" s="56"/>
      <c r="AK28" s="234"/>
      <c r="AL28" s="237"/>
      <c r="AM28" s="215"/>
    </row>
    <row r="29" spans="1:39" s="18" customFormat="1" ht="22.9" customHeight="1" thickBot="1">
      <c r="A29" s="222"/>
      <c r="B29" s="120"/>
      <c r="C29" s="225"/>
      <c r="D29" s="243"/>
      <c r="E29" s="241"/>
      <c r="F29" s="113"/>
      <c r="G29" s="113"/>
      <c r="H29" s="113"/>
      <c r="I29" s="229"/>
      <c r="J29" s="232"/>
      <c r="K29" s="219"/>
      <c r="L29" s="53">
        <v>3</v>
      </c>
      <c r="M29" s="61">
        <v>3</v>
      </c>
      <c r="N29" s="61">
        <v>3</v>
      </c>
      <c r="O29" s="43">
        <v>3</v>
      </c>
      <c r="P29" s="42">
        <v>3</v>
      </c>
      <c r="Q29" s="43">
        <v>3</v>
      </c>
      <c r="R29" s="42">
        <v>3</v>
      </c>
      <c r="S29" s="43">
        <v>3</v>
      </c>
      <c r="T29" s="42">
        <v>3</v>
      </c>
      <c r="U29" s="43">
        <v>3</v>
      </c>
      <c r="V29" s="42">
        <v>3</v>
      </c>
      <c r="W29" s="43">
        <v>3</v>
      </c>
      <c r="X29" s="42">
        <v>3</v>
      </c>
      <c r="Y29" s="43">
        <v>3</v>
      </c>
      <c r="Z29" s="42">
        <v>3</v>
      </c>
      <c r="AA29" s="43">
        <v>3</v>
      </c>
      <c r="AB29" s="42">
        <v>3</v>
      </c>
      <c r="AC29" s="43">
        <v>3</v>
      </c>
      <c r="AD29" s="42">
        <v>3</v>
      </c>
      <c r="AE29" s="43">
        <v>3</v>
      </c>
      <c r="AF29" s="42">
        <v>3</v>
      </c>
      <c r="AG29" s="43">
        <v>3</v>
      </c>
      <c r="AH29" s="42">
        <v>3</v>
      </c>
      <c r="AI29" s="43">
        <v>3</v>
      </c>
      <c r="AJ29" s="62"/>
      <c r="AK29" s="235"/>
      <c r="AL29" s="238"/>
      <c r="AM29" s="216"/>
    </row>
    <row r="30" spans="1:39" ht="13.5" thickTop="1"/>
    <row r="35" spans="16:16" ht="12.75">
      <c r="P35" s="87"/>
    </row>
    <row r="242" spans="5:5">
      <c r="E242" s="1" t="s">
        <v>97</v>
      </c>
    </row>
  </sheetData>
  <mergeCells count="93">
    <mergeCell ref="F10:F11"/>
    <mergeCell ref="G10:G11"/>
    <mergeCell ref="B1:D5"/>
    <mergeCell ref="E1:M5"/>
    <mergeCell ref="H10:H11"/>
    <mergeCell ref="I10:I11"/>
    <mergeCell ref="K10:K11"/>
    <mergeCell ref="L10:L11"/>
    <mergeCell ref="M10:M11"/>
    <mergeCell ref="B6:D6"/>
    <mergeCell ref="E6:M6"/>
    <mergeCell ref="J10:J11"/>
    <mergeCell ref="A10:A11"/>
    <mergeCell ref="B10:B11"/>
    <mergeCell ref="C10:C11"/>
    <mergeCell ref="D10:D11"/>
    <mergeCell ref="E10:E11"/>
    <mergeCell ref="S10:S11"/>
    <mergeCell ref="N1:Q1"/>
    <mergeCell ref="N2:Q2"/>
    <mergeCell ref="N3:Q3"/>
    <mergeCell ref="N5:Q5"/>
    <mergeCell ref="N6:Q6"/>
    <mergeCell ref="N10:N11"/>
    <mergeCell ref="O10:O11"/>
    <mergeCell ref="P10:P11"/>
    <mergeCell ref="Q10:Q11"/>
    <mergeCell ref="R10:R11"/>
    <mergeCell ref="AE10:AE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L10:AL11"/>
    <mergeCell ref="AM10:AM11"/>
    <mergeCell ref="AF10:AF11"/>
    <mergeCell ref="AG10:AG11"/>
    <mergeCell ref="AH10:AH11"/>
    <mergeCell ref="AI10:AI11"/>
    <mergeCell ref="AJ10:AJ11"/>
    <mergeCell ref="AK10:AK11"/>
    <mergeCell ref="A24:A29"/>
    <mergeCell ref="B24:B29"/>
    <mergeCell ref="C24:C29"/>
    <mergeCell ref="D24:D29"/>
    <mergeCell ref="E24:E29"/>
    <mergeCell ref="J24:J29"/>
    <mergeCell ref="K24:K26"/>
    <mergeCell ref="AK24:AK29"/>
    <mergeCell ref="AL24:AL29"/>
    <mergeCell ref="F24:F29"/>
    <mergeCell ref="G24:G29"/>
    <mergeCell ref="H24:H29"/>
    <mergeCell ref="I24:I29"/>
    <mergeCell ref="AL18:AL23"/>
    <mergeCell ref="AM18:AM23"/>
    <mergeCell ref="K21:K23"/>
    <mergeCell ref="A12:A17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4"/>
    <mergeCell ref="AK12:AK17"/>
    <mergeCell ref="AL12:AL17"/>
    <mergeCell ref="AM24:AM29"/>
    <mergeCell ref="K27:K29"/>
    <mergeCell ref="AM12:AM17"/>
    <mergeCell ref="K15:K17"/>
    <mergeCell ref="A18:A23"/>
    <mergeCell ref="B18:B23"/>
    <mergeCell ref="C18:C23"/>
    <mergeCell ref="D18:D23"/>
    <mergeCell ref="E18:E23"/>
    <mergeCell ref="F18:F23"/>
    <mergeCell ref="G18:G23"/>
    <mergeCell ref="H18:H23"/>
    <mergeCell ref="I18:I23"/>
    <mergeCell ref="J18:J23"/>
    <mergeCell ref="K18:K20"/>
    <mergeCell ref="AK18:AK23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2026-02-18T19:24:16Z</dcterms:modified>
  <cp:category/>
  <cp:contentStatus/>
</cp:coreProperties>
</file>