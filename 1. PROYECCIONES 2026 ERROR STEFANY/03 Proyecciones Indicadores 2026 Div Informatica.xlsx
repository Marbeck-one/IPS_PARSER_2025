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103" documentId="8_{E754A842-035B-4C97-A18D-87CDFF63C242}" xr6:coauthVersionLast="47" xr6:coauthVersionMax="47" xr10:uidLastSave="{27561FA9-83AF-4322-A9B1-A928301AC809}"/>
  <bookViews>
    <workbookView xWindow="-110" yWindow="-110" windowWidth="19420" windowHeight="11500" xr2:uid="{00000000-000D-0000-FFFF-FFFF00000000}"/>
  </bookViews>
  <sheets>
    <sheet name="CDC 2026" sheetId="1" r:id="rId1"/>
    <sheet name="PMG 2026" sheetId="2" r:id="rId2"/>
  </sheets>
  <definedNames>
    <definedName name="_xlnm._FilterDatabase" localSheetId="0" hidden="1">'CDC 2026'!$A$11:$AM$30</definedName>
    <definedName name="_xlnm._FilterDatabase" localSheetId="1" hidden="1">'PMG 2026'!$A$11:$AL$18</definedName>
    <definedName name="_xlnm.Print_Area" localSheetId="0">'CDC 2026'!$B$1:$AL$18</definedName>
    <definedName name="_xlnm.Print_Area" localSheetId="1">'PMG 2026'!$B$1:$AK$12</definedName>
    <definedName name="_xlnm.Print_Titles" localSheetId="0">'CDC 2026'!$1:$12</definedName>
    <definedName name="_xlnm.Print_Titles" localSheetId="1">'PMG 2026'!$1:$12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" l="1"/>
  <c r="Q40" i="1" s="1"/>
  <c r="S40" i="1" s="1"/>
  <c r="U40" i="1" s="1"/>
  <c r="W40" i="1" s="1"/>
  <c r="Y40" i="1" s="1"/>
  <c r="AA40" i="1" s="1"/>
  <c r="AC40" i="1" s="1"/>
  <c r="AE40" i="1" s="1"/>
  <c r="AG40" i="1" s="1"/>
  <c r="AI40" i="1" s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AH18" i="2"/>
  <c r="AF18" i="2"/>
  <c r="AE18" i="2"/>
  <c r="AD18" i="2"/>
  <c r="AC18" i="2"/>
  <c r="AB18" i="2"/>
  <c r="Z18" i="2"/>
  <c r="X18" i="2"/>
  <c r="V18" i="2"/>
  <c r="T18" i="2"/>
  <c r="R18" i="2"/>
  <c r="P18" i="2"/>
  <c r="N18" i="2"/>
  <c r="AI36" i="1"/>
  <c r="AG36" i="1"/>
  <c r="AE36" i="1"/>
  <c r="AC36" i="1"/>
  <c r="AA36" i="1"/>
  <c r="Y36" i="1"/>
  <c r="W36" i="1"/>
  <c r="U36" i="1"/>
  <c r="S36" i="1"/>
  <c r="Q36" i="1"/>
  <c r="O36" i="1"/>
  <c r="N16" i="2"/>
  <c r="P16" i="2" s="1"/>
  <c r="AG14" i="2"/>
  <c r="AE14" i="2"/>
  <c r="AC14" i="2"/>
  <c r="AA14" i="2"/>
  <c r="Y14" i="2"/>
  <c r="W14" i="2"/>
  <c r="U14" i="2"/>
  <c r="S14" i="2"/>
  <c r="Q14" i="2"/>
  <c r="O14" i="2"/>
  <c r="M14" i="2"/>
  <c r="L14" i="2"/>
  <c r="K14" i="2"/>
  <c r="I13" i="2" s="1"/>
  <c r="L20" i="1"/>
  <c r="L14" i="1"/>
  <c r="I13" i="1" s="1"/>
  <c r="J43" i="1"/>
  <c r="N14" i="2" l="1"/>
  <c r="P14" i="2"/>
  <c r="R16" i="2"/>
  <c r="O34" i="1"/>
  <c r="AH32" i="1"/>
  <c r="AF32" i="1"/>
  <c r="AD32" i="1"/>
  <c r="AB32" i="1"/>
  <c r="Z32" i="1"/>
  <c r="X32" i="1"/>
  <c r="V32" i="1"/>
  <c r="T32" i="1"/>
  <c r="R32" i="1"/>
  <c r="P32" i="1"/>
  <c r="N32" i="1"/>
  <c r="M32" i="1"/>
  <c r="L32" i="1"/>
  <c r="I31" i="1" s="1"/>
  <c r="O28" i="1"/>
  <c r="Q28" i="1" s="1"/>
  <c r="AH26" i="1"/>
  <c r="AF26" i="1"/>
  <c r="AD26" i="1"/>
  <c r="AB26" i="1"/>
  <c r="Z26" i="1"/>
  <c r="X26" i="1"/>
  <c r="V26" i="1"/>
  <c r="T26" i="1"/>
  <c r="R26" i="1"/>
  <c r="P26" i="1"/>
  <c r="O26" i="1"/>
  <c r="N26" i="1"/>
  <c r="M26" i="1"/>
  <c r="L26" i="1"/>
  <c r="O32" i="1" l="1"/>
  <c r="R14" i="2"/>
  <c r="T16" i="2"/>
  <c r="Q34" i="1"/>
  <c r="S28" i="1"/>
  <c r="Q26" i="1"/>
  <c r="V16" i="2" l="1"/>
  <c r="T14" i="2"/>
  <c r="S34" i="1"/>
  <c r="S26" i="1"/>
  <c r="U28" i="1"/>
  <c r="V14" i="2" l="1"/>
  <c r="X16" i="2"/>
  <c r="U34" i="1"/>
  <c r="U26" i="1"/>
  <c r="W28" i="1"/>
  <c r="Z16" i="2" l="1"/>
  <c r="X14" i="2"/>
  <c r="W34" i="1"/>
  <c r="W26" i="1"/>
  <c r="Y28" i="1"/>
  <c r="AB16" i="2" l="1"/>
  <c r="Z14" i="2"/>
  <c r="Y34" i="1"/>
  <c r="AA28" i="1"/>
  <c r="Y26" i="1"/>
  <c r="AB14" i="2" l="1"/>
  <c r="AD16" i="2"/>
  <c r="AA34" i="1"/>
  <c r="AA26" i="1"/>
  <c r="AC28" i="1"/>
  <c r="AD14" i="2" l="1"/>
  <c r="AF16" i="2"/>
  <c r="AC34" i="1"/>
  <c r="AC26" i="1"/>
  <c r="AE28" i="1"/>
  <c r="AF14" i="2" l="1"/>
  <c r="AH16" i="2"/>
  <c r="AH14" i="2" s="1"/>
  <c r="AI16" i="2" s="1"/>
  <c r="AE34" i="1"/>
  <c r="AG28" i="1"/>
  <c r="AE26" i="1"/>
  <c r="AG34" i="1" l="1"/>
  <c r="AI28" i="1"/>
  <c r="AI26" i="1" s="1"/>
  <c r="AJ28" i="1" s="1"/>
  <c r="AG26" i="1"/>
  <c r="AJ40" i="1"/>
  <c r="AI34" i="1" l="1"/>
  <c r="O18" i="1"/>
  <c r="Q18" i="1" s="1"/>
  <c r="S18" i="1" s="1"/>
  <c r="U18" i="1" s="1"/>
  <c r="W18" i="1" s="1"/>
  <c r="Y18" i="1" s="1"/>
  <c r="AA18" i="1" s="1"/>
  <c r="AC18" i="1" s="1"/>
  <c r="AE18" i="1" s="1"/>
  <c r="AG18" i="1" s="1"/>
  <c r="AI18" i="1" s="1"/>
  <c r="O16" i="1"/>
  <c r="O14" i="1" s="1"/>
  <c r="AH14" i="1"/>
  <c r="AF14" i="1"/>
  <c r="AD14" i="1"/>
  <c r="AB14" i="1"/>
  <c r="Z14" i="1"/>
  <c r="X14" i="1"/>
  <c r="V14" i="1"/>
  <c r="T14" i="1"/>
  <c r="R14" i="1"/>
  <c r="P14" i="1"/>
  <c r="N14" i="1"/>
  <c r="M14" i="1"/>
  <c r="Q16" i="1" l="1"/>
  <c r="S16" i="1" l="1"/>
  <c r="Q14" i="1"/>
  <c r="S14" i="1" l="1"/>
  <c r="U16" i="1"/>
  <c r="W16" i="1" l="1"/>
  <c r="U14" i="1"/>
  <c r="W14" i="1" l="1"/>
  <c r="Y16" i="1"/>
  <c r="Y14" i="1" l="1"/>
  <c r="AA16" i="1"/>
  <c r="AC16" i="1" l="1"/>
  <c r="AA14" i="1"/>
  <c r="AC14" i="1" l="1"/>
  <c r="AE16" i="1"/>
  <c r="AE14" i="1" l="1"/>
  <c r="AG16" i="1"/>
  <c r="O22" i="1"/>
  <c r="Q22" i="1" s="1"/>
  <c r="Q20" i="1" s="1"/>
  <c r="AH20" i="1"/>
  <c r="AF20" i="1"/>
  <c r="AD20" i="1"/>
  <c r="AB20" i="1"/>
  <c r="Z20" i="1"/>
  <c r="X20" i="1"/>
  <c r="V20" i="1"/>
  <c r="T20" i="1"/>
  <c r="R20" i="1"/>
  <c r="P20" i="1"/>
  <c r="I25" i="1"/>
  <c r="I19" i="1"/>
  <c r="N20" i="1"/>
  <c r="M20" i="1"/>
  <c r="S22" i="1" l="1"/>
  <c r="S20" i="1" s="1"/>
  <c r="AI16" i="1"/>
  <c r="AI14" i="1" s="1"/>
  <c r="AJ16" i="1" s="1"/>
  <c r="AG14" i="1"/>
  <c r="O20" i="1"/>
  <c r="U22" i="1" l="1"/>
  <c r="W22" i="1" s="1"/>
  <c r="U20" i="1" l="1"/>
  <c r="Y22" i="1"/>
  <c r="W20" i="1"/>
  <c r="AA22" i="1" l="1"/>
  <c r="Y20" i="1"/>
  <c r="AC22" i="1" l="1"/>
  <c r="AA20" i="1"/>
  <c r="AC20" i="1" l="1"/>
  <c r="AE22" i="1"/>
  <c r="AG22" i="1" l="1"/>
  <c r="AE20" i="1"/>
  <c r="AI22" i="1" l="1"/>
  <c r="AI20" i="1" s="1"/>
  <c r="AJ22" i="1" s="1"/>
  <c r="AG20" i="1"/>
  <c r="U32" i="1"/>
  <c r="S32" i="1"/>
  <c r="Q32" i="1"/>
  <c r="W32" i="1" l="1"/>
  <c r="Y32" i="1" l="1"/>
  <c r="AA32" i="1"/>
  <c r="AC32" i="1" l="1"/>
  <c r="AE32" i="1" l="1"/>
  <c r="AI32" i="1" l="1"/>
  <c r="AJ34" i="1" s="1"/>
  <c r="AG32" i="1"/>
</calcChain>
</file>

<file path=xl/sharedStrings.xml><?xml version="1.0" encoding="utf-8"?>
<sst xmlns="http://schemas.openxmlformats.org/spreadsheetml/2006/main" count="606" uniqueCount="116">
  <si>
    <t>Plantilla del SIG Compromisos Institucionales</t>
  </si>
  <si>
    <t>DIVISIÓN PLANIFICACIÓN</t>
  </si>
  <si>
    <t>Y DESARROLLO</t>
  </si>
  <si>
    <t xml:space="preserve">Fecha: </t>
  </si>
  <si>
    <t xml:space="preserve">  </t>
  </si>
  <si>
    <t>Elaborado por: Analista de Gestión</t>
  </si>
  <si>
    <t>Revisado por:</t>
  </si>
  <si>
    <t xml:space="preserve">Aprobado por: </t>
  </si>
  <si>
    <t>CONVENIO DE DESEMPEÑO COLECTIVO 2026</t>
  </si>
  <si>
    <t>CENTRO DE RESPONSABILIDAD: DIVISIÓN INFORMÁTICA</t>
  </si>
  <si>
    <t>NÚMERO</t>
  </si>
  <si>
    <t>PRODUCTO O PROCESO ESPECÍFICO</t>
  </si>
  <si>
    <t xml:space="preserve">INDICADOR </t>
  </si>
  <si>
    <t>FORMULA</t>
  </si>
  <si>
    <t>UNIDAD</t>
  </si>
  <si>
    <t>RESPONSABLE CENTRO DE RESPONSABILIDAD</t>
  </si>
  <si>
    <t>GESTOR</t>
  </si>
  <si>
    <t>SUPERVISORES</t>
  </si>
  <si>
    <t>Meta 2026</t>
  </si>
  <si>
    <t>Ponderador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</si>
  <si>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</si>
  <si>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</si>
  <si>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</si>
  <si>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</si>
  <si>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</si>
  <si>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</si>
  <si>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</si>
  <si>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</si>
  <si>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</si>
  <si>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</si>
  <si>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</si>
  <si>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</si>
  <si>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</si>
  <si>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</si>
  <si>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</si>
  <si>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</si>
  <si>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</si>
  <si>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</si>
  <si>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</si>
  <si>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</si>
  <si>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</si>
  <si>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</si>
  <si>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</si>
  <si>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</si>
  <si>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Cumplimiento
Proyectado
2026</t>
  </si>
  <si>
    <t>% Cumplimiento de Meta</t>
  </si>
  <si>
    <t>Medios de Verificación</t>
  </si>
  <si>
    <t>Control de Cambios</t>
  </si>
  <si>
    <t>Instrumentos de Gestión Asociados</t>
  </si>
  <si>
    <t>3.5.1.24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</si>
  <si>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</si>
  <si>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1)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</si>
  <si>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</si>
  <si>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División Beneficios</t>
  </si>
  <si>
    <t>Reinaldo Zuñiga Herrera</t>
  </si>
  <si>
    <t>Carlos Rodriguez Retamal</t>
  </si>
  <si>
    <t>(Sumatoria de Beneficios Previsionales de las áreas Particulares, Públicos y SSS que se finiquitan en un plazo máximo interno de 14 días en el año t</t>
  </si>
  <si>
    <t xml:space="preserve">Valor indicador=   </t>
  </si>
  <si>
    <t>Reportes/Informes
-  Reporte sistema de reparto (Tipo PMG).</t>
  </si>
  <si>
    <t>CDC: Div. Beneficio, Subd. Servicio al Cliente, Div Informática, Subd Sistema de Información y Administración, Div Jurídica, Direcciones Regionales.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</si>
  <si>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</si>
  <si>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</si>
  <si>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</si>
  <si>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5.2.1.18</t>
  </si>
  <si>
    <t>5.-Proceso de Apoyo
5.2.-Tecnologias de la Información
5.2.1.-Informatización</t>
  </si>
  <si>
    <r>
      <t xml:space="preserve">2) Eficacia/Proceso
</t>
    </r>
    <r>
      <rPr>
        <sz val="8"/>
        <rFont val="Arial Narrow"/>
        <family val="2"/>
      </rPr>
      <t>Porcentaje de controles de seguridad de la información implementados respecto del total definido en la norma NCh -ISO 27001, en el año t.</t>
    </r>
  </si>
  <si>
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</si>
  <si>
    <t>División Informatica</t>
  </si>
  <si>
    <t>Roy Mac Kenney (S)</t>
  </si>
  <si>
    <t>Mildo Edgardo Godoy Godoy</t>
  </si>
  <si>
    <t>Mabel Moreno Barrios</t>
  </si>
  <si>
    <t>(Número de controles de seguridad de la Norma NCh. - ISO 27001 implementados para mitigar riesgos de seguridad de la información al año t</t>
  </si>
  <si>
    <t>Reportes/Informes
-	Informe final de implementación de los controles de seguridad comprometidos.</t>
  </si>
  <si>
    <t>CDC: Div Informática.</t>
  </si>
  <si>
    <t>Número total de controles establecidos en la Norma NCh. -ISO 27001 para mitigar riesgos de seguridad de la información) *100</t>
  </si>
  <si>
    <t>5.1.3.43</t>
  </si>
  <si>
    <t>5.- Proceso de Apoyo
 5.1.- Administración y Finanzas
 5.1.3.- Programación y Control Presupuestario</t>
  </si>
  <si>
    <r>
      <rPr>
        <b/>
        <sz val="8"/>
        <rFont val="Arial Narrow"/>
        <family val="2"/>
      </rPr>
      <t>3)</t>
    </r>
    <r>
      <rPr>
        <b/>
        <u/>
        <sz val="8"/>
        <rFont val="Arial Narrow"/>
        <family val="2"/>
      </rPr>
      <t xml:space="preserve"> 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
(División Informática)</t>
    </r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</si>
  <si>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</si>
  <si>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 xml:space="preserve">Subdirección Sistemas de Información y Administración
Departamento Secretaria General y Transparencia </t>
  </si>
  <si>
    <t>María Eugenia Elizalde</t>
  </si>
  <si>
    <t>Julio Santistevan Jimenez</t>
  </si>
  <si>
    <t>Manuel Aguila Castillo</t>
  </si>
  <si>
    <t>Sumatoria de hitos de control cumplidos de ejecución presupuestaria a nivel de los Subtítulos 22 y 29, dentro de los plazos establecidos</t>
  </si>
  <si>
    <t>Reportes/Informes
-	Informe de ejecución presupuestaria emitido por el Subdepartamento de Presupuesto del Departamento de Finanzas.</t>
  </si>
  <si>
    <t xml:space="preserve"> 
CDC: Div. Beneficio,Subdirección Clientes, División Informática, Subdirección Sistema de información y Administración, División Planificación y Desarrollo, Departamento Comunicaciones</t>
  </si>
  <si>
    <t>(N° total de hitos de control definidos de ejecución presupuestaria a nivel de los Subtítulos 22 y 29) *100</t>
  </si>
  <si>
    <t>5.2.1.94</t>
  </si>
  <si>
    <t xml:space="preserve">1.-Atención de Público en materias previsionales, sociales y otros trámites
1.3.-­Servicio de información en canales presenciales
1.3.1.-­Servicio de información en canales presenciales
</t>
  </si>
  <si>
    <r>
      <t>4) Eficacia/Proceso</t>
    </r>
    <r>
      <rPr>
        <sz val="8"/>
        <rFont val="Arial Narrow"/>
        <family val="2"/>
      </rPr>
      <t xml:space="preserve">
Porcentaje de tickets de atención cerrados por el Subdepto de Gestión de Servicios TI, en el año t.</t>
    </r>
    <r>
      <rPr>
        <b/>
        <u/>
        <sz val="8"/>
        <rFont val="Arial Narrow"/>
        <family val="2"/>
      </rPr>
      <t xml:space="preserve">
</t>
    </r>
  </si>
  <si>
    <t xml:space="preserve">(N° de tickets de atención cerrados por el Subdepto de Gestión de Servicios TI en el año t / N° total de ticket creados por el Subdepto de Gestión de Servicios TI en el año t) *100 </t>
  </si>
  <si>
    <t xml:space="preserve">Reportes/Informes
Planilla de Registro y Gestión de casos Catálogo – MAFIPS </t>
  </si>
  <si>
    <t>5.4.1.96</t>
  </si>
  <si>
    <t xml:space="preserve">5.-Proceso de Apoyo
5.4.-Planificación y Control de Gestión 
5.4.1.-Control de Gestión Institucional
</t>
  </si>
  <si>
    <r>
      <rPr>
        <b/>
        <u/>
        <sz val="8"/>
        <color rgb="FF000000"/>
        <rFont val="Arial Narrow"/>
      </rPr>
      <t xml:space="preserve">5) Eficacia/Procesos
</t>
    </r>
    <r>
      <rPr>
        <sz val="8"/>
        <color rgb="FF000000"/>
        <rFont val="Arial Narrow"/>
      </rPr>
      <t>Porcentaje de procesos priorizados con Planes de Continuidad Operacional formalizados en el año t</t>
    </r>
  </si>
  <si>
    <t>(N° de procesos priorizados con Planes de Continuidad Operacional formalizados en el año t / N° total de procesos priorizados en el año t) *100</t>
  </si>
  <si>
    <t>División Planificación y Desarrollo</t>
  </si>
  <si>
    <t>Jorge Farah</t>
  </si>
  <si>
    <t>Olga Veronica Quiroz Miranda</t>
  </si>
  <si>
    <t>Joselyn Loyola</t>
  </si>
  <si>
    <t>N° de procesos priorizados con Planes de Continuidad Operacional formalizados en el año t</t>
  </si>
  <si>
    <t>Reportes/Informes
Resolución del Plan de Continuidad
Operacional (PCO) del Proceso Priorizado Comprometido.</t>
  </si>
  <si>
    <t>5.4.-Planificación y Control de Gestión</t>
  </si>
  <si>
    <t>5.4.1.-Control de Gestión Institucional</t>
  </si>
  <si>
    <t>N° total de procesos priorizados en el año t</t>
  </si>
  <si>
    <t xml:space="preserve"> </t>
  </si>
  <si>
    <t>5.2.1.96</t>
  </si>
  <si>
    <r>
      <rPr>
        <b/>
        <u/>
        <sz val="8"/>
        <rFont val="Arial Narrow"/>
        <family val="2"/>
      </rPr>
      <t>Eficiencia/Calidad</t>
    </r>
    <r>
      <rPr>
        <sz val="8"/>
        <rFont val="Arial Narrow"/>
        <family val="2"/>
      </rPr>
      <t xml:space="preserve">
Sistema de Transformación Digital</t>
    </r>
  </si>
  <si>
    <t>(Sumatoria de requisitos técnicos cumplidos en el año t / Número total de requisitos definidos en el año t) *100</t>
  </si>
  <si>
    <t>Rodrigo Funes</t>
  </si>
  <si>
    <t>Christian Segura</t>
  </si>
  <si>
    <t>Sumatoria de requisitos técnicos cumplidos en el año t</t>
  </si>
  <si>
    <t>Reportes/Informes
-	Medios de verificación requisitos técnicos</t>
  </si>
  <si>
    <t>PMG 2026 Obj 3</t>
  </si>
  <si>
    <t>Número total de requisitos definidos en el año t</t>
  </si>
  <si>
    <t>Nota: Estas fechas son provisorias dado que aún no se tiene la guía metódologica y la planificación de ejecución. En marzo o abril  se volverá a revisar.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</si>
</sst>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#,##0.0"/>
  </numFmts>
  <fonts count="28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b/>
      <sz val="12"/>
      <color indexed="12"/>
      <name val="Arial Narrow"/>
      <family val="2"/>
    </font>
    <font>
      <sz val="12"/>
      <name val="Arial Narrow"/>
      <family val="2"/>
    </font>
    <font>
      <sz val="8"/>
      <color indexed="8"/>
      <name val="Arial Narrow"/>
      <family val="2"/>
    </font>
    <font>
      <b/>
      <u/>
      <sz val="8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12"/>
      <color theme="1"/>
      <name val="Arial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sz val="8"/>
      <color rgb="FFFF0000"/>
      <name val="Arial Narrow"/>
      <family val="2"/>
    </font>
    <font>
      <sz val="8"/>
      <color rgb="FFFF0000"/>
      <name val="Arial Narrow"/>
      <family val="2"/>
    </font>
    <font>
      <b/>
      <u/>
      <sz val="8"/>
      <color theme="1"/>
      <name val="Arial Narrow"/>
      <family val="2"/>
    </font>
    <font>
      <sz val="9"/>
      <color theme="1"/>
      <name val="Arial Narrow"/>
      <family val="2"/>
    </font>
    <font>
      <sz val="10"/>
      <color theme="1"/>
      <name val="Arial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8"/>
      <color theme="1"/>
      <name val="Arial"/>
      <family val="2"/>
    </font>
    <font>
      <b/>
      <u/>
      <sz val="8"/>
      <color rgb="FF000000"/>
      <name val="Arial Narrow"/>
    </font>
    <font>
      <sz val="8"/>
      <color rgb="FF000000"/>
      <name val="Arial Narrow"/>
    </font>
    <font>
      <u/>
      <sz val="8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1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2" fillId="0" borderId="0" xfId="0" applyFont="1" applyAlignment="1">
      <alignment horizontal="left"/>
    </xf>
    <xf numFmtId="0" fontId="14" fillId="0" borderId="0" xfId="0" applyFont="1"/>
    <xf numFmtId="3" fontId="11" fillId="0" borderId="0" xfId="0" applyNumberFormat="1" applyFont="1" applyAlignment="1">
      <alignment horizontal="center"/>
    </xf>
    <xf numFmtId="0" fontId="11" fillId="0" borderId="4" xfId="0" applyFont="1" applyBorder="1" applyAlignment="1">
      <alignment horizontal="center"/>
    </xf>
    <xf numFmtId="3" fontId="11" fillId="0" borderId="4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9" fontId="15" fillId="0" borderId="5" xfId="4" applyFont="1" applyBorder="1" applyAlignment="1">
      <alignment vertical="center"/>
    </xf>
    <xf numFmtId="10" fontId="15" fillId="2" borderId="8" xfId="4" applyNumberFormat="1" applyFont="1" applyFill="1" applyBorder="1" applyAlignment="1" applyProtection="1">
      <alignment vertical="center"/>
    </xf>
    <xf numFmtId="9" fontId="15" fillId="0" borderId="7" xfId="4" applyFont="1" applyBorder="1" applyAlignment="1">
      <alignment vertical="center"/>
    </xf>
    <xf numFmtId="0" fontId="15" fillId="0" borderId="7" xfId="0" applyFont="1" applyBorder="1" applyAlignment="1">
      <alignment horizontal="left" vertical="center" wrapText="1"/>
    </xf>
    <xf numFmtId="0" fontId="15" fillId="2" borderId="8" xfId="0" applyFont="1" applyFill="1" applyBorder="1" applyAlignment="1">
      <alignment horizontal="left" vertical="center" wrapText="1"/>
    </xf>
    <xf numFmtId="3" fontId="15" fillId="5" borderId="7" xfId="0" applyNumberFormat="1" applyFont="1" applyFill="1" applyBorder="1" applyAlignment="1">
      <alignment horizontal="right" vertical="center" wrapText="1"/>
    </xf>
    <xf numFmtId="3" fontId="15" fillId="3" borderId="7" xfId="0" applyNumberFormat="1" applyFont="1" applyFill="1" applyBorder="1" applyAlignment="1">
      <alignment horizontal="right" vertical="center" wrapText="1"/>
    </xf>
    <xf numFmtId="3" fontId="15" fillId="2" borderId="7" xfId="0" applyNumberFormat="1" applyFont="1" applyFill="1" applyBorder="1" applyAlignment="1">
      <alignment horizontal="right" vertical="center" wrapText="1"/>
    </xf>
    <xf numFmtId="10" fontId="15" fillId="0" borderId="7" xfId="4" applyNumberFormat="1" applyFont="1" applyBorder="1" applyAlignment="1">
      <alignment horizontal="center" vertical="center"/>
    </xf>
    <xf numFmtId="3" fontId="15" fillId="0" borderId="7" xfId="0" applyNumberFormat="1" applyFont="1" applyBorder="1" applyAlignment="1">
      <alignment horizontal="left" vertical="center" wrapText="1"/>
    </xf>
    <xf numFmtId="3" fontId="15" fillId="2" borderId="8" xfId="0" applyNumberFormat="1" applyFont="1" applyFill="1" applyBorder="1" applyAlignment="1">
      <alignment horizontal="left" vertical="center" wrapText="1"/>
    </xf>
    <xf numFmtId="3" fontId="15" fillId="5" borderId="9" xfId="0" applyNumberFormat="1" applyFont="1" applyFill="1" applyBorder="1" applyAlignment="1">
      <alignment horizontal="right" vertical="center" wrapText="1"/>
    </xf>
    <xf numFmtId="3" fontId="15" fillId="3" borderId="9" xfId="0" applyNumberFormat="1" applyFont="1" applyFill="1" applyBorder="1" applyAlignment="1">
      <alignment horizontal="right" vertical="center" wrapText="1"/>
    </xf>
    <xf numFmtId="3" fontId="15" fillId="2" borderId="10" xfId="0" applyNumberFormat="1" applyFont="1" applyFill="1" applyBorder="1" applyAlignment="1">
      <alignment horizontal="right" vertical="center" wrapText="1"/>
    </xf>
    <xf numFmtId="9" fontId="15" fillId="0" borderId="9" xfId="4" applyFont="1" applyBorder="1" applyAlignment="1">
      <alignment vertical="center"/>
    </xf>
    <xf numFmtId="10" fontId="15" fillId="3" borderId="7" xfId="4" applyNumberFormat="1" applyFont="1" applyFill="1" applyBorder="1" applyAlignment="1" applyProtection="1">
      <alignment horizontal="right" vertical="center"/>
    </xf>
    <xf numFmtId="0" fontId="15" fillId="0" borderId="0" xfId="0" applyFont="1"/>
    <xf numFmtId="9" fontId="15" fillId="0" borderId="0" xfId="0" applyNumberFormat="1" applyFont="1"/>
    <xf numFmtId="10" fontId="16" fillId="6" borderId="7" xfId="4" applyNumberFormat="1" applyFont="1" applyFill="1" applyBorder="1" applyAlignment="1" applyProtection="1">
      <alignment horizontal="right" vertical="center"/>
    </xf>
    <xf numFmtId="0" fontId="15" fillId="0" borderId="0" xfId="0" applyFont="1" applyAlignment="1">
      <alignment horizontal="left" vertical="center" wrapText="1"/>
    </xf>
    <xf numFmtId="9" fontId="15" fillId="0" borderId="0" xfId="4" applyFont="1" applyFill="1" applyBorder="1" applyAlignment="1">
      <alignment vertical="center"/>
    </xf>
    <xf numFmtId="10" fontId="15" fillId="0" borderId="0" xfId="4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10" fontId="16" fillId="0" borderId="0" xfId="4" applyNumberFormat="1" applyFont="1" applyFill="1" applyBorder="1" applyAlignment="1" applyProtection="1">
      <alignment horizontal="right" vertical="center"/>
    </xf>
    <xf numFmtId="10" fontId="15" fillId="0" borderId="0" xfId="4" applyNumberFormat="1" applyFont="1" applyFill="1" applyBorder="1" applyAlignment="1" applyProtection="1">
      <alignment horizontal="right" vertical="center"/>
    </xf>
    <xf numFmtId="10" fontId="15" fillId="0" borderId="0" xfId="4" applyNumberFormat="1" applyFont="1" applyFill="1" applyBorder="1" applyAlignment="1" applyProtection="1">
      <alignment vertical="center"/>
    </xf>
    <xf numFmtId="10" fontId="15" fillId="0" borderId="0" xfId="4" applyNumberFormat="1" applyFont="1" applyFill="1" applyBorder="1" applyAlignment="1">
      <alignment vertical="center"/>
    </xf>
    <xf numFmtId="3" fontId="15" fillId="0" borderId="0" xfId="0" applyNumberFormat="1" applyFont="1" applyAlignment="1">
      <alignment horizontal="right" vertical="center" wrapText="1"/>
    </xf>
    <xf numFmtId="0" fontId="4" fillId="0" borderId="5" xfId="0" applyFont="1" applyBorder="1" applyAlignment="1">
      <alignment horizontal="left" vertical="center" wrapText="1"/>
    </xf>
    <xf numFmtId="10" fontId="3" fillId="6" borderId="7" xfId="4" applyNumberFormat="1" applyFont="1" applyFill="1" applyBorder="1" applyAlignment="1" applyProtection="1">
      <alignment horizontal="right" vertical="center"/>
    </xf>
    <xf numFmtId="0" fontId="4" fillId="0" borderId="7" xfId="0" applyFont="1" applyBorder="1" applyAlignment="1">
      <alignment horizontal="left" vertical="center" wrapText="1"/>
    </xf>
    <xf numFmtId="3" fontId="4" fillId="5" borderId="7" xfId="0" applyNumberFormat="1" applyFont="1" applyFill="1" applyBorder="1" applyAlignment="1">
      <alignment horizontal="right" vertical="center" wrapText="1"/>
    </xf>
    <xf numFmtId="3" fontId="4" fillId="0" borderId="7" xfId="0" applyNumberFormat="1" applyFont="1" applyBorder="1" applyAlignment="1">
      <alignment horizontal="left" vertical="center" wrapText="1"/>
    </xf>
    <xf numFmtId="3" fontId="4" fillId="5" borderId="9" xfId="0" applyNumberFormat="1" applyFont="1" applyFill="1" applyBorder="1" applyAlignment="1">
      <alignment horizontal="right" vertical="center" wrapText="1"/>
    </xf>
    <xf numFmtId="0" fontId="15" fillId="0" borderId="0" xfId="0" applyFont="1" applyAlignment="1">
      <alignment horizontal="center"/>
    </xf>
    <xf numFmtId="0" fontId="17" fillId="0" borderId="0" xfId="0" applyFont="1"/>
    <xf numFmtId="0" fontId="4" fillId="2" borderId="6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2" fontId="4" fillId="4" borderId="7" xfId="4" applyNumberFormat="1" applyFont="1" applyFill="1" applyBorder="1" applyAlignment="1" applyProtection="1">
      <alignment horizontal="right" vertical="center"/>
    </xf>
    <xf numFmtId="2" fontId="4" fillId="3" borderId="7" xfId="4" applyNumberFormat="1" applyFont="1" applyFill="1" applyBorder="1" applyAlignment="1" applyProtection="1">
      <alignment horizontal="right" vertical="center"/>
    </xf>
    <xf numFmtId="2" fontId="4" fillId="2" borderId="8" xfId="4" applyNumberFormat="1" applyFont="1" applyFill="1" applyBorder="1" applyAlignment="1" applyProtection="1">
      <alignment vertical="center"/>
    </xf>
    <xf numFmtId="2" fontId="4" fillId="2" borderId="7" xfId="4" applyNumberFormat="1" applyFont="1" applyFill="1" applyBorder="1" applyAlignment="1">
      <alignment vertical="center"/>
    </xf>
    <xf numFmtId="2" fontId="4" fillId="3" borderId="7" xfId="4" applyNumberFormat="1" applyFont="1" applyFill="1" applyBorder="1" applyAlignment="1">
      <alignment vertical="center"/>
    </xf>
    <xf numFmtId="2" fontId="4" fillId="9" borderId="7" xfId="4" applyNumberFormat="1" applyFont="1" applyFill="1" applyBorder="1" applyAlignment="1">
      <alignment vertical="center"/>
    </xf>
    <xf numFmtId="0" fontId="4" fillId="2" borderId="8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3" fontId="4" fillId="4" borderId="7" xfId="0" applyNumberFormat="1" applyFont="1" applyFill="1" applyBorder="1" applyAlignment="1">
      <alignment horizontal="right" vertical="center" wrapText="1"/>
    </xf>
    <xf numFmtId="3" fontId="4" fillId="2" borderId="7" xfId="0" applyNumberFormat="1" applyFont="1" applyFill="1" applyBorder="1" applyAlignment="1">
      <alignment horizontal="right" vertical="center" wrapText="1"/>
    </xf>
    <xf numFmtId="3" fontId="4" fillId="2" borderId="8" xfId="0" applyNumberFormat="1" applyFont="1" applyFill="1" applyBorder="1" applyAlignment="1">
      <alignment horizontal="left" vertical="center" wrapText="1"/>
    </xf>
    <xf numFmtId="3" fontId="4" fillId="2" borderId="7" xfId="0" applyNumberFormat="1" applyFont="1" applyFill="1" applyBorder="1" applyAlignment="1">
      <alignment horizontal="left" vertical="center" wrapText="1"/>
    </xf>
    <xf numFmtId="3" fontId="4" fillId="4" borderId="9" xfId="0" applyNumberFormat="1" applyFont="1" applyFill="1" applyBorder="1" applyAlignment="1">
      <alignment horizontal="right" vertical="center" wrapText="1"/>
    </xf>
    <xf numFmtId="3" fontId="4" fillId="2" borderId="10" xfId="0" applyNumberFormat="1" applyFont="1" applyFill="1" applyBorder="1" applyAlignment="1">
      <alignment horizontal="right" vertical="center" wrapText="1"/>
    </xf>
    <xf numFmtId="0" fontId="15" fillId="0" borderId="0" xfId="0" applyFont="1" applyProtection="1">
      <protection locked="0"/>
    </xf>
    <xf numFmtId="165" fontId="15" fillId="3" borderId="7" xfId="0" applyNumberFormat="1" applyFont="1" applyFill="1" applyBorder="1" applyAlignment="1">
      <alignment horizontal="right" vertical="center" wrapText="1"/>
    </xf>
    <xf numFmtId="165" fontId="15" fillId="2" borderId="7" xfId="0" applyNumberFormat="1" applyFont="1" applyFill="1" applyBorder="1" applyAlignment="1">
      <alignment horizontal="right" vertical="center" wrapText="1"/>
    </xf>
    <xf numFmtId="0" fontId="4" fillId="7" borderId="6" xfId="0" applyFont="1" applyFill="1" applyBorder="1" applyAlignment="1">
      <alignment horizontal="left" vertical="center" wrapText="1"/>
    </xf>
    <xf numFmtId="9" fontId="4" fillId="0" borderId="5" xfId="4" applyFont="1" applyBorder="1" applyAlignment="1">
      <alignment vertical="center"/>
    </xf>
    <xf numFmtId="10" fontId="4" fillId="4" borderId="7" xfId="4" applyNumberFormat="1" applyFont="1" applyFill="1" applyBorder="1" applyAlignment="1" applyProtection="1">
      <alignment horizontal="right" vertical="center"/>
    </xf>
    <xf numFmtId="10" fontId="4" fillId="7" borderId="8" xfId="4" applyNumberFormat="1" applyFont="1" applyFill="1" applyBorder="1" applyAlignment="1" applyProtection="1">
      <alignment vertical="center"/>
    </xf>
    <xf numFmtId="9" fontId="4" fillId="0" borderId="7" xfId="4" applyFont="1" applyBorder="1" applyAlignment="1">
      <alignment vertical="center"/>
    </xf>
    <xf numFmtId="0" fontId="4" fillId="7" borderId="8" xfId="0" applyFont="1" applyFill="1" applyBorder="1" applyAlignment="1">
      <alignment horizontal="left" vertical="center" wrapText="1"/>
    </xf>
    <xf numFmtId="3" fontId="4" fillId="4" borderId="7" xfId="0" applyNumberFormat="1" applyFont="1" applyFill="1" applyBorder="1" applyAlignment="1" applyProtection="1">
      <alignment horizontal="right" vertical="center" wrapText="1"/>
      <protection locked="0"/>
    </xf>
    <xf numFmtId="3" fontId="4" fillId="7" borderId="8" xfId="0" applyNumberFormat="1" applyFont="1" applyFill="1" applyBorder="1" applyAlignment="1">
      <alignment horizontal="right" vertical="center" wrapText="1"/>
    </xf>
    <xf numFmtId="10" fontId="4" fillId="0" borderId="7" xfId="4" applyNumberFormat="1" applyFont="1" applyBorder="1" applyAlignment="1">
      <alignment horizontal="center" vertical="center"/>
    </xf>
    <xf numFmtId="3" fontId="4" fillId="7" borderId="8" xfId="0" applyNumberFormat="1" applyFont="1" applyFill="1" applyBorder="1" applyAlignment="1">
      <alignment horizontal="left" vertical="center" wrapText="1"/>
    </xf>
    <xf numFmtId="9" fontId="4" fillId="0" borderId="9" xfId="4" applyFont="1" applyBorder="1" applyAlignment="1">
      <alignment vertical="center"/>
    </xf>
    <xf numFmtId="9" fontId="15" fillId="8" borderId="5" xfId="0" applyNumberFormat="1" applyFont="1" applyFill="1" applyBorder="1" applyAlignment="1">
      <alignment horizontal="left" vertical="center" wrapText="1"/>
    </xf>
    <xf numFmtId="9" fontId="15" fillId="8" borderId="7" xfId="0" applyNumberFormat="1" applyFont="1" applyFill="1" applyBorder="1" applyAlignment="1">
      <alignment horizontal="left" vertical="center" wrapText="1"/>
    </xf>
    <xf numFmtId="0" fontId="15" fillId="8" borderId="9" xfId="0" applyFont="1" applyFill="1" applyBorder="1" applyAlignment="1">
      <alignment horizontal="left" wrapText="1"/>
    </xf>
    <xf numFmtId="164" fontId="9" fillId="0" borderId="5" xfId="4" applyNumberFormat="1" applyFont="1" applyBorder="1" applyAlignment="1">
      <alignment horizontal="left" vertical="center" wrapText="1"/>
    </xf>
    <xf numFmtId="164" fontId="15" fillId="0" borderId="7" xfId="4" applyNumberFormat="1" applyFont="1" applyBorder="1" applyAlignment="1">
      <alignment horizontal="left" vertical="center" wrapText="1"/>
    </xf>
    <xf numFmtId="164" fontId="15" fillId="0" borderId="9" xfId="4" applyNumberFormat="1" applyFont="1" applyBorder="1" applyAlignment="1">
      <alignment horizontal="left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9" fontId="15" fillId="8" borderId="5" xfId="0" applyNumberFormat="1" applyFont="1" applyFill="1" applyBorder="1" applyAlignment="1">
      <alignment horizontal="center" vertical="center" wrapText="1"/>
    </xf>
    <xf numFmtId="9" fontId="15" fillId="8" borderId="7" xfId="0" applyNumberFormat="1" applyFont="1" applyFill="1" applyBorder="1" applyAlignment="1">
      <alignment horizontal="center" vertical="center" wrapText="1"/>
    </xf>
    <xf numFmtId="164" fontId="15" fillId="8" borderId="5" xfId="4" applyNumberFormat="1" applyFont="1" applyFill="1" applyBorder="1" applyAlignment="1">
      <alignment horizontal="center" vertical="center" wrapText="1"/>
    </xf>
    <xf numFmtId="164" fontId="15" fillId="8" borderId="7" xfId="4" applyNumberFormat="1" applyFont="1" applyFill="1" applyBorder="1" applyAlignment="1">
      <alignment horizontal="center" vertical="center" wrapText="1"/>
    </xf>
    <xf numFmtId="164" fontId="15" fillId="8" borderId="9" xfId="4" applyNumberFormat="1" applyFont="1" applyFill="1" applyBorder="1" applyAlignment="1">
      <alignment horizontal="center" vertical="center" wrapText="1"/>
    </xf>
    <xf numFmtId="9" fontId="15" fillId="8" borderId="5" xfId="4" applyFont="1" applyFill="1" applyBorder="1" applyAlignment="1">
      <alignment horizontal="center" vertical="center" wrapText="1"/>
    </xf>
    <xf numFmtId="9" fontId="15" fillId="8" borderId="7" xfId="4" applyFont="1" applyFill="1" applyBorder="1" applyAlignment="1">
      <alignment horizontal="center" vertical="center" wrapText="1"/>
    </xf>
    <xf numFmtId="9" fontId="15" fillId="8" borderId="9" xfId="4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left" wrapText="1"/>
    </xf>
    <xf numFmtId="164" fontId="9" fillId="0" borderId="5" xfId="4" applyNumberFormat="1" applyFont="1" applyFill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7" borderId="5" xfId="2" applyFont="1" applyFill="1" applyBorder="1" applyAlignment="1">
      <alignment horizontal="center" vertical="center" wrapText="1"/>
    </xf>
    <xf numFmtId="0" fontId="15" fillId="7" borderId="7" xfId="2" applyFont="1" applyFill="1" applyBorder="1" applyAlignment="1">
      <alignment horizontal="center" vertical="center" wrapText="1"/>
    </xf>
    <xf numFmtId="0" fontId="15" fillId="7" borderId="9" xfId="2" applyFont="1" applyFill="1" applyBorder="1" applyAlignment="1">
      <alignment horizontal="center" vertical="center" wrapText="1"/>
    </xf>
    <xf numFmtId="164" fontId="15" fillId="0" borderId="5" xfId="4" applyNumberFormat="1" applyFont="1" applyFill="1" applyBorder="1" applyAlignment="1">
      <alignment horizontal="left" vertical="center" wrapText="1"/>
    </xf>
    <xf numFmtId="164" fontId="15" fillId="0" borderId="7" xfId="4" applyNumberFormat="1" applyFont="1" applyFill="1" applyBorder="1" applyAlignment="1">
      <alignment horizontal="left" vertical="center" wrapText="1"/>
    </xf>
    <xf numFmtId="164" fontId="15" fillId="0" borderId="9" xfId="4" applyNumberFormat="1" applyFont="1" applyFill="1" applyBorder="1" applyAlignment="1">
      <alignment horizontal="left" vertical="center" wrapText="1"/>
    </xf>
    <xf numFmtId="0" fontId="4" fillId="7" borderId="5" xfId="2" applyFont="1" applyFill="1" applyBorder="1" applyAlignment="1">
      <alignment horizontal="center" vertical="center" wrapText="1"/>
    </xf>
    <xf numFmtId="0" fontId="4" fillId="7" borderId="7" xfId="2" applyFont="1" applyFill="1" applyBorder="1" applyAlignment="1">
      <alignment horizontal="center" vertical="center" wrapText="1"/>
    </xf>
    <xf numFmtId="0" fontId="4" fillId="7" borderId="9" xfId="2" applyFont="1" applyFill="1" applyBorder="1" applyAlignment="1">
      <alignment horizontal="center" vertical="center" wrapText="1"/>
    </xf>
    <xf numFmtId="1" fontId="4" fillId="7" borderId="5" xfId="0" applyNumberFormat="1" applyFont="1" applyFill="1" applyBorder="1" applyAlignment="1">
      <alignment horizontal="left" vertical="center" wrapText="1"/>
    </xf>
    <xf numFmtId="1" fontId="4" fillId="7" borderId="7" xfId="0" applyNumberFormat="1" applyFont="1" applyFill="1" applyBorder="1" applyAlignment="1">
      <alignment horizontal="left" vertical="center" wrapText="1"/>
    </xf>
    <xf numFmtId="1" fontId="4" fillId="7" borderId="9" xfId="0" applyNumberFormat="1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10" fontId="4" fillId="7" borderId="5" xfId="0" applyNumberFormat="1" applyFont="1" applyFill="1" applyBorder="1" applyAlignment="1">
      <alignment horizontal="center" vertical="center" wrapText="1"/>
    </xf>
    <xf numFmtId="10" fontId="4" fillId="7" borderId="7" xfId="0" applyNumberFormat="1" applyFont="1" applyFill="1" applyBorder="1" applyAlignment="1">
      <alignment horizontal="center" vertical="center" wrapText="1"/>
    </xf>
    <xf numFmtId="10" fontId="4" fillId="7" borderId="9" xfId="0" applyNumberFormat="1" applyFont="1" applyFill="1" applyBorder="1" applyAlignment="1">
      <alignment horizontal="center" vertical="center" wrapText="1"/>
    </xf>
    <xf numFmtId="9" fontId="4" fillId="7" borderId="5" xfId="0" applyNumberFormat="1" applyFont="1" applyFill="1" applyBorder="1" applyAlignment="1">
      <alignment horizontal="center" vertical="center" wrapText="1"/>
    </xf>
    <xf numFmtId="9" fontId="4" fillId="7" borderId="7" xfId="0" applyNumberFormat="1" applyFont="1" applyFill="1" applyBorder="1" applyAlignment="1">
      <alignment horizontal="center" vertical="center" wrapText="1"/>
    </xf>
    <xf numFmtId="9" fontId="4" fillId="7" borderId="9" xfId="0" applyNumberFormat="1" applyFont="1" applyFill="1" applyBorder="1" applyAlignment="1">
      <alignment horizontal="center" vertical="center" wrapText="1"/>
    </xf>
    <xf numFmtId="1" fontId="18" fillId="7" borderId="7" xfId="0" applyNumberFormat="1" applyFont="1" applyFill="1" applyBorder="1" applyAlignment="1">
      <alignment horizontal="left" vertical="center" wrapText="1"/>
    </xf>
    <xf numFmtId="1" fontId="18" fillId="7" borderId="9" xfId="0" applyNumberFormat="1" applyFont="1" applyFill="1" applyBorder="1" applyAlignment="1">
      <alignment horizontal="left" vertical="center" wrapText="1"/>
    </xf>
    <xf numFmtId="164" fontId="4" fillId="0" borderId="5" xfId="4" applyNumberFormat="1" applyFont="1" applyFill="1" applyBorder="1" applyAlignment="1">
      <alignment horizontal="left" vertical="center" wrapText="1"/>
    </xf>
    <xf numFmtId="164" fontId="4" fillId="0" borderId="7" xfId="4" applyNumberFormat="1" applyFont="1" applyFill="1" applyBorder="1" applyAlignment="1">
      <alignment horizontal="left" vertical="center" wrapText="1"/>
    </xf>
    <xf numFmtId="164" fontId="4" fillId="0" borderId="9" xfId="4" applyNumberFormat="1" applyFont="1" applyFill="1" applyBorder="1" applyAlignment="1">
      <alignment horizontal="left" vertical="center" wrapText="1"/>
    </xf>
    <xf numFmtId="10" fontId="15" fillId="8" borderId="5" xfId="0" applyNumberFormat="1" applyFont="1" applyFill="1" applyBorder="1" applyAlignment="1">
      <alignment horizontal="center" vertical="center" wrapText="1"/>
    </xf>
    <xf numFmtId="10" fontId="15" fillId="8" borderId="7" xfId="0" applyNumberFormat="1" applyFont="1" applyFill="1" applyBorder="1" applyAlignment="1">
      <alignment horizontal="center" vertical="center" wrapText="1"/>
    </xf>
    <xf numFmtId="10" fontId="15" fillId="8" borderId="9" xfId="0" applyNumberFormat="1" applyFont="1" applyFill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" fontId="15" fillId="8" borderId="5" xfId="0" applyNumberFormat="1" applyFont="1" applyFill="1" applyBorder="1" applyAlignment="1">
      <alignment horizontal="left" vertical="center" wrapText="1"/>
    </xf>
    <xf numFmtId="1" fontId="15" fillId="8" borderId="7" xfId="0" applyNumberFormat="1" applyFont="1" applyFill="1" applyBorder="1" applyAlignment="1">
      <alignment horizontal="left" vertical="center" wrapText="1"/>
    </xf>
    <xf numFmtId="1" fontId="15" fillId="8" borderId="9" xfId="0" applyNumberFormat="1" applyFont="1" applyFill="1" applyBorder="1" applyAlignment="1">
      <alignment horizontal="left" vertical="center" wrapText="1"/>
    </xf>
    <xf numFmtId="9" fontId="15" fillId="7" borderId="5" xfId="0" applyNumberFormat="1" applyFont="1" applyFill="1" applyBorder="1" applyAlignment="1">
      <alignment horizontal="left" vertical="center" wrapText="1"/>
    </xf>
    <xf numFmtId="9" fontId="15" fillId="7" borderId="7" xfId="0" applyNumberFormat="1" applyFont="1" applyFill="1" applyBorder="1" applyAlignment="1">
      <alignment horizontal="left" vertical="center" wrapText="1"/>
    </xf>
    <xf numFmtId="9" fontId="15" fillId="7" borderId="9" xfId="0" applyNumberFormat="1" applyFont="1" applyFill="1" applyBorder="1" applyAlignment="1">
      <alignment horizontal="left" vertical="center" wrapText="1"/>
    </xf>
    <xf numFmtId="10" fontId="15" fillId="7" borderId="5" xfId="4" applyNumberFormat="1" applyFont="1" applyFill="1" applyBorder="1" applyAlignment="1">
      <alignment horizontal="center" vertical="center" wrapText="1"/>
    </xf>
    <xf numFmtId="10" fontId="15" fillId="7" borderId="7" xfId="4" applyNumberFormat="1" applyFont="1" applyFill="1" applyBorder="1" applyAlignment="1">
      <alignment horizontal="center" vertical="center" wrapText="1"/>
    </xf>
    <xf numFmtId="10" fontId="15" fillId="7" borderId="9" xfId="4" applyNumberFormat="1" applyFont="1" applyFill="1" applyBorder="1" applyAlignment="1">
      <alignment horizontal="center" vertical="center" wrapText="1"/>
    </xf>
    <xf numFmtId="9" fontId="15" fillId="7" borderId="5" xfId="4" applyFont="1" applyFill="1" applyBorder="1" applyAlignment="1">
      <alignment horizontal="center" vertical="center" wrapText="1"/>
    </xf>
    <xf numFmtId="9" fontId="15" fillId="7" borderId="7" xfId="4" applyFont="1" applyFill="1" applyBorder="1" applyAlignment="1">
      <alignment horizontal="center" vertical="center" wrapText="1"/>
    </xf>
    <xf numFmtId="9" fontId="15" fillId="7" borderId="9" xfId="4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5" xfId="2" applyFont="1" applyFill="1" applyBorder="1" applyAlignment="1">
      <alignment horizontal="center" vertical="center" wrapText="1"/>
    </xf>
    <xf numFmtId="0" fontId="16" fillId="2" borderId="9" xfId="2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9" fontId="15" fillId="7" borderId="5" xfId="0" applyNumberFormat="1" applyFont="1" applyFill="1" applyBorder="1" applyAlignment="1">
      <alignment horizontal="center" vertical="center" wrapText="1"/>
    </xf>
    <xf numFmtId="9" fontId="15" fillId="7" borderId="7" xfId="0" applyNumberFormat="1" applyFont="1" applyFill="1" applyBorder="1" applyAlignment="1">
      <alignment horizontal="center" vertical="center" wrapText="1"/>
    </xf>
    <xf numFmtId="9" fontId="15" fillId="7" borderId="9" xfId="0" applyNumberFormat="1" applyFont="1" applyFill="1" applyBorder="1" applyAlignment="1">
      <alignment horizontal="center" vertical="center" wrapText="1"/>
    </xf>
    <xf numFmtId="0" fontId="27" fillId="7" borderId="5" xfId="0" applyFont="1" applyFill="1" applyBorder="1" applyAlignment="1">
      <alignment horizontal="left" vertical="top" wrapText="1"/>
    </xf>
    <xf numFmtId="0" fontId="4" fillId="7" borderId="7" xfId="0" applyFont="1" applyFill="1" applyBorder="1" applyAlignment="1">
      <alignment horizontal="left" vertical="top"/>
    </xf>
    <xf numFmtId="0" fontId="4" fillId="7" borderId="9" xfId="0" applyFont="1" applyFill="1" applyBorder="1" applyAlignment="1">
      <alignment horizontal="left" vertical="top"/>
    </xf>
    <xf numFmtId="0" fontId="15" fillId="7" borderId="5" xfId="3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4" fillId="7" borderId="5" xfId="2" applyFont="1" applyFill="1" applyBorder="1" applyAlignment="1">
      <alignment horizontal="left" vertical="center" wrapText="1"/>
    </xf>
    <xf numFmtId="0" fontId="4" fillId="7" borderId="7" xfId="2" applyFont="1" applyFill="1" applyBorder="1" applyAlignment="1">
      <alignment horizontal="left" vertical="center" wrapText="1"/>
    </xf>
    <xf numFmtId="0" fontId="4" fillId="7" borderId="9" xfId="2" applyFont="1" applyFill="1" applyBorder="1" applyAlignment="1">
      <alignment horizontal="left" vertical="center" wrapText="1"/>
    </xf>
    <xf numFmtId="0" fontId="10" fillId="7" borderId="5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/>
    </xf>
    <xf numFmtId="0" fontId="4" fillId="7" borderId="9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/>
    </xf>
    <xf numFmtId="0" fontId="4" fillId="7" borderId="9" xfId="0" applyFont="1" applyFill="1" applyBorder="1" applyAlignment="1">
      <alignment horizontal="left"/>
    </xf>
    <xf numFmtId="0" fontId="16" fillId="10" borderId="5" xfId="0" applyFont="1" applyFill="1" applyBorder="1" applyAlignment="1">
      <alignment horizontal="center" vertical="center" wrapText="1"/>
    </xf>
    <xf numFmtId="0" fontId="16" fillId="10" borderId="7" xfId="0" applyFont="1" applyFill="1" applyBorder="1" applyAlignment="1">
      <alignment horizontal="center" vertical="center" wrapText="1"/>
    </xf>
    <xf numFmtId="0" fontId="16" fillId="10" borderId="9" xfId="0" applyFont="1" applyFill="1" applyBorder="1" applyAlignment="1">
      <alignment horizontal="center" vertical="center" wrapText="1"/>
    </xf>
    <xf numFmtId="10" fontId="15" fillId="7" borderId="5" xfId="0" applyNumberFormat="1" applyFont="1" applyFill="1" applyBorder="1" applyAlignment="1">
      <alignment horizontal="center" vertical="center" wrapText="1"/>
    </xf>
    <xf numFmtId="10" fontId="15" fillId="7" borderId="7" xfId="0" applyNumberFormat="1" applyFont="1" applyFill="1" applyBorder="1" applyAlignment="1">
      <alignment horizontal="center" vertical="center" wrapText="1"/>
    </xf>
    <xf numFmtId="10" fontId="15" fillId="7" borderId="9" xfId="0" applyNumberFormat="1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5" fillId="7" borderId="7" xfId="0" applyFont="1" applyFill="1" applyBorder="1" applyAlignment="1">
      <alignment horizontal="left" vertical="center"/>
    </xf>
    <xf numFmtId="0" fontId="15" fillId="7" borderId="9" xfId="0" applyFont="1" applyFill="1" applyBorder="1" applyAlignment="1">
      <alignment horizontal="left" vertical="center"/>
    </xf>
    <xf numFmtId="0" fontId="15" fillId="8" borderId="5" xfId="0" applyFont="1" applyFill="1" applyBorder="1" applyAlignment="1">
      <alignment horizontal="left" vertical="center" wrapText="1"/>
    </xf>
    <xf numFmtId="0" fontId="19" fillId="8" borderId="7" xfId="0" applyFont="1" applyFill="1" applyBorder="1" applyAlignment="1">
      <alignment horizontal="left" vertical="center" wrapText="1"/>
    </xf>
    <xf numFmtId="0" fontId="19" fillId="8" borderId="9" xfId="0" applyFont="1" applyFill="1" applyBorder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0" fontId="4" fillId="8" borderId="7" xfId="0" applyFont="1" applyFill="1" applyBorder="1" applyAlignment="1">
      <alignment horizontal="left" vertical="center"/>
    </xf>
    <xf numFmtId="0" fontId="4" fillId="8" borderId="9" xfId="0" applyFont="1" applyFill="1" applyBorder="1" applyAlignment="1">
      <alignment horizontal="left" vertical="center"/>
    </xf>
    <xf numFmtId="0" fontId="12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15" fillId="7" borderId="7" xfId="0" applyFont="1" applyFill="1" applyBorder="1" applyAlignment="1">
      <alignment horizontal="left" vertical="center" wrapText="1"/>
    </xf>
    <xf numFmtId="0" fontId="15" fillId="7" borderId="7" xfId="0" applyFont="1" applyFill="1" applyBorder="1" applyAlignment="1">
      <alignment horizontal="left"/>
    </xf>
    <xf numFmtId="0" fontId="15" fillId="7" borderId="9" xfId="0" applyFont="1" applyFill="1" applyBorder="1" applyAlignment="1">
      <alignment horizontal="left"/>
    </xf>
    <xf numFmtId="0" fontId="15" fillId="8" borderId="7" xfId="0" applyFont="1" applyFill="1" applyBorder="1" applyAlignment="1">
      <alignment horizontal="left"/>
    </xf>
    <xf numFmtId="0" fontId="15" fillId="8" borderId="9" xfId="0" applyFont="1" applyFill="1" applyBorder="1" applyAlignment="1">
      <alignment horizontal="left"/>
    </xf>
    <xf numFmtId="0" fontId="15" fillId="7" borderId="5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2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2" fillId="0" borderId="0" xfId="2" applyFont="1" applyAlignment="1">
      <alignment horizontal="center" vertical="center" wrapText="1"/>
    </xf>
    <xf numFmtId="0" fontId="23" fillId="0" borderId="0" xfId="2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 vertical="center" wrapText="1"/>
    </xf>
    <xf numFmtId="9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0" fontId="15" fillId="0" borderId="0" xfId="4" applyNumberFormat="1" applyFont="1" applyFill="1" applyBorder="1" applyAlignment="1">
      <alignment horizontal="center" vertical="center" wrapText="1"/>
    </xf>
    <xf numFmtId="9" fontId="15" fillId="0" borderId="0" xfId="4" applyFont="1" applyFill="1" applyBorder="1" applyAlignment="1">
      <alignment horizontal="center" vertical="center" wrapText="1"/>
    </xf>
    <xf numFmtId="164" fontId="15" fillId="0" borderId="0" xfId="4" applyNumberFormat="1" applyFont="1" applyFill="1" applyBorder="1" applyAlignment="1">
      <alignment horizontal="left" vertical="center" wrapText="1"/>
    </xf>
    <xf numFmtId="0" fontId="4" fillId="8" borderId="5" xfId="0" applyFont="1" applyFill="1" applyBorder="1" applyAlignment="1">
      <alignment horizontal="left" vertical="center" wrapText="1"/>
    </xf>
    <xf numFmtId="0" fontId="15" fillId="7" borderId="7" xfId="0" applyFont="1" applyFill="1" applyBorder="1" applyAlignment="1"/>
    <xf numFmtId="0" fontId="15" fillId="7" borderId="9" xfId="0" applyFont="1" applyFill="1" applyBorder="1" applyAlignment="1"/>
    <xf numFmtId="0" fontId="15" fillId="8" borderId="7" xfId="0" applyFont="1" applyFill="1" applyBorder="1" applyAlignment="1"/>
    <xf numFmtId="0" fontId="15" fillId="8" borderId="9" xfId="0" applyFont="1" applyFill="1" applyBorder="1" applyAlignment="1"/>
    <xf numFmtId="0" fontId="15" fillId="7" borderId="7" xfId="3" applyFont="1" applyFill="1" applyBorder="1" applyAlignment="1"/>
    <xf numFmtId="0" fontId="4" fillId="7" borderId="7" xfId="0" applyFont="1" applyFill="1" applyBorder="1" applyAlignment="1"/>
    <xf numFmtId="0" fontId="15" fillId="7" borderId="9" xfId="3" applyFont="1" applyFill="1" applyBorder="1" applyAlignment="1"/>
    <xf numFmtId="0" fontId="4" fillId="7" borderId="9" xfId="0" applyFont="1" applyFill="1" applyBorder="1" applyAlignment="1"/>
  </cellXfs>
  <cellStyles count="6">
    <cellStyle name="Millares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Porcentaje" xfId="4" builtinId="5"/>
    <cellStyle name="Porcentaje 2" xfId="5" xr:uid="{00000000-0005-0000-0000-000006000000}"/>
  </cellStyles>
  <dxfs count="0"/>
  <tableStyles count="0" defaultTableStyle="TableStyleMedium9" defaultPivotStyle="PivotStyleLight16"/>
  <colors>
    <mruColors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1660" name="Picture 67" descr="image002">
          <a:extLst>
            <a:ext uri="{FF2B5EF4-FFF2-40B4-BE49-F238E27FC236}">
              <a16:creationId xmlns:a16="http://schemas.microsoft.com/office/drawing/2014/main" id="{20B18579-4D0B-49E0-8138-C320F0252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65A6E2F1-1E67-4417-98BB-7612FAAF9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2875" y="0"/>
          <a:ext cx="771525" cy="83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N334"/>
  <sheetViews>
    <sheetView showGridLines="0" tabSelected="1" topLeftCell="A8" zoomScaleNormal="100" workbookViewId="0">
      <pane xSplit="3" ySplit="5" topLeftCell="W29" activePane="bottomRight" state="frozen"/>
      <selection pane="bottomRight" activeCell="AI46" sqref="AI46:AI47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8.42578125" style="3" customWidth="1"/>
    <col min="2" max="4" width="26.85546875" style="3" customWidth="1"/>
    <col min="5" max="5" width="22.42578125" style="3" customWidth="1"/>
    <col min="6" max="6" width="14.5703125" style="3" customWidth="1"/>
    <col min="7" max="7" width="23.42578125" style="3" customWidth="1"/>
    <col min="8" max="8" width="18" style="3" customWidth="1"/>
    <col min="9" max="10" width="11.140625" style="3" customWidth="1"/>
    <col min="11" max="11" width="28.5703125" style="3" customWidth="1"/>
    <col min="12" max="12" width="17" style="3" customWidth="1"/>
    <col min="13" max="13" width="11.140625" style="3" customWidth="1"/>
    <col min="14" max="14" width="11.85546875" style="2" customWidth="1"/>
    <col min="15" max="34" width="10.85546875" style="2" customWidth="1"/>
    <col min="35" max="35" width="13" style="2" bestFit="1" customWidth="1"/>
    <col min="36" max="36" width="16" style="2" customWidth="1"/>
    <col min="37" max="37" width="24.140625" style="2" customWidth="1"/>
    <col min="38" max="38" width="12.5703125" style="3" customWidth="1"/>
    <col min="39" max="39" width="26.85546875" style="3" customWidth="1"/>
    <col min="40" max="40" width="21.140625" style="3" customWidth="1"/>
    <col min="41" max="41" width="2.140625" style="3" customWidth="1"/>
    <col min="42" max="16384" width="11.42578125" style="3"/>
  </cols>
  <sheetData>
    <row r="1" spans="1:40" s="8" customFormat="1" ht="12.75" customHeight="1">
      <c r="B1" s="229"/>
      <c r="C1" s="229"/>
      <c r="D1" s="230"/>
      <c r="E1" s="206" t="s">
        <v>0</v>
      </c>
      <c r="F1" s="212"/>
      <c r="G1" s="212"/>
      <c r="H1" s="212"/>
      <c r="I1" s="212"/>
      <c r="J1" s="212"/>
      <c r="K1" s="212"/>
      <c r="L1" s="212"/>
      <c r="M1" s="212"/>
      <c r="N1" s="213"/>
      <c r="O1" s="206" t="s">
        <v>1</v>
      </c>
      <c r="P1" s="207"/>
      <c r="Q1" s="207"/>
      <c r="R1" s="208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1"/>
      <c r="AM1" s="11"/>
    </row>
    <row r="2" spans="1:40" s="8" customFormat="1" ht="12.75" customHeight="1">
      <c r="B2" s="231"/>
      <c r="C2" s="231"/>
      <c r="D2" s="232"/>
      <c r="E2" s="209"/>
      <c r="F2" s="214"/>
      <c r="G2" s="214"/>
      <c r="H2" s="214"/>
      <c r="I2" s="214"/>
      <c r="J2" s="214"/>
      <c r="K2" s="214"/>
      <c r="L2" s="214"/>
      <c r="M2" s="214"/>
      <c r="N2" s="215"/>
      <c r="O2" s="219" t="s">
        <v>2</v>
      </c>
      <c r="P2" s="220"/>
      <c r="Q2" s="220"/>
      <c r="R2" s="221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1"/>
      <c r="AM2" s="11"/>
    </row>
    <row r="3" spans="1:40" s="8" customFormat="1" ht="15.75" customHeight="1">
      <c r="B3" s="231"/>
      <c r="C3" s="231"/>
      <c r="D3" s="232"/>
      <c r="E3" s="209"/>
      <c r="F3" s="214"/>
      <c r="G3" s="214"/>
      <c r="H3" s="214"/>
      <c r="I3" s="214"/>
      <c r="J3" s="214"/>
      <c r="K3" s="214"/>
      <c r="L3" s="214"/>
      <c r="M3" s="214"/>
      <c r="N3" s="215"/>
      <c r="O3" s="209"/>
      <c r="P3" s="210"/>
      <c r="Q3" s="210"/>
      <c r="R3" s="211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1"/>
      <c r="AM3" s="11"/>
    </row>
    <row r="4" spans="1:40" s="8" customFormat="1" ht="12.75" customHeight="1">
      <c r="B4" s="231"/>
      <c r="C4" s="231"/>
      <c r="D4" s="232"/>
      <c r="E4" s="209"/>
      <c r="F4" s="214"/>
      <c r="G4" s="214"/>
      <c r="H4" s="214"/>
      <c r="I4" s="214"/>
      <c r="J4" s="214"/>
      <c r="K4" s="214"/>
      <c r="L4" s="214"/>
      <c r="M4" s="214"/>
      <c r="N4" s="215"/>
      <c r="O4" s="12"/>
      <c r="P4" s="13"/>
      <c r="Q4" s="13"/>
      <c r="R4" s="14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1"/>
      <c r="AM4" s="11"/>
    </row>
    <row r="5" spans="1:40" s="8" customFormat="1" ht="20.25" customHeight="1">
      <c r="B5" s="233"/>
      <c r="C5" s="233"/>
      <c r="D5" s="234"/>
      <c r="E5" s="216"/>
      <c r="F5" s="217"/>
      <c r="G5" s="217"/>
      <c r="H5" s="217"/>
      <c r="I5" s="217"/>
      <c r="J5" s="217"/>
      <c r="K5" s="217"/>
      <c r="L5" s="217"/>
      <c r="M5" s="217"/>
      <c r="N5" s="218"/>
      <c r="O5" s="223" t="s">
        <v>3</v>
      </c>
      <c r="P5" s="224"/>
      <c r="Q5" s="224"/>
      <c r="R5" s="225"/>
      <c r="S5" s="10"/>
      <c r="T5" s="10"/>
      <c r="U5" s="10"/>
      <c r="V5" s="10" t="s">
        <v>4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1"/>
      <c r="AM5" s="11"/>
    </row>
    <row r="6" spans="1:40" ht="15.75" customHeight="1">
      <c r="B6" s="235" t="s">
        <v>5</v>
      </c>
      <c r="C6" s="236"/>
      <c r="D6" s="237"/>
      <c r="E6" s="226" t="s">
        <v>6</v>
      </c>
      <c r="F6" s="227"/>
      <c r="G6" s="227"/>
      <c r="H6" s="227"/>
      <c r="I6" s="227"/>
      <c r="J6" s="227"/>
      <c r="K6" s="227"/>
      <c r="L6" s="227"/>
      <c r="M6" s="227"/>
      <c r="N6" s="228"/>
      <c r="O6" s="226" t="s">
        <v>7</v>
      </c>
      <c r="P6" s="227"/>
      <c r="Q6" s="227"/>
      <c r="R6" s="228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6"/>
      <c r="AM6" s="16"/>
    </row>
    <row r="7" spans="1:40" s="8" customFormat="1" ht="16.5" customHeight="1">
      <c r="E7" s="17"/>
      <c r="F7" s="11"/>
      <c r="G7" s="11"/>
      <c r="H7" s="11"/>
      <c r="I7" s="11"/>
      <c r="J7" s="11"/>
      <c r="K7" s="11"/>
      <c r="L7" s="11"/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1"/>
      <c r="AM7" s="11"/>
    </row>
    <row r="8" spans="1:40" s="8" customFormat="1" ht="15.6">
      <c r="B8" s="4" t="s">
        <v>8</v>
      </c>
      <c r="C8" s="6"/>
      <c r="D8" s="7"/>
      <c r="E8" s="18"/>
      <c r="F8" s="11"/>
      <c r="G8" s="11"/>
      <c r="H8" s="11"/>
      <c r="I8" s="11"/>
      <c r="J8" s="11"/>
      <c r="K8" s="11"/>
      <c r="L8" s="11"/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9"/>
      <c r="AB8" s="10"/>
      <c r="AC8" s="10"/>
      <c r="AD8" s="10"/>
      <c r="AE8" s="10"/>
      <c r="AF8" s="19"/>
      <c r="AG8" s="10"/>
      <c r="AH8" s="10"/>
      <c r="AI8" s="10"/>
      <c r="AJ8" s="10"/>
      <c r="AK8" s="19"/>
      <c r="AL8" s="11"/>
      <c r="AM8" s="11"/>
    </row>
    <row r="9" spans="1:40" s="8" customFormat="1" ht="16.5" customHeight="1">
      <c r="B9" s="4" t="s">
        <v>9</v>
      </c>
      <c r="C9" s="6"/>
      <c r="D9" s="6"/>
      <c r="E9" s="18"/>
      <c r="F9" s="11"/>
      <c r="G9" s="11"/>
      <c r="H9" s="11"/>
      <c r="I9" s="11"/>
      <c r="J9" s="11"/>
      <c r="K9" s="11"/>
      <c r="L9" s="11"/>
      <c r="M9" s="11"/>
      <c r="N9" s="10"/>
      <c r="O9" s="10"/>
      <c r="P9" s="10"/>
      <c r="Q9" s="10"/>
      <c r="R9" s="19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1"/>
      <c r="AM9" s="11"/>
    </row>
    <row r="10" spans="1:40" s="8" customFormat="1" ht="15.95" thickBot="1">
      <c r="B10" s="4"/>
      <c r="C10" s="4"/>
      <c r="D10" s="4"/>
      <c r="E10" s="17"/>
      <c r="F10" s="11"/>
      <c r="G10" s="11"/>
      <c r="H10" s="11"/>
      <c r="I10" s="11"/>
      <c r="J10" s="11"/>
      <c r="K10" s="11"/>
      <c r="L10" s="11"/>
      <c r="M10" s="11"/>
      <c r="N10" s="10"/>
      <c r="O10" s="10"/>
      <c r="P10" s="20"/>
      <c r="Q10" s="20"/>
      <c r="R10" s="21"/>
      <c r="S10" s="20"/>
      <c r="T10" s="20"/>
      <c r="U10" s="2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20"/>
      <c r="AJ10" s="20"/>
      <c r="AK10" s="20"/>
      <c r="AL10" s="22"/>
      <c r="AM10" s="22"/>
      <c r="AN10" s="9"/>
    </row>
    <row r="11" spans="1:40" s="1" customFormat="1" ht="23.1" customHeight="1" thickTop="1">
      <c r="A11" s="160" t="s">
        <v>10</v>
      </c>
      <c r="B11" s="160" t="s">
        <v>11</v>
      </c>
      <c r="C11" s="160" t="s">
        <v>12</v>
      </c>
      <c r="D11" s="155" t="s">
        <v>13</v>
      </c>
      <c r="E11" s="157" t="s">
        <v>14</v>
      </c>
      <c r="F11" s="157" t="s">
        <v>15</v>
      </c>
      <c r="G11" s="157" t="s">
        <v>16</v>
      </c>
      <c r="H11" s="157" t="s">
        <v>17</v>
      </c>
      <c r="I11" s="157" t="s">
        <v>18</v>
      </c>
      <c r="J11" s="157" t="s">
        <v>19</v>
      </c>
      <c r="K11" s="155" t="s">
        <v>20</v>
      </c>
      <c r="L11" s="155" t="s">
        <v>21</v>
      </c>
      <c r="M11" s="155" t="s">
        <v>22</v>
      </c>
      <c r="N11" s="155" t="s">
        <v>23</v>
      </c>
      <c r="O11" s="160" t="s">
        <v>24</v>
      </c>
      <c r="P11" s="155" t="s">
        <v>25</v>
      </c>
      <c r="Q11" s="155" t="s">
        <v>26</v>
      </c>
      <c r="R11" s="155" t="s">
        <v>27</v>
      </c>
      <c r="S11" s="155" t="s">
        <v>28</v>
      </c>
      <c r="T11" s="155" t="s">
        <v>29</v>
      </c>
      <c r="U11" s="160" t="s">
        <v>30</v>
      </c>
      <c r="V11" s="160" t="s">
        <v>31</v>
      </c>
      <c r="W11" s="155" t="s">
        <v>32</v>
      </c>
      <c r="X11" s="163" t="s">
        <v>33</v>
      </c>
      <c r="Y11" s="155" t="s">
        <v>34</v>
      </c>
      <c r="Z11" s="155" t="s">
        <v>35</v>
      </c>
      <c r="AA11" s="155" t="s">
        <v>36</v>
      </c>
      <c r="AB11" s="155" t="s">
        <v>37</v>
      </c>
      <c r="AC11" s="155" t="s">
        <v>38</v>
      </c>
      <c r="AD11" s="155" t="s">
        <v>39</v>
      </c>
      <c r="AE11" s="155" t="s">
        <v>40</v>
      </c>
      <c r="AF11" s="160" t="s">
        <v>41</v>
      </c>
      <c r="AG11" s="155" t="s">
        <v>42</v>
      </c>
      <c r="AH11" s="155" t="s">
        <v>43</v>
      </c>
      <c r="AI11" s="157" t="s">
        <v>44</v>
      </c>
      <c r="AJ11" s="155" t="s">
        <v>45</v>
      </c>
      <c r="AK11" s="155" t="s">
        <v>46</v>
      </c>
      <c r="AL11" s="157" t="s">
        <v>47</v>
      </c>
      <c r="AM11" s="155" t="s">
        <v>48</v>
      </c>
    </row>
    <row r="12" spans="1:40" s="1" customFormat="1" ht="23.1" customHeight="1" thickBot="1">
      <c r="A12" s="165"/>
      <c r="B12" s="165"/>
      <c r="C12" s="165"/>
      <c r="D12" s="156"/>
      <c r="E12" s="158"/>
      <c r="F12" s="158"/>
      <c r="G12" s="158"/>
      <c r="H12" s="158"/>
      <c r="I12" s="158"/>
      <c r="J12" s="158"/>
      <c r="K12" s="156"/>
      <c r="L12" s="222"/>
      <c r="M12" s="156"/>
      <c r="N12" s="156"/>
      <c r="O12" s="165"/>
      <c r="P12" s="156"/>
      <c r="Q12" s="156"/>
      <c r="R12" s="156"/>
      <c r="S12" s="162"/>
      <c r="T12" s="156"/>
      <c r="U12" s="161"/>
      <c r="V12" s="161"/>
      <c r="W12" s="162"/>
      <c r="X12" s="164"/>
      <c r="Y12" s="156"/>
      <c r="Z12" s="162"/>
      <c r="AA12" s="162"/>
      <c r="AB12" s="162"/>
      <c r="AC12" s="162"/>
      <c r="AD12" s="162"/>
      <c r="AE12" s="162"/>
      <c r="AF12" s="161"/>
      <c r="AG12" s="162"/>
      <c r="AH12" s="156"/>
      <c r="AI12" s="158"/>
      <c r="AJ12" s="156"/>
      <c r="AK12" s="159"/>
      <c r="AL12" s="158"/>
      <c r="AM12" s="156"/>
    </row>
    <row r="13" spans="1:40" s="78" customFormat="1" ht="23.1" customHeight="1" thickTop="1">
      <c r="A13" s="166" t="s">
        <v>49</v>
      </c>
      <c r="B13" s="238" t="s">
        <v>50</v>
      </c>
      <c r="C13" s="197" t="s">
        <v>51</v>
      </c>
      <c r="D13" s="243" t="s">
        <v>52</v>
      </c>
      <c r="E13" s="169" t="s">
        <v>53</v>
      </c>
      <c r="F13" s="169" t="s">
        <v>54</v>
      </c>
      <c r="G13" s="169" t="s">
        <v>55</v>
      </c>
      <c r="H13" s="169" t="s">
        <v>54</v>
      </c>
      <c r="I13" s="149">
        <f>+L14</f>
        <v>0.9</v>
      </c>
      <c r="J13" s="194">
        <v>0.2</v>
      </c>
      <c r="K13" s="122" t="s">
        <v>56</v>
      </c>
      <c r="L13" s="23" t="s">
        <v>57</v>
      </c>
      <c r="M13" s="54" t="s">
        <v>57</v>
      </c>
      <c r="N13" s="54" t="s">
        <v>57</v>
      </c>
      <c r="O13" s="62" t="s">
        <v>57</v>
      </c>
      <c r="P13" s="54" t="s">
        <v>57</v>
      </c>
      <c r="Q13" s="63" t="s">
        <v>57</v>
      </c>
      <c r="R13" s="54" t="s">
        <v>57</v>
      </c>
      <c r="S13" s="63" t="s">
        <v>57</v>
      </c>
      <c r="T13" s="54" t="s">
        <v>57</v>
      </c>
      <c r="U13" s="63" t="s">
        <v>57</v>
      </c>
      <c r="V13" s="54" t="s">
        <v>57</v>
      </c>
      <c r="W13" s="63" t="s">
        <v>57</v>
      </c>
      <c r="X13" s="54" t="s">
        <v>57</v>
      </c>
      <c r="Y13" s="63" t="s">
        <v>57</v>
      </c>
      <c r="Z13" s="54" t="s">
        <v>57</v>
      </c>
      <c r="AA13" s="63" t="s">
        <v>57</v>
      </c>
      <c r="AB13" s="54" t="s">
        <v>57</v>
      </c>
      <c r="AC13" s="63" t="s">
        <v>57</v>
      </c>
      <c r="AD13" s="54" t="s">
        <v>57</v>
      </c>
      <c r="AE13" s="63" t="s">
        <v>57</v>
      </c>
      <c r="AF13" s="54" t="s">
        <v>57</v>
      </c>
      <c r="AG13" s="63" t="s">
        <v>57</v>
      </c>
      <c r="AH13" s="54" t="s">
        <v>57</v>
      </c>
      <c r="AI13" s="63" t="s">
        <v>57</v>
      </c>
      <c r="AJ13" s="25"/>
      <c r="AK13" s="142" t="s">
        <v>58</v>
      </c>
      <c r="AL13" s="142"/>
      <c r="AM13" s="119" t="s">
        <v>59</v>
      </c>
    </row>
    <row r="14" spans="1:40" s="78" customFormat="1" ht="23.1" customHeight="1">
      <c r="A14" s="167"/>
      <c r="B14" s="239"/>
      <c r="C14" s="198"/>
      <c r="D14" s="263"/>
      <c r="E14" s="170"/>
      <c r="F14" s="170"/>
      <c r="G14" s="170"/>
      <c r="H14" s="170"/>
      <c r="I14" s="150"/>
      <c r="J14" s="195"/>
      <c r="K14" s="123"/>
      <c r="L14" s="43">
        <f>IF(L16&lt;&gt;0,+L16/L18,0%)</f>
        <v>0.9</v>
      </c>
      <c r="M14" s="64">
        <f>IF(M16&lt;&gt;0,+M16/M18,0%)</f>
        <v>0</v>
      </c>
      <c r="N14" s="65">
        <f>IF(N16&lt;&gt;0,+N16/N18,0%)</f>
        <v>0</v>
      </c>
      <c r="O14" s="66">
        <f t="shared" ref="O14:AG14" si="0">IF(O16&lt;&gt;0,+O16/O18,0%)</f>
        <v>0</v>
      </c>
      <c r="P14" s="65">
        <f>IF(P16&lt;&gt;0,ROUND(+P16/P18,4),0%)</f>
        <v>0</v>
      </c>
      <c r="Q14" s="67">
        <f t="shared" si="0"/>
        <v>0</v>
      </c>
      <c r="R14" s="68">
        <f>IF(R16&lt;&gt;0,ROUND(+R16/R18,4),0%)</f>
        <v>0</v>
      </c>
      <c r="S14" s="67">
        <f t="shared" si="0"/>
        <v>0</v>
      </c>
      <c r="T14" s="68">
        <f>IF(T16&lt;&gt;0,ROUND(+T16/T18,4),0%)</f>
        <v>0</v>
      </c>
      <c r="U14" s="67">
        <f t="shared" si="0"/>
        <v>0</v>
      </c>
      <c r="V14" s="68">
        <f>IF(V16&lt;&gt;0,ROUND(+V16/V18,4),0%)</f>
        <v>0</v>
      </c>
      <c r="W14" s="67">
        <f t="shared" si="0"/>
        <v>0</v>
      </c>
      <c r="X14" s="68">
        <f>IF(X16&lt;&gt;0,ROUND(+X16/X18,4),0%)</f>
        <v>0</v>
      </c>
      <c r="Y14" s="67">
        <f t="shared" si="0"/>
        <v>0</v>
      </c>
      <c r="Z14" s="69">
        <f>IF(Z16&lt;&gt;0,ROUND(+Z16/Z18,4),0%)</f>
        <v>0</v>
      </c>
      <c r="AA14" s="67">
        <f t="shared" si="0"/>
        <v>0</v>
      </c>
      <c r="AB14" s="68">
        <f>IF(AB16&lt;&gt;0,ROUND(+AB16/AB18,4),0%)</f>
        <v>0</v>
      </c>
      <c r="AC14" s="67">
        <f t="shared" si="0"/>
        <v>0</v>
      </c>
      <c r="AD14" s="68">
        <f>IF(AD16&lt;&gt;0,ROUND(+AD16/AD18,4),0%)</f>
        <v>0</v>
      </c>
      <c r="AE14" s="67">
        <f t="shared" si="0"/>
        <v>0</v>
      </c>
      <c r="AF14" s="68">
        <f>IF(AF16&lt;&gt;0,ROUND(+AF16/AF18,4),0%)</f>
        <v>0</v>
      </c>
      <c r="AG14" s="67">
        <f t="shared" si="0"/>
        <v>0</v>
      </c>
      <c r="AH14" s="68">
        <f>IF(AH16&lt;&gt;0,ROUND(+AH16/AH18,4),0%)</f>
        <v>0</v>
      </c>
      <c r="AI14" s="67">
        <f>IF(AI16&lt;&gt;0,+AI16/AI18,0%)</f>
        <v>0</v>
      </c>
      <c r="AJ14" s="27"/>
      <c r="AK14" s="96"/>
      <c r="AL14" s="96"/>
      <c r="AM14" s="120"/>
    </row>
    <row r="15" spans="1:40" s="78" customFormat="1" ht="23.1" customHeight="1" thickBot="1">
      <c r="A15" s="167"/>
      <c r="B15" s="239"/>
      <c r="C15" s="198"/>
      <c r="D15" s="263"/>
      <c r="E15" s="170"/>
      <c r="F15" s="170"/>
      <c r="G15" s="170"/>
      <c r="H15" s="170"/>
      <c r="I15" s="150"/>
      <c r="J15" s="195"/>
      <c r="K15" s="124"/>
      <c r="L15" s="28" t="s">
        <v>60</v>
      </c>
      <c r="M15" s="56" t="s">
        <v>60</v>
      </c>
      <c r="N15" s="56" t="s">
        <v>60</v>
      </c>
      <c r="O15" s="70" t="s">
        <v>60</v>
      </c>
      <c r="P15" s="56" t="s">
        <v>60</v>
      </c>
      <c r="Q15" s="71" t="s">
        <v>60</v>
      </c>
      <c r="R15" s="56" t="s">
        <v>60</v>
      </c>
      <c r="S15" s="71" t="s">
        <v>60</v>
      </c>
      <c r="T15" s="56" t="s">
        <v>60</v>
      </c>
      <c r="U15" s="71" t="s">
        <v>60</v>
      </c>
      <c r="V15" s="56" t="s">
        <v>60</v>
      </c>
      <c r="W15" s="71" t="s">
        <v>60</v>
      </c>
      <c r="X15" s="56" t="s">
        <v>60</v>
      </c>
      <c r="Y15" s="71" t="s">
        <v>60</v>
      </c>
      <c r="Z15" s="56" t="s">
        <v>60</v>
      </c>
      <c r="AA15" s="71" t="s">
        <v>60</v>
      </c>
      <c r="AB15" s="56" t="s">
        <v>60</v>
      </c>
      <c r="AC15" s="71" t="s">
        <v>60</v>
      </c>
      <c r="AD15" s="56" t="s">
        <v>60</v>
      </c>
      <c r="AE15" s="71" t="s">
        <v>60</v>
      </c>
      <c r="AF15" s="56" t="s">
        <v>60</v>
      </c>
      <c r="AG15" s="71" t="s">
        <v>60</v>
      </c>
      <c r="AH15" s="56" t="s">
        <v>60</v>
      </c>
      <c r="AI15" s="71" t="s">
        <v>60</v>
      </c>
      <c r="AJ15" s="27"/>
      <c r="AK15" s="96"/>
      <c r="AL15" s="96"/>
      <c r="AM15" s="120"/>
    </row>
    <row r="16" spans="1:40" s="78" customFormat="1" ht="23.1" customHeight="1" thickTop="1">
      <c r="A16" s="167"/>
      <c r="B16" s="239"/>
      <c r="C16" s="198"/>
      <c r="D16" s="263"/>
      <c r="E16" s="170"/>
      <c r="F16" s="170"/>
      <c r="G16" s="170"/>
      <c r="H16" s="170"/>
      <c r="I16" s="150"/>
      <c r="J16" s="195"/>
      <c r="K16" s="122" t="s">
        <v>61</v>
      </c>
      <c r="L16" s="57">
        <v>24300</v>
      </c>
      <c r="M16" s="72"/>
      <c r="N16" s="72"/>
      <c r="O16" s="73">
        <f>+M16+N16</f>
        <v>0</v>
      </c>
      <c r="P16" s="72"/>
      <c r="Q16" s="73">
        <f>+O16+P16</f>
        <v>0</v>
      </c>
      <c r="R16" s="72"/>
      <c r="S16" s="73">
        <f>+Q16+R16</f>
        <v>0</v>
      </c>
      <c r="T16" s="72"/>
      <c r="U16" s="73">
        <f>+S16+T16</f>
        <v>0</v>
      </c>
      <c r="V16" s="72"/>
      <c r="W16" s="73">
        <f>+U16+V16</f>
        <v>0</v>
      </c>
      <c r="X16" s="72"/>
      <c r="Y16" s="73">
        <f>+W16+X16</f>
        <v>0</v>
      </c>
      <c r="Z16" s="72"/>
      <c r="AA16" s="73">
        <f>+Y16+Z16</f>
        <v>0</v>
      </c>
      <c r="AB16" s="72"/>
      <c r="AC16" s="73">
        <f>+AA16+AB16</f>
        <v>0</v>
      </c>
      <c r="AD16" s="72"/>
      <c r="AE16" s="73">
        <f>+AC16+AD16</f>
        <v>0</v>
      </c>
      <c r="AF16" s="72"/>
      <c r="AG16" s="73">
        <f>+AE16+AF16</f>
        <v>0</v>
      </c>
      <c r="AH16" s="72"/>
      <c r="AI16" s="73">
        <f>+AG16+AH16</f>
        <v>0</v>
      </c>
      <c r="AJ16" s="33">
        <f>+AI14/L14</f>
        <v>0</v>
      </c>
      <c r="AK16" s="96"/>
      <c r="AL16" s="96"/>
      <c r="AM16" s="120"/>
    </row>
    <row r="17" spans="1:39" s="78" customFormat="1" ht="23.1" customHeight="1">
      <c r="A17" s="167"/>
      <c r="B17" s="239"/>
      <c r="C17" s="198"/>
      <c r="D17" s="263"/>
      <c r="E17" s="170"/>
      <c r="F17" s="170"/>
      <c r="G17" s="170"/>
      <c r="H17" s="170"/>
      <c r="I17" s="150"/>
      <c r="J17" s="195"/>
      <c r="K17" s="123"/>
      <c r="L17" s="58" t="s">
        <v>62</v>
      </c>
      <c r="M17" s="58" t="s">
        <v>62</v>
      </c>
      <c r="N17" s="58" t="s">
        <v>62</v>
      </c>
      <c r="O17" s="74" t="s">
        <v>62</v>
      </c>
      <c r="P17" s="58" t="s">
        <v>62</v>
      </c>
      <c r="Q17" s="74" t="s">
        <v>62</v>
      </c>
      <c r="R17" s="58" t="s">
        <v>62</v>
      </c>
      <c r="S17" s="74" t="s">
        <v>62</v>
      </c>
      <c r="T17" s="58" t="s">
        <v>62</v>
      </c>
      <c r="U17" s="74" t="s">
        <v>62</v>
      </c>
      <c r="V17" s="58" t="s">
        <v>62</v>
      </c>
      <c r="W17" s="74" t="s">
        <v>62</v>
      </c>
      <c r="X17" s="58" t="s">
        <v>62</v>
      </c>
      <c r="Y17" s="74" t="s">
        <v>62</v>
      </c>
      <c r="Z17" s="58" t="s">
        <v>62</v>
      </c>
      <c r="AA17" s="74" t="s">
        <v>62</v>
      </c>
      <c r="AB17" s="58" t="s">
        <v>62</v>
      </c>
      <c r="AC17" s="74" t="s">
        <v>62</v>
      </c>
      <c r="AD17" s="58" t="s">
        <v>62</v>
      </c>
      <c r="AE17" s="74" t="s">
        <v>62</v>
      </c>
      <c r="AF17" s="58" t="s">
        <v>62</v>
      </c>
      <c r="AG17" s="74" t="s">
        <v>62</v>
      </c>
      <c r="AH17" s="58" t="s">
        <v>62</v>
      </c>
      <c r="AI17" s="75" t="s">
        <v>62</v>
      </c>
      <c r="AJ17" s="27"/>
      <c r="AK17" s="96"/>
      <c r="AL17" s="96"/>
      <c r="AM17" s="120"/>
    </row>
    <row r="18" spans="1:39" s="78" customFormat="1" ht="23.1" customHeight="1" thickBot="1">
      <c r="A18" s="168"/>
      <c r="B18" s="240"/>
      <c r="C18" s="199"/>
      <c r="D18" s="264"/>
      <c r="E18" s="170"/>
      <c r="F18" s="171"/>
      <c r="G18" s="171"/>
      <c r="H18" s="171"/>
      <c r="I18" s="151"/>
      <c r="J18" s="196"/>
      <c r="K18" s="124"/>
      <c r="L18" s="57">
        <v>27000</v>
      </c>
      <c r="M18" s="76"/>
      <c r="N18" s="76"/>
      <c r="O18" s="77">
        <f>+M18+N18</f>
        <v>0</v>
      </c>
      <c r="P18" s="76"/>
      <c r="Q18" s="77">
        <f>+O18+P18</f>
        <v>0</v>
      </c>
      <c r="R18" s="76"/>
      <c r="S18" s="77">
        <f>+Q18+R18</f>
        <v>0</v>
      </c>
      <c r="T18" s="76"/>
      <c r="U18" s="77">
        <f>+S18+T18</f>
        <v>0</v>
      </c>
      <c r="V18" s="76"/>
      <c r="W18" s="77">
        <f>+U18+V18</f>
        <v>0</v>
      </c>
      <c r="X18" s="76"/>
      <c r="Y18" s="77">
        <f>+W18+X18</f>
        <v>0</v>
      </c>
      <c r="Z18" s="76"/>
      <c r="AA18" s="77">
        <f>+Y18+Z18</f>
        <v>0</v>
      </c>
      <c r="AB18" s="76"/>
      <c r="AC18" s="77">
        <f>+AA18+AB18</f>
        <v>0</v>
      </c>
      <c r="AD18" s="76"/>
      <c r="AE18" s="77">
        <f>+AC18+AD18</f>
        <v>0</v>
      </c>
      <c r="AF18" s="76"/>
      <c r="AG18" s="77">
        <f>+AE18+AF18</f>
        <v>0</v>
      </c>
      <c r="AH18" s="76"/>
      <c r="AI18" s="77">
        <f>+AG18+AH18</f>
        <v>0</v>
      </c>
      <c r="AJ18" s="39"/>
      <c r="AK18" s="97"/>
      <c r="AL18" s="97"/>
      <c r="AM18" s="121"/>
    </row>
    <row r="19" spans="1:39" s="5" customFormat="1" ht="23.1" customHeight="1" thickTop="1">
      <c r="A19" s="176" t="s">
        <v>63</v>
      </c>
      <c r="B19" s="200" t="s">
        <v>64</v>
      </c>
      <c r="C19" s="203" t="s">
        <v>65</v>
      </c>
      <c r="D19" s="98" t="s">
        <v>66</v>
      </c>
      <c r="E19" s="98" t="s">
        <v>67</v>
      </c>
      <c r="F19" s="98" t="s">
        <v>68</v>
      </c>
      <c r="G19" s="98" t="s">
        <v>69</v>
      </c>
      <c r="H19" s="101" t="s">
        <v>70</v>
      </c>
      <c r="I19" s="139">
        <f>L20</f>
        <v>0.91397849462365588</v>
      </c>
      <c r="J19" s="106">
        <v>0.2</v>
      </c>
      <c r="K19" s="143" t="s">
        <v>71</v>
      </c>
      <c r="L19" s="23" t="s">
        <v>57</v>
      </c>
      <c r="M19" s="23" t="s">
        <v>57</v>
      </c>
      <c r="N19" s="23" t="s">
        <v>57</v>
      </c>
      <c r="O19" s="24" t="s">
        <v>57</v>
      </c>
      <c r="P19" s="23" t="s">
        <v>57</v>
      </c>
      <c r="Q19" s="24" t="s">
        <v>57</v>
      </c>
      <c r="R19" s="23" t="s">
        <v>57</v>
      </c>
      <c r="S19" s="24" t="s">
        <v>57</v>
      </c>
      <c r="T19" s="23" t="s">
        <v>57</v>
      </c>
      <c r="U19" s="24" t="s">
        <v>57</v>
      </c>
      <c r="V19" s="23" t="s">
        <v>57</v>
      </c>
      <c r="W19" s="24" t="s">
        <v>57</v>
      </c>
      <c r="X19" s="23" t="s">
        <v>57</v>
      </c>
      <c r="Y19" s="24" t="s">
        <v>57</v>
      </c>
      <c r="Z19" s="23" t="s">
        <v>57</v>
      </c>
      <c r="AA19" s="24" t="s">
        <v>57</v>
      </c>
      <c r="AB19" s="23" t="s">
        <v>57</v>
      </c>
      <c r="AC19" s="24" t="s">
        <v>57</v>
      </c>
      <c r="AD19" s="23" t="s">
        <v>57</v>
      </c>
      <c r="AE19" s="24" t="s">
        <v>57</v>
      </c>
      <c r="AF19" s="23" t="s">
        <v>57</v>
      </c>
      <c r="AG19" s="24" t="s">
        <v>57</v>
      </c>
      <c r="AH19" s="23" t="s">
        <v>57</v>
      </c>
      <c r="AI19" s="24" t="s">
        <v>57</v>
      </c>
      <c r="AJ19" s="25"/>
      <c r="AK19" s="95" t="s">
        <v>72</v>
      </c>
      <c r="AL19" s="116"/>
      <c r="AM19" s="113" t="s">
        <v>73</v>
      </c>
    </row>
    <row r="20" spans="1:39" s="5" customFormat="1" ht="23.1" customHeight="1">
      <c r="A20" s="177"/>
      <c r="B20" s="241"/>
      <c r="C20" s="204"/>
      <c r="D20" s="99"/>
      <c r="E20" s="99"/>
      <c r="F20" s="99"/>
      <c r="G20" s="99"/>
      <c r="H20" s="102"/>
      <c r="I20" s="140"/>
      <c r="J20" s="107"/>
      <c r="K20" s="144"/>
      <c r="L20" s="43">
        <f>+L22/L24</f>
        <v>0.91397849462365588</v>
      </c>
      <c r="M20" s="40">
        <f t="shared" ref="M20:AI20" si="1">IF(M22&lt;&gt;0,+M22/M24,0%)</f>
        <v>0</v>
      </c>
      <c r="N20" s="40">
        <f t="shared" si="1"/>
        <v>4.3010752688172046E-2</v>
      </c>
      <c r="O20" s="26">
        <f t="shared" si="1"/>
        <v>4.3010752688172046E-2</v>
      </c>
      <c r="P20" s="40">
        <f t="shared" si="1"/>
        <v>6.4516129032258063E-2</v>
      </c>
      <c r="Q20" s="26">
        <f t="shared" si="1"/>
        <v>0.10752688172043011</v>
      </c>
      <c r="R20" s="40">
        <f t="shared" si="1"/>
        <v>7.5268817204301078E-2</v>
      </c>
      <c r="S20" s="26">
        <f t="shared" si="1"/>
        <v>0.18279569892473119</v>
      </c>
      <c r="T20" s="40">
        <f t="shared" si="1"/>
        <v>9.6774193548387094E-2</v>
      </c>
      <c r="U20" s="26">
        <f t="shared" si="1"/>
        <v>0.27956989247311825</v>
      </c>
      <c r="V20" s="40">
        <f t="shared" si="1"/>
        <v>9.6774193548387094E-2</v>
      </c>
      <c r="W20" s="26">
        <f t="shared" si="1"/>
        <v>0.37634408602150538</v>
      </c>
      <c r="X20" s="40">
        <f t="shared" si="1"/>
        <v>9.6774193548387094E-2</v>
      </c>
      <c r="Y20" s="26">
        <f t="shared" si="1"/>
        <v>0.4731182795698925</v>
      </c>
      <c r="Z20" s="40">
        <f t="shared" si="1"/>
        <v>9.6774193548387094E-2</v>
      </c>
      <c r="AA20" s="26">
        <f t="shared" si="1"/>
        <v>0.56989247311827962</v>
      </c>
      <c r="AB20" s="40">
        <f t="shared" si="1"/>
        <v>9.6774193548387094E-2</v>
      </c>
      <c r="AC20" s="26">
        <f t="shared" si="1"/>
        <v>0.66666666666666663</v>
      </c>
      <c r="AD20" s="40">
        <f t="shared" si="1"/>
        <v>8.6021505376344093E-2</v>
      </c>
      <c r="AE20" s="26">
        <f t="shared" si="1"/>
        <v>0.75268817204301075</v>
      </c>
      <c r="AF20" s="40">
        <f t="shared" si="1"/>
        <v>8.6021505376344093E-2</v>
      </c>
      <c r="AG20" s="26">
        <f t="shared" si="1"/>
        <v>0.83870967741935487</v>
      </c>
      <c r="AH20" s="40">
        <f t="shared" si="1"/>
        <v>7.5268817204301078E-2</v>
      </c>
      <c r="AI20" s="26">
        <f t="shared" si="1"/>
        <v>0.91397849462365588</v>
      </c>
      <c r="AJ20" s="27"/>
      <c r="AK20" s="96"/>
      <c r="AL20" s="117"/>
      <c r="AM20" s="114"/>
    </row>
    <row r="21" spans="1:39" s="5" customFormat="1" ht="23.1" customHeight="1" thickBot="1">
      <c r="A21" s="177"/>
      <c r="B21" s="241"/>
      <c r="C21" s="204"/>
      <c r="D21" s="99"/>
      <c r="E21" s="99"/>
      <c r="F21" s="99"/>
      <c r="G21" s="99"/>
      <c r="H21" s="102"/>
      <c r="I21" s="140"/>
      <c r="J21" s="107"/>
      <c r="K21" s="145"/>
      <c r="L21" s="28" t="s">
        <v>60</v>
      </c>
      <c r="M21" s="28" t="s">
        <v>60</v>
      </c>
      <c r="N21" s="28" t="s">
        <v>60</v>
      </c>
      <c r="O21" s="29" t="s">
        <v>60</v>
      </c>
      <c r="P21" s="28" t="s">
        <v>60</v>
      </c>
      <c r="Q21" s="29" t="s">
        <v>60</v>
      </c>
      <c r="R21" s="28" t="s">
        <v>60</v>
      </c>
      <c r="S21" s="29" t="s">
        <v>60</v>
      </c>
      <c r="T21" s="28" t="s">
        <v>60</v>
      </c>
      <c r="U21" s="29" t="s">
        <v>60</v>
      </c>
      <c r="V21" s="28" t="s">
        <v>60</v>
      </c>
      <c r="W21" s="29" t="s">
        <v>60</v>
      </c>
      <c r="X21" s="28" t="s">
        <v>60</v>
      </c>
      <c r="Y21" s="29" t="s">
        <v>60</v>
      </c>
      <c r="Z21" s="28" t="s">
        <v>60</v>
      </c>
      <c r="AA21" s="29" t="s">
        <v>60</v>
      </c>
      <c r="AB21" s="28" t="s">
        <v>60</v>
      </c>
      <c r="AC21" s="29" t="s">
        <v>60</v>
      </c>
      <c r="AD21" s="28" t="s">
        <v>60</v>
      </c>
      <c r="AE21" s="29" t="s">
        <v>60</v>
      </c>
      <c r="AF21" s="28" t="s">
        <v>60</v>
      </c>
      <c r="AG21" s="29" t="s">
        <v>60</v>
      </c>
      <c r="AH21" s="28" t="s">
        <v>60</v>
      </c>
      <c r="AI21" s="29" t="s">
        <v>60</v>
      </c>
      <c r="AJ21" s="27"/>
      <c r="AK21" s="96"/>
      <c r="AL21" s="117"/>
      <c r="AM21" s="114"/>
    </row>
    <row r="22" spans="1:39" s="5" customFormat="1" ht="23.1" customHeight="1" thickTop="1">
      <c r="A22" s="177"/>
      <c r="B22" s="241"/>
      <c r="C22" s="204"/>
      <c r="D22" s="99"/>
      <c r="E22" s="99"/>
      <c r="F22" s="99"/>
      <c r="G22" s="99"/>
      <c r="H22" s="102"/>
      <c r="I22" s="140"/>
      <c r="J22" s="107"/>
      <c r="K22" s="144" t="s">
        <v>74</v>
      </c>
      <c r="L22" s="30">
        <v>85</v>
      </c>
      <c r="M22" s="31">
        <v>0</v>
      </c>
      <c r="N22" s="31">
        <v>4</v>
      </c>
      <c r="O22" s="32">
        <f>+M22+N22</f>
        <v>4</v>
      </c>
      <c r="P22" s="31">
        <v>6</v>
      </c>
      <c r="Q22" s="32">
        <f>+O22+P22</f>
        <v>10</v>
      </c>
      <c r="R22" s="31">
        <v>7</v>
      </c>
      <c r="S22" s="32">
        <f>+Q22+R22</f>
        <v>17</v>
      </c>
      <c r="T22" s="31">
        <v>9</v>
      </c>
      <c r="U22" s="32">
        <f>+S22+T22</f>
        <v>26</v>
      </c>
      <c r="V22" s="31">
        <v>9</v>
      </c>
      <c r="W22" s="32">
        <f>+U22+V22</f>
        <v>35</v>
      </c>
      <c r="X22" s="31">
        <v>9</v>
      </c>
      <c r="Y22" s="32">
        <f>+W22+X22</f>
        <v>44</v>
      </c>
      <c r="Z22" s="31">
        <v>9</v>
      </c>
      <c r="AA22" s="32">
        <f>+Y22+Z22</f>
        <v>53</v>
      </c>
      <c r="AB22" s="31">
        <v>9</v>
      </c>
      <c r="AC22" s="32">
        <f>+AA22+AB22</f>
        <v>62</v>
      </c>
      <c r="AD22" s="31">
        <v>8</v>
      </c>
      <c r="AE22" s="32">
        <f>+AC22+AD22</f>
        <v>70</v>
      </c>
      <c r="AF22" s="31">
        <v>8</v>
      </c>
      <c r="AG22" s="32">
        <f>+AE22+AF22</f>
        <v>78</v>
      </c>
      <c r="AH22" s="31">
        <v>7</v>
      </c>
      <c r="AI22" s="32">
        <f>+AG22+AH22</f>
        <v>85</v>
      </c>
      <c r="AJ22" s="33">
        <f>+AI20/L20</f>
        <v>1</v>
      </c>
      <c r="AK22" s="96"/>
      <c r="AL22" s="117"/>
      <c r="AM22" s="114"/>
    </row>
    <row r="23" spans="1:39" s="5" customFormat="1" ht="23.1" customHeight="1">
      <c r="A23" s="177"/>
      <c r="B23" s="241"/>
      <c r="C23" s="204"/>
      <c r="D23" s="99"/>
      <c r="E23" s="99"/>
      <c r="F23" s="99"/>
      <c r="G23" s="99"/>
      <c r="H23" s="102"/>
      <c r="I23" s="140"/>
      <c r="J23" s="107"/>
      <c r="K23" s="144"/>
      <c r="L23" s="34" t="s">
        <v>62</v>
      </c>
      <c r="M23" s="34" t="s">
        <v>62</v>
      </c>
      <c r="N23" s="34" t="s">
        <v>62</v>
      </c>
      <c r="O23" s="35" t="s">
        <v>62</v>
      </c>
      <c r="P23" s="34" t="s">
        <v>62</v>
      </c>
      <c r="Q23" s="35" t="s">
        <v>62</v>
      </c>
      <c r="R23" s="34" t="s">
        <v>62</v>
      </c>
      <c r="S23" s="35" t="s">
        <v>62</v>
      </c>
      <c r="T23" s="34" t="s">
        <v>62</v>
      </c>
      <c r="U23" s="35" t="s">
        <v>62</v>
      </c>
      <c r="V23" s="34" t="s">
        <v>62</v>
      </c>
      <c r="W23" s="35" t="s">
        <v>62</v>
      </c>
      <c r="X23" s="34" t="s">
        <v>62</v>
      </c>
      <c r="Y23" s="35" t="s">
        <v>62</v>
      </c>
      <c r="Z23" s="34" t="s">
        <v>62</v>
      </c>
      <c r="AA23" s="35" t="s">
        <v>62</v>
      </c>
      <c r="AB23" s="34" t="s">
        <v>62</v>
      </c>
      <c r="AC23" s="35" t="s">
        <v>62</v>
      </c>
      <c r="AD23" s="34" t="s">
        <v>62</v>
      </c>
      <c r="AE23" s="35" t="s">
        <v>62</v>
      </c>
      <c r="AF23" s="34" t="s">
        <v>62</v>
      </c>
      <c r="AG23" s="35" t="s">
        <v>62</v>
      </c>
      <c r="AH23" s="34" t="s">
        <v>62</v>
      </c>
      <c r="AI23" s="35" t="s">
        <v>62</v>
      </c>
      <c r="AJ23" s="27"/>
      <c r="AK23" s="96"/>
      <c r="AL23" s="117"/>
      <c r="AM23" s="114"/>
    </row>
    <row r="24" spans="1:39" s="5" customFormat="1" ht="23.1" customHeight="1" thickBot="1">
      <c r="A24" s="178"/>
      <c r="B24" s="242"/>
      <c r="C24" s="205"/>
      <c r="D24" s="100"/>
      <c r="E24" s="100"/>
      <c r="F24" s="100"/>
      <c r="G24" s="100"/>
      <c r="H24" s="102"/>
      <c r="I24" s="141"/>
      <c r="J24" s="108"/>
      <c r="K24" s="145"/>
      <c r="L24" s="36">
        <v>93</v>
      </c>
      <c r="M24" s="37">
        <v>93</v>
      </c>
      <c r="N24" s="37">
        <v>93</v>
      </c>
      <c r="O24" s="38">
        <v>93</v>
      </c>
      <c r="P24" s="37">
        <v>93</v>
      </c>
      <c r="Q24" s="38">
        <v>93</v>
      </c>
      <c r="R24" s="37">
        <v>93</v>
      </c>
      <c r="S24" s="38">
        <v>93</v>
      </c>
      <c r="T24" s="37">
        <v>93</v>
      </c>
      <c r="U24" s="38">
        <v>93</v>
      </c>
      <c r="V24" s="37">
        <v>93</v>
      </c>
      <c r="W24" s="38">
        <v>93</v>
      </c>
      <c r="X24" s="37">
        <v>93</v>
      </c>
      <c r="Y24" s="38">
        <v>93</v>
      </c>
      <c r="Z24" s="37">
        <v>93</v>
      </c>
      <c r="AA24" s="38">
        <v>93</v>
      </c>
      <c r="AB24" s="37">
        <v>93</v>
      </c>
      <c r="AC24" s="38">
        <v>93</v>
      </c>
      <c r="AD24" s="37">
        <v>93</v>
      </c>
      <c r="AE24" s="38">
        <v>93</v>
      </c>
      <c r="AF24" s="37">
        <v>93</v>
      </c>
      <c r="AG24" s="38">
        <v>93</v>
      </c>
      <c r="AH24" s="37">
        <v>93</v>
      </c>
      <c r="AI24" s="38">
        <v>93</v>
      </c>
      <c r="AJ24" s="39"/>
      <c r="AK24" s="97"/>
      <c r="AL24" s="118"/>
      <c r="AM24" s="115"/>
    </row>
    <row r="25" spans="1:39" s="5" customFormat="1" ht="23.1" customHeight="1" thickTop="1">
      <c r="A25" s="179" t="s">
        <v>75</v>
      </c>
      <c r="B25" s="182" t="s">
        <v>76</v>
      </c>
      <c r="C25" s="185" t="s">
        <v>77</v>
      </c>
      <c r="D25" s="188" t="s">
        <v>78</v>
      </c>
      <c r="E25" s="125" t="s">
        <v>79</v>
      </c>
      <c r="F25" s="125" t="s">
        <v>80</v>
      </c>
      <c r="G25" s="125" t="s">
        <v>81</v>
      </c>
      <c r="H25" s="125" t="s">
        <v>82</v>
      </c>
      <c r="I25" s="128">
        <f>L26</f>
        <v>0.66666666666666663</v>
      </c>
      <c r="J25" s="131">
        <v>0.2</v>
      </c>
      <c r="K25" s="122" t="s">
        <v>83</v>
      </c>
      <c r="L25" s="54" t="s">
        <v>57</v>
      </c>
      <c r="M25" s="54" t="s">
        <v>57</v>
      </c>
      <c r="N25" s="54" t="s">
        <v>57</v>
      </c>
      <c r="O25" s="81" t="s">
        <v>57</v>
      </c>
      <c r="P25" s="54" t="s">
        <v>57</v>
      </c>
      <c r="Q25" s="81" t="s">
        <v>57</v>
      </c>
      <c r="R25" s="54" t="s">
        <v>57</v>
      </c>
      <c r="S25" s="81" t="s">
        <v>57</v>
      </c>
      <c r="T25" s="54" t="s">
        <v>57</v>
      </c>
      <c r="U25" s="81" t="s">
        <v>57</v>
      </c>
      <c r="V25" s="54" t="s">
        <v>57</v>
      </c>
      <c r="W25" s="81" t="s">
        <v>57</v>
      </c>
      <c r="X25" s="54" t="s">
        <v>57</v>
      </c>
      <c r="Y25" s="81" t="s">
        <v>57</v>
      </c>
      <c r="Z25" s="54" t="s">
        <v>57</v>
      </c>
      <c r="AA25" s="81" t="s">
        <v>57</v>
      </c>
      <c r="AB25" s="54" t="s">
        <v>57</v>
      </c>
      <c r="AC25" s="81" t="s">
        <v>57</v>
      </c>
      <c r="AD25" s="54" t="s">
        <v>57</v>
      </c>
      <c r="AE25" s="81" t="s">
        <v>57</v>
      </c>
      <c r="AF25" s="54" t="s">
        <v>57</v>
      </c>
      <c r="AG25" s="81" t="s">
        <v>57</v>
      </c>
      <c r="AH25" s="54" t="s">
        <v>57</v>
      </c>
      <c r="AI25" s="81" t="s">
        <v>57</v>
      </c>
      <c r="AJ25" s="82"/>
      <c r="AK25" s="136" t="s">
        <v>84</v>
      </c>
      <c r="AL25" s="116"/>
      <c r="AM25" s="119" t="s">
        <v>85</v>
      </c>
    </row>
    <row r="26" spans="1:39" s="5" customFormat="1" ht="23.1" customHeight="1">
      <c r="A26" s="180"/>
      <c r="B26" s="183"/>
      <c r="C26" s="186"/>
      <c r="D26" s="189"/>
      <c r="E26" s="126"/>
      <c r="F26" s="126"/>
      <c r="G26" s="126"/>
      <c r="H26" s="126"/>
      <c r="I26" s="129"/>
      <c r="J26" s="132"/>
      <c r="K26" s="134"/>
      <c r="L26" s="55">
        <f t="shared" ref="L26:P26" si="2">IF(L28&lt;&gt;0,+L28/L30,0%)</f>
        <v>0.66666666666666663</v>
      </c>
      <c r="M26" s="83">
        <f t="shared" si="2"/>
        <v>0</v>
      </c>
      <c r="N26" s="83">
        <f t="shared" si="2"/>
        <v>0</v>
      </c>
      <c r="O26" s="84">
        <f t="shared" si="2"/>
        <v>0</v>
      </c>
      <c r="P26" s="83">
        <f t="shared" si="2"/>
        <v>0</v>
      </c>
      <c r="Q26" s="84">
        <f>IF(Q28&lt;&gt;0,+Q28/Q30,0%)</f>
        <v>0</v>
      </c>
      <c r="R26" s="83">
        <f t="shared" ref="R26:T26" si="3">IF(R28&lt;&gt;0,+R28/R30,0%)</f>
        <v>0</v>
      </c>
      <c r="S26" s="84">
        <f>IF(S28&lt;&gt;0,+S28/S30,0%)</f>
        <v>0</v>
      </c>
      <c r="T26" s="83">
        <f t="shared" si="3"/>
        <v>0.33333333333333331</v>
      </c>
      <c r="U26" s="84">
        <f>IF(U28&lt;&gt;0,+U28/U30,0%)</f>
        <v>0.33333333333333331</v>
      </c>
      <c r="V26" s="83">
        <f t="shared" ref="V26:X26" si="4">IF(V28&lt;&gt;0,+V28/V30,0%)</f>
        <v>0</v>
      </c>
      <c r="W26" s="84">
        <f>IF(W28&lt;&gt;0,+W28/W30,0%)</f>
        <v>0.33333333333333331</v>
      </c>
      <c r="X26" s="83">
        <f t="shared" si="4"/>
        <v>0.33333333333333331</v>
      </c>
      <c r="Y26" s="84">
        <f>IF(Y28&lt;&gt;0,+Y28/Y30,0%)</f>
        <v>0.66666666666666663</v>
      </c>
      <c r="Z26" s="83">
        <f t="shared" ref="Z26:AB26" si="5">IF(Z28&lt;&gt;0,+Z28/Z30,0%)</f>
        <v>0</v>
      </c>
      <c r="AA26" s="84">
        <f>IF(AA28&lt;&gt;0,+AA28/AA30,0%)</f>
        <v>0.66666666666666663</v>
      </c>
      <c r="AB26" s="83">
        <f t="shared" si="5"/>
        <v>0</v>
      </c>
      <c r="AC26" s="84">
        <f>IF(AC28&lt;&gt;0,+AC28/AC30,0%)</f>
        <v>0.66666666666666663</v>
      </c>
      <c r="AD26" s="83">
        <f t="shared" ref="AD26:AF26" si="6">IF(AD28&lt;&gt;0,+AD28/AD30,0%)</f>
        <v>0</v>
      </c>
      <c r="AE26" s="84">
        <f>IF(AE28&lt;&gt;0,+AE28/AE30,0%)</f>
        <v>0.66666666666666663</v>
      </c>
      <c r="AF26" s="83">
        <f t="shared" si="6"/>
        <v>0</v>
      </c>
      <c r="AG26" s="84">
        <f>IF(AG28&lt;&gt;0,+AG28/AG30,0%)</f>
        <v>0.66666666666666663</v>
      </c>
      <c r="AH26" s="83">
        <f t="shared" ref="AH26" si="7">IF(AH28&lt;&gt;0,+AH28/AH30,0%)</f>
        <v>0</v>
      </c>
      <c r="AI26" s="84">
        <f>IF(AI28&lt;&gt;0,+AI28/AI30,0%)</f>
        <v>0.66666666666666663</v>
      </c>
      <c r="AJ26" s="85"/>
      <c r="AK26" s="137"/>
      <c r="AL26" s="117"/>
      <c r="AM26" s="120"/>
    </row>
    <row r="27" spans="1:39" s="5" customFormat="1" ht="23.1" customHeight="1" thickBot="1">
      <c r="A27" s="180"/>
      <c r="B27" s="183"/>
      <c r="C27" s="186"/>
      <c r="D27" s="189"/>
      <c r="E27" s="126"/>
      <c r="F27" s="126"/>
      <c r="G27" s="126"/>
      <c r="H27" s="126"/>
      <c r="I27" s="129"/>
      <c r="J27" s="132"/>
      <c r="K27" s="135"/>
      <c r="L27" s="56" t="s">
        <v>60</v>
      </c>
      <c r="M27" s="56" t="s">
        <v>60</v>
      </c>
      <c r="N27" s="56" t="s">
        <v>60</v>
      </c>
      <c r="O27" s="86" t="s">
        <v>60</v>
      </c>
      <c r="P27" s="56" t="s">
        <v>60</v>
      </c>
      <c r="Q27" s="86" t="s">
        <v>60</v>
      </c>
      <c r="R27" s="56" t="s">
        <v>60</v>
      </c>
      <c r="S27" s="86" t="s">
        <v>60</v>
      </c>
      <c r="T27" s="56" t="s">
        <v>60</v>
      </c>
      <c r="U27" s="86" t="s">
        <v>60</v>
      </c>
      <c r="V27" s="56" t="s">
        <v>60</v>
      </c>
      <c r="W27" s="86" t="s">
        <v>60</v>
      </c>
      <c r="X27" s="56" t="s">
        <v>60</v>
      </c>
      <c r="Y27" s="86" t="s">
        <v>60</v>
      </c>
      <c r="Z27" s="56" t="s">
        <v>60</v>
      </c>
      <c r="AA27" s="86" t="s">
        <v>60</v>
      </c>
      <c r="AB27" s="56" t="s">
        <v>60</v>
      </c>
      <c r="AC27" s="86" t="s">
        <v>60</v>
      </c>
      <c r="AD27" s="56" t="s">
        <v>60</v>
      </c>
      <c r="AE27" s="86" t="s">
        <v>60</v>
      </c>
      <c r="AF27" s="56" t="s">
        <v>60</v>
      </c>
      <c r="AG27" s="86" t="s">
        <v>60</v>
      </c>
      <c r="AH27" s="56" t="s">
        <v>60</v>
      </c>
      <c r="AI27" s="86" t="s">
        <v>60</v>
      </c>
      <c r="AJ27" s="85"/>
      <c r="AK27" s="137"/>
      <c r="AL27" s="117"/>
      <c r="AM27" s="120"/>
    </row>
    <row r="28" spans="1:39" s="5" customFormat="1" ht="23.1" customHeight="1" thickTop="1">
      <c r="A28" s="180"/>
      <c r="B28" s="183"/>
      <c r="C28" s="186"/>
      <c r="D28" s="189"/>
      <c r="E28" s="126"/>
      <c r="F28" s="126"/>
      <c r="G28" s="126"/>
      <c r="H28" s="126"/>
      <c r="I28" s="129"/>
      <c r="J28" s="132"/>
      <c r="K28" s="122" t="s">
        <v>86</v>
      </c>
      <c r="L28" s="57">
        <v>2</v>
      </c>
      <c r="M28" s="87"/>
      <c r="N28" s="87"/>
      <c r="O28" s="88">
        <f>+M28+N28</f>
        <v>0</v>
      </c>
      <c r="P28" s="87"/>
      <c r="Q28" s="88">
        <f>+O28+P28</f>
        <v>0</v>
      </c>
      <c r="R28" s="87"/>
      <c r="S28" s="88">
        <f>+Q28+R28</f>
        <v>0</v>
      </c>
      <c r="T28" s="87">
        <v>1</v>
      </c>
      <c r="U28" s="88">
        <f>+S28+T28</f>
        <v>1</v>
      </c>
      <c r="V28" s="87"/>
      <c r="W28" s="88">
        <f>+U28+V28</f>
        <v>1</v>
      </c>
      <c r="X28" s="87">
        <v>1</v>
      </c>
      <c r="Y28" s="88">
        <f>+W28+X28</f>
        <v>2</v>
      </c>
      <c r="Z28" s="87"/>
      <c r="AA28" s="88">
        <f>+Y28+Z28</f>
        <v>2</v>
      </c>
      <c r="AB28" s="87">
        <v>0</v>
      </c>
      <c r="AC28" s="88">
        <f>+AA28+AB28</f>
        <v>2</v>
      </c>
      <c r="AD28" s="87"/>
      <c r="AE28" s="88">
        <f>+AC28+AD28</f>
        <v>2</v>
      </c>
      <c r="AF28" s="87"/>
      <c r="AG28" s="88">
        <f>+AE28+AF28</f>
        <v>2</v>
      </c>
      <c r="AH28" s="87"/>
      <c r="AI28" s="88">
        <f>+AG28+AH28</f>
        <v>2</v>
      </c>
      <c r="AJ28" s="89">
        <f>AI26/L26</f>
        <v>1</v>
      </c>
      <c r="AK28" s="137"/>
      <c r="AL28" s="117"/>
      <c r="AM28" s="120"/>
    </row>
    <row r="29" spans="1:39" s="5" customFormat="1" ht="23.1" customHeight="1">
      <c r="A29" s="180"/>
      <c r="B29" s="183"/>
      <c r="C29" s="186"/>
      <c r="D29" s="189"/>
      <c r="E29" s="126"/>
      <c r="F29" s="126"/>
      <c r="G29" s="126"/>
      <c r="H29" s="126"/>
      <c r="I29" s="129"/>
      <c r="J29" s="132"/>
      <c r="K29" s="123"/>
      <c r="L29" s="58" t="s">
        <v>62</v>
      </c>
      <c r="M29" s="58" t="s">
        <v>62</v>
      </c>
      <c r="N29" s="58" t="s">
        <v>62</v>
      </c>
      <c r="O29" s="90" t="s">
        <v>62</v>
      </c>
      <c r="P29" s="58" t="s">
        <v>62</v>
      </c>
      <c r="Q29" s="90" t="s">
        <v>62</v>
      </c>
      <c r="R29" s="58" t="s">
        <v>62</v>
      </c>
      <c r="S29" s="90" t="s">
        <v>62</v>
      </c>
      <c r="T29" s="58" t="s">
        <v>62</v>
      </c>
      <c r="U29" s="90" t="s">
        <v>62</v>
      </c>
      <c r="V29" s="58" t="s">
        <v>62</v>
      </c>
      <c r="W29" s="90" t="s">
        <v>62</v>
      </c>
      <c r="X29" s="58" t="s">
        <v>62</v>
      </c>
      <c r="Y29" s="90" t="s">
        <v>62</v>
      </c>
      <c r="Z29" s="58" t="s">
        <v>62</v>
      </c>
      <c r="AA29" s="90" t="s">
        <v>62</v>
      </c>
      <c r="AB29" s="58" t="s">
        <v>62</v>
      </c>
      <c r="AC29" s="90" t="s">
        <v>62</v>
      </c>
      <c r="AD29" s="58" t="s">
        <v>62</v>
      </c>
      <c r="AE29" s="90" t="s">
        <v>62</v>
      </c>
      <c r="AF29" s="58" t="s">
        <v>62</v>
      </c>
      <c r="AG29" s="90" t="s">
        <v>62</v>
      </c>
      <c r="AH29" s="58" t="s">
        <v>62</v>
      </c>
      <c r="AI29" s="90" t="s">
        <v>62</v>
      </c>
      <c r="AJ29" s="85"/>
      <c r="AK29" s="137"/>
      <c r="AL29" s="117"/>
      <c r="AM29" s="120"/>
    </row>
    <row r="30" spans="1:39" s="5" customFormat="1" ht="23.1" customHeight="1" thickBot="1">
      <c r="A30" s="181"/>
      <c r="B30" s="184"/>
      <c r="C30" s="187"/>
      <c r="D30" s="190"/>
      <c r="E30" s="127"/>
      <c r="F30" s="127"/>
      <c r="G30" s="127"/>
      <c r="H30" s="127"/>
      <c r="I30" s="130"/>
      <c r="J30" s="133"/>
      <c r="K30" s="124"/>
      <c r="L30" s="59">
        <v>3</v>
      </c>
      <c r="M30" s="76">
        <v>3</v>
      </c>
      <c r="N30" s="76">
        <v>3</v>
      </c>
      <c r="O30" s="88">
        <v>3</v>
      </c>
      <c r="P30" s="76">
        <v>3</v>
      </c>
      <c r="Q30" s="88">
        <v>3</v>
      </c>
      <c r="R30" s="76">
        <v>3</v>
      </c>
      <c r="S30" s="88">
        <v>3</v>
      </c>
      <c r="T30" s="76">
        <v>3</v>
      </c>
      <c r="U30" s="88">
        <v>3</v>
      </c>
      <c r="V30" s="76">
        <v>3</v>
      </c>
      <c r="W30" s="88">
        <v>3</v>
      </c>
      <c r="X30" s="76">
        <v>3</v>
      </c>
      <c r="Y30" s="88">
        <v>3</v>
      </c>
      <c r="Z30" s="76">
        <v>3</v>
      </c>
      <c r="AA30" s="88">
        <v>3</v>
      </c>
      <c r="AB30" s="76">
        <v>3</v>
      </c>
      <c r="AC30" s="88">
        <v>3</v>
      </c>
      <c r="AD30" s="76">
        <v>3</v>
      </c>
      <c r="AE30" s="88">
        <v>3</v>
      </c>
      <c r="AF30" s="76">
        <v>3</v>
      </c>
      <c r="AG30" s="88">
        <v>3</v>
      </c>
      <c r="AH30" s="76">
        <v>3</v>
      </c>
      <c r="AI30" s="88">
        <v>3</v>
      </c>
      <c r="AJ30" s="91"/>
      <c r="AK30" s="138"/>
      <c r="AL30" s="118"/>
      <c r="AM30" s="121"/>
    </row>
    <row r="31" spans="1:39" s="5" customFormat="1" ht="23.1" customHeight="1" thickTop="1">
      <c r="A31" s="176" t="s">
        <v>87</v>
      </c>
      <c r="B31" s="200" t="s">
        <v>88</v>
      </c>
      <c r="C31" s="203" t="s">
        <v>89</v>
      </c>
      <c r="D31" s="98" t="s">
        <v>90</v>
      </c>
      <c r="E31" s="101" t="s">
        <v>67</v>
      </c>
      <c r="F31" s="98" t="s">
        <v>68</v>
      </c>
      <c r="G31" s="98" t="s">
        <v>69</v>
      </c>
      <c r="H31" s="101" t="s">
        <v>70</v>
      </c>
      <c r="I31" s="103">
        <f>L32</f>
        <v>0.81005272407732865</v>
      </c>
      <c r="J31" s="106">
        <v>0.2</v>
      </c>
      <c r="K31" s="93" t="s">
        <v>90</v>
      </c>
      <c r="L31" s="23" t="s">
        <v>57</v>
      </c>
      <c r="M31" s="23" t="s">
        <v>57</v>
      </c>
      <c r="N31" s="23" t="s">
        <v>57</v>
      </c>
      <c r="O31" s="24" t="s">
        <v>57</v>
      </c>
      <c r="P31" s="23" t="s">
        <v>57</v>
      </c>
      <c r="Q31" s="24" t="s">
        <v>57</v>
      </c>
      <c r="R31" s="23" t="s">
        <v>57</v>
      </c>
      <c r="S31" s="24" t="s">
        <v>57</v>
      </c>
      <c r="T31" s="23" t="s">
        <v>57</v>
      </c>
      <c r="U31" s="24" t="s">
        <v>57</v>
      </c>
      <c r="V31" s="23" t="s">
        <v>57</v>
      </c>
      <c r="W31" s="24" t="s">
        <v>57</v>
      </c>
      <c r="X31" s="23" t="s">
        <v>57</v>
      </c>
      <c r="Y31" s="24" t="s">
        <v>57</v>
      </c>
      <c r="Z31" s="23" t="s">
        <v>57</v>
      </c>
      <c r="AA31" s="24" t="s">
        <v>57</v>
      </c>
      <c r="AB31" s="23" t="s">
        <v>57</v>
      </c>
      <c r="AC31" s="24" t="s">
        <v>57</v>
      </c>
      <c r="AD31" s="23" t="s">
        <v>57</v>
      </c>
      <c r="AE31" s="24" t="s">
        <v>57</v>
      </c>
      <c r="AF31" s="23" t="s">
        <v>57</v>
      </c>
      <c r="AG31" s="24" t="s">
        <v>57</v>
      </c>
      <c r="AH31" s="23" t="s">
        <v>57</v>
      </c>
      <c r="AI31" s="24" t="s">
        <v>57</v>
      </c>
      <c r="AJ31" s="25"/>
      <c r="AK31" s="110" t="s">
        <v>91</v>
      </c>
      <c r="AL31" s="142"/>
      <c r="AM31" s="113" t="s">
        <v>73</v>
      </c>
    </row>
    <row r="32" spans="1:39" s="5" customFormat="1" ht="23.1" customHeight="1">
      <c r="A32" s="177"/>
      <c r="B32" s="201"/>
      <c r="C32" s="204"/>
      <c r="D32" s="265"/>
      <c r="E32" s="102"/>
      <c r="F32" s="99"/>
      <c r="G32" s="99"/>
      <c r="H32" s="102"/>
      <c r="I32" s="104"/>
      <c r="J32" s="107"/>
      <c r="K32" s="109"/>
      <c r="L32" s="43">
        <f t="shared" ref="L32:AI32" si="8">IF(L34&lt;&gt;0,+L34/L36,0%)</f>
        <v>0.81005272407732865</v>
      </c>
      <c r="M32" s="40">
        <f t="shared" si="8"/>
        <v>8.372583479789103E-2</v>
      </c>
      <c r="N32" s="40">
        <f t="shared" si="8"/>
        <v>5.989455184534271E-2</v>
      </c>
      <c r="O32" s="26">
        <f t="shared" si="8"/>
        <v>0.14362038664323373</v>
      </c>
      <c r="P32" s="40">
        <f t="shared" si="8"/>
        <v>6.7627416520210898E-2</v>
      </c>
      <c r="Q32" s="26">
        <f t="shared" si="8"/>
        <v>0.21124780316344463</v>
      </c>
      <c r="R32" s="40">
        <f t="shared" si="8"/>
        <v>7.2970123022847097E-2</v>
      </c>
      <c r="S32" s="26">
        <f t="shared" si="8"/>
        <v>0.28421792618629171</v>
      </c>
      <c r="T32" s="40">
        <f t="shared" si="8"/>
        <v>5.7574692442882248E-2</v>
      </c>
      <c r="U32" s="26">
        <f t="shared" si="8"/>
        <v>0.34179261862917398</v>
      </c>
      <c r="V32" s="40">
        <f t="shared" si="8"/>
        <v>5.8277680140597539E-2</v>
      </c>
      <c r="W32" s="26">
        <f t="shared" si="8"/>
        <v>0.40007029876977152</v>
      </c>
      <c r="X32" s="40">
        <f t="shared" si="8"/>
        <v>8.5694200351493846E-2</v>
      </c>
      <c r="Y32" s="26">
        <f t="shared" si="8"/>
        <v>0.4857644991212654</v>
      </c>
      <c r="Z32" s="40">
        <f t="shared" si="8"/>
        <v>6.5307557117750437E-2</v>
      </c>
      <c r="AA32" s="26">
        <f t="shared" si="8"/>
        <v>0.55107205623901578</v>
      </c>
      <c r="AB32" s="40">
        <f t="shared" si="8"/>
        <v>6.6362038664323372E-2</v>
      </c>
      <c r="AC32" s="26">
        <f t="shared" si="8"/>
        <v>0.61743409490333923</v>
      </c>
      <c r="AD32" s="40">
        <f t="shared" si="8"/>
        <v>7.3391915641476277E-2</v>
      </c>
      <c r="AE32" s="26">
        <f t="shared" si="8"/>
        <v>0.69082601054481552</v>
      </c>
      <c r="AF32" s="40">
        <f t="shared" si="8"/>
        <v>5.9613356766256592E-2</v>
      </c>
      <c r="AG32" s="26">
        <f t="shared" si="8"/>
        <v>0.75043936731107208</v>
      </c>
      <c r="AH32" s="40">
        <f t="shared" si="8"/>
        <v>5.9613356766256592E-2</v>
      </c>
      <c r="AI32" s="26">
        <f t="shared" si="8"/>
        <v>0.81005272407732865</v>
      </c>
      <c r="AJ32" s="27"/>
      <c r="AK32" s="111"/>
      <c r="AL32" s="96"/>
      <c r="AM32" s="114"/>
    </row>
    <row r="33" spans="1:39" s="5" customFormat="1" ht="23.1" customHeight="1" thickBot="1">
      <c r="A33" s="177"/>
      <c r="B33" s="201"/>
      <c r="C33" s="204"/>
      <c r="D33" s="265"/>
      <c r="E33" s="102"/>
      <c r="F33" s="99"/>
      <c r="G33" s="99"/>
      <c r="H33" s="102"/>
      <c r="I33" s="104"/>
      <c r="J33" s="107"/>
      <c r="K33" s="94"/>
      <c r="L33" s="28" t="s">
        <v>60</v>
      </c>
      <c r="M33" s="28" t="s">
        <v>60</v>
      </c>
      <c r="N33" s="28" t="s">
        <v>60</v>
      </c>
      <c r="O33" s="29" t="s">
        <v>60</v>
      </c>
      <c r="P33" s="28" t="s">
        <v>60</v>
      </c>
      <c r="Q33" s="29" t="s">
        <v>60</v>
      </c>
      <c r="R33" s="28" t="s">
        <v>60</v>
      </c>
      <c r="S33" s="29" t="s">
        <v>60</v>
      </c>
      <c r="T33" s="28" t="s">
        <v>60</v>
      </c>
      <c r="U33" s="29" t="s">
        <v>60</v>
      </c>
      <c r="V33" s="28" t="s">
        <v>60</v>
      </c>
      <c r="W33" s="29" t="s">
        <v>60</v>
      </c>
      <c r="X33" s="28" t="s">
        <v>60</v>
      </c>
      <c r="Y33" s="29" t="s">
        <v>60</v>
      </c>
      <c r="Z33" s="28" t="s">
        <v>60</v>
      </c>
      <c r="AA33" s="29" t="s">
        <v>60</v>
      </c>
      <c r="AB33" s="28" t="s">
        <v>60</v>
      </c>
      <c r="AC33" s="29" t="s">
        <v>60</v>
      </c>
      <c r="AD33" s="28" t="s">
        <v>60</v>
      </c>
      <c r="AE33" s="29" t="s">
        <v>60</v>
      </c>
      <c r="AF33" s="28" t="s">
        <v>60</v>
      </c>
      <c r="AG33" s="29" t="s">
        <v>60</v>
      </c>
      <c r="AH33" s="28" t="s">
        <v>60</v>
      </c>
      <c r="AI33" s="29" t="s">
        <v>60</v>
      </c>
      <c r="AJ33" s="27"/>
      <c r="AK33" s="111"/>
      <c r="AL33" s="96"/>
      <c r="AM33" s="114"/>
    </row>
    <row r="34" spans="1:39" s="5" customFormat="1" ht="23.1" customHeight="1" thickTop="1">
      <c r="A34" s="177"/>
      <c r="B34" s="201"/>
      <c r="C34" s="204"/>
      <c r="D34" s="265"/>
      <c r="E34" s="102"/>
      <c r="F34" s="99"/>
      <c r="G34" s="99"/>
      <c r="H34" s="102"/>
      <c r="I34" s="104"/>
      <c r="J34" s="107"/>
      <c r="K34" s="92" t="s">
        <v>90</v>
      </c>
      <c r="L34" s="30">
        <v>11523</v>
      </c>
      <c r="M34" s="31">
        <v>1191</v>
      </c>
      <c r="N34" s="31">
        <v>852</v>
      </c>
      <c r="O34" s="32">
        <f t="shared" ref="O34" si="9">+M34+N34</f>
        <v>2043</v>
      </c>
      <c r="P34" s="31">
        <v>962</v>
      </c>
      <c r="Q34" s="32">
        <f t="shared" ref="Q34" si="10">+O34+P34</f>
        <v>3005</v>
      </c>
      <c r="R34" s="31">
        <v>1038</v>
      </c>
      <c r="S34" s="32">
        <f t="shared" ref="S34" si="11">+Q34+R34</f>
        <v>4043</v>
      </c>
      <c r="T34" s="31">
        <v>819</v>
      </c>
      <c r="U34" s="32">
        <f t="shared" ref="U34" si="12">+S34+T34</f>
        <v>4862</v>
      </c>
      <c r="V34" s="31">
        <v>829</v>
      </c>
      <c r="W34" s="32">
        <f t="shared" ref="W34" si="13">+U34+V34</f>
        <v>5691</v>
      </c>
      <c r="X34" s="31">
        <v>1219</v>
      </c>
      <c r="Y34" s="32">
        <f t="shared" ref="Y34" si="14">+W34+X34</f>
        <v>6910</v>
      </c>
      <c r="Z34" s="31">
        <v>929</v>
      </c>
      <c r="AA34" s="32">
        <f t="shared" ref="AA34" si="15">+Y34+Z34</f>
        <v>7839</v>
      </c>
      <c r="AB34" s="31">
        <v>944</v>
      </c>
      <c r="AC34" s="32">
        <f t="shared" ref="AC34" si="16">+AA34+AB34</f>
        <v>8783</v>
      </c>
      <c r="AD34" s="31">
        <v>1044</v>
      </c>
      <c r="AE34" s="32">
        <f t="shared" ref="AE34" si="17">+AC34+AD34</f>
        <v>9827</v>
      </c>
      <c r="AF34" s="31">
        <v>848</v>
      </c>
      <c r="AG34" s="32">
        <f t="shared" ref="AG34" si="18">+AE34+AF34</f>
        <v>10675</v>
      </c>
      <c r="AH34" s="31">
        <v>848</v>
      </c>
      <c r="AI34" s="32">
        <f t="shared" ref="AI34" si="19">+AG34+AH34</f>
        <v>11523</v>
      </c>
      <c r="AJ34" s="33">
        <f>+AI32/L32</f>
        <v>1</v>
      </c>
      <c r="AK34" s="111"/>
      <c r="AL34" s="96"/>
      <c r="AM34" s="114"/>
    </row>
    <row r="35" spans="1:39" s="5" customFormat="1" ht="23.1" customHeight="1">
      <c r="A35" s="177"/>
      <c r="B35" s="201"/>
      <c r="C35" s="204"/>
      <c r="D35" s="265"/>
      <c r="E35" s="102"/>
      <c r="F35" s="99"/>
      <c r="G35" s="99"/>
      <c r="H35" s="102"/>
      <c r="I35" s="104"/>
      <c r="J35" s="107"/>
      <c r="K35" s="93"/>
      <c r="L35" s="34" t="s">
        <v>62</v>
      </c>
      <c r="M35" s="34" t="s">
        <v>62</v>
      </c>
      <c r="N35" s="34" t="s">
        <v>62</v>
      </c>
      <c r="O35" s="35" t="s">
        <v>62</v>
      </c>
      <c r="P35" s="34" t="s">
        <v>62</v>
      </c>
      <c r="Q35" s="35" t="s">
        <v>62</v>
      </c>
      <c r="R35" s="34" t="s">
        <v>62</v>
      </c>
      <c r="S35" s="35" t="s">
        <v>62</v>
      </c>
      <c r="T35" s="34" t="s">
        <v>62</v>
      </c>
      <c r="U35" s="35" t="s">
        <v>62</v>
      </c>
      <c r="V35" s="34" t="s">
        <v>62</v>
      </c>
      <c r="W35" s="35" t="s">
        <v>62</v>
      </c>
      <c r="X35" s="34" t="s">
        <v>62</v>
      </c>
      <c r="Y35" s="35" t="s">
        <v>62</v>
      </c>
      <c r="Z35" s="34" t="s">
        <v>62</v>
      </c>
      <c r="AA35" s="35" t="s">
        <v>62</v>
      </c>
      <c r="AB35" s="34" t="s">
        <v>62</v>
      </c>
      <c r="AC35" s="35" t="s">
        <v>62</v>
      </c>
      <c r="AD35" s="34" t="s">
        <v>62</v>
      </c>
      <c r="AE35" s="35" t="s">
        <v>62</v>
      </c>
      <c r="AF35" s="34" t="s">
        <v>62</v>
      </c>
      <c r="AG35" s="35" t="s">
        <v>62</v>
      </c>
      <c r="AH35" s="34" t="s">
        <v>62</v>
      </c>
      <c r="AI35" s="35" t="s">
        <v>62</v>
      </c>
      <c r="AJ35" s="27"/>
      <c r="AK35" s="111"/>
      <c r="AL35" s="96"/>
      <c r="AM35" s="114"/>
    </row>
    <row r="36" spans="1:39" s="5" customFormat="1" ht="23.1" customHeight="1" thickBot="1">
      <c r="A36" s="178"/>
      <c r="B36" s="202"/>
      <c r="C36" s="205"/>
      <c r="D36" s="266"/>
      <c r="E36" s="102"/>
      <c r="F36" s="100"/>
      <c r="G36" s="100"/>
      <c r="H36" s="102"/>
      <c r="I36" s="105"/>
      <c r="J36" s="108"/>
      <c r="K36" s="94"/>
      <c r="L36" s="30">
        <v>14225</v>
      </c>
      <c r="M36" s="37">
        <v>14225</v>
      </c>
      <c r="N36" s="37">
        <v>14225</v>
      </c>
      <c r="O36" s="38">
        <f>N36</f>
        <v>14225</v>
      </c>
      <c r="P36" s="37">
        <v>14225</v>
      </c>
      <c r="Q36" s="38">
        <f>P36</f>
        <v>14225</v>
      </c>
      <c r="R36" s="37">
        <v>14225</v>
      </c>
      <c r="S36" s="38">
        <f>R36</f>
        <v>14225</v>
      </c>
      <c r="T36" s="37">
        <v>14225</v>
      </c>
      <c r="U36" s="38">
        <f>T36</f>
        <v>14225</v>
      </c>
      <c r="V36" s="37">
        <v>14225</v>
      </c>
      <c r="W36" s="38">
        <f>V36</f>
        <v>14225</v>
      </c>
      <c r="X36" s="37">
        <v>14225</v>
      </c>
      <c r="Y36" s="38">
        <f>X36</f>
        <v>14225</v>
      </c>
      <c r="Z36" s="37">
        <v>14225</v>
      </c>
      <c r="AA36" s="38">
        <f>Z36</f>
        <v>14225</v>
      </c>
      <c r="AB36" s="37">
        <v>14225</v>
      </c>
      <c r="AC36" s="38">
        <f>AB36</f>
        <v>14225</v>
      </c>
      <c r="AD36" s="37">
        <v>14225</v>
      </c>
      <c r="AE36" s="38">
        <f>AD36</f>
        <v>14225</v>
      </c>
      <c r="AF36" s="37">
        <v>14225</v>
      </c>
      <c r="AG36" s="38">
        <f>AF36</f>
        <v>14225</v>
      </c>
      <c r="AH36" s="37">
        <v>14225</v>
      </c>
      <c r="AI36" s="38">
        <f>AH36</f>
        <v>14225</v>
      </c>
      <c r="AJ36" s="39"/>
      <c r="AK36" s="112"/>
      <c r="AL36" s="97"/>
      <c r="AM36" s="115"/>
    </row>
    <row r="37" spans="1:39" s="5" customFormat="1" ht="23.1" customHeight="1" thickTop="1">
      <c r="A37" s="191" t="s">
        <v>92</v>
      </c>
      <c r="B37" s="188" t="s">
        <v>93</v>
      </c>
      <c r="C37" s="172" t="s">
        <v>94</v>
      </c>
      <c r="D37" s="175" t="s">
        <v>95</v>
      </c>
      <c r="E37" s="125" t="s">
        <v>96</v>
      </c>
      <c r="F37" s="125" t="s">
        <v>97</v>
      </c>
      <c r="G37" s="125" t="s">
        <v>98</v>
      </c>
      <c r="H37" s="125" t="s">
        <v>99</v>
      </c>
      <c r="I37" s="149">
        <v>0.9</v>
      </c>
      <c r="J37" s="152">
        <v>0.2</v>
      </c>
      <c r="K37" s="146" t="s">
        <v>100</v>
      </c>
      <c r="L37" s="23" t="s">
        <v>57</v>
      </c>
      <c r="M37" s="23" t="s">
        <v>57</v>
      </c>
      <c r="N37" s="23" t="s">
        <v>57</v>
      </c>
      <c r="O37" s="24" t="s">
        <v>57</v>
      </c>
      <c r="P37" s="23" t="s">
        <v>57</v>
      </c>
      <c r="Q37" s="24" t="s">
        <v>57</v>
      </c>
      <c r="R37" s="23" t="s">
        <v>57</v>
      </c>
      <c r="S37" s="24" t="s">
        <v>57</v>
      </c>
      <c r="T37" s="23" t="s">
        <v>57</v>
      </c>
      <c r="U37" s="24" t="s">
        <v>57</v>
      </c>
      <c r="V37" s="23" t="s">
        <v>57</v>
      </c>
      <c r="W37" s="24" t="s">
        <v>57</v>
      </c>
      <c r="X37" s="23" t="s">
        <v>57</v>
      </c>
      <c r="Y37" s="24" t="s">
        <v>57</v>
      </c>
      <c r="Z37" s="23" t="s">
        <v>57</v>
      </c>
      <c r="AA37" s="24" t="s">
        <v>57</v>
      </c>
      <c r="AB37" s="23" t="s">
        <v>57</v>
      </c>
      <c r="AC37" s="24" t="s">
        <v>57</v>
      </c>
      <c r="AD37" s="23" t="s">
        <v>57</v>
      </c>
      <c r="AE37" s="24" t="s">
        <v>57</v>
      </c>
      <c r="AF37" s="23" t="s">
        <v>57</v>
      </c>
      <c r="AG37" s="24" t="s">
        <v>57</v>
      </c>
      <c r="AH37" s="23" t="s">
        <v>57</v>
      </c>
      <c r="AI37" s="24" t="s">
        <v>57</v>
      </c>
      <c r="AJ37" s="25"/>
      <c r="AK37" s="116" t="s">
        <v>101</v>
      </c>
      <c r="AL37" s="142"/>
      <c r="AM37" s="113" t="s">
        <v>73</v>
      </c>
    </row>
    <row r="38" spans="1:39" s="5" customFormat="1" ht="23.1" customHeight="1">
      <c r="A38" s="192"/>
      <c r="B38" s="189" t="s">
        <v>102</v>
      </c>
      <c r="C38" s="173"/>
      <c r="D38" s="267"/>
      <c r="E38" s="268"/>
      <c r="F38" s="126"/>
      <c r="G38" s="126"/>
      <c r="H38" s="126"/>
      <c r="I38" s="150"/>
      <c r="J38" s="153"/>
      <c r="K38" s="147"/>
      <c r="L38" s="43">
        <f>IF(L40&lt;&gt;0,+L40/L42,0%)</f>
        <v>1</v>
      </c>
      <c r="M38" s="40">
        <f>IF(M40&lt;&gt;0,+M40/M42,0%)</f>
        <v>0</v>
      </c>
      <c r="N38" s="40">
        <f>IF(N40&lt;&gt;0,+N40/N42,0%)</f>
        <v>0</v>
      </c>
      <c r="O38" s="26">
        <f t="shared" ref="O38" si="20">IF(O40&lt;&gt;0,+O40/O42,0%)</f>
        <v>0</v>
      </c>
      <c r="P38" s="40">
        <f>IF(P40&lt;&gt;0,+P40/P42,0%)</f>
        <v>0</v>
      </c>
      <c r="Q38" s="26">
        <f t="shared" ref="Q38" si="21">IF(Q40&lt;&gt;0,+Q40/Q42,0%)</f>
        <v>0</v>
      </c>
      <c r="R38" s="40">
        <f>IF(R40&lt;&gt;0,+R40/R42,0%)</f>
        <v>0</v>
      </c>
      <c r="S38" s="26">
        <f t="shared" ref="S38" si="22">IF(S40&lt;&gt;0,+S40/S42,0%)</f>
        <v>0</v>
      </c>
      <c r="T38" s="40">
        <f>IF(T40&lt;&gt;0,+T40/T42,0%)</f>
        <v>1</v>
      </c>
      <c r="U38" s="26">
        <f t="shared" ref="U38" si="23">IF(U40&lt;&gt;0,+U40/U42,0%)</f>
        <v>1</v>
      </c>
      <c r="V38" s="40">
        <f>IF(V40&lt;&gt;0,+V40/V42,0%)</f>
        <v>0</v>
      </c>
      <c r="W38" s="26">
        <f t="shared" ref="W38" si="24">IF(W40&lt;&gt;0,+W40/W42,0%)</f>
        <v>1</v>
      </c>
      <c r="X38" s="40">
        <f>IF(X40&lt;&gt;0,+X40/X42,0%)</f>
        <v>0</v>
      </c>
      <c r="Y38" s="26">
        <f t="shared" ref="Y38" si="25">IF(Y40&lt;&gt;0,+Y40/Y42,0%)</f>
        <v>1</v>
      </c>
      <c r="Z38" s="40">
        <f>IF(Z40&lt;&gt;0,+Z40/Z42,0%)</f>
        <v>0</v>
      </c>
      <c r="AA38" s="26">
        <f t="shared" ref="AA38" si="26">IF(AA40&lt;&gt;0,+AA40/AA42,0%)</f>
        <v>1</v>
      </c>
      <c r="AB38" s="40">
        <f>IF(AB40&lt;&gt;0,+AB40/AB42,0%)</f>
        <v>0</v>
      </c>
      <c r="AC38" s="26">
        <f t="shared" ref="AC38" si="27">IF(AC40&lt;&gt;0,+AC40/AC42,0%)</f>
        <v>1</v>
      </c>
      <c r="AD38" s="40">
        <f>IF(AD40&lt;&gt;0,+AD40/AD42,0%)</f>
        <v>0</v>
      </c>
      <c r="AE38" s="26">
        <f t="shared" ref="AE38" si="28">IF(AE40&lt;&gt;0,+AE40/AE42,0%)</f>
        <v>1</v>
      </c>
      <c r="AF38" s="40">
        <f>IF(AF40&lt;&gt;0,+AF40/AF42,0%)</f>
        <v>0</v>
      </c>
      <c r="AG38" s="26">
        <f t="shared" ref="AG38" si="29">IF(AG40&lt;&gt;0,+AG40/AG42,0%)</f>
        <v>1</v>
      </c>
      <c r="AH38" s="40">
        <f>IF(AH40&lt;&gt;0,+AH40/AH42,0%)</f>
        <v>0</v>
      </c>
      <c r="AI38" s="26">
        <f t="shared" ref="AI38" si="30">IF(AI40&lt;&gt;0,+AI40/AI42,0%)</f>
        <v>1</v>
      </c>
      <c r="AJ38" s="27"/>
      <c r="AK38" s="117"/>
      <c r="AL38" s="96"/>
      <c r="AM38" s="114"/>
    </row>
    <row r="39" spans="1:39" s="5" customFormat="1" ht="23.1" customHeight="1" thickBot="1">
      <c r="A39" s="192"/>
      <c r="B39" s="189" t="s">
        <v>103</v>
      </c>
      <c r="C39" s="173"/>
      <c r="D39" s="267"/>
      <c r="E39" s="268"/>
      <c r="F39" s="126"/>
      <c r="G39" s="126"/>
      <c r="H39" s="126"/>
      <c r="I39" s="150"/>
      <c r="J39" s="153"/>
      <c r="K39" s="148"/>
      <c r="L39" s="28" t="s">
        <v>60</v>
      </c>
      <c r="M39" s="28" t="s">
        <v>60</v>
      </c>
      <c r="N39" s="28" t="s">
        <v>60</v>
      </c>
      <c r="O39" s="29" t="s">
        <v>60</v>
      </c>
      <c r="P39" s="28" t="s">
        <v>60</v>
      </c>
      <c r="Q39" s="29" t="s">
        <v>60</v>
      </c>
      <c r="R39" s="28" t="s">
        <v>60</v>
      </c>
      <c r="S39" s="29" t="s">
        <v>60</v>
      </c>
      <c r="T39" s="28" t="s">
        <v>60</v>
      </c>
      <c r="U39" s="29" t="s">
        <v>60</v>
      </c>
      <c r="V39" s="28" t="s">
        <v>60</v>
      </c>
      <c r="W39" s="29" t="s">
        <v>60</v>
      </c>
      <c r="X39" s="28" t="s">
        <v>60</v>
      </c>
      <c r="Y39" s="29" t="s">
        <v>60</v>
      </c>
      <c r="Z39" s="28" t="s">
        <v>60</v>
      </c>
      <c r="AA39" s="29" t="s">
        <v>60</v>
      </c>
      <c r="AB39" s="28" t="s">
        <v>60</v>
      </c>
      <c r="AC39" s="29" t="s">
        <v>60</v>
      </c>
      <c r="AD39" s="28" t="s">
        <v>60</v>
      </c>
      <c r="AE39" s="29" t="s">
        <v>60</v>
      </c>
      <c r="AF39" s="28" t="s">
        <v>60</v>
      </c>
      <c r="AG39" s="29" t="s">
        <v>60</v>
      </c>
      <c r="AH39" s="28" t="s">
        <v>60</v>
      </c>
      <c r="AI39" s="29" t="s">
        <v>60</v>
      </c>
      <c r="AJ39" s="27"/>
      <c r="AK39" s="117"/>
      <c r="AL39" s="96"/>
      <c r="AM39" s="114"/>
    </row>
    <row r="40" spans="1:39" s="5" customFormat="1" ht="23.1" customHeight="1" thickTop="1">
      <c r="A40" s="192"/>
      <c r="B40" s="189"/>
      <c r="C40" s="173"/>
      <c r="D40" s="267"/>
      <c r="E40" s="268"/>
      <c r="F40" s="126"/>
      <c r="G40" s="126"/>
      <c r="H40" s="126"/>
      <c r="I40" s="150"/>
      <c r="J40" s="153"/>
      <c r="K40" s="146" t="s">
        <v>104</v>
      </c>
      <c r="L40" s="30">
        <v>1</v>
      </c>
      <c r="M40" s="31">
        <v>0</v>
      </c>
      <c r="N40" s="31">
        <v>0</v>
      </c>
      <c r="O40" s="32">
        <f t="shared" ref="O40" si="31">+M40+N40</f>
        <v>0</v>
      </c>
      <c r="P40" s="31">
        <v>0</v>
      </c>
      <c r="Q40" s="32">
        <f t="shared" ref="Q40" si="32">+O40+P40</f>
        <v>0</v>
      </c>
      <c r="R40" s="31">
        <v>0</v>
      </c>
      <c r="S40" s="32">
        <f t="shared" ref="S40" si="33">+Q40+R40</f>
        <v>0</v>
      </c>
      <c r="T40" s="31">
        <v>1</v>
      </c>
      <c r="U40" s="32">
        <f t="shared" ref="U40:W40" si="34">+S40+T40</f>
        <v>1</v>
      </c>
      <c r="V40" s="31">
        <v>0</v>
      </c>
      <c r="W40" s="32">
        <f t="shared" si="34"/>
        <v>1</v>
      </c>
      <c r="X40" s="31">
        <v>0</v>
      </c>
      <c r="Y40" s="32">
        <f t="shared" ref="Y40" si="35">+W40+X40</f>
        <v>1</v>
      </c>
      <c r="Z40" s="31">
        <v>0</v>
      </c>
      <c r="AA40" s="32">
        <f t="shared" ref="AA40" si="36">+Y40+Z40</f>
        <v>1</v>
      </c>
      <c r="AB40" s="31">
        <v>0</v>
      </c>
      <c r="AC40" s="32">
        <f t="shared" ref="AC40" si="37">+AA40+AB40</f>
        <v>1</v>
      </c>
      <c r="AD40" s="31">
        <v>0</v>
      </c>
      <c r="AE40" s="32">
        <f t="shared" ref="AE40" si="38">+AC40+AD40</f>
        <v>1</v>
      </c>
      <c r="AF40" s="31">
        <v>0</v>
      </c>
      <c r="AG40" s="32">
        <f t="shared" ref="AG40" si="39">+AE40+AF40</f>
        <v>1</v>
      </c>
      <c r="AH40" s="79"/>
      <c r="AI40" s="80">
        <f>+AG40+AH40</f>
        <v>1</v>
      </c>
      <c r="AJ40" s="33">
        <f>+AI38/L38</f>
        <v>1</v>
      </c>
      <c r="AK40" s="117"/>
      <c r="AL40" s="96"/>
      <c r="AM40" s="114"/>
    </row>
    <row r="41" spans="1:39" s="5" customFormat="1" ht="23.1" customHeight="1">
      <c r="A41" s="192"/>
      <c r="B41" s="189"/>
      <c r="C41" s="173"/>
      <c r="D41" s="267"/>
      <c r="E41" s="268"/>
      <c r="F41" s="126"/>
      <c r="G41" s="126"/>
      <c r="H41" s="126"/>
      <c r="I41" s="150"/>
      <c r="J41" s="153"/>
      <c r="K41" s="147"/>
      <c r="L41" s="34" t="s">
        <v>62</v>
      </c>
      <c r="M41" s="34" t="s">
        <v>62</v>
      </c>
      <c r="N41" s="34" t="s">
        <v>62</v>
      </c>
      <c r="O41" s="35" t="s">
        <v>62</v>
      </c>
      <c r="P41" s="34" t="s">
        <v>62</v>
      </c>
      <c r="Q41" s="35" t="s">
        <v>62</v>
      </c>
      <c r="R41" s="34" t="s">
        <v>62</v>
      </c>
      <c r="S41" s="35" t="s">
        <v>62</v>
      </c>
      <c r="T41" s="34" t="s">
        <v>62</v>
      </c>
      <c r="U41" s="35" t="s">
        <v>62</v>
      </c>
      <c r="V41" s="34" t="s">
        <v>62</v>
      </c>
      <c r="W41" s="35" t="s">
        <v>62</v>
      </c>
      <c r="X41" s="34" t="s">
        <v>62</v>
      </c>
      <c r="Y41" s="35" t="s">
        <v>62</v>
      </c>
      <c r="Z41" s="34" t="s">
        <v>62</v>
      </c>
      <c r="AA41" s="35" t="s">
        <v>62</v>
      </c>
      <c r="AB41" s="34" t="s">
        <v>62</v>
      </c>
      <c r="AC41" s="35" t="s">
        <v>62</v>
      </c>
      <c r="AD41" s="34" t="s">
        <v>62</v>
      </c>
      <c r="AE41" s="35" t="s">
        <v>62</v>
      </c>
      <c r="AF41" s="34" t="s">
        <v>62</v>
      </c>
      <c r="AG41" s="35" t="s">
        <v>62</v>
      </c>
      <c r="AH41" s="34" t="s">
        <v>62</v>
      </c>
      <c r="AI41" s="35" t="s">
        <v>62</v>
      </c>
      <c r="AJ41" s="27"/>
      <c r="AK41" s="117"/>
      <c r="AL41" s="96"/>
      <c r="AM41" s="114"/>
    </row>
    <row r="42" spans="1:39" s="5" customFormat="1" ht="23.1" customHeight="1" thickBot="1">
      <c r="A42" s="193"/>
      <c r="B42" s="190"/>
      <c r="C42" s="174"/>
      <c r="D42" s="269"/>
      <c r="E42" s="270"/>
      <c r="F42" s="127"/>
      <c r="G42" s="127"/>
      <c r="H42" s="127"/>
      <c r="I42" s="151"/>
      <c r="J42" s="154"/>
      <c r="K42" s="148"/>
      <c r="L42" s="30">
        <v>1</v>
      </c>
      <c r="M42" s="37">
        <v>1</v>
      </c>
      <c r="N42" s="37">
        <v>1</v>
      </c>
      <c r="O42" s="77">
        <v>1</v>
      </c>
      <c r="P42" s="76">
        <v>1</v>
      </c>
      <c r="Q42" s="77">
        <v>1</v>
      </c>
      <c r="R42" s="76">
        <v>1</v>
      </c>
      <c r="S42" s="77">
        <v>1</v>
      </c>
      <c r="T42" s="76">
        <v>1</v>
      </c>
      <c r="U42" s="77">
        <v>1</v>
      </c>
      <c r="V42" s="76">
        <v>1</v>
      </c>
      <c r="W42" s="77">
        <v>1</v>
      </c>
      <c r="X42" s="76">
        <v>1</v>
      </c>
      <c r="Y42" s="77">
        <v>1</v>
      </c>
      <c r="Z42" s="76">
        <v>1</v>
      </c>
      <c r="AA42" s="77">
        <v>1</v>
      </c>
      <c r="AB42" s="76">
        <v>1</v>
      </c>
      <c r="AC42" s="77">
        <v>1</v>
      </c>
      <c r="AD42" s="76">
        <v>1</v>
      </c>
      <c r="AE42" s="77">
        <v>1</v>
      </c>
      <c r="AF42" s="76">
        <v>1</v>
      </c>
      <c r="AG42" s="77">
        <v>1</v>
      </c>
      <c r="AH42" s="76">
        <v>1</v>
      </c>
      <c r="AI42" s="77">
        <v>1</v>
      </c>
      <c r="AJ42" s="39"/>
      <c r="AK42" s="118"/>
      <c r="AL42" s="97"/>
      <c r="AM42" s="115"/>
    </row>
    <row r="43" spans="1:39" s="5" customFormat="1" ht="11.1" thickTop="1">
      <c r="A43" s="41"/>
      <c r="B43" s="41"/>
      <c r="C43" s="41"/>
      <c r="D43" s="41"/>
      <c r="E43" s="41"/>
      <c r="F43" s="41"/>
      <c r="G43" s="41"/>
      <c r="H43" s="41"/>
      <c r="I43" s="41"/>
      <c r="J43" s="42">
        <f>SUM(J13:J42)</f>
        <v>1</v>
      </c>
      <c r="K43" s="41"/>
      <c r="L43" s="41"/>
      <c r="M43" s="41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41"/>
      <c r="AM43" s="41"/>
    </row>
    <row r="44" spans="1:39" s="5" customFormat="1" ht="10.5">
      <c r="A44" s="61"/>
      <c r="B44" s="41"/>
      <c r="C44" s="41"/>
      <c r="D44" s="41"/>
      <c r="E44" s="41"/>
      <c r="F44" s="41"/>
      <c r="G44" s="41"/>
      <c r="H44" s="41"/>
      <c r="I44" s="41"/>
      <c r="K44" s="41"/>
      <c r="L44" s="41"/>
      <c r="M44" s="41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41"/>
      <c r="AM44" s="41"/>
    </row>
    <row r="45" spans="1:39" ht="15.6">
      <c r="A45" s="48"/>
      <c r="B45" s="48"/>
      <c r="C45" s="48"/>
      <c r="D45" s="48"/>
      <c r="E45" s="17"/>
      <c r="F45" s="11"/>
      <c r="G45" s="11"/>
      <c r="H45" s="11"/>
      <c r="I45" s="11"/>
      <c r="J45" s="11"/>
      <c r="K45" s="11"/>
      <c r="L45" s="11"/>
      <c r="M45" s="11"/>
      <c r="N45" s="10"/>
      <c r="O45" s="10"/>
      <c r="P45" s="10"/>
      <c r="Q45" s="10"/>
      <c r="R45" s="19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22"/>
      <c r="AM45" s="22"/>
    </row>
    <row r="46" spans="1:39">
      <c r="A46" s="244"/>
      <c r="B46" s="244"/>
      <c r="C46" s="244"/>
      <c r="D46" s="244"/>
      <c r="E46" s="245"/>
      <c r="F46" s="245"/>
      <c r="G46" s="245"/>
      <c r="H46" s="245"/>
      <c r="I46" s="245"/>
      <c r="J46" s="245"/>
      <c r="K46" s="244"/>
      <c r="L46" s="244"/>
      <c r="M46" s="244"/>
      <c r="N46" s="244"/>
      <c r="O46" s="244"/>
      <c r="P46" s="244"/>
      <c r="Q46" s="244"/>
      <c r="R46" s="244"/>
      <c r="S46" s="244"/>
      <c r="T46" s="244"/>
      <c r="U46" s="244"/>
      <c r="V46" s="244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4"/>
      <c r="AH46" s="244"/>
      <c r="AI46" s="245"/>
      <c r="AJ46" s="244"/>
      <c r="AK46" s="244"/>
      <c r="AL46" s="245"/>
      <c r="AM46" s="244"/>
    </row>
    <row r="47" spans="1:39" ht="47.25" customHeight="1">
      <c r="A47" s="244"/>
      <c r="B47" s="244"/>
      <c r="C47" s="244"/>
      <c r="D47" s="244"/>
      <c r="E47" s="245"/>
      <c r="F47" s="245"/>
      <c r="G47" s="245"/>
      <c r="H47" s="245"/>
      <c r="I47" s="245"/>
      <c r="J47" s="245"/>
      <c r="K47" s="244"/>
      <c r="L47" s="247"/>
      <c r="M47" s="244"/>
      <c r="N47" s="244"/>
      <c r="O47" s="244"/>
      <c r="P47" s="244"/>
      <c r="Q47" s="244"/>
      <c r="R47" s="244"/>
      <c r="S47" s="246"/>
      <c r="T47" s="244"/>
      <c r="U47" s="246"/>
      <c r="V47" s="246"/>
      <c r="W47" s="246"/>
      <c r="X47" s="246"/>
      <c r="Y47" s="244"/>
      <c r="Z47" s="246"/>
      <c r="AA47" s="246"/>
      <c r="AB47" s="246"/>
      <c r="AC47" s="246"/>
      <c r="AD47" s="246"/>
      <c r="AE47" s="246"/>
      <c r="AF47" s="246"/>
      <c r="AG47" s="246"/>
      <c r="AH47" s="244"/>
      <c r="AI47" s="245"/>
      <c r="AJ47" s="244"/>
      <c r="AK47" s="244"/>
      <c r="AL47" s="245"/>
      <c r="AM47" s="244"/>
    </row>
    <row r="48" spans="1:39" ht="18.75" customHeight="1">
      <c r="A48" s="248"/>
      <c r="B48" s="250"/>
      <c r="C48" s="250"/>
      <c r="D48" s="247"/>
      <c r="E48" s="253"/>
      <c r="F48" s="253"/>
      <c r="G48" s="254"/>
      <c r="H48" s="254"/>
      <c r="I48" s="259"/>
      <c r="J48" s="260"/>
      <c r="K48" s="257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5"/>
      <c r="AK48" s="261"/>
      <c r="AL48" s="261"/>
      <c r="AM48" s="255"/>
    </row>
    <row r="49" spans="1:39" ht="18.75" customHeight="1">
      <c r="A49" s="249"/>
      <c r="B49" s="251"/>
      <c r="C49" s="252"/>
      <c r="D49" s="244"/>
      <c r="E49" s="254"/>
      <c r="F49" s="254"/>
      <c r="G49" s="258"/>
      <c r="H49" s="258"/>
      <c r="I49" s="259"/>
      <c r="J49" s="260"/>
      <c r="K49" s="257"/>
      <c r="L49" s="49"/>
      <c r="M49" s="50"/>
      <c r="N49" s="50"/>
      <c r="O49" s="51"/>
      <c r="P49" s="50"/>
      <c r="Q49" s="52"/>
      <c r="R49" s="50"/>
      <c r="S49" s="52"/>
      <c r="T49" s="50"/>
      <c r="U49" s="52"/>
      <c r="V49" s="50"/>
      <c r="W49" s="52"/>
      <c r="X49" s="50"/>
      <c r="Y49" s="52"/>
      <c r="Z49" s="50"/>
      <c r="AA49" s="52"/>
      <c r="AB49" s="50"/>
      <c r="AC49" s="52"/>
      <c r="AD49" s="50"/>
      <c r="AE49" s="52"/>
      <c r="AF49" s="50"/>
      <c r="AG49" s="52"/>
      <c r="AH49" s="50"/>
      <c r="AI49" s="45"/>
      <c r="AJ49" s="45"/>
      <c r="AK49" s="261"/>
      <c r="AL49" s="261"/>
      <c r="AM49" s="256"/>
    </row>
    <row r="50" spans="1:39" ht="18.75" customHeight="1">
      <c r="A50" s="249"/>
      <c r="B50" s="251"/>
      <c r="C50" s="252"/>
      <c r="D50" s="244"/>
      <c r="E50" s="254"/>
      <c r="F50" s="254"/>
      <c r="G50" s="258"/>
      <c r="H50" s="258"/>
      <c r="I50" s="259"/>
      <c r="J50" s="260"/>
      <c r="K50" s="257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5"/>
      <c r="AK50" s="261"/>
      <c r="AL50" s="261"/>
      <c r="AM50" s="256"/>
    </row>
    <row r="51" spans="1:39" ht="18.75" customHeight="1">
      <c r="A51" s="249"/>
      <c r="B51" s="251"/>
      <c r="C51" s="252"/>
      <c r="D51" s="244"/>
      <c r="E51" s="254"/>
      <c r="F51" s="254"/>
      <c r="G51" s="258"/>
      <c r="H51" s="258"/>
      <c r="I51" s="259"/>
      <c r="J51" s="260"/>
      <c r="K51" s="257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46"/>
      <c r="AK51" s="261"/>
      <c r="AL51" s="261"/>
      <c r="AM51" s="256"/>
    </row>
    <row r="52" spans="1:39" ht="18.75" customHeight="1">
      <c r="A52" s="249"/>
      <c r="B52" s="251"/>
      <c r="C52" s="252"/>
      <c r="D52" s="244"/>
      <c r="E52" s="254"/>
      <c r="F52" s="254"/>
      <c r="G52" s="258"/>
      <c r="H52" s="258"/>
      <c r="I52" s="259"/>
      <c r="J52" s="260"/>
      <c r="K52" s="25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5"/>
      <c r="AK52" s="261"/>
      <c r="AL52" s="261"/>
      <c r="AM52" s="256"/>
    </row>
    <row r="53" spans="1:39" ht="18.75" customHeight="1">
      <c r="A53" s="249"/>
      <c r="B53" s="251"/>
      <c r="C53" s="252"/>
      <c r="D53" s="244"/>
      <c r="E53" s="254"/>
      <c r="F53" s="254"/>
      <c r="G53" s="258"/>
      <c r="H53" s="258"/>
      <c r="I53" s="259"/>
      <c r="J53" s="260"/>
      <c r="K53" s="257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45"/>
      <c r="AK53" s="261"/>
      <c r="AL53" s="261"/>
      <c r="AM53" s="256"/>
    </row>
    <row r="54" spans="1:39">
      <c r="A54" s="16"/>
      <c r="B54" s="16"/>
      <c r="C54" s="16"/>
      <c r="D54" s="16"/>
      <c r="E54" s="16"/>
      <c r="F54" s="16"/>
      <c r="I54" s="5"/>
      <c r="J54" s="5"/>
      <c r="K54" s="5"/>
      <c r="AM54" s="5"/>
    </row>
    <row r="55" spans="1:39">
      <c r="I55" s="5"/>
      <c r="J55" s="5"/>
      <c r="K55" s="5"/>
      <c r="AM55" s="5"/>
    </row>
    <row r="56" spans="1:39">
      <c r="I56" s="5"/>
      <c r="J56" s="5"/>
      <c r="K56" s="5"/>
      <c r="AM56" s="5"/>
    </row>
    <row r="57" spans="1:39">
      <c r="I57" s="5"/>
      <c r="J57" s="5"/>
      <c r="K57" s="5"/>
      <c r="AM57" s="5"/>
    </row>
    <row r="58" spans="1:39">
      <c r="I58" s="5"/>
      <c r="J58" s="5"/>
      <c r="K58" s="5"/>
      <c r="AM58" s="5"/>
    </row>
    <row r="59" spans="1:39">
      <c r="I59" s="5"/>
      <c r="J59" s="5"/>
      <c r="K59" s="5"/>
      <c r="AM59" s="5"/>
    </row>
    <row r="60" spans="1:39">
      <c r="I60" s="5"/>
      <c r="J60" s="5"/>
      <c r="K60" s="5"/>
    </row>
    <row r="61" spans="1:39">
      <c r="I61" s="5"/>
      <c r="J61" s="5"/>
      <c r="K61" s="5"/>
    </row>
    <row r="62" spans="1:39">
      <c r="I62" s="5"/>
      <c r="J62" s="5"/>
      <c r="K62" s="5"/>
    </row>
    <row r="63" spans="1:39">
      <c r="I63" s="5"/>
      <c r="J63" s="5"/>
      <c r="K63" s="5"/>
    </row>
    <row r="64" spans="1:39">
      <c r="I64" s="5"/>
      <c r="J64" s="5"/>
      <c r="K64" s="5"/>
    </row>
    <row r="65" spans="9:11">
      <c r="I65" s="5"/>
      <c r="J65" s="5"/>
      <c r="K65" s="5"/>
    </row>
    <row r="66" spans="9:11">
      <c r="I66" s="5"/>
      <c r="J66" s="5"/>
      <c r="K66" s="5"/>
    </row>
    <row r="67" spans="9:11">
      <c r="I67" s="5"/>
      <c r="J67" s="5"/>
      <c r="K67" s="5"/>
    </row>
    <row r="68" spans="9:11">
      <c r="I68" s="5"/>
      <c r="J68" s="5"/>
      <c r="K68" s="5"/>
    </row>
    <row r="69" spans="9:11">
      <c r="I69" s="5"/>
      <c r="J69" s="5"/>
      <c r="K69" s="5"/>
    </row>
    <row r="70" spans="9:11">
      <c r="I70" s="5"/>
      <c r="J70" s="5"/>
      <c r="K70" s="5"/>
    </row>
    <row r="71" spans="9:11">
      <c r="I71" s="5"/>
      <c r="J71" s="5"/>
      <c r="K71" s="5"/>
    </row>
    <row r="72" spans="9:11">
      <c r="I72" s="5"/>
      <c r="J72" s="5"/>
      <c r="K72" s="5"/>
    </row>
    <row r="73" spans="9:11">
      <c r="I73" s="5"/>
      <c r="J73" s="5"/>
      <c r="K73" s="5"/>
    </row>
    <row r="74" spans="9:11">
      <c r="I74" s="5"/>
      <c r="J74" s="5"/>
      <c r="K74" s="5"/>
    </row>
    <row r="75" spans="9:11">
      <c r="I75" s="5"/>
      <c r="J75" s="5"/>
      <c r="K75" s="5"/>
    </row>
    <row r="76" spans="9:11">
      <c r="I76" s="5"/>
      <c r="J76" s="5"/>
      <c r="K76" s="5"/>
    </row>
    <row r="77" spans="9:11">
      <c r="I77" s="5"/>
      <c r="J77" s="5"/>
      <c r="K77" s="5"/>
    </row>
    <row r="78" spans="9:11">
      <c r="I78" s="5"/>
      <c r="J78" s="5"/>
      <c r="K78" s="5"/>
    </row>
    <row r="79" spans="9:11">
      <c r="I79" s="5"/>
      <c r="J79" s="5"/>
      <c r="K79" s="5"/>
    </row>
    <row r="80" spans="9:11">
      <c r="I80" s="5"/>
      <c r="J80" s="5"/>
      <c r="K80" s="5"/>
    </row>
    <row r="81" spans="9:11">
      <c r="I81" s="5"/>
      <c r="J81" s="5"/>
      <c r="K81" s="5"/>
    </row>
    <row r="82" spans="9:11">
      <c r="I82" s="5"/>
      <c r="J82" s="5"/>
      <c r="K82" s="5"/>
    </row>
    <row r="83" spans="9:11">
      <c r="I83" s="5"/>
      <c r="J83" s="5"/>
      <c r="K83" s="5"/>
    </row>
    <row r="84" spans="9:11">
      <c r="I84" s="5"/>
      <c r="J84" s="5"/>
      <c r="K84" s="5"/>
    </row>
    <row r="334" spans="5:5">
      <c r="E334" s="3" t="s">
        <v>105</v>
      </c>
    </row>
  </sheetData>
  <mergeCells count="177">
    <mergeCell ref="AK46:AK47"/>
    <mergeCell ref="AL46:AL47"/>
    <mergeCell ref="AM46:AM47"/>
    <mergeCell ref="AE46:AE47"/>
    <mergeCell ref="AF46:AF47"/>
    <mergeCell ref="A48:A53"/>
    <mergeCell ref="B48:B53"/>
    <mergeCell ref="C48:C53"/>
    <mergeCell ref="D48:D53"/>
    <mergeCell ref="E48:E53"/>
    <mergeCell ref="F48:F53"/>
    <mergeCell ref="AM48:AM53"/>
    <mergeCell ref="K51:K53"/>
    <mergeCell ref="H48:H53"/>
    <mergeCell ref="I48:I53"/>
    <mergeCell ref="J48:J53"/>
    <mergeCell ref="K48:K50"/>
    <mergeCell ref="AK48:AK53"/>
    <mergeCell ref="AL48:AL53"/>
    <mergeCell ref="G48:G53"/>
    <mergeCell ref="AG46:AG47"/>
    <mergeCell ref="AH46:AH47"/>
    <mergeCell ref="AI46:AI47"/>
    <mergeCell ref="AJ46:AJ47"/>
    <mergeCell ref="AB46:AB47"/>
    <mergeCell ref="AC46:AC47"/>
    <mergeCell ref="AD46:AD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B1:D5"/>
    <mergeCell ref="G11:G12"/>
    <mergeCell ref="C11:C12"/>
    <mergeCell ref="B11:B12"/>
    <mergeCell ref="D11:D12"/>
    <mergeCell ref="B6:D6"/>
    <mergeCell ref="B13:B18"/>
    <mergeCell ref="C19:C24"/>
    <mergeCell ref="D19:D24"/>
    <mergeCell ref="B19:B24"/>
    <mergeCell ref="E19:E24"/>
    <mergeCell ref="F19:F24"/>
    <mergeCell ref="D13:D18"/>
    <mergeCell ref="Y11:Y12"/>
    <mergeCell ref="AF11:AF12"/>
    <mergeCell ref="O1:R1"/>
    <mergeCell ref="O3:R3"/>
    <mergeCell ref="E1:N5"/>
    <mergeCell ref="O2:R2"/>
    <mergeCell ref="L11:L12"/>
    <mergeCell ref="O5:R5"/>
    <mergeCell ref="I11:I12"/>
    <mergeCell ref="E11:E12"/>
    <mergeCell ref="O6:R6"/>
    <mergeCell ref="O11:O12"/>
    <mergeCell ref="N11:N12"/>
    <mergeCell ref="Q11:Q12"/>
    <mergeCell ref="R11:R12"/>
    <mergeCell ref="E6:N6"/>
    <mergeCell ref="H11:H12"/>
    <mergeCell ref="K11:K12"/>
    <mergeCell ref="J11:J12"/>
    <mergeCell ref="P11:P12"/>
    <mergeCell ref="M11:M12"/>
    <mergeCell ref="F11:F12"/>
    <mergeCell ref="J13:J18"/>
    <mergeCell ref="C13:C18"/>
    <mergeCell ref="E13:E18"/>
    <mergeCell ref="G13:G18"/>
    <mergeCell ref="I13:I18"/>
    <mergeCell ref="H13:H18"/>
    <mergeCell ref="A31:A36"/>
    <mergeCell ref="B31:B36"/>
    <mergeCell ref="B37:B42"/>
    <mergeCell ref="C31:C36"/>
    <mergeCell ref="D31:D36"/>
    <mergeCell ref="A11:A12"/>
    <mergeCell ref="A13:A18"/>
    <mergeCell ref="F37:F42"/>
    <mergeCell ref="F13:F18"/>
    <mergeCell ref="C37:C42"/>
    <mergeCell ref="D37:D42"/>
    <mergeCell ref="E37:E42"/>
    <mergeCell ref="G37:G42"/>
    <mergeCell ref="H37:H42"/>
    <mergeCell ref="A19:A24"/>
    <mergeCell ref="A25:A30"/>
    <mergeCell ref="B25:B30"/>
    <mergeCell ref="C25:C30"/>
    <mergeCell ref="D25:D30"/>
    <mergeCell ref="E25:E30"/>
    <mergeCell ref="F25:F30"/>
    <mergeCell ref="E31:E36"/>
    <mergeCell ref="A37:A42"/>
    <mergeCell ref="AM11:AM12"/>
    <mergeCell ref="K13:K15"/>
    <mergeCell ref="AK13:AK18"/>
    <mergeCell ref="K16:K18"/>
    <mergeCell ref="AI11:AI12"/>
    <mergeCell ref="AJ11:AJ12"/>
    <mergeCell ref="AK11:AK12"/>
    <mergeCell ref="AL13:AL18"/>
    <mergeCell ref="V11:V12"/>
    <mergeCell ref="AL11:AL12"/>
    <mergeCell ref="AH11:AH12"/>
    <mergeCell ref="AM13:AM18"/>
    <mergeCell ref="S11:S12"/>
    <mergeCell ref="X11:X12"/>
    <mergeCell ref="AG11:AG12"/>
    <mergeCell ref="AC11:AC12"/>
    <mergeCell ref="AB11:AB12"/>
    <mergeCell ref="AA11:AA12"/>
    <mergeCell ref="T11:T12"/>
    <mergeCell ref="U11:U12"/>
    <mergeCell ref="AD11:AD12"/>
    <mergeCell ref="AE11:AE12"/>
    <mergeCell ref="Z11:Z12"/>
    <mergeCell ref="W11:W12"/>
    <mergeCell ref="AM19:AM24"/>
    <mergeCell ref="AM37:AM42"/>
    <mergeCell ref="AL25:AL30"/>
    <mergeCell ref="AM25:AM30"/>
    <mergeCell ref="K28:K30"/>
    <mergeCell ref="G25:G30"/>
    <mergeCell ref="H25:H30"/>
    <mergeCell ref="I25:I30"/>
    <mergeCell ref="J25:J30"/>
    <mergeCell ref="K25:K27"/>
    <mergeCell ref="AK25:AK30"/>
    <mergeCell ref="I19:I24"/>
    <mergeCell ref="H19:H24"/>
    <mergeCell ref="AL37:AL42"/>
    <mergeCell ref="K19:K21"/>
    <mergeCell ref="K22:K24"/>
    <mergeCell ref="K40:K42"/>
    <mergeCell ref="AL19:AL24"/>
    <mergeCell ref="I37:I42"/>
    <mergeCell ref="J37:J42"/>
    <mergeCell ref="AK37:AK42"/>
    <mergeCell ref="K37:K39"/>
    <mergeCell ref="AL31:AL36"/>
    <mergeCell ref="AM31:AM36"/>
    <mergeCell ref="K34:K36"/>
    <mergeCell ref="AK19:AK24"/>
    <mergeCell ref="G19:G24"/>
    <mergeCell ref="F31:F36"/>
    <mergeCell ref="G31:G36"/>
    <mergeCell ref="H31:H36"/>
    <mergeCell ref="I31:I36"/>
    <mergeCell ref="J31:J36"/>
    <mergeCell ref="K31:K33"/>
    <mergeCell ref="AK31:AK36"/>
    <mergeCell ref="J19:J24"/>
  </mergeCells>
  <phoneticPr fontId="5" type="noConversion"/>
  <pageMargins left="0.56999999999999995" right="0.37" top="0.41" bottom="0.47" header="0" footer="0"/>
  <pageSetup scale="59" orientation="landscape" r:id="rId1"/>
  <headerFooter alignWithMargins="0"/>
  <colBreaks count="1" manualBreakCount="1">
    <brk id="3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62C2-4918-4C43-9597-591FB7B8450E}">
  <dimension ref="A1:AM309"/>
  <sheetViews>
    <sheetView showGridLines="0" topLeftCell="A8" zoomScale="130" zoomScaleNormal="130" workbookViewId="0">
      <pane xSplit="3" ySplit="5" topLeftCell="D13" activePane="bottomRight" state="frozen"/>
      <selection pane="bottomRight" activeCell="C23" sqref="C23:C28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8.42578125" style="3" customWidth="1"/>
    <col min="2" max="4" width="26.85546875" style="3" customWidth="1"/>
    <col min="5" max="5" width="22.42578125" style="3" customWidth="1"/>
    <col min="6" max="6" width="14.5703125" style="3" customWidth="1"/>
    <col min="7" max="7" width="23.42578125" style="3" customWidth="1"/>
    <col min="8" max="8" width="18" style="3" customWidth="1"/>
    <col min="9" max="9" width="11.140625" style="3" customWidth="1"/>
    <col min="10" max="10" width="28.5703125" style="3" customWidth="1"/>
    <col min="11" max="11" width="17" style="3" customWidth="1"/>
    <col min="12" max="12" width="11.140625" style="3" customWidth="1"/>
    <col min="13" max="13" width="11.85546875" style="2" customWidth="1"/>
    <col min="14" max="33" width="10.85546875" style="2" customWidth="1"/>
    <col min="34" max="34" width="13" style="2" bestFit="1" customWidth="1"/>
    <col min="35" max="35" width="16" style="2" customWidth="1"/>
    <col min="36" max="36" width="24.140625" style="2" customWidth="1"/>
    <col min="37" max="37" width="12.5703125" style="3" customWidth="1"/>
    <col min="38" max="38" width="26.85546875" style="3" customWidth="1"/>
    <col min="39" max="39" width="21.140625" style="3" customWidth="1"/>
    <col min="40" max="40" width="2.140625" style="3" customWidth="1"/>
    <col min="41" max="16384" width="11.42578125" style="3"/>
  </cols>
  <sheetData>
    <row r="1" spans="1:39" s="8" customFormat="1" ht="12.75" customHeight="1">
      <c r="B1" s="229"/>
      <c r="C1" s="229"/>
      <c r="D1" s="230"/>
      <c r="E1" s="206" t="s">
        <v>0</v>
      </c>
      <c r="F1" s="212"/>
      <c r="G1" s="212"/>
      <c r="H1" s="212"/>
      <c r="I1" s="212"/>
      <c r="J1" s="212"/>
      <c r="K1" s="212"/>
      <c r="L1" s="212"/>
      <c r="M1" s="213"/>
      <c r="N1" s="206" t="s">
        <v>1</v>
      </c>
      <c r="O1" s="207"/>
      <c r="P1" s="207"/>
      <c r="Q1" s="208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1"/>
      <c r="AL1" s="11"/>
    </row>
    <row r="2" spans="1:39" s="8" customFormat="1" ht="12.75" customHeight="1">
      <c r="B2" s="231"/>
      <c r="C2" s="231"/>
      <c r="D2" s="232"/>
      <c r="E2" s="209"/>
      <c r="F2" s="214"/>
      <c r="G2" s="214"/>
      <c r="H2" s="214"/>
      <c r="I2" s="214"/>
      <c r="J2" s="214"/>
      <c r="K2" s="214"/>
      <c r="L2" s="214"/>
      <c r="M2" s="215"/>
      <c r="N2" s="219" t="s">
        <v>2</v>
      </c>
      <c r="O2" s="220"/>
      <c r="P2" s="220"/>
      <c r="Q2" s="22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1"/>
      <c r="AL2" s="11"/>
    </row>
    <row r="3" spans="1:39" s="8" customFormat="1" ht="15.75" customHeight="1">
      <c r="B3" s="231"/>
      <c r="C3" s="231"/>
      <c r="D3" s="232"/>
      <c r="E3" s="209"/>
      <c r="F3" s="214"/>
      <c r="G3" s="214"/>
      <c r="H3" s="214"/>
      <c r="I3" s="214"/>
      <c r="J3" s="214"/>
      <c r="K3" s="214"/>
      <c r="L3" s="214"/>
      <c r="M3" s="215"/>
      <c r="N3" s="209"/>
      <c r="O3" s="210"/>
      <c r="P3" s="210"/>
      <c r="Q3" s="2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1"/>
      <c r="AL3" s="11"/>
    </row>
    <row r="4" spans="1:39" s="8" customFormat="1" ht="12.75" customHeight="1">
      <c r="B4" s="231"/>
      <c r="C4" s="231"/>
      <c r="D4" s="232"/>
      <c r="E4" s="209"/>
      <c r="F4" s="214"/>
      <c r="G4" s="214"/>
      <c r="H4" s="214"/>
      <c r="I4" s="214"/>
      <c r="J4" s="214"/>
      <c r="K4" s="214"/>
      <c r="L4" s="214"/>
      <c r="M4" s="215"/>
      <c r="N4" s="12"/>
      <c r="O4" s="13"/>
      <c r="P4" s="13"/>
      <c r="Q4" s="14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1"/>
      <c r="AL4" s="11"/>
    </row>
    <row r="5" spans="1:39" s="8" customFormat="1" ht="20.25" customHeight="1">
      <c r="B5" s="233"/>
      <c r="C5" s="233"/>
      <c r="D5" s="234"/>
      <c r="E5" s="216"/>
      <c r="F5" s="217"/>
      <c r="G5" s="217"/>
      <c r="H5" s="217"/>
      <c r="I5" s="217"/>
      <c r="J5" s="217"/>
      <c r="K5" s="217"/>
      <c r="L5" s="217"/>
      <c r="M5" s="218"/>
      <c r="N5" s="223" t="s">
        <v>3</v>
      </c>
      <c r="O5" s="224"/>
      <c r="P5" s="224"/>
      <c r="Q5" s="225"/>
      <c r="R5" s="10"/>
      <c r="S5" s="10"/>
      <c r="T5" s="10"/>
      <c r="U5" s="10" t="s">
        <v>4</v>
      </c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1"/>
      <c r="AL5" s="11"/>
    </row>
    <row r="6" spans="1:39" ht="15.75" customHeight="1">
      <c r="B6" s="235" t="s">
        <v>5</v>
      </c>
      <c r="C6" s="236"/>
      <c r="D6" s="237"/>
      <c r="E6" s="226" t="s">
        <v>6</v>
      </c>
      <c r="F6" s="227"/>
      <c r="G6" s="227"/>
      <c r="H6" s="227"/>
      <c r="I6" s="227"/>
      <c r="J6" s="227"/>
      <c r="K6" s="227"/>
      <c r="L6" s="227"/>
      <c r="M6" s="228"/>
      <c r="N6" s="226" t="s">
        <v>7</v>
      </c>
      <c r="O6" s="227"/>
      <c r="P6" s="227"/>
      <c r="Q6" s="228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6"/>
      <c r="AL6" s="16"/>
    </row>
    <row r="7" spans="1:39" s="8" customFormat="1" ht="16.5" customHeight="1">
      <c r="E7" s="17"/>
      <c r="F7" s="11"/>
      <c r="G7" s="11"/>
      <c r="H7" s="11"/>
      <c r="I7" s="11"/>
      <c r="J7" s="11"/>
      <c r="K7" s="11"/>
      <c r="L7" s="11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1"/>
      <c r="AL7" s="11"/>
    </row>
    <row r="8" spans="1:39" s="8" customFormat="1" ht="15.6">
      <c r="B8" s="4" t="s">
        <v>8</v>
      </c>
      <c r="C8" s="6"/>
      <c r="D8" s="7"/>
      <c r="E8" s="18"/>
      <c r="F8" s="11"/>
      <c r="G8" s="11"/>
      <c r="H8" s="11"/>
      <c r="I8" s="11"/>
      <c r="J8" s="11"/>
      <c r="K8" s="11"/>
      <c r="L8" s="11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9"/>
      <c r="AA8" s="10"/>
      <c r="AB8" s="10"/>
      <c r="AC8" s="10"/>
      <c r="AD8" s="10"/>
      <c r="AE8" s="19"/>
      <c r="AF8" s="10"/>
      <c r="AG8" s="10"/>
      <c r="AH8" s="10"/>
      <c r="AI8" s="10"/>
      <c r="AJ8" s="19"/>
      <c r="AK8" s="11"/>
      <c r="AL8" s="11"/>
    </row>
    <row r="9" spans="1:39" s="8" customFormat="1" ht="16.5" customHeight="1">
      <c r="B9" s="4" t="s">
        <v>9</v>
      </c>
      <c r="C9" s="6"/>
      <c r="D9" s="6"/>
      <c r="E9" s="18"/>
      <c r="F9" s="11"/>
      <c r="G9" s="11"/>
      <c r="H9" s="11"/>
      <c r="I9" s="11"/>
      <c r="J9" s="11"/>
      <c r="K9" s="11"/>
      <c r="L9" s="11"/>
      <c r="M9" s="10"/>
      <c r="N9" s="10"/>
      <c r="O9" s="10"/>
      <c r="P9" s="10"/>
      <c r="Q9" s="19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1"/>
      <c r="AL9" s="11"/>
    </row>
    <row r="10" spans="1:39" s="8" customFormat="1" ht="15.95" thickBot="1">
      <c r="B10" s="4"/>
      <c r="C10" s="4"/>
      <c r="D10" s="4"/>
      <c r="E10" s="17"/>
      <c r="F10" s="11"/>
      <c r="G10" s="11"/>
      <c r="H10" s="11"/>
      <c r="I10" s="11"/>
      <c r="J10" s="11"/>
      <c r="K10" s="11"/>
      <c r="L10" s="11"/>
      <c r="M10" s="10"/>
      <c r="N10" s="10"/>
      <c r="O10" s="20"/>
      <c r="P10" s="20"/>
      <c r="Q10" s="21"/>
      <c r="R10" s="20"/>
      <c r="S10" s="20"/>
      <c r="T10" s="2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20"/>
      <c r="AI10" s="20"/>
      <c r="AJ10" s="20"/>
      <c r="AK10" s="22"/>
      <c r="AL10" s="22"/>
      <c r="AM10" s="9"/>
    </row>
    <row r="11" spans="1:39" s="1" customFormat="1" ht="23.1" customHeight="1" thickTop="1">
      <c r="A11" s="160" t="s">
        <v>10</v>
      </c>
      <c r="B11" s="160" t="s">
        <v>11</v>
      </c>
      <c r="C11" s="160" t="s">
        <v>12</v>
      </c>
      <c r="D11" s="155" t="s">
        <v>13</v>
      </c>
      <c r="E11" s="157" t="s">
        <v>14</v>
      </c>
      <c r="F11" s="157" t="s">
        <v>15</v>
      </c>
      <c r="G11" s="157" t="s">
        <v>16</v>
      </c>
      <c r="H11" s="157" t="s">
        <v>17</v>
      </c>
      <c r="I11" s="157" t="s">
        <v>18</v>
      </c>
      <c r="J11" s="155" t="s">
        <v>20</v>
      </c>
      <c r="K11" s="155" t="s">
        <v>21</v>
      </c>
      <c r="L11" s="155" t="s">
        <v>22</v>
      </c>
      <c r="M11" s="155" t="s">
        <v>23</v>
      </c>
      <c r="N11" s="160" t="s">
        <v>24</v>
      </c>
      <c r="O11" s="155" t="s">
        <v>25</v>
      </c>
      <c r="P11" s="155" t="s">
        <v>26</v>
      </c>
      <c r="Q11" s="155" t="s">
        <v>27</v>
      </c>
      <c r="R11" s="155" t="s">
        <v>28</v>
      </c>
      <c r="S11" s="155" t="s">
        <v>29</v>
      </c>
      <c r="T11" s="160" t="s">
        <v>30</v>
      </c>
      <c r="U11" s="160" t="s">
        <v>31</v>
      </c>
      <c r="V11" s="155" t="s">
        <v>32</v>
      </c>
      <c r="W11" s="163" t="s">
        <v>33</v>
      </c>
      <c r="X11" s="155" t="s">
        <v>34</v>
      </c>
      <c r="Y11" s="155" t="s">
        <v>35</v>
      </c>
      <c r="Z11" s="155" t="s">
        <v>36</v>
      </c>
      <c r="AA11" s="155" t="s">
        <v>37</v>
      </c>
      <c r="AB11" s="155" t="s">
        <v>38</v>
      </c>
      <c r="AC11" s="155" t="s">
        <v>39</v>
      </c>
      <c r="AD11" s="155" t="s">
        <v>40</v>
      </c>
      <c r="AE11" s="160" t="s">
        <v>41</v>
      </c>
      <c r="AF11" s="155" t="s">
        <v>42</v>
      </c>
      <c r="AG11" s="155" t="s">
        <v>43</v>
      </c>
      <c r="AH11" s="157" t="s">
        <v>44</v>
      </c>
      <c r="AI11" s="155" t="s">
        <v>45</v>
      </c>
      <c r="AJ11" s="155" t="s">
        <v>46</v>
      </c>
      <c r="AK11" s="157" t="s">
        <v>47</v>
      </c>
      <c r="AL11" s="155" t="s">
        <v>48</v>
      </c>
    </row>
    <row r="12" spans="1:39" s="1" customFormat="1" ht="23.1" customHeight="1" thickBot="1">
      <c r="A12" s="165"/>
      <c r="B12" s="165"/>
      <c r="C12" s="165"/>
      <c r="D12" s="156"/>
      <c r="E12" s="158"/>
      <c r="F12" s="158"/>
      <c r="G12" s="158"/>
      <c r="H12" s="158"/>
      <c r="I12" s="158"/>
      <c r="J12" s="156"/>
      <c r="K12" s="222"/>
      <c r="L12" s="156"/>
      <c r="M12" s="156"/>
      <c r="N12" s="165"/>
      <c r="O12" s="156"/>
      <c r="P12" s="156"/>
      <c r="Q12" s="156"/>
      <c r="R12" s="162"/>
      <c r="S12" s="156"/>
      <c r="T12" s="161"/>
      <c r="U12" s="161"/>
      <c r="V12" s="162"/>
      <c r="W12" s="164"/>
      <c r="X12" s="156"/>
      <c r="Y12" s="162"/>
      <c r="Z12" s="162"/>
      <c r="AA12" s="162"/>
      <c r="AB12" s="162"/>
      <c r="AC12" s="162"/>
      <c r="AD12" s="162"/>
      <c r="AE12" s="161"/>
      <c r="AF12" s="162"/>
      <c r="AG12" s="156"/>
      <c r="AH12" s="158"/>
      <c r="AI12" s="156"/>
      <c r="AJ12" s="159"/>
      <c r="AK12" s="158"/>
      <c r="AL12" s="156"/>
    </row>
    <row r="13" spans="1:39" s="5" customFormat="1" ht="23.1" customHeight="1" thickTop="1">
      <c r="A13" s="176" t="s">
        <v>106</v>
      </c>
      <c r="B13" s="200" t="s">
        <v>64</v>
      </c>
      <c r="C13" s="262" t="s">
        <v>107</v>
      </c>
      <c r="D13" s="98" t="s">
        <v>108</v>
      </c>
      <c r="E13" s="98" t="s">
        <v>67</v>
      </c>
      <c r="F13" s="98" t="s">
        <v>68</v>
      </c>
      <c r="G13" s="98" t="s">
        <v>109</v>
      </c>
      <c r="H13" s="98" t="s">
        <v>110</v>
      </c>
      <c r="I13" s="139">
        <f>K14</f>
        <v>1</v>
      </c>
      <c r="J13" s="143" t="s">
        <v>111</v>
      </c>
      <c r="K13" s="23" t="s">
        <v>57</v>
      </c>
      <c r="L13" s="23" t="s">
        <v>57</v>
      </c>
      <c r="M13" s="23" t="s">
        <v>57</v>
      </c>
      <c r="N13" s="24" t="s">
        <v>57</v>
      </c>
      <c r="O13" s="23" t="s">
        <v>57</v>
      </c>
      <c r="P13" s="24" t="s">
        <v>57</v>
      </c>
      <c r="Q13" s="23" t="s">
        <v>57</v>
      </c>
      <c r="R13" s="24" t="s">
        <v>57</v>
      </c>
      <c r="S13" s="23" t="s">
        <v>57</v>
      </c>
      <c r="T13" s="24" t="s">
        <v>57</v>
      </c>
      <c r="U13" s="23" t="s">
        <v>57</v>
      </c>
      <c r="V13" s="24" t="s">
        <v>57</v>
      </c>
      <c r="W13" s="23" t="s">
        <v>57</v>
      </c>
      <c r="X13" s="24" t="s">
        <v>57</v>
      </c>
      <c r="Y13" s="23" t="s">
        <v>57</v>
      </c>
      <c r="Z13" s="24" t="s">
        <v>57</v>
      </c>
      <c r="AA13" s="23" t="s">
        <v>57</v>
      </c>
      <c r="AB13" s="24" t="s">
        <v>57</v>
      </c>
      <c r="AC13" s="23" t="s">
        <v>57</v>
      </c>
      <c r="AD13" s="24" t="s">
        <v>57</v>
      </c>
      <c r="AE13" s="23" t="s">
        <v>57</v>
      </c>
      <c r="AF13" s="24" t="s">
        <v>57</v>
      </c>
      <c r="AG13" s="23" t="s">
        <v>57</v>
      </c>
      <c r="AH13" s="24" t="s">
        <v>57</v>
      </c>
      <c r="AI13" s="25"/>
      <c r="AJ13" s="95" t="s">
        <v>112</v>
      </c>
      <c r="AK13" s="116"/>
      <c r="AL13" s="113" t="s">
        <v>113</v>
      </c>
    </row>
    <row r="14" spans="1:39" s="5" customFormat="1" ht="23.1" customHeight="1">
      <c r="A14" s="177"/>
      <c r="B14" s="241"/>
      <c r="C14" s="204"/>
      <c r="D14" s="99"/>
      <c r="E14" s="99"/>
      <c r="F14" s="99"/>
      <c r="G14" s="99"/>
      <c r="H14" s="99"/>
      <c r="I14" s="140"/>
      <c r="J14" s="144"/>
      <c r="K14" s="43">
        <f>+K16/K18</f>
        <v>1</v>
      </c>
      <c r="L14" s="40">
        <f t="shared" ref="L14:AH14" si="0">IF(L16&lt;&gt;0,+L16/L18,0%)</f>
        <v>0</v>
      </c>
      <c r="M14" s="40">
        <f t="shared" si="0"/>
        <v>0</v>
      </c>
      <c r="N14" s="26">
        <f t="shared" si="0"/>
        <v>0</v>
      </c>
      <c r="O14" s="40">
        <f t="shared" si="0"/>
        <v>0</v>
      </c>
      <c r="P14" s="26">
        <f t="shared" si="0"/>
        <v>0</v>
      </c>
      <c r="Q14" s="40">
        <f t="shared" si="0"/>
        <v>0</v>
      </c>
      <c r="R14" s="26">
        <f t="shared" si="0"/>
        <v>0</v>
      </c>
      <c r="S14" s="40">
        <f t="shared" si="0"/>
        <v>0.1</v>
      </c>
      <c r="T14" s="26">
        <f t="shared" si="0"/>
        <v>0.1</v>
      </c>
      <c r="U14" s="40">
        <f t="shared" si="0"/>
        <v>0</v>
      </c>
      <c r="V14" s="26">
        <f t="shared" si="0"/>
        <v>0.1</v>
      </c>
      <c r="W14" s="40">
        <f t="shared" si="0"/>
        <v>0.2</v>
      </c>
      <c r="X14" s="26">
        <f t="shared" si="0"/>
        <v>0.3</v>
      </c>
      <c r="Y14" s="40">
        <f t="shared" si="0"/>
        <v>0.2</v>
      </c>
      <c r="Z14" s="26">
        <f t="shared" si="0"/>
        <v>0.5</v>
      </c>
      <c r="AA14" s="40">
        <f t="shared" si="0"/>
        <v>0.1</v>
      </c>
      <c r="AB14" s="26">
        <f t="shared" si="0"/>
        <v>0.6</v>
      </c>
      <c r="AC14" s="40">
        <f t="shared" si="0"/>
        <v>0.2</v>
      </c>
      <c r="AD14" s="26">
        <f t="shared" si="0"/>
        <v>0.8</v>
      </c>
      <c r="AE14" s="40">
        <f t="shared" si="0"/>
        <v>0</v>
      </c>
      <c r="AF14" s="26">
        <f t="shared" si="0"/>
        <v>0.8</v>
      </c>
      <c r="AG14" s="40">
        <f t="shared" si="0"/>
        <v>0.2</v>
      </c>
      <c r="AH14" s="26">
        <f t="shared" si="0"/>
        <v>1</v>
      </c>
      <c r="AI14" s="27"/>
      <c r="AJ14" s="96"/>
      <c r="AK14" s="117"/>
      <c r="AL14" s="114"/>
    </row>
    <row r="15" spans="1:39" s="5" customFormat="1" ht="23.1" customHeight="1" thickBot="1">
      <c r="A15" s="177"/>
      <c r="B15" s="241"/>
      <c r="C15" s="204"/>
      <c r="D15" s="99"/>
      <c r="E15" s="99"/>
      <c r="F15" s="99"/>
      <c r="G15" s="99"/>
      <c r="H15" s="99"/>
      <c r="I15" s="140"/>
      <c r="J15" s="145"/>
      <c r="K15" s="28" t="s">
        <v>60</v>
      </c>
      <c r="L15" s="28" t="s">
        <v>60</v>
      </c>
      <c r="M15" s="28" t="s">
        <v>60</v>
      </c>
      <c r="N15" s="29" t="s">
        <v>60</v>
      </c>
      <c r="O15" s="28" t="s">
        <v>60</v>
      </c>
      <c r="P15" s="29" t="s">
        <v>60</v>
      </c>
      <c r="Q15" s="28" t="s">
        <v>60</v>
      </c>
      <c r="R15" s="29" t="s">
        <v>60</v>
      </c>
      <c r="S15" s="28" t="s">
        <v>60</v>
      </c>
      <c r="T15" s="29" t="s">
        <v>60</v>
      </c>
      <c r="U15" s="28" t="s">
        <v>60</v>
      </c>
      <c r="V15" s="29" t="s">
        <v>60</v>
      </c>
      <c r="W15" s="28" t="s">
        <v>60</v>
      </c>
      <c r="X15" s="29" t="s">
        <v>60</v>
      </c>
      <c r="Y15" s="28" t="s">
        <v>60</v>
      </c>
      <c r="Z15" s="29" t="s">
        <v>60</v>
      </c>
      <c r="AA15" s="28" t="s">
        <v>60</v>
      </c>
      <c r="AB15" s="29" t="s">
        <v>60</v>
      </c>
      <c r="AC15" s="28" t="s">
        <v>60</v>
      </c>
      <c r="AD15" s="29" t="s">
        <v>60</v>
      </c>
      <c r="AE15" s="28" t="s">
        <v>60</v>
      </c>
      <c r="AF15" s="29" t="s">
        <v>60</v>
      </c>
      <c r="AG15" s="28" t="s">
        <v>60</v>
      </c>
      <c r="AH15" s="29" t="s">
        <v>60</v>
      </c>
      <c r="AI15" s="27"/>
      <c r="AJ15" s="96"/>
      <c r="AK15" s="117"/>
      <c r="AL15" s="114"/>
    </row>
    <row r="16" spans="1:39" s="5" customFormat="1" ht="23.1" customHeight="1" thickTop="1">
      <c r="A16" s="177"/>
      <c r="B16" s="241"/>
      <c r="C16" s="204"/>
      <c r="D16" s="99"/>
      <c r="E16" s="99"/>
      <c r="F16" s="99"/>
      <c r="G16" s="99"/>
      <c r="H16" s="99"/>
      <c r="I16" s="140"/>
      <c r="J16" s="144" t="s">
        <v>114</v>
      </c>
      <c r="K16" s="30">
        <v>10</v>
      </c>
      <c r="L16" s="31">
        <v>0</v>
      </c>
      <c r="M16" s="31">
        <v>0</v>
      </c>
      <c r="N16" s="32">
        <f>+L16+M16</f>
        <v>0</v>
      </c>
      <c r="O16" s="31">
        <v>0</v>
      </c>
      <c r="P16" s="32">
        <f>+N16+O16</f>
        <v>0</v>
      </c>
      <c r="Q16" s="31">
        <v>0</v>
      </c>
      <c r="R16" s="32">
        <f>+P16+Q16</f>
        <v>0</v>
      </c>
      <c r="S16" s="31">
        <v>1</v>
      </c>
      <c r="T16" s="32">
        <f>+R16+S16</f>
        <v>1</v>
      </c>
      <c r="U16" s="31">
        <v>0</v>
      </c>
      <c r="V16" s="32">
        <f>+T16+U16</f>
        <v>1</v>
      </c>
      <c r="W16" s="31">
        <v>2</v>
      </c>
      <c r="X16" s="32">
        <f>+V16+W16</f>
        <v>3</v>
      </c>
      <c r="Y16" s="31">
        <v>2</v>
      </c>
      <c r="Z16" s="32">
        <f>+X16+Y16</f>
        <v>5</v>
      </c>
      <c r="AA16" s="31">
        <v>1</v>
      </c>
      <c r="AB16" s="32">
        <f>+Z16+AA16</f>
        <v>6</v>
      </c>
      <c r="AC16" s="31">
        <v>2</v>
      </c>
      <c r="AD16" s="32">
        <f>+AB16+AC16</f>
        <v>8</v>
      </c>
      <c r="AE16" s="31">
        <v>0</v>
      </c>
      <c r="AF16" s="32">
        <f>+AD16+AE16</f>
        <v>8</v>
      </c>
      <c r="AG16" s="31">
        <v>2</v>
      </c>
      <c r="AH16" s="32">
        <f>+AF16+AG16</f>
        <v>10</v>
      </c>
      <c r="AI16" s="33">
        <f>+AH14/K14</f>
        <v>1</v>
      </c>
      <c r="AJ16" s="96"/>
      <c r="AK16" s="117"/>
      <c r="AL16" s="114"/>
    </row>
    <row r="17" spans="1:38" s="5" customFormat="1" ht="23.1" customHeight="1">
      <c r="A17" s="177"/>
      <c r="B17" s="241"/>
      <c r="C17" s="204"/>
      <c r="D17" s="99"/>
      <c r="E17" s="99"/>
      <c r="F17" s="99"/>
      <c r="G17" s="99"/>
      <c r="H17" s="99"/>
      <c r="I17" s="140"/>
      <c r="J17" s="144"/>
      <c r="K17" s="34" t="s">
        <v>62</v>
      </c>
      <c r="L17" s="34" t="s">
        <v>62</v>
      </c>
      <c r="M17" s="34" t="s">
        <v>62</v>
      </c>
      <c r="N17" s="35" t="s">
        <v>62</v>
      </c>
      <c r="O17" s="34" t="s">
        <v>62</v>
      </c>
      <c r="P17" s="35" t="s">
        <v>62</v>
      </c>
      <c r="Q17" s="34" t="s">
        <v>62</v>
      </c>
      <c r="R17" s="35" t="s">
        <v>62</v>
      </c>
      <c r="S17" s="34" t="s">
        <v>62</v>
      </c>
      <c r="T17" s="35" t="s">
        <v>62</v>
      </c>
      <c r="U17" s="34" t="s">
        <v>62</v>
      </c>
      <c r="V17" s="35" t="s">
        <v>62</v>
      </c>
      <c r="W17" s="34" t="s">
        <v>62</v>
      </c>
      <c r="X17" s="35" t="s">
        <v>62</v>
      </c>
      <c r="Y17" s="34" t="s">
        <v>62</v>
      </c>
      <c r="Z17" s="35" t="s">
        <v>62</v>
      </c>
      <c r="AA17" s="34" t="s">
        <v>62</v>
      </c>
      <c r="AB17" s="35" t="s">
        <v>62</v>
      </c>
      <c r="AC17" s="34" t="s">
        <v>62</v>
      </c>
      <c r="AD17" s="35" t="s">
        <v>62</v>
      </c>
      <c r="AE17" s="34" t="s">
        <v>62</v>
      </c>
      <c r="AF17" s="35" t="s">
        <v>62</v>
      </c>
      <c r="AG17" s="34" t="s">
        <v>62</v>
      </c>
      <c r="AH17" s="35" t="s">
        <v>62</v>
      </c>
      <c r="AI17" s="27"/>
      <c r="AJ17" s="96"/>
      <c r="AK17" s="117"/>
      <c r="AL17" s="114"/>
    </row>
    <row r="18" spans="1:38" s="5" customFormat="1" ht="23.1" customHeight="1" thickBot="1">
      <c r="A18" s="178"/>
      <c r="B18" s="242"/>
      <c r="C18" s="205"/>
      <c r="D18" s="100"/>
      <c r="E18" s="100"/>
      <c r="F18" s="100"/>
      <c r="G18" s="100"/>
      <c r="H18" s="100"/>
      <c r="I18" s="141"/>
      <c r="J18" s="145"/>
      <c r="K18" s="36">
        <v>10</v>
      </c>
      <c r="L18" s="37">
        <v>10</v>
      </c>
      <c r="M18" s="37">
        <v>10</v>
      </c>
      <c r="N18" s="38">
        <f>M18</f>
        <v>10</v>
      </c>
      <c r="O18" s="37">
        <v>10</v>
      </c>
      <c r="P18" s="38">
        <f>O18</f>
        <v>10</v>
      </c>
      <c r="Q18" s="37">
        <v>10</v>
      </c>
      <c r="R18" s="38">
        <f>Q18</f>
        <v>10</v>
      </c>
      <c r="S18" s="37">
        <v>10</v>
      </c>
      <c r="T18" s="38">
        <f>S18</f>
        <v>10</v>
      </c>
      <c r="U18" s="37">
        <v>10</v>
      </c>
      <c r="V18" s="38">
        <f>U18</f>
        <v>10</v>
      </c>
      <c r="W18" s="37">
        <v>10</v>
      </c>
      <c r="X18" s="38">
        <f>W18</f>
        <v>10</v>
      </c>
      <c r="Y18" s="37">
        <v>10</v>
      </c>
      <c r="Z18" s="38">
        <f>Y18</f>
        <v>10</v>
      </c>
      <c r="AA18" s="37">
        <v>10</v>
      </c>
      <c r="AB18" s="38">
        <f>AA18</f>
        <v>10</v>
      </c>
      <c r="AC18" s="37">
        <f>AB18</f>
        <v>10</v>
      </c>
      <c r="AD18" s="38">
        <f>AC18</f>
        <v>10</v>
      </c>
      <c r="AE18" s="37">
        <f>AD18</f>
        <v>10</v>
      </c>
      <c r="AF18" s="38">
        <f>AE18</f>
        <v>10</v>
      </c>
      <c r="AG18" s="37">
        <v>10</v>
      </c>
      <c r="AH18" s="38">
        <f>AG18</f>
        <v>10</v>
      </c>
      <c r="AI18" s="39"/>
      <c r="AJ18" s="97"/>
      <c r="AK18" s="118"/>
      <c r="AL18" s="115"/>
    </row>
    <row r="19" spans="1:38" s="5" customFormat="1" ht="11.1" thickTop="1">
      <c r="A19" s="6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41"/>
      <c r="AL19" s="41"/>
    </row>
    <row r="20" spans="1:38" ht="15.6">
      <c r="A20" s="48"/>
      <c r="B20" s="48"/>
      <c r="C20" s="48"/>
      <c r="D20" s="48"/>
      <c r="E20" s="17"/>
      <c r="F20" s="11"/>
      <c r="G20" s="11"/>
      <c r="H20" s="11"/>
      <c r="I20" s="11"/>
      <c r="J20" s="11"/>
      <c r="K20" s="11"/>
      <c r="L20" s="11"/>
      <c r="M20" s="10"/>
      <c r="N20" s="10"/>
      <c r="O20" s="10"/>
      <c r="P20" s="10"/>
      <c r="Q20" s="19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22"/>
      <c r="AL20" s="22"/>
    </row>
    <row r="21" spans="1:38">
      <c r="B21" s="252" t="s">
        <v>115</v>
      </c>
      <c r="C21" s="244"/>
      <c r="D21" s="244"/>
      <c r="E21" s="245"/>
      <c r="F21" s="245"/>
      <c r="G21" s="245"/>
      <c r="H21" s="245"/>
      <c r="I21" s="245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5"/>
      <c r="AI21" s="244"/>
      <c r="AJ21" s="244"/>
      <c r="AK21" s="245"/>
      <c r="AL21" s="244"/>
    </row>
    <row r="22" spans="1:38" ht="47.25" customHeight="1">
      <c r="B22" s="252"/>
      <c r="C22" s="244"/>
      <c r="D22" s="244"/>
      <c r="E22" s="245"/>
      <c r="F22" s="245"/>
      <c r="G22" s="245"/>
      <c r="H22" s="245"/>
      <c r="I22" s="245"/>
      <c r="J22" s="244"/>
      <c r="K22" s="247"/>
      <c r="L22" s="244"/>
      <c r="M22" s="244"/>
      <c r="N22" s="244"/>
      <c r="O22" s="244"/>
      <c r="P22" s="244"/>
      <c r="Q22" s="244"/>
      <c r="R22" s="246"/>
      <c r="S22" s="244"/>
      <c r="T22" s="246"/>
      <c r="U22" s="246"/>
      <c r="V22" s="246"/>
      <c r="W22" s="246"/>
      <c r="X22" s="244"/>
      <c r="Y22" s="246"/>
      <c r="Z22" s="246"/>
      <c r="AA22" s="246"/>
      <c r="AB22" s="246"/>
      <c r="AC22" s="246"/>
      <c r="AD22" s="246"/>
      <c r="AE22" s="246"/>
      <c r="AF22" s="246"/>
      <c r="AG22" s="244"/>
      <c r="AH22" s="245"/>
      <c r="AI22" s="244"/>
      <c r="AJ22" s="244"/>
      <c r="AK22" s="245"/>
      <c r="AL22" s="244"/>
    </row>
    <row r="23" spans="1:38" ht="18.75" customHeight="1">
      <c r="A23" s="248"/>
      <c r="B23" s="250"/>
      <c r="C23" s="250"/>
      <c r="D23" s="247"/>
      <c r="E23" s="253"/>
      <c r="F23" s="253"/>
      <c r="G23" s="254"/>
      <c r="H23" s="254"/>
      <c r="I23" s="259"/>
      <c r="J23" s="257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5"/>
      <c r="AJ23" s="261"/>
      <c r="AK23" s="261"/>
      <c r="AL23" s="255"/>
    </row>
    <row r="24" spans="1:38" ht="18.75" customHeight="1">
      <c r="A24" s="249"/>
      <c r="B24" s="251"/>
      <c r="C24" s="252"/>
      <c r="D24" s="244"/>
      <c r="E24" s="254"/>
      <c r="F24" s="254"/>
      <c r="G24" s="258"/>
      <c r="H24" s="258"/>
      <c r="I24" s="259"/>
      <c r="J24" s="257"/>
      <c r="K24" s="49"/>
      <c r="L24" s="50"/>
      <c r="M24" s="50"/>
      <c r="N24" s="51"/>
      <c r="O24" s="50"/>
      <c r="P24" s="52"/>
      <c r="Q24" s="50"/>
      <c r="R24" s="52"/>
      <c r="S24" s="50"/>
      <c r="T24" s="52"/>
      <c r="U24" s="50"/>
      <c r="V24" s="52"/>
      <c r="W24" s="50"/>
      <c r="X24" s="52"/>
      <c r="Y24" s="50"/>
      <c r="Z24" s="52"/>
      <c r="AA24" s="50"/>
      <c r="AB24" s="52"/>
      <c r="AC24" s="50"/>
      <c r="AD24" s="52"/>
      <c r="AE24" s="50"/>
      <c r="AF24" s="52"/>
      <c r="AG24" s="50"/>
      <c r="AH24" s="45"/>
      <c r="AI24" s="45"/>
      <c r="AJ24" s="261"/>
      <c r="AK24" s="261"/>
      <c r="AL24" s="256"/>
    </row>
    <row r="25" spans="1:38" ht="18.75" customHeight="1">
      <c r="A25" s="249"/>
      <c r="B25" s="251"/>
      <c r="C25" s="252"/>
      <c r="D25" s="244"/>
      <c r="E25" s="254"/>
      <c r="F25" s="254"/>
      <c r="G25" s="258"/>
      <c r="H25" s="258"/>
      <c r="I25" s="259"/>
      <c r="J25" s="257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5"/>
      <c r="AJ25" s="261"/>
      <c r="AK25" s="261"/>
      <c r="AL25" s="256"/>
    </row>
    <row r="26" spans="1:38" ht="18.75" customHeight="1">
      <c r="A26" s="249"/>
      <c r="B26" s="251"/>
      <c r="C26" s="252"/>
      <c r="D26" s="244"/>
      <c r="E26" s="254"/>
      <c r="F26" s="254"/>
      <c r="G26" s="258"/>
      <c r="H26" s="258"/>
      <c r="I26" s="259"/>
      <c r="J26" s="257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46"/>
      <c r="AJ26" s="261"/>
      <c r="AK26" s="261"/>
      <c r="AL26" s="256"/>
    </row>
    <row r="27" spans="1:38" ht="18.75" customHeight="1">
      <c r="A27" s="249"/>
      <c r="B27" s="251"/>
      <c r="C27" s="252"/>
      <c r="D27" s="244"/>
      <c r="E27" s="254"/>
      <c r="F27" s="254"/>
      <c r="G27" s="258"/>
      <c r="H27" s="258"/>
      <c r="I27" s="259"/>
      <c r="J27" s="25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5"/>
      <c r="AJ27" s="261"/>
      <c r="AK27" s="261"/>
      <c r="AL27" s="256"/>
    </row>
    <row r="28" spans="1:38" ht="18.75" customHeight="1">
      <c r="A28" s="249"/>
      <c r="B28" s="251"/>
      <c r="C28" s="252"/>
      <c r="D28" s="244"/>
      <c r="E28" s="254"/>
      <c r="F28" s="254"/>
      <c r="G28" s="258"/>
      <c r="H28" s="258"/>
      <c r="I28" s="259"/>
      <c r="J28" s="257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45"/>
      <c r="AJ28" s="261"/>
      <c r="AK28" s="261"/>
      <c r="AL28" s="256"/>
    </row>
    <row r="29" spans="1:38">
      <c r="A29" s="16"/>
      <c r="B29" s="16"/>
      <c r="C29" s="16"/>
      <c r="D29" s="16"/>
      <c r="E29" s="16"/>
      <c r="F29" s="16"/>
      <c r="I29" s="5"/>
      <c r="J29" s="5"/>
      <c r="AL29" s="5"/>
    </row>
    <row r="30" spans="1:38">
      <c r="I30" s="5"/>
      <c r="J30" s="5"/>
      <c r="AL30" s="5"/>
    </row>
    <row r="31" spans="1:38">
      <c r="I31" s="5"/>
      <c r="J31" s="5"/>
      <c r="AL31" s="5"/>
    </row>
    <row r="32" spans="1:38">
      <c r="I32" s="5"/>
      <c r="J32" s="5"/>
      <c r="AL32" s="5"/>
    </row>
    <row r="33" spans="9:38">
      <c r="I33" s="5"/>
      <c r="J33" s="5"/>
      <c r="AL33" s="5"/>
    </row>
    <row r="34" spans="9:38">
      <c r="I34" s="5"/>
      <c r="J34" s="5"/>
      <c r="AL34" s="5"/>
    </row>
    <row r="35" spans="9:38">
      <c r="I35" s="5"/>
      <c r="J35" s="5"/>
    </row>
    <row r="36" spans="9:38">
      <c r="I36" s="5"/>
      <c r="J36" s="5"/>
    </row>
    <row r="37" spans="9:38">
      <c r="I37" s="5"/>
      <c r="J37" s="5"/>
    </row>
    <row r="38" spans="9:38">
      <c r="I38" s="5"/>
      <c r="J38" s="5"/>
    </row>
    <row r="39" spans="9:38">
      <c r="I39" s="5"/>
      <c r="J39" s="5"/>
    </row>
    <row r="40" spans="9:38">
      <c r="I40" s="5"/>
      <c r="J40" s="5"/>
    </row>
    <row r="41" spans="9:38">
      <c r="I41" s="5"/>
      <c r="J41" s="5"/>
    </row>
    <row r="42" spans="9:38">
      <c r="I42" s="5"/>
      <c r="J42" s="5"/>
    </row>
    <row r="43" spans="9:38">
      <c r="I43" s="5"/>
      <c r="J43" s="5"/>
    </row>
    <row r="44" spans="9:38">
      <c r="I44" s="5"/>
      <c r="J44" s="5"/>
    </row>
    <row r="45" spans="9:38">
      <c r="I45" s="5"/>
      <c r="J45" s="5"/>
    </row>
    <row r="46" spans="9:38">
      <c r="I46" s="5"/>
      <c r="J46" s="5"/>
    </row>
    <row r="47" spans="9:38">
      <c r="I47" s="5"/>
      <c r="J47" s="5"/>
    </row>
    <row r="48" spans="9:38">
      <c r="I48" s="5"/>
      <c r="J48" s="5"/>
    </row>
    <row r="49" spans="9:10">
      <c r="I49" s="5"/>
      <c r="J49" s="5"/>
    </row>
    <row r="50" spans="9:10">
      <c r="I50" s="5"/>
      <c r="J50" s="5"/>
    </row>
    <row r="51" spans="9:10">
      <c r="I51" s="5"/>
      <c r="J51" s="5"/>
    </row>
    <row r="52" spans="9:10">
      <c r="I52" s="5"/>
      <c r="J52" s="5"/>
    </row>
    <row r="53" spans="9:10">
      <c r="I53" s="5"/>
      <c r="J53" s="5"/>
    </row>
    <row r="54" spans="9:10">
      <c r="I54" s="5"/>
      <c r="J54" s="5"/>
    </row>
    <row r="55" spans="9:10">
      <c r="I55" s="5"/>
      <c r="J55" s="5"/>
    </row>
    <row r="56" spans="9:10">
      <c r="I56" s="5"/>
      <c r="J56" s="5"/>
    </row>
    <row r="57" spans="9:10">
      <c r="I57" s="5"/>
      <c r="J57" s="5"/>
    </row>
    <row r="58" spans="9:10">
      <c r="I58" s="5"/>
      <c r="J58" s="5"/>
    </row>
    <row r="59" spans="9:10">
      <c r="I59" s="5"/>
      <c r="J59" s="5"/>
    </row>
    <row r="309" spans="5:5">
      <c r="E309" s="3" t="s">
        <v>105</v>
      </c>
    </row>
  </sheetData>
  <mergeCells count="112">
    <mergeCell ref="B1:D5"/>
    <mergeCell ref="E1:M5"/>
    <mergeCell ref="N1:Q1"/>
    <mergeCell ref="N2:Q2"/>
    <mergeCell ref="N3:Q3"/>
    <mergeCell ref="N5:Q5"/>
    <mergeCell ref="H11:H12"/>
    <mergeCell ref="I11:I12"/>
    <mergeCell ref="J11:J12"/>
    <mergeCell ref="K11:K12"/>
    <mergeCell ref="L11:L12"/>
    <mergeCell ref="B6:D6"/>
    <mergeCell ref="E6:M6"/>
    <mergeCell ref="N6:Q6"/>
    <mergeCell ref="A11:A12"/>
    <mergeCell ref="B11:B12"/>
    <mergeCell ref="C11:C12"/>
    <mergeCell ref="D11:D12"/>
    <mergeCell ref="E11:E12"/>
    <mergeCell ref="F11:F12"/>
    <mergeCell ref="G11:G12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P11:P12"/>
    <mergeCell ref="Q11:Q12"/>
    <mergeCell ref="R11:R12"/>
    <mergeCell ref="AK11:AK12"/>
    <mergeCell ref="AL11:AL12"/>
    <mergeCell ref="AE11:AE12"/>
    <mergeCell ref="AF11:AF12"/>
    <mergeCell ref="AG11:AG12"/>
    <mergeCell ref="AH11:AH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A13:A18"/>
    <mergeCell ref="B13:B18"/>
    <mergeCell ref="C13:C18"/>
    <mergeCell ref="D13:D18"/>
    <mergeCell ref="E13:E18"/>
    <mergeCell ref="F13:F18"/>
    <mergeCell ref="M21:M22"/>
    <mergeCell ref="N21:N22"/>
    <mergeCell ref="O21:O22"/>
    <mergeCell ref="B21:B22"/>
    <mergeCell ref="C21:C22"/>
    <mergeCell ref="D21:D22"/>
    <mergeCell ref="E21:E22"/>
    <mergeCell ref="F21:F22"/>
    <mergeCell ref="G21:G22"/>
    <mergeCell ref="AK13:AK18"/>
    <mergeCell ref="AL13:AL18"/>
    <mergeCell ref="J16:J18"/>
    <mergeCell ref="G13:G18"/>
    <mergeCell ref="H13:H18"/>
    <mergeCell ref="I13:I18"/>
    <mergeCell ref="J13:J15"/>
    <mergeCell ref="AJ13:AJ18"/>
    <mergeCell ref="P21:P22"/>
    <mergeCell ref="Q21:Q22"/>
    <mergeCell ref="R21:R22"/>
    <mergeCell ref="H21:H22"/>
    <mergeCell ref="I21:I22"/>
    <mergeCell ref="J21:J22"/>
    <mergeCell ref="K21:K22"/>
    <mergeCell ref="L21:L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AJ23:AJ28"/>
    <mergeCell ref="AK23:AK28"/>
    <mergeCell ref="AL23:AL28"/>
    <mergeCell ref="J26:J28"/>
    <mergeCell ref="AK21:AK22"/>
    <mergeCell ref="AL21:AL22"/>
    <mergeCell ref="AF21:AF22"/>
    <mergeCell ref="AG21:AG22"/>
    <mergeCell ref="AH21:AH22"/>
    <mergeCell ref="AI21:AI22"/>
    <mergeCell ref="AJ21:AJ22"/>
    <mergeCell ref="A23:A28"/>
    <mergeCell ref="B23:B28"/>
    <mergeCell ref="C23:C28"/>
    <mergeCell ref="D23:D28"/>
    <mergeCell ref="E23:E28"/>
    <mergeCell ref="F23:F28"/>
    <mergeCell ref="G23:G28"/>
    <mergeCell ref="H23:H28"/>
    <mergeCell ref="AE21:AE22"/>
    <mergeCell ref="Y21:Y22"/>
    <mergeCell ref="Z21:Z22"/>
    <mergeCell ref="W21:W22"/>
    <mergeCell ref="X21:X22"/>
    <mergeCell ref="I23:I28"/>
    <mergeCell ref="J23:J25"/>
  </mergeCells>
  <pageMargins left="0.56999999999999995" right="0.37" top="0.41" bottom="0.47" header="0" footer="0"/>
  <pageSetup scale="59" orientation="landscape" r:id="rId1"/>
  <headerFooter alignWithMargins="0"/>
  <colBreaks count="1" manualBreakCount="1">
    <brk id="37" max="1048575" man="1"/>
  </colBreaks>
  <drawing r:id="rId2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>Carla Nicol Adasme Valdivia</cp:lastModifiedBy>
  <cp:revision/>
  <dcterms:created xsi:type="dcterms:W3CDTF">2008-08-20T14:03:15Z</dcterms:created>
  <dcterms:modified xsi:type="dcterms:W3CDTF">2026-02-18T18:57:18Z</dcterms:modified>
  <cp:category/>
  <cp:contentStatus/>
</cp:coreProperties>
</file>