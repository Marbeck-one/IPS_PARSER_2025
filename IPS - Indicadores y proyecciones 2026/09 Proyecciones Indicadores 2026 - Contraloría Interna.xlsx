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14" documentId="13_ncr:1_{74194400-E698-43DD-A624-ED0AB369DDA7}" xr6:coauthVersionLast="47" xr6:coauthVersionMax="47" xr10:uidLastSave="{D556263A-8680-4AB2-973E-7D47B40EFC93}"/>
  <bookViews>
    <workbookView xWindow="-110" yWindow="-110" windowWidth="19420" windowHeight="11500" xr2:uid="{00000000-000D-0000-FFFF-FFFF00000000}"/>
  </bookViews>
  <sheets>
    <sheet name="CDC 2026" sheetId="1" r:id="rId1"/>
  </sheets>
  <definedNames>
    <definedName name="_xlnm._FilterDatabase" localSheetId="0" hidden="1">'CDC 2026'!$A$11:$AM$49</definedName>
    <definedName name="_xlnm.Print_Area" localSheetId="0">'CDC 2026'!$A$1:$AM$30</definedName>
    <definedName name="_xlnm.Print_Titles" localSheetId="0">'CDC 2026'!$11:$12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8" i="1" l="1"/>
  <c r="J49" i="1"/>
  <c r="O48" i="1"/>
  <c r="Q48" i="1" s="1"/>
  <c r="S48" i="1" s="1"/>
  <c r="U48" i="1" s="1"/>
  <c r="W48" i="1" s="1"/>
  <c r="Y48" i="1" s="1"/>
  <c r="AA48" i="1" s="1"/>
  <c r="AC48" i="1" s="1"/>
  <c r="AE48" i="1" s="1"/>
  <c r="AG48" i="1" s="1"/>
  <c r="AI48" i="1" s="1"/>
  <c r="O46" i="1"/>
  <c r="Q46" i="1" s="1"/>
  <c r="AH44" i="1"/>
  <c r="AF44" i="1"/>
  <c r="AD44" i="1"/>
  <c r="AB44" i="1"/>
  <c r="Z44" i="1"/>
  <c r="X44" i="1"/>
  <c r="V44" i="1"/>
  <c r="T44" i="1"/>
  <c r="R44" i="1"/>
  <c r="P44" i="1"/>
  <c r="O44" i="1"/>
  <c r="N44" i="1"/>
  <c r="M44" i="1"/>
  <c r="L44" i="1"/>
  <c r="I43" i="1" s="1"/>
  <c r="Q44" i="1" l="1"/>
  <c r="S46" i="1"/>
  <c r="U42" i="1"/>
  <c r="W42" i="1" s="1"/>
  <c r="Y42" i="1" s="1"/>
  <c r="AA42" i="1" s="1"/>
  <c r="AC42" i="1" s="1"/>
  <c r="AE42" i="1" s="1"/>
  <c r="AG42" i="1" s="1"/>
  <c r="AI42" i="1" s="1"/>
  <c r="S42" i="1"/>
  <c r="Q42" i="1"/>
  <c r="O42" i="1"/>
  <c r="Q40" i="1"/>
  <c r="S40" i="1" s="1"/>
  <c r="U40" i="1" s="1"/>
  <c r="W40" i="1" s="1"/>
  <c r="Y40" i="1" s="1"/>
  <c r="AA40" i="1" s="1"/>
  <c r="AC40" i="1" s="1"/>
  <c r="AE40" i="1" s="1"/>
  <c r="AG40" i="1" s="1"/>
  <c r="AI40" i="1" s="1"/>
  <c r="O40" i="1"/>
  <c r="O38" i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/>
  <c r="U46" i="1" l="1"/>
  <c r="S44" i="1"/>
  <c r="Q38" i="1"/>
  <c r="W46" i="1" l="1"/>
  <c r="U44" i="1"/>
  <c r="S38" i="1"/>
  <c r="Y46" i="1" l="1"/>
  <c r="W44" i="1"/>
  <c r="U38" i="1"/>
  <c r="AA46" i="1" l="1"/>
  <c r="Y44" i="1"/>
  <c r="W38" i="1"/>
  <c r="AC46" i="1" l="1"/>
  <c r="AA44" i="1"/>
  <c r="Y38" i="1"/>
  <c r="AC44" i="1" l="1"/>
  <c r="AE46" i="1"/>
  <c r="AA38" i="1"/>
  <c r="AE44" i="1" l="1"/>
  <c r="AG46" i="1"/>
  <c r="AC38" i="1"/>
  <c r="AG44" i="1" l="1"/>
  <c r="AI46" i="1"/>
  <c r="AI44" i="1" s="1"/>
  <c r="AJ46" i="1" s="1"/>
  <c r="AE38" i="1"/>
  <c r="AI38" i="1" l="1"/>
  <c r="AJ40" i="1" s="1"/>
  <c r="AG38" i="1"/>
  <c r="O36" i="1" l="1"/>
  <c r="Q36" i="1" s="1"/>
  <c r="S36" i="1" s="1"/>
  <c r="U36" i="1" s="1"/>
  <c r="W36" i="1" s="1"/>
  <c r="Y36" i="1" s="1"/>
  <c r="AA36" i="1" s="1"/>
  <c r="AC36" i="1" s="1"/>
  <c r="AE36" i="1" s="1"/>
  <c r="AG36" i="1" s="1"/>
  <c r="AI36" i="1" s="1"/>
  <c r="O34" i="1"/>
  <c r="O30" i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O28" i="1"/>
  <c r="O24" i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O22" i="1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Q16" i="1" s="1"/>
  <c r="O32" i="1" l="1"/>
  <c r="O20" i="1"/>
  <c r="Q14" i="1"/>
  <c r="S16" i="1"/>
  <c r="O26" i="1"/>
  <c r="Q28" i="1"/>
  <c r="Q34" i="1"/>
  <c r="Q22" i="1"/>
  <c r="AH32" i="1"/>
  <c r="AH26" i="1"/>
  <c r="AH20" i="1"/>
  <c r="AH14" i="1"/>
  <c r="AF32" i="1"/>
  <c r="AF26" i="1"/>
  <c r="AF20" i="1"/>
  <c r="AF14" i="1"/>
  <c r="AD32" i="1"/>
  <c r="AD26" i="1"/>
  <c r="AD20" i="1"/>
  <c r="AD14" i="1"/>
  <c r="AB32" i="1"/>
  <c r="AB26" i="1"/>
  <c r="AB20" i="1"/>
  <c r="AB14" i="1"/>
  <c r="Z32" i="1"/>
  <c r="Z26" i="1"/>
  <c r="Z20" i="1"/>
  <c r="Z14" i="1"/>
  <c r="X32" i="1"/>
  <c r="X26" i="1"/>
  <c r="X20" i="1"/>
  <c r="X14" i="1"/>
  <c r="V32" i="1"/>
  <c r="V26" i="1"/>
  <c r="V20" i="1"/>
  <c r="V14" i="1"/>
  <c r="T32" i="1"/>
  <c r="T26" i="1"/>
  <c r="T20" i="1"/>
  <c r="T14" i="1"/>
  <c r="R32" i="1"/>
  <c r="R26" i="1"/>
  <c r="R20" i="1"/>
  <c r="R14" i="1"/>
  <c r="P32" i="1"/>
  <c r="P26" i="1"/>
  <c r="P20" i="1"/>
  <c r="P14" i="1"/>
  <c r="Q32" i="1" l="1"/>
  <c r="S34" i="1"/>
  <c r="Q26" i="1"/>
  <c r="S28" i="1"/>
  <c r="S14" i="1"/>
  <c r="U16" i="1"/>
  <c r="S22" i="1"/>
  <c r="Q20" i="1"/>
  <c r="N26" i="1"/>
  <c r="M26" i="1"/>
  <c r="L26" i="1"/>
  <c r="I25" i="1" s="1"/>
  <c r="N32" i="1"/>
  <c r="M32" i="1"/>
  <c r="L32" i="1"/>
  <c r="I31" i="1" s="1"/>
  <c r="N20" i="1"/>
  <c r="M20" i="1"/>
  <c r="L20" i="1"/>
  <c r="I19" i="1" s="1"/>
  <c r="N14" i="1"/>
  <c r="M14" i="1"/>
  <c r="L14" i="1"/>
  <c r="I13" i="1" s="1"/>
  <c r="U22" i="1" l="1"/>
  <c r="S20" i="1"/>
  <c r="U14" i="1"/>
  <c r="W16" i="1"/>
  <c r="S26" i="1"/>
  <c r="U28" i="1"/>
  <c r="S32" i="1"/>
  <c r="U34" i="1"/>
  <c r="O14" i="1"/>
  <c r="U26" i="1" l="1"/>
  <c r="W28" i="1"/>
  <c r="U32" i="1"/>
  <c r="W34" i="1"/>
  <c r="W14" i="1"/>
  <c r="Y16" i="1"/>
  <c r="U20" i="1"/>
  <c r="W22" i="1"/>
  <c r="W20" i="1" l="1"/>
  <c r="Y22" i="1"/>
  <c r="Y14" i="1"/>
  <c r="AA16" i="1"/>
  <c r="W26" i="1"/>
  <c r="Y28" i="1"/>
  <c r="W32" i="1"/>
  <c r="Y34" i="1"/>
  <c r="Y32" i="1" l="1"/>
  <c r="AA34" i="1"/>
  <c r="Y26" i="1"/>
  <c r="AA28" i="1"/>
  <c r="Y20" i="1"/>
  <c r="AA22" i="1"/>
  <c r="AA14" i="1"/>
  <c r="AC16" i="1"/>
  <c r="AC14" i="1" l="1"/>
  <c r="AE16" i="1"/>
  <c r="AA20" i="1"/>
  <c r="AC22" i="1"/>
  <c r="AA32" i="1"/>
  <c r="AC34" i="1"/>
  <c r="AA26" i="1"/>
  <c r="AE14" i="1" l="1"/>
  <c r="AG16" i="1"/>
  <c r="AC26" i="1"/>
  <c r="AE28" i="1"/>
  <c r="AC32" i="1"/>
  <c r="AE34" i="1"/>
  <c r="AC20" i="1"/>
  <c r="AE22" i="1"/>
  <c r="AG14" i="1" l="1"/>
  <c r="AI16" i="1"/>
  <c r="AI14" i="1" s="1"/>
  <c r="AJ16" i="1" s="1"/>
  <c r="AE20" i="1"/>
  <c r="AG22" i="1"/>
  <c r="AE26" i="1"/>
  <c r="AG28" i="1"/>
  <c r="AE32" i="1"/>
  <c r="AG34" i="1"/>
  <c r="AG20" i="1" l="1"/>
  <c r="AI22" i="1"/>
  <c r="AI20" i="1" s="1"/>
  <c r="AJ22" i="1" s="1"/>
  <c r="AI34" i="1"/>
  <c r="AI32" i="1" s="1"/>
  <c r="AJ34" i="1" s="1"/>
  <c r="AG32" i="1"/>
  <c r="AG26" i="1"/>
  <c r="AI28" i="1"/>
  <c r="AI26" i="1" s="1"/>
  <c r="AJ28" i="1" s="1"/>
</calcChain>
</file>

<file path=xl/sharedStrings.xml><?xml version="1.0" encoding="utf-8"?>
<sst xmlns="http://schemas.openxmlformats.org/spreadsheetml/2006/main" count="553" uniqueCount="97">
  <si>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</si>
  <si>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</si>
  <si>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</si>
  <si>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</si>
  <si>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</si>
  <si>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</si>
  <si>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</si>
  <si>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</si>
  <si>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</si>
  <si>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</si>
  <si>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</si>
  <si>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</si>
  <si>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</si>
  <si>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</si>
  <si>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</si>
  <si>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</si>
  <si>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</si>
  <si>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</si>
  <si>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</si>
  <si>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</si>
  <si>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</si>
  <si>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</si>
  <si>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</si>
  <si>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</si>
  <si>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</si>
  <si>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</si>
  <si>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</si>
  <si>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</si>
  <si>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</si>
  <si>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</si>
  <si>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</si>
  <si>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</si>
  <si>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</si>
  <si>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</si>
  <si>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 xml:space="preserve">Fecha: </t>
  </si>
  <si>
    <t xml:space="preserve">Aprobado por: </t>
  </si>
  <si>
    <t>Revisado por:</t>
  </si>
  <si>
    <t>PRODUCTO O PROCESO ESPECÍFICO</t>
  </si>
  <si>
    <t>DIVISIÓN PLANIFICACIÓN</t>
  </si>
  <si>
    <t>Y DESARROLLO</t>
  </si>
  <si>
    <t>RESPONSABLE CENTRO DE RESPONSABILIDAD</t>
  </si>
  <si>
    <t>SUPERVISORES</t>
  </si>
  <si>
    <t xml:space="preserve">Valor indicador=   </t>
  </si>
  <si>
    <t xml:space="preserve">Operando 1=   </t>
  </si>
  <si>
    <t xml:space="preserve">Operando 2=    </t>
  </si>
  <si>
    <t>NÚMERO</t>
  </si>
  <si>
    <t>Instrumentos de Gestión Asociados</t>
  </si>
  <si>
    <t>Control de Cambios</t>
  </si>
  <si>
    <t>Ponderador</t>
  </si>
  <si>
    <t>5.- Proceso de Apoyo                                                5.8.- Contraloria                                                      5.8.1.- Auditoria Interna</t>
  </si>
  <si>
    <t>CENTRO DE RESPONSABILIDAD: DEPARTAMENTO CONTRALORIA INTERNA</t>
  </si>
  <si>
    <t>Depto Contraloria Interna</t>
  </si>
  <si>
    <t>Boris Peralta Jara</t>
  </si>
  <si>
    <t>José Silva Calderon</t>
  </si>
  <si>
    <t>CDC. Depto. Contraloria</t>
  </si>
  <si>
    <t>CDC: Contraloría Interna</t>
  </si>
  <si>
    <r>
      <t xml:space="preserve">1) Eficacia/Proceso
</t>
    </r>
    <r>
      <rPr>
        <sz val="8"/>
        <rFont val="Arial Narrow"/>
        <family val="2"/>
      </rPr>
      <t>Porcentaje de certificaciones ejecutadas de acuerdo con la Planificación anual del Departamento en el año t.</t>
    </r>
  </si>
  <si>
    <t>(Sumatoria de certificaciones ejecutadas de la Planificación anual del departamento en el año t./ Número total de certificaciones programadas de la Planificación anual del departamento en el año t) *100</t>
  </si>
  <si>
    <t>Número total de certificaciones programadas de la Planificación anual del departamento en el año t) *100</t>
  </si>
  <si>
    <t>Sumatoria de certificaciones ejecutadas de la Planificación anual del departamento en el año t</t>
  </si>
  <si>
    <r>
      <rPr>
        <b/>
        <u/>
        <sz val="8"/>
        <rFont val="Arial Narrow"/>
        <family val="2"/>
      </rPr>
      <t>2) Eficacia/Proceso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informes emitidos de acuerdo con la Planificación anual del Departamento en el año t.
</t>
    </r>
  </si>
  <si>
    <t xml:space="preserve">(Sumatoria de informes emitidos de acuerdo con la planificación anual el año t./ Número total de informes de acuerdo con la planificación anual en el año t) *100
</t>
  </si>
  <si>
    <t>Número total de informes de acuerdo con la planificación anual en el año t) *100</t>
  </si>
  <si>
    <t>Sumatoria de informes emitidos de acuerdo con la planificación anual el año t</t>
  </si>
  <si>
    <t>Sumatoria total de las emisiones de pago validadas en el año t) *100</t>
  </si>
  <si>
    <r>
      <t xml:space="preserve">5) Eficacia/Proceso
</t>
    </r>
    <r>
      <rPr>
        <sz val="8"/>
        <color theme="1"/>
        <rFont val="Arial Narrow"/>
        <family val="2"/>
      </rPr>
      <t>Porcentaje de reuniones/ capacitaciones realizadas respecto de los hallazgos y temáticas propias de Contraloría en el año t</t>
    </r>
  </si>
  <si>
    <t>(N° de reuniones/capacitaciones realizadas respecto de los hallazgos y temática propias de Contraloría en el año t / Total de reuniones/ capacitaciones planificadas en el año t)*100</t>
  </si>
  <si>
    <t>Total de reuniones/ capacitaciones planificadas en el año t)*100</t>
  </si>
  <si>
    <t>N° de reuniones/capacitaciones realizadas respecto de los hallazgos y temática propias de Contraloría en el año t</t>
  </si>
  <si>
    <t>5.8.1.43</t>
  </si>
  <si>
    <t>5.8.1.44</t>
  </si>
  <si>
    <t>Cumplimiento
Proyectado
2025</t>
  </si>
  <si>
    <t>Reportes/Informes
-	Oficio semestral al director nacional informando las Certificaciones realizadas.
-	Planificación anual de certificaciones e Informes del Departamento.</t>
  </si>
  <si>
    <t>Reportes/Informes
-	Oficio semestral al director nacional indicando los informes realizados.
-	Planificación anual de certificaciones e Informes del Departamento.</t>
  </si>
  <si>
    <t>Reportes/Informes
-	Informe mensual de las emisiones de pago validadas emitido por el Departamento de Contraloría Interna.</t>
  </si>
  <si>
    <t>Reportes/Informes
-	Plan de ejecución de reuniones/capacitaciones respecto de los hallazgos y temática propias de Contraloría.
-	Medios de verificación de las actividades definidas en el plan.</t>
  </si>
  <si>
    <t>CONVENIO DE DESEMPEÑO COLECTIVO 2026</t>
  </si>
  <si>
    <t>Meta 2026</t>
  </si>
  <si>
    <r>
      <rPr>
        <b/>
        <u/>
        <sz val="8"/>
        <rFont val="Arial Narrow"/>
        <family val="2"/>
      </rPr>
      <t>3) Eficacia/Proceso</t>
    </r>
    <r>
      <rPr>
        <sz val="8"/>
        <rFont val="Arial Narrow"/>
        <family val="2"/>
      </rPr>
      <t xml:space="preserve">
Porcentaje de emisiones de pago validadas en un plazo máximo de 3 días hábiles en el año t.
</t>
    </r>
  </si>
  <si>
    <t>(Sumatoria de emisiones de pago validadas en un plazo máximo de 3 días hábiles en el año t/Sumatoria total de las emisiones de pago validadas en el año t) *100</t>
  </si>
  <si>
    <t>(Sumatoria de emisiones de pago validadas en un plazo máximo de 3 días hábiles en el año t</t>
  </si>
  <si>
    <r>
      <rPr>
        <b/>
        <sz val="8"/>
        <rFont val="Arial Narrow"/>
        <family val="2"/>
      </rPr>
      <t>4)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 xml:space="preserve">Porcentaje de participación en actividades de Sensibilización en aspectos de la NCh3262 realizadas en el Departamento.
</t>
    </r>
  </si>
  <si>
    <t>N° de actividades de Sensibilización planificadas para el periodo) *100</t>
  </si>
  <si>
    <t>N° participación de actividades de Sensibilización implementadas en el periodo</t>
  </si>
  <si>
    <t>(N° participación de actividades de Sensibilización implementadas en el periodo / N° de actividades de Sensibilización planificadas para el periodo) *100</t>
  </si>
  <si>
    <t>Reportes/Informes
-	Plan de Sensibilización de la Norma NCh 3262.
-	Medios de verificación de las actividades definidas en el plan.</t>
  </si>
  <si>
    <r>
      <t xml:space="preserve">6) Eficacia/Proceso
</t>
    </r>
    <r>
      <rPr>
        <sz val="8"/>
        <color theme="1"/>
        <rFont val="Arial Narrow"/>
        <family val="2"/>
      </rPr>
      <t>Porcentaje de actividades cumplidas del plan de acción para certificaciones de la Reforma Previsional Ley 21.735.- en el Departamento de Contraloría.</t>
    </r>
  </si>
  <si>
    <t>(Cantidad de actividades cumplidas del plan de acción para certificaciones de la Reforma Previsional en el año t / Cantidad Total de actividades definidas en el plan de acción en el año t) *100</t>
  </si>
  <si>
    <t>Cantidad Total de actividades definidas en el plan de acción en el año t) *100</t>
  </si>
  <si>
    <t>Cantidad de actividades cumplidas del plan de acción para certificaciones de la Reforma Previsional en el año t</t>
  </si>
  <si>
    <t>Reportes/Informes
-	Plan de acción para certificaciones de la Reforma Previsional
-	Informe de las acciones realizadas para las certificaciones de la Reforma Previsional Ley 21.735.</t>
  </si>
  <si>
    <t>5.8.1.48</t>
  </si>
  <si>
    <t>5.8.1.49</t>
  </si>
  <si>
    <t>5.8.1.50</t>
  </si>
  <si>
    <t>5.8.1.51</t>
  </si>
  <si>
    <t>Operando 1=   18</t>
  </si>
  <si>
    <t>Operando 2=   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</si>
</sst>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%"/>
  </numFmts>
  <fonts count="16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u/>
      <sz val="8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b/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7" fillId="0" borderId="6" xfId="0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9" fontId="4" fillId="0" borderId="1" xfId="4" applyFont="1" applyBorder="1" applyAlignment="1">
      <alignment vertical="center"/>
    </xf>
    <xf numFmtId="10" fontId="4" fillId="5" borderId="2" xfId="4" applyNumberFormat="1" applyFont="1" applyFill="1" applyBorder="1" applyAlignment="1" applyProtection="1">
      <alignment horizontal="right" vertical="center"/>
    </xf>
    <xf numFmtId="9" fontId="4" fillId="0" borderId="2" xfId="4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3" fontId="4" fillId="6" borderId="2" xfId="0" applyNumberFormat="1" applyFont="1" applyFill="1" applyBorder="1" applyAlignment="1">
      <alignment horizontal="right" vertical="center" wrapText="1"/>
    </xf>
    <xf numFmtId="3" fontId="4" fillId="3" borderId="2" xfId="0" applyNumberFormat="1" applyFont="1" applyFill="1" applyBorder="1" applyAlignment="1">
      <alignment horizontal="right" vertical="center" wrapText="1"/>
    </xf>
    <xf numFmtId="10" fontId="4" fillId="0" borderId="2" xfId="4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left" vertical="center" wrapText="1"/>
    </xf>
    <xf numFmtId="3" fontId="4" fillId="6" borderId="9" xfId="0" applyNumberFormat="1" applyFont="1" applyFill="1" applyBorder="1" applyAlignment="1">
      <alignment horizontal="right" vertical="center" wrapText="1"/>
    </xf>
    <xf numFmtId="3" fontId="4" fillId="3" borderId="9" xfId="0" applyNumberFormat="1" applyFont="1" applyFill="1" applyBorder="1" applyAlignment="1">
      <alignment horizontal="right" vertical="center" wrapText="1"/>
    </xf>
    <xf numFmtId="9" fontId="4" fillId="0" borderId="9" xfId="4" applyFont="1" applyBorder="1" applyAlignment="1">
      <alignment vertical="center"/>
    </xf>
    <xf numFmtId="0" fontId="4" fillId="4" borderId="7" xfId="0" applyFont="1" applyFill="1" applyBorder="1" applyAlignment="1">
      <alignment horizontal="left" vertical="center" wrapText="1"/>
    </xf>
    <xf numFmtId="9" fontId="4" fillId="0" borderId="1" xfId="4" applyFont="1" applyFill="1" applyBorder="1" applyAlignment="1">
      <alignment vertical="center"/>
    </xf>
    <xf numFmtId="10" fontId="4" fillId="5" borderId="2" xfId="4" applyNumberFormat="1" applyFont="1" applyFill="1" applyBorder="1" applyAlignment="1" applyProtection="1">
      <alignment vertical="center"/>
    </xf>
    <xf numFmtId="10" fontId="4" fillId="4" borderId="8" xfId="4" applyNumberFormat="1" applyFont="1" applyFill="1" applyBorder="1" applyAlignment="1" applyProtection="1">
      <alignment vertical="center"/>
    </xf>
    <xf numFmtId="9" fontId="4" fillId="0" borderId="2" xfId="4" applyFont="1" applyFill="1" applyBorder="1" applyAlignment="1">
      <alignment vertical="center"/>
    </xf>
    <xf numFmtId="0" fontId="4" fillId="4" borderId="8" xfId="0" applyFont="1" applyFill="1" applyBorder="1" applyAlignment="1">
      <alignment horizontal="left" vertical="center" wrapText="1"/>
    </xf>
    <xf numFmtId="3" fontId="4" fillId="5" borderId="2" xfId="0" applyNumberFormat="1" applyFont="1" applyFill="1" applyBorder="1" applyAlignment="1" applyProtection="1">
      <alignment horizontal="right" vertical="center" wrapText="1"/>
      <protection locked="0"/>
    </xf>
    <xf numFmtId="3" fontId="4" fillId="4" borderId="8" xfId="0" applyNumberFormat="1" applyFont="1" applyFill="1" applyBorder="1" applyAlignment="1">
      <alignment horizontal="right" vertical="center" wrapText="1"/>
    </xf>
    <xf numFmtId="10" fontId="4" fillId="0" borderId="2" xfId="4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left" vertical="center" wrapText="1"/>
    </xf>
    <xf numFmtId="3" fontId="4" fillId="5" borderId="9" xfId="0" applyNumberFormat="1" applyFont="1" applyFill="1" applyBorder="1" applyAlignment="1">
      <alignment horizontal="right" vertical="center" wrapText="1"/>
    </xf>
    <xf numFmtId="9" fontId="4" fillId="0" borderId="9" xfId="4" applyFont="1" applyFill="1" applyBorder="1" applyAlignment="1">
      <alignment vertical="center"/>
    </xf>
    <xf numFmtId="3" fontId="4" fillId="5" borderId="2" xfId="0" applyNumberFormat="1" applyFont="1" applyFill="1" applyBorder="1" applyAlignment="1">
      <alignment horizontal="right" vertical="center" wrapText="1"/>
    </xf>
    <xf numFmtId="10" fontId="4" fillId="3" borderId="2" xfId="4" applyNumberFormat="1" applyFont="1" applyFill="1" applyBorder="1" applyAlignment="1" applyProtection="1">
      <alignment horizontal="right" vertical="center"/>
    </xf>
    <xf numFmtId="9" fontId="3" fillId="7" borderId="2" xfId="4" applyFont="1" applyFill="1" applyBorder="1" applyAlignment="1" applyProtection="1">
      <alignment horizontal="right" vertical="center"/>
    </xf>
    <xf numFmtId="10" fontId="3" fillId="7" borderId="2" xfId="4" applyNumberFormat="1" applyFont="1" applyFill="1" applyBorder="1" applyAlignment="1" applyProtection="1">
      <alignment horizontal="right" vertical="center"/>
    </xf>
    <xf numFmtId="3" fontId="4" fillId="4" borderId="9" xfId="0" applyNumberFormat="1" applyFont="1" applyFill="1" applyBorder="1" applyAlignment="1">
      <alignment horizontal="right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9" fontId="12" fillId="0" borderId="1" xfId="4" applyFont="1" applyBorder="1" applyAlignment="1">
      <alignment vertical="center"/>
    </xf>
    <xf numFmtId="10" fontId="11" fillId="7" borderId="2" xfId="4" applyNumberFormat="1" applyFont="1" applyFill="1" applyBorder="1" applyAlignment="1" applyProtection="1">
      <alignment horizontal="right" vertical="center"/>
    </xf>
    <xf numFmtId="10" fontId="12" fillId="3" borderId="2" xfId="4" applyNumberFormat="1" applyFont="1" applyFill="1" applyBorder="1" applyAlignment="1" applyProtection="1">
      <alignment horizontal="right" vertical="center"/>
    </xf>
    <xf numFmtId="10" fontId="12" fillId="2" borderId="8" xfId="4" applyNumberFormat="1" applyFont="1" applyFill="1" applyBorder="1" applyAlignment="1" applyProtection="1">
      <alignment vertical="center"/>
    </xf>
    <xf numFmtId="9" fontId="12" fillId="0" borderId="2" xfId="4" applyFont="1" applyBorder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3" fontId="12" fillId="6" borderId="2" xfId="0" applyNumberFormat="1" applyFont="1" applyFill="1" applyBorder="1" applyAlignment="1">
      <alignment horizontal="right" vertical="center" wrapText="1"/>
    </xf>
    <xf numFmtId="10" fontId="12" fillId="0" borderId="2" xfId="4" applyNumberFormat="1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left" vertical="center" wrapText="1"/>
    </xf>
    <xf numFmtId="9" fontId="12" fillId="0" borderId="9" xfId="4" applyFont="1" applyBorder="1" applyAlignment="1">
      <alignment vertical="center"/>
    </xf>
    <xf numFmtId="9" fontId="6" fillId="0" borderId="0" xfId="0" applyNumberFormat="1" applyFont="1"/>
    <xf numFmtId="0" fontId="14" fillId="0" borderId="0" xfId="0" applyFont="1"/>
    <xf numFmtId="0" fontId="15" fillId="0" borderId="0" xfId="0" applyFont="1"/>
    <xf numFmtId="165" fontId="4" fillId="0" borderId="1" xfId="4" applyNumberFormat="1" applyFont="1" applyFill="1" applyBorder="1" applyAlignment="1">
      <alignment horizontal="left" vertical="center" wrapText="1"/>
    </xf>
    <xf numFmtId="165" fontId="4" fillId="0" borderId="2" xfId="4" applyNumberFormat="1" applyFont="1" applyFill="1" applyBorder="1" applyAlignment="1">
      <alignment horizontal="left" vertical="center" wrapText="1"/>
    </xf>
    <xf numFmtId="165" fontId="4" fillId="0" borderId="9" xfId="4" applyNumberFormat="1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165" fontId="4" fillId="0" borderId="1" xfId="4" applyNumberFormat="1" applyFont="1" applyBorder="1" applyAlignment="1">
      <alignment horizontal="left" vertical="center" wrapText="1"/>
    </xf>
    <xf numFmtId="165" fontId="4" fillId="0" borderId="2" xfId="4" applyNumberFormat="1" applyFont="1" applyBorder="1" applyAlignment="1">
      <alignment horizontal="left" vertical="center" wrapText="1"/>
    </xf>
    <xf numFmtId="165" fontId="4" fillId="0" borderId="9" xfId="4" applyNumberFormat="1" applyFont="1" applyBorder="1" applyAlignment="1">
      <alignment horizontal="left" vertical="center" wrapText="1"/>
    </xf>
    <xf numFmtId="165" fontId="4" fillId="4" borderId="1" xfId="4" applyNumberFormat="1" applyFont="1" applyFill="1" applyBorder="1" applyAlignment="1">
      <alignment horizontal="left" vertical="center" wrapText="1"/>
    </xf>
    <xf numFmtId="165" fontId="4" fillId="4" borderId="2" xfId="4" applyNumberFormat="1" applyFont="1" applyFill="1" applyBorder="1" applyAlignment="1">
      <alignment horizontal="left" vertical="center" wrapText="1"/>
    </xf>
    <xf numFmtId="165" fontId="4" fillId="4" borderId="9" xfId="4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0" fontId="4" fillId="8" borderId="2" xfId="2" applyFont="1" applyFill="1" applyBorder="1" applyAlignment="1">
      <alignment horizontal="center" vertical="center"/>
    </xf>
    <xf numFmtId="0" fontId="4" fillId="8" borderId="9" xfId="2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/>
    </xf>
    <xf numFmtId="0" fontId="4" fillId="8" borderId="9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/>
    </xf>
    <xf numFmtId="0" fontId="4" fillId="8" borderId="9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/>
    </xf>
    <xf numFmtId="0" fontId="4" fillId="8" borderId="9" xfId="0" applyFont="1" applyFill="1" applyBorder="1" applyAlignment="1">
      <alignment vertical="center"/>
    </xf>
    <xf numFmtId="9" fontId="4" fillId="8" borderId="1" xfId="4" applyFont="1" applyFill="1" applyBorder="1" applyAlignment="1">
      <alignment horizontal="center" vertical="center" wrapText="1"/>
    </xf>
    <xf numFmtId="9" fontId="4" fillId="8" borderId="2" xfId="4" applyFont="1" applyFill="1" applyBorder="1" applyAlignment="1">
      <alignment horizontal="center" vertical="center" wrapText="1"/>
    </xf>
    <xf numFmtId="9" fontId="4" fillId="8" borderId="9" xfId="4" applyFont="1" applyFill="1" applyBorder="1" applyAlignment="1">
      <alignment horizontal="center" vertical="center" wrapText="1"/>
    </xf>
    <xf numFmtId="1" fontId="4" fillId="8" borderId="1" xfId="0" applyNumberFormat="1" applyFont="1" applyFill="1" applyBorder="1" applyAlignment="1">
      <alignment horizontal="left" vertical="top" wrapText="1"/>
    </xf>
    <xf numFmtId="1" fontId="4" fillId="8" borderId="2" xfId="0" applyNumberFormat="1" applyFont="1" applyFill="1" applyBorder="1" applyAlignment="1">
      <alignment horizontal="left" vertical="top" wrapText="1"/>
    </xf>
    <xf numFmtId="1" fontId="4" fillId="8" borderId="9" xfId="0" applyNumberFormat="1" applyFont="1" applyFill="1" applyBorder="1" applyAlignment="1">
      <alignment horizontal="left" vertical="top" wrapText="1"/>
    </xf>
    <xf numFmtId="9" fontId="4" fillId="8" borderId="2" xfId="0" applyNumberFormat="1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8" borderId="9" xfId="0" applyFont="1" applyFill="1" applyBorder="1" applyAlignment="1">
      <alignment horizontal="left" vertical="top" wrapText="1"/>
    </xf>
    <xf numFmtId="9" fontId="4" fillId="8" borderId="1" xfId="0" applyNumberFormat="1" applyFont="1" applyFill="1" applyBorder="1" applyAlignment="1">
      <alignment horizontal="left" vertical="top" wrapText="1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4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horizontal="left" vertical="top" wrapText="1"/>
    </xf>
    <xf numFmtId="0" fontId="9" fillId="8" borderId="9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left" vertical="top" wrapText="1"/>
    </xf>
    <xf numFmtId="0" fontId="10" fillId="8" borderId="9" xfId="0" applyFont="1" applyFill="1" applyBorder="1" applyAlignment="1">
      <alignment horizontal="left" vertical="top" wrapText="1"/>
    </xf>
    <xf numFmtId="165" fontId="3" fillId="0" borderId="1" xfId="4" applyNumberFormat="1" applyFont="1" applyFill="1" applyBorder="1" applyAlignment="1">
      <alignment horizontal="left" vertical="center" wrapText="1"/>
    </xf>
    <xf numFmtId="165" fontId="3" fillId="0" borderId="2" xfId="4" applyNumberFormat="1" applyFont="1" applyFill="1" applyBorder="1" applyAlignment="1">
      <alignment horizontal="left" vertical="center" wrapText="1"/>
    </xf>
    <xf numFmtId="165" fontId="3" fillId="0" borderId="9" xfId="4" applyNumberFormat="1" applyFont="1" applyFill="1" applyBorder="1" applyAlignment="1">
      <alignment horizontal="left" vertical="center" wrapText="1"/>
    </xf>
    <xf numFmtId="3" fontId="4" fillId="8" borderId="1" xfId="0" applyNumberFormat="1" applyFont="1" applyFill="1" applyBorder="1" applyAlignment="1">
      <alignment horizontal="left" vertical="top" wrapText="1"/>
    </xf>
    <xf numFmtId="3" fontId="4" fillId="8" borderId="2" xfId="0" applyNumberFormat="1" applyFont="1" applyFill="1" applyBorder="1" applyAlignment="1">
      <alignment horizontal="left" vertical="top" wrapText="1"/>
    </xf>
    <xf numFmtId="3" fontId="4" fillId="8" borderId="9" xfId="0" applyNumberFormat="1" applyFont="1" applyFill="1" applyBorder="1" applyAlignment="1">
      <alignment horizontal="left" vertical="top" wrapText="1"/>
    </xf>
    <xf numFmtId="165" fontId="12" fillId="0" borderId="1" xfId="4" applyNumberFormat="1" applyFont="1" applyFill="1" applyBorder="1" applyAlignment="1">
      <alignment horizontal="left" vertical="center" wrapText="1"/>
    </xf>
    <xf numFmtId="165" fontId="12" fillId="0" borderId="2" xfId="4" applyNumberFormat="1" applyFont="1" applyFill="1" applyBorder="1" applyAlignment="1">
      <alignment horizontal="left" vertical="center" wrapText="1"/>
    </xf>
    <xf numFmtId="165" fontId="12" fillId="0" borderId="9" xfId="4" applyNumberFormat="1" applyFont="1" applyFill="1" applyBorder="1" applyAlignment="1">
      <alignment horizontal="left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9" xfId="2" applyFont="1" applyFill="1" applyBorder="1" applyAlignment="1">
      <alignment horizontal="center" vertical="center" wrapText="1"/>
    </xf>
    <xf numFmtId="9" fontId="12" fillId="8" borderId="2" xfId="0" applyNumberFormat="1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wrapText="1"/>
    </xf>
    <xf numFmtId="0" fontId="12" fillId="8" borderId="9" xfId="0" applyFont="1" applyFill="1" applyBorder="1" applyAlignment="1">
      <alignment horizontal="left" wrapText="1"/>
    </xf>
    <xf numFmtId="9" fontId="12" fillId="8" borderId="1" xfId="0" applyNumberFormat="1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8" borderId="1" xfId="3" applyFont="1" applyFill="1" applyBorder="1" applyAlignment="1">
      <alignment horizontal="left" vertical="top" wrapText="1"/>
    </xf>
    <xf numFmtId="0" fontId="12" fillId="8" borderId="2" xfId="3" applyFont="1" applyFill="1" applyBorder="1" applyAlignment="1">
      <alignment horizontal="left" vertical="top"/>
    </xf>
    <xf numFmtId="0" fontId="12" fillId="8" borderId="9" xfId="3" applyFont="1" applyFill="1" applyBorder="1" applyAlignment="1">
      <alignment horizontal="left" vertical="top"/>
    </xf>
    <xf numFmtId="0" fontId="12" fillId="8" borderId="1" xfId="3" applyFont="1" applyFill="1" applyBorder="1" applyAlignment="1">
      <alignment horizontal="left" vertical="top" wrapText="1"/>
    </xf>
    <xf numFmtId="10" fontId="12" fillId="8" borderId="1" xfId="4" applyNumberFormat="1" applyFont="1" applyFill="1" applyBorder="1" applyAlignment="1">
      <alignment horizontal="center" vertical="center" wrapText="1"/>
    </xf>
    <xf numFmtId="10" fontId="12" fillId="8" borderId="2" xfId="4" applyNumberFormat="1" applyFont="1" applyFill="1" applyBorder="1" applyAlignment="1">
      <alignment horizontal="center" vertical="center" wrapText="1"/>
    </xf>
    <xf numFmtId="10" fontId="12" fillId="8" borderId="9" xfId="4" applyNumberFormat="1" applyFont="1" applyFill="1" applyBorder="1" applyAlignment="1">
      <alignment horizontal="center" vertical="center" wrapText="1"/>
    </xf>
    <xf numFmtId="165" fontId="12" fillId="9" borderId="1" xfId="4" applyNumberFormat="1" applyFont="1" applyFill="1" applyBorder="1" applyAlignment="1">
      <alignment horizontal="left" vertical="center" wrapText="1"/>
    </xf>
    <xf numFmtId="165" fontId="12" fillId="9" borderId="2" xfId="4" applyNumberFormat="1" applyFont="1" applyFill="1" applyBorder="1" applyAlignment="1">
      <alignment horizontal="left" vertical="center" wrapText="1"/>
    </xf>
    <xf numFmtId="165" fontId="12" fillId="9" borderId="9" xfId="4" applyNumberFormat="1" applyFont="1" applyFill="1" applyBorder="1" applyAlignment="1">
      <alignment horizontal="left" vertical="center" wrapText="1"/>
    </xf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CC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535" name="Picture 67" descr="image002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O340"/>
  <sheetViews>
    <sheetView showGridLines="0" tabSelected="1" topLeftCell="A8" zoomScaleNormal="100" workbookViewId="0">
      <pane xSplit="3" ySplit="5" topLeftCell="AC41" activePane="bottomRight" state="frozen"/>
      <selection activeCell="A8" sqref="A8"/>
      <selection pane="topRight" activeCell="D8" sqref="D8"/>
      <selection pane="bottomLeft" activeCell="A13" sqref="A13"/>
      <selection pane="bottomRight" activeCell="AH28" sqref="AH28"/>
    </sheetView>
  </sheetViews>
  <sheetFormatPr baseColWidth="10" defaultColWidth="11.453125" defaultRowHeight="13" x14ac:dyDescent="0.3"/>
  <cols>
    <col min="1" max="1" width="13.1796875" style="3" customWidth="1"/>
    <col min="2" max="4" width="26.81640625" style="3" customWidth="1"/>
    <col min="5" max="5" width="19.54296875" style="3" customWidth="1"/>
    <col min="6" max="6" width="14.54296875" style="3" customWidth="1"/>
    <col min="7" max="7" width="19.54296875" style="3" customWidth="1"/>
    <col min="8" max="8" width="18" style="3" customWidth="1"/>
    <col min="9" max="10" width="11.1796875" style="3" customWidth="1"/>
    <col min="11" max="11" width="28.54296875" style="3" customWidth="1"/>
    <col min="12" max="12" width="14.453125" style="3" customWidth="1"/>
    <col min="13" max="13" width="9.453125" style="3" customWidth="1"/>
    <col min="14" max="14" width="9.1796875" style="2" customWidth="1"/>
    <col min="15" max="17" width="9.81640625" style="2" customWidth="1"/>
    <col min="18" max="18" width="9.1796875" style="2" customWidth="1"/>
    <col min="19" max="23" width="9.81640625" style="2" customWidth="1"/>
    <col min="24" max="24" width="9.54296875" style="2" customWidth="1"/>
    <col min="25" max="25" width="9.1796875" style="2" customWidth="1"/>
    <col min="26" max="26" width="10" style="2" customWidth="1"/>
    <col min="27" max="27" width="9.81640625" style="2" customWidth="1"/>
    <col min="28" max="28" width="9.453125" style="2" customWidth="1"/>
    <col min="29" max="29" width="10" style="2" customWidth="1"/>
    <col min="30" max="31" width="9.81640625" style="2" customWidth="1"/>
    <col min="32" max="32" width="10" style="2" customWidth="1"/>
    <col min="33" max="33" width="9.54296875" style="2" customWidth="1"/>
    <col min="34" max="34" width="9.81640625" style="2" customWidth="1"/>
    <col min="35" max="35" width="10.1796875" style="2" customWidth="1"/>
    <col min="36" max="36" width="11.81640625" style="2" customWidth="1"/>
    <col min="37" max="37" width="29" style="2" customWidth="1"/>
    <col min="38" max="38" width="15.81640625" style="3" customWidth="1"/>
    <col min="39" max="39" width="20.453125" style="3" customWidth="1"/>
    <col min="40" max="40" width="2.1796875" style="3" customWidth="1"/>
    <col min="41" max="16384" width="11.453125" style="3"/>
  </cols>
  <sheetData>
    <row r="1" spans="1:41" s="7" customFormat="1" ht="12.75" customHeight="1" x14ac:dyDescent="0.35">
      <c r="B1" s="116"/>
      <c r="C1" s="116"/>
      <c r="D1" s="117"/>
      <c r="E1" s="122" t="s">
        <v>0</v>
      </c>
      <c r="F1" s="128"/>
      <c r="G1" s="128"/>
      <c r="H1" s="128"/>
      <c r="I1" s="128"/>
      <c r="J1" s="128"/>
      <c r="K1" s="128"/>
      <c r="L1" s="128"/>
      <c r="M1" s="128"/>
      <c r="N1" s="129"/>
      <c r="O1" s="122" t="s">
        <v>38</v>
      </c>
      <c r="P1" s="123"/>
      <c r="Q1" s="123"/>
      <c r="R1" s="124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41" s="7" customFormat="1" ht="12.75" customHeight="1" x14ac:dyDescent="0.35">
      <c r="B2" s="118"/>
      <c r="C2" s="118"/>
      <c r="D2" s="119"/>
      <c r="E2" s="125"/>
      <c r="F2" s="130"/>
      <c r="G2" s="130"/>
      <c r="H2" s="130"/>
      <c r="I2" s="130"/>
      <c r="J2" s="130"/>
      <c r="K2" s="130"/>
      <c r="L2" s="130"/>
      <c r="M2" s="130"/>
      <c r="N2" s="131"/>
      <c r="O2" s="135" t="s">
        <v>39</v>
      </c>
      <c r="P2" s="136"/>
      <c r="Q2" s="136"/>
      <c r="R2" s="137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41" s="7" customFormat="1" ht="15.75" customHeight="1" x14ac:dyDescent="0.35">
      <c r="B3" s="118"/>
      <c r="C3" s="118"/>
      <c r="D3" s="119"/>
      <c r="E3" s="125"/>
      <c r="F3" s="130"/>
      <c r="G3" s="130"/>
      <c r="H3" s="130"/>
      <c r="I3" s="130"/>
      <c r="J3" s="130"/>
      <c r="K3" s="130"/>
      <c r="L3" s="130"/>
      <c r="M3" s="130"/>
      <c r="N3" s="131"/>
      <c r="O3" s="125"/>
      <c r="P3" s="126"/>
      <c r="Q3" s="126"/>
      <c r="R3" s="127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41" s="7" customFormat="1" ht="12.75" customHeight="1" x14ac:dyDescent="0.35">
      <c r="B4" s="118"/>
      <c r="C4" s="118"/>
      <c r="D4" s="119"/>
      <c r="E4" s="125"/>
      <c r="F4" s="130"/>
      <c r="G4" s="130"/>
      <c r="H4" s="130"/>
      <c r="I4" s="130"/>
      <c r="J4" s="130"/>
      <c r="K4" s="130"/>
      <c r="L4" s="130"/>
      <c r="M4" s="130"/>
      <c r="N4" s="131"/>
      <c r="O4" s="9"/>
      <c r="P4" s="10"/>
      <c r="Q4" s="10"/>
      <c r="R4" s="11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41" s="7" customFormat="1" ht="20.25" customHeight="1" x14ac:dyDescent="0.35">
      <c r="B5" s="120"/>
      <c r="C5" s="120"/>
      <c r="D5" s="121"/>
      <c r="E5" s="132"/>
      <c r="F5" s="133"/>
      <c r="G5" s="133"/>
      <c r="H5" s="133"/>
      <c r="I5" s="133"/>
      <c r="J5" s="133"/>
      <c r="K5" s="133"/>
      <c r="L5" s="133"/>
      <c r="M5" s="133"/>
      <c r="N5" s="134"/>
      <c r="O5" s="139" t="s">
        <v>34</v>
      </c>
      <c r="P5" s="140"/>
      <c r="Q5" s="140"/>
      <c r="R5" s="141"/>
      <c r="S5" s="8"/>
      <c r="T5" s="8"/>
      <c r="U5" s="8"/>
      <c r="V5" s="8" t="s">
        <v>31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41" ht="15.75" customHeight="1" x14ac:dyDescent="0.3">
      <c r="B6" s="110" t="s">
        <v>29</v>
      </c>
      <c r="C6" s="111"/>
      <c r="D6" s="112"/>
      <c r="E6" s="113" t="s">
        <v>36</v>
      </c>
      <c r="F6" s="114"/>
      <c r="G6" s="114"/>
      <c r="H6" s="114"/>
      <c r="I6" s="114"/>
      <c r="J6" s="114"/>
      <c r="K6" s="114"/>
      <c r="L6" s="114"/>
      <c r="M6" s="114"/>
      <c r="N6" s="115"/>
      <c r="O6" s="113" t="s">
        <v>35</v>
      </c>
      <c r="P6" s="114"/>
      <c r="Q6" s="114"/>
      <c r="R6" s="115"/>
    </row>
    <row r="7" spans="1:41" s="7" customFormat="1" ht="16.5" customHeight="1" x14ac:dyDescent="0.35">
      <c r="E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41" s="7" customFormat="1" ht="15.5" x14ac:dyDescent="0.35">
      <c r="B8" s="4" t="s">
        <v>76</v>
      </c>
      <c r="C8" s="6"/>
      <c r="D8" s="6"/>
      <c r="E8" s="1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3"/>
      <c r="AB8" s="8"/>
      <c r="AC8" s="8"/>
      <c r="AD8" s="8"/>
      <c r="AE8" s="8"/>
      <c r="AF8" s="13"/>
      <c r="AG8" s="8"/>
      <c r="AH8" s="8"/>
      <c r="AI8" s="8"/>
      <c r="AJ8" s="8"/>
      <c r="AK8" s="13"/>
    </row>
    <row r="9" spans="1:41" s="7" customFormat="1" ht="16.5" customHeight="1" x14ac:dyDescent="0.35">
      <c r="B9" s="4" t="s">
        <v>50</v>
      </c>
      <c r="C9" s="6"/>
      <c r="D9" s="6"/>
      <c r="E9" s="12"/>
      <c r="N9" s="8"/>
      <c r="O9" s="8"/>
      <c r="P9" s="8"/>
      <c r="Q9" s="8"/>
      <c r="R9" s="13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41" s="7" customFormat="1" ht="16" thickBot="1" x14ac:dyDescent="0.4">
      <c r="B10" s="4"/>
      <c r="C10" s="4"/>
      <c r="D10" s="4"/>
      <c r="E10" s="6"/>
      <c r="N10" s="8"/>
      <c r="O10" s="8"/>
      <c r="P10" s="14"/>
      <c r="Q10" s="14"/>
      <c r="R10" s="15"/>
      <c r="S10" s="14"/>
      <c r="T10" s="14"/>
      <c r="U10" s="14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14"/>
      <c r="AJ10" s="14"/>
      <c r="AK10" s="14"/>
      <c r="AL10" s="16"/>
      <c r="AM10" s="16"/>
    </row>
    <row r="11" spans="1:41" s="1" customFormat="1" ht="23" customHeight="1" thickTop="1" x14ac:dyDescent="0.25">
      <c r="A11" s="78" t="s">
        <v>45</v>
      </c>
      <c r="B11" s="78" t="s">
        <v>37</v>
      </c>
      <c r="C11" s="78" t="s">
        <v>1</v>
      </c>
      <c r="D11" s="74" t="s">
        <v>2</v>
      </c>
      <c r="E11" s="66" t="s">
        <v>32</v>
      </c>
      <c r="F11" s="66" t="s">
        <v>40</v>
      </c>
      <c r="G11" s="66" t="s">
        <v>33</v>
      </c>
      <c r="H11" s="66" t="s">
        <v>41</v>
      </c>
      <c r="I11" s="66" t="s">
        <v>77</v>
      </c>
      <c r="J11" s="66" t="s">
        <v>48</v>
      </c>
      <c r="K11" s="74" t="s">
        <v>3</v>
      </c>
      <c r="L11" s="74" t="s">
        <v>28</v>
      </c>
      <c r="M11" s="74" t="s">
        <v>4</v>
      </c>
      <c r="N11" s="74" t="s">
        <v>5</v>
      </c>
      <c r="O11" s="78" t="s">
        <v>6</v>
      </c>
      <c r="P11" s="74" t="s">
        <v>7</v>
      </c>
      <c r="Q11" s="74" t="s">
        <v>8</v>
      </c>
      <c r="R11" s="74" t="s">
        <v>9</v>
      </c>
      <c r="S11" s="74" t="s">
        <v>10</v>
      </c>
      <c r="T11" s="74" t="s">
        <v>11</v>
      </c>
      <c r="U11" s="78" t="s">
        <v>12</v>
      </c>
      <c r="V11" s="78" t="s">
        <v>13</v>
      </c>
      <c r="W11" s="74" t="s">
        <v>14</v>
      </c>
      <c r="X11" s="80" t="s">
        <v>15</v>
      </c>
      <c r="Y11" s="74" t="s">
        <v>16</v>
      </c>
      <c r="Z11" s="74" t="s">
        <v>17</v>
      </c>
      <c r="AA11" s="74" t="s">
        <v>18</v>
      </c>
      <c r="AB11" s="74" t="s">
        <v>19</v>
      </c>
      <c r="AC11" s="74" t="s">
        <v>20</v>
      </c>
      <c r="AD11" s="74" t="s">
        <v>21</v>
      </c>
      <c r="AE11" s="74" t="s">
        <v>22</v>
      </c>
      <c r="AF11" s="78" t="s">
        <v>23</v>
      </c>
      <c r="AG11" s="74" t="s">
        <v>24</v>
      </c>
      <c r="AH11" s="74" t="s">
        <v>25</v>
      </c>
      <c r="AI11" s="66" t="s">
        <v>71</v>
      </c>
      <c r="AJ11" s="74" t="s">
        <v>26</v>
      </c>
      <c r="AK11" s="74" t="s">
        <v>27</v>
      </c>
      <c r="AL11" s="66" t="s">
        <v>47</v>
      </c>
      <c r="AM11" s="74" t="s">
        <v>46</v>
      </c>
    </row>
    <row r="12" spans="1:41" s="1" customFormat="1" ht="23" customHeight="1" thickBot="1" x14ac:dyDescent="0.3">
      <c r="A12" s="82"/>
      <c r="B12" s="82"/>
      <c r="C12" s="82"/>
      <c r="D12" s="75"/>
      <c r="E12" s="67"/>
      <c r="F12" s="67"/>
      <c r="G12" s="67"/>
      <c r="H12" s="67"/>
      <c r="I12" s="67"/>
      <c r="J12" s="67"/>
      <c r="K12" s="75"/>
      <c r="L12" s="138"/>
      <c r="M12" s="75"/>
      <c r="N12" s="75"/>
      <c r="O12" s="82"/>
      <c r="P12" s="75"/>
      <c r="Q12" s="75"/>
      <c r="R12" s="75"/>
      <c r="S12" s="77"/>
      <c r="T12" s="75"/>
      <c r="U12" s="79"/>
      <c r="V12" s="79"/>
      <c r="W12" s="77"/>
      <c r="X12" s="81"/>
      <c r="Y12" s="75"/>
      <c r="Z12" s="77"/>
      <c r="AA12" s="77"/>
      <c r="AB12" s="77"/>
      <c r="AC12" s="77"/>
      <c r="AD12" s="77"/>
      <c r="AE12" s="77"/>
      <c r="AF12" s="79"/>
      <c r="AG12" s="77"/>
      <c r="AH12" s="75"/>
      <c r="AI12" s="67"/>
      <c r="AJ12" s="75"/>
      <c r="AK12" s="76"/>
      <c r="AL12" s="67"/>
      <c r="AM12" s="75"/>
    </row>
    <row r="13" spans="1:41" s="5" customFormat="1" ht="23" customHeight="1" thickTop="1" x14ac:dyDescent="0.25">
      <c r="A13" s="83" t="s">
        <v>69</v>
      </c>
      <c r="B13" s="90" t="s">
        <v>49</v>
      </c>
      <c r="C13" s="96" t="s">
        <v>56</v>
      </c>
      <c r="D13" s="93" t="s">
        <v>57</v>
      </c>
      <c r="E13" s="89" t="s">
        <v>51</v>
      </c>
      <c r="F13" s="86" t="s">
        <v>52</v>
      </c>
      <c r="G13" s="86" t="s">
        <v>53</v>
      </c>
      <c r="H13" s="86" t="s">
        <v>52</v>
      </c>
      <c r="I13" s="100">
        <f>L14</f>
        <v>1</v>
      </c>
      <c r="J13" s="100">
        <v>0.3</v>
      </c>
      <c r="K13" s="103" t="s">
        <v>59</v>
      </c>
      <c r="L13" s="17" t="s">
        <v>42</v>
      </c>
      <c r="M13" s="17" t="s">
        <v>42</v>
      </c>
      <c r="N13" s="17" t="s">
        <v>42</v>
      </c>
      <c r="O13" s="29" t="s">
        <v>42</v>
      </c>
      <c r="P13" s="17" t="s">
        <v>42</v>
      </c>
      <c r="Q13" s="29" t="s">
        <v>42</v>
      </c>
      <c r="R13" s="17" t="s">
        <v>42</v>
      </c>
      <c r="S13" s="29" t="s">
        <v>42</v>
      </c>
      <c r="T13" s="17" t="s">
        <v>42</v>
      </c>
      <c r="U13" s="29" t="s">
        <v>42</v>
      </c>
      <c r="V13" s="17" t="s">
        <v>42</v>
      </c>
      <c r="W13" s="29" t="s">
        <v>42</v>
      </c>
      <c r="X13" s="17" t="s">
        <v>42</v>
      </c>
      <c r="Y13" s="29" t="s">
        <v>42</v>
      </c>
      <c r="Z13" s="17" t="s">
        <v>42</v>
      </c>
      <c r="AA13" s="29" t="s">
        <v>42</v>
      </c>
      <c r="AB13" s="17" t="s">
        <v>42</v>
      </c>
      <c r="AC13" s="29" t="s">
        <v>42</v>
      </c>
      <c r="AD13" s="17" t="s">
        <v>42</v>
      </c>
      <c r="AE13" s="29" t="s">
        <v>42</v>
      </c>
      <c r="AF13" s="17" t="s">
        <v>42</v>
      </c>
      <c r="AG13" s="29" t="s">
        <v>42</v>
      </c>
      <c r="AH13" s="17" t="s">
        <v>42</v>
      </c>
      <c r="AI13" s="29" t="s">
        <v>42</v>
      </c>
      <c r="AJ13" s="30"/>
      <c r="AK13" s="68" t="s">
        <v>72</v>
      </c>
      <c r="AL13" s="68"/>
      <c r="AM13" s="63"/>
    </row>
    <row r="14" spans="1:41" s="5" customFormat="1" ht="23" customHeight="1" x14ac:dyDescent="0.25">
      <c r="A14" s="84"/>
      <c r="B14" s="91"/>
      <c r="C14" s="94"/>
      <c r="D14" s="94"/>
      <c r="E14" s="87"/>
      <c r="F14" s="87"/>
      <c r="G14" s="87"/>
      <c r="H14" s="87"/>
      <c r="I14" s="101"/>
      <c r="J14" s="101"/>
      <c r="K14" s="104"/>
      <c r="L14" s="43">
        <f>IF(L16&lt;&gt;0,+L16/L18,0%)</f>
        <v>1</v>
      </c>
      <c r="M14" s="31">
        <f t="shared" ref="M14:O14" si="0">IF(M16&lt;&gt;0,+M16/M18,0%)</f>
        <v>0</v>
      </c>
      <c r="N14" s="31">
        <f t="shared" si="0"/>
        <v>0</v>
      </c>
      <c r="O14" s="32">
        <f t="shared" si="0"/>
        <v>0</v>
      </c>
      <c r="P14" s="31">
        <f t="shared" ref="P14:Q14" si="1">IF(P16&lt;&gt;0,+P16/P18,0%)</f>
        <v>0</v>
      </c>
      <c r="Q14" s="32">
        <f t="shared" si="1"/>
        <v>0</v>
      </c>
      <c r="R14" s="31">
        <f t="shared" ref="R14:S14" si="2">IF(R16&lt;&gt;0,+R16/R18,0%)</f>
        <v>0</v>
      </c>
      <c r="S14" s="32">
        <f t="shared" si="2"/>
        <v>0</v>
      </c>
      <c r="T14" s="31">
        <f t="shared" ref="T14:U14" si="3">IF(T16&lt;&gt;0,+T16/T18,0%)</f>
        <v>0</v>
      </c>
      <c r="U14" s="32">
        <f t="shared" si="3"/>
        <v>0</v>
      </c>
      <c r="V14" s="31">
        <f t="shared" ref="V14:W14" si="4">IF(V16&lt;&gt;0,+V16/V18,0%)</f>
        <v>1</v>
      </c>
      <c r="W14" s="32">
        <f t="shared" si="4"/>
        <v>1</v>
      </c>
      <c r="X14" s="31">
        <f t="shared" ref="X14:Y14" si="5">IF(X16&lt;&gt;0,+X16/X18,0%)</f>
        <v>0</v>
      </c>
      <c r="Y14" s="32">
        <f t="shared" si="5"/>
        <v>1</v>
      </c>
      <c r="Z14" s="31">
        <f t="shared" ref="Z14:AA14" si="6">IF(Z16&lt;&gt;0,+Z16/Z18,0%)</f>
        <v>0</v>
      </c>
      <c r="AA14" s="32">
        <f t="shared" si="6"/>
        <v>1</v>
      </c>
      <c r="AB14" s="31">
        <f t="shared" ref="AB14:AC14" si="7">IF(AB16&lt;&gt;0,+AB16/AB18,0%)</f>
        <v>0</v>
      </c>
      <c r="AC14" s="32">
        <f t="shared" si="7"/>
        <v>1</v>
      </c>
      <c r="AD14" s="31">
        <f t="shared" ref="AD14:AE14" si="8">IF(AD16&lt;&gt;0,+AD16/AD18,0%)</f>
        <v>0</v>
      </c>
      <c r="AE14" s="32">
        <f t="shared" si="8"/>
        <v>1</v>
      </c>
      <c r="AF14" s="31">
        <f t="shared" ref="AF14:AG14" si="9">IF(AF16&lt;&gt;0,+AF16/AF18,0%)</f>
        <v>0</v>
      </c>
      <c r="AG14" s="32">
        <f t="shared" si="9"/>
        <v>1</v>
      </c>
      <c r="AH14" s="31">
        <f t="shared" ref="AH14:AI14" si="10">IF(AH16&lt;&gt;0,+AH16/AH18,0%)</f>
        <v>1</v>
      </c>
      <c r="AI14" s="32">
        <f t="shared" si="10"/>
        <v>1</v>
      </c>
      <c r="AJ14" s="33"/>
      <c r="AK14" s="69"/>
      <c r="AL14" s="69"/>
      <c r="AM14" s="64"/>
      <c r="AO14" s="62"/>
    </row>
    <row r="15" spans="1:41" s="5" customFormat="1" ht="23" customHeight="1" thickBot="1" x14ac:dyDescent="0.3">
      <c r="A15" s="84"/>
      <c r="B15" s="91"/>
      <c r="C15" s="94"/>
      <c r="D15" s="94"/>
      <c r="E15" s="87"/>
      <c r="F15" s="87"/>
      <c r="G15" s="87"/>
      <c r="H15" s="87"/>
      <c r="I15" s="101"/>
      <c r="J15" s="101"/>
      <c r="K15" s="105"/>
      <c r="L15" s="21" t="s">
        <v>43</v>
      </c>
      <c r="M15" s="21" t="s">
        <v>43</v>
      </c>
      <c r="N15" s="21" t="s">
        <v>43</v>
      </c>
      <c r="O15" s="34" t="s">
        <v>43</v>
      </c>
      <c r="P15" s="21" t="s">
        <v>43</v>
      </c>
      <c r="Q15" s="34" t="s">
        <v>43</v>
      </c>
      <c r="R15" s="46" t="s">
        <v>43</v>
      </c>
      <c r="S15" s="34" t="s">
        <v>43</v>
      </c>
      <c r="T15" s="21" t="s">
        <v>43</v>
      </c>
      <c r="U15" s="34" t="s">
        <v>43</v>
      </c>
      <c r="V15" s="21" t="s">
        <v>43</v>
      </c>
      <c r="W15" s="34" t="s">
        <v>43</v>
      </c>
      <c r="X15" s="21" t="s">
        <v>43</v>
      </c>
      <c r="Y15" s="34" t="s">
        <v>43</v>
      </c>
      <c r="Z15" s="21" t="s">
        <v>43</v>
      </c>
      <c r="AA15" s="34" t="s">
        <v>43</v>
      </c>
      <c r="AB15" s="21" t="s">
        <v>43</v>
      </c>
      <c r="AC15" s="34" t="s">
        <v>43</v>
      </c>
      <c r="AD15" s="21" t="s">
        <v>43</v>
      </c>
      <c r="AE15" s="34" t="s">
        <v>43</v>
      </c>
      <c r="AF15" s="21" t="s">
        <v>43</v>
      </c>
      <c r="AG15" s="34" t="s">
        <v>43</v>
      </c>
      <c r="AH15" s="21" t="s">
        <v>43</v>
      </c>
      <c r="AI15" s="34" t="s">
        <v>43</v>
      </c>
      <c r="AJ15" s="33"/>
      <c r="AK15" s="69"/>
      <c r="AL15" s="69"/>
      <c r="AM15" s="64"/>
    </row>
    <row r="16" spans="1:41" s="5" customFormat="1" ht="23" customHeight="1" thickTop="1" x14ac:dyDescent="0.25">
      <c r="A16" s="84"/>
      <c r="B16" s="91"/>
      <c r="C16" s="94"/>
      <c r="D16" s="94"/>
      <c r="E16" s="87"/>
      <c r="F16" s="87"/>
      <c r="G16" s="87"/>
      <c r="H16" s="87"/>
      <c r="I16" s="101"/>
      <c r="J16" s="101"/>
      <c r="K16" s="104" t="s">
        <v>58</v>
      </c>
      <c r="L16" s="22">
        <v>60</v>
      </c>
      <c r="M16" s="35"/>
      <c r="N16" s="35"/>
      <c r="O16" s="36">
        <f>+M16+N16</f>
        <v>0</v>
      </c>
      <c r="P16" s="35"/>
      <c r="Q16" s="36">
        <f>+O16+P16</f>
        <v>0</v>
      </c>
      <c r="R16" s="35"/>
      <c r="S16" s="36">
        <f>+Q16+R16</f>
        <v>0</v>
      </c>
      <c r="T16" s="35"/>
      <c r="U16" s="36">
        <f>+S16+T16</f>
        <v>0</v>
      </c>
      <c r="V16" s="35">
        <v>30</v>
      </c>
      <c r="W16" s="36">
        <f>+U16+V16</f>
        <v>30</v>
      </c>
      <c r="X16" s="35"/>
      <c r="Y16" s="36">
        <f>+W16+X16</f>
        <v>30</v>
      </c>
      <c r="Z16" s="35"/>
      <c r="AA16" s="36">
        <f>+Y16+Z16</f>
        <v>30</v>
      </c>
      <c r="AB16" s="35"/>
      <c r="AC16" s="36">
        <f>+AA16+AB16</f>
        <v>30</v>
      </c>
      <c r="AD16" s="35"/>
      <c r="AE16" s="36">
        <f>+AC16+AD16</f>
        <v>30</v>
      </c>
      <c r="AF16" s="35"/>
      <c r="AG16" s="36">
        <f>+AE16+AF16</f>
        <v>30</v>
      </c>
      <c r="AH16" s="35">
        <v>30</v>
      </c>
      <c r="AI16" s="36">
        <f>+AG16+AH16</f>
        <v>60</v>
      </c>
      <c r="AJ16" s="37">
        <f>+AI14/L14</f>
        <v>1</v>
      </c>
      <c r="AK16" s="69"/>
      <c r="AL16" s="69"/>
      <c r="AM16" s="64"/>
    </row>
    <row r="17" spans="1:41" s="5" customFormat="1" ht="23" customHeight="1" x14ac:dyDescent="0.25">
      <c r="A17" s="84"/>
      <c r="B17" s="91"/>
      <c r="C17" s="94"/>
      <c r="D17" s="94"/>
      <c r="E17" s="87"/>
      <c r="F17" s="87"/>
      <c r="G17" s="87"/>
      <c r="H17" s="87"/>
      <c r="I17" s="101"/>
      <c r="J17" s="101"/>
      <c r="K17" s="104"/>
      <c r="L17" s="25" t="s">
        <v>44</v>
      </c>
      <c r="M17" s="25" t="s">
        <v>44</v>
      </c>
      <c r="N17" s="25" t="s">
        <v>44</v>
      </c>
      <c r="O17" s="38" t="s">
        <v>44</v>
      </c>
      <c r="P17" s="25" t="s">
        <v>44</v>
      </c>
      <c r="Q17" s="38" t="s">
        <v>44</v>
      </c>
      <c r="R17" s="25" t="s">
        <v>44</v>
      </c>
      <c r="S17" s="38" t="s">
        <v>44</v>
      </c>
      <c r="T17" s="25" t="s">
        <v>44</v>
      </c>
      <c r="U17" s="38" t="s">
        <v>44</v>
      </c>
      <c r="V17" s="25" t="s">
        <v>44</v>
      </c>
      <c r="W17" s="38" t="s">
        <v>44</v>
      </c>
      <c r="X17" s="25" t="s">
        <v>44</v>
      </c>
      <c r="Y17" s="38" t="s">
        <v>44</v>
      </c>
      <c r="Z17" s="25" t="s">
        <v>44</v>
      </c>
      <c r="AA17" s="38" t="s">
        <v>44</v>
      </c>
      <c r="AB17" s="25" t="s">
        <v>44</v>
      </c>
      <c r="AC17" s="38" t="s">
        <v>44</v>
      </c>
      <c r="AD17" s="25" t="s">
        <v>44</v>
      </c>
      <c r="AE17" s="38" t="s">
        <v>44</v>
      </c>
      <c r="AF17" s="25" t="s">
        <v>44</v>
      </c>
      <c r="AG17" s="38" t="s">
        <v>44</v>
      </c>
      <c r="AH17" s="25" t="s">
        <v>44</v>
      </c>
      <c r="AI17" s="38" t="s">
        <v>44</v>
      </c>
      <c r="AJ17" s="33"/>
      <c r="AK17" s="69"/>
      <c r="AL17" s="69"/>
      <c r="AM17" s="64"/>
    </row>
    <row r="18" spans="1:41" s="5" customFormat="1" ht="23" customHeight="1" thickBot="1" x14ac:dyDescent="0.3">
      <c r="A18" s="85"/>
      <c r="B18" s="92"/>
      <c r="C18" s="95"/>
      <c r="D18" s="95"/>
      <c r="E18" s="88"/>
      <c r="F18" s="88"/>
      <c r="G18" s="88"/>
      <c r="H18" s="88"/>
      <c r="I18" s="102"/>
      <c r="J18" s="102"/>
      <c r="K18" s="105"/>
      <c r="L18" s="22">
        <v>60</v>
      </c>
      <c r="M18" s="39"/>
      <c r="N18" s="39"/>
      <c r="O18" s="36">
        <f>+M18+N18</f>
        <v>0</v>
      </c>
      <c r="P18" s="39"/>
      <c r="Q18" s="36">
        <f>+O18+P18</f>
        <v>0</v>
      </c>
      <c r="R18" s="39"/>
      <c r="S18" s="36">
        <f>+Q18+R18</f>
        <v>0</v>
      </c>
      <c r="T18" s="39"/>
      <c r="U18" s="36">
        <f>+S18+T18</f>
        <v>0</v>
      </c>
      <c r="V18" s="39">
        <v>30</v>
      </c>
      <c r="W18" s="36">
        <f>+U18+V18</f>
        <v>30</v>
      </c>
      <c r="X18" s="39"/>
      <c r="Y18" s="36">
        <f>+W18+X18</f>
        <v>30</v>
      </c>
      <c r="Z18" s="39"/>
      <c r="AA18" s="36">
        <f>+Y18+Z18</f>
        <v>30</v>
      </c>
      <c r="AB18" s="39"/>
      <c r="AC18" s="36">
        <f>+AA18+AB18</f>
        <v>30</v>
      </c>
      <c r="AD18" s="39"/>
      <c r="AE18" s="36">
        <f>+AC18+AD18</f>
        <v>30</v>
      </c>
      <c r="AF18" s="39"/>
      <c r="AG18" s="36">
        <f>+AE18+AF18</f>
        <v>30</v>
      </c>
      <c r="AH18" s="39">
        <v>30</v>
      </c>
      <c r="AI18" s="36">
        <f>+AG18+AH18</f>
        <v>60</v>
      </c>
      <c r="AJ18" s="40"/>
      <c r="AK18" s="70"/>
      <c r="AL18" s="70"/>
      <c r="AM18" s="65"/>
    </row>
    <row r="19" spans="1:41" s="5" customFormat="1" ht="23" customHeight="1" thickTop="1" x14ac:dyDescent="0.25">
      <c r="A19" s="83" t="s">
        <v>70</v>
      </c>
      <c r="B19" s="97" t="s">
        <v>49</v>
      </c>
      <c r="C19" s="96" t="s">
        <v>60</v>
      </c>
      <c r="D19" s="93" t="s">
        <v>61</v>
      </c>
      <c r="E19" s="89" t="s">
        <v>51</v>
      </c>
      <c r="F19" s="86" t="s">
        <v>52</v>
      </c>
      <c r="G19" s="86" t="s">
        <v>53</v>
      </c>
      <c r="H19" s="86" t="s">
        <v>52</v>
      </c>
      <c r="I19" s="100">
        <f>L20</f>
        <v>1</v>
      </c>
      <c r="J19" s="100">
        <v>0.2</v>
      </c>
      <c r="K19" s="109" t="s">
        <v>63</v>
      </c>
      <c r="L19" s="17" t="s">
        <v>42</v>
      </c>
      <c r="M19" s="17" t="s">
        <v>42</v>
      </c>
      <c r="N19" s="17" t="s">
        <v>42</v>
      </c>
      <c r="O19" s="29" t="s">
        <v>42</v>
      </c>
      <c r="P19" s="17" t="s">
        <v>42</v>
      </c>
      <c r="Q19" s="29" t="s">
        <v>42</v>
      </c>
      <c r="R19" s="17" t="s">
        <v>42</v>
      </c>
      <c r="S19" s="29" t="s">
        <v>42</v>
      </c>
      <c r="T19" s="17" t="s">
        <v>42</v>
      </c>
      <c r="U19" s="29" t="s">
        <v>42</v>
      </c>
      <c r="V19" s="17" t="s">
        <v>42</v>
      </c>
      <c r="W19" s="29" t="s">
        <v>42</v>
      </c>
      <c r="X19" s="17" t="s">
        <v>42</v>
      </c>
      <c r="Y19" s="29" t="s">
        <v>42</v>
      </c>
      <c r="Z19" s="17" t="s">
        <v>42</v>
      </c>
      <c r="AA19" s="29" t="s">
        <v>42</v>
      </c>
      <c r="AB19" s="17" t="s">
        <v>42</v>
      </c>
      <c r="AC19" s="29" t="s">
        <v>42</v>
      </c>
      <c r="AD19" s="17" t="s">
        <v>42</v>
      </c>
      <c r="AE19" s="29" t="s">
        <v>42</v>
      </c>
      <c r="AF19" s="17" t="s">
        <v>42</v>
      </c>
      <c r="AG19" s="29" t="s">
        <v>42</v>
      </c>
      <c r="AH19" s="17" t="s">
        <v>42</v>
      </c>
      <c r="AI19" s="29" t="s">
        <v>42</v>
      </c>
      <c r="AJ19" s="18"/>
      <c r="AK19" s="68" t="s">
        <v>73</v>
      </c>
      <c r="AL19" s="68"/>
      <c r="AM19" s="71" t="s">
        <v>54</v>
      </c>
    </row>
    <row r="20" spans="1:41" s="5" customFormat="1" ht="23" customHeight="1" x14ac:dyDescent="0.25">
      <c r="A20" s="84"/>
      <c r="B20" s="98"/>
      <c r="C20" s="94"/>
      <c r="D20" s="94"/>
      <c r="E20" s="87"/>
      <c r="F20" s="87"/>
      <c r="G20" s="87"/>
      <c r="H20" s="87"/>
      <c r="I20" s="101"/>
      <c r="J20" s="101"/>
      <c r="K20" s="106"/>
      <c r="L20" s="44">
        <f>IF(L22&lt;&gt;0,+L22/L24,0%)</f>
        <v>1</v>
      </c>
      <c r="M20" s="42">
        <f>IF(M22&lt;&gt;0,+M22/M24,0%)</f>
        <v>0</v>
      </c>
      <c r="N20" s="42">
        <f>IF(N22&lt;&gt;0,+N22/N24,0%)</f>
        <v>0</v>
      </c>
      <c r="O20" s="32">
        <f t="shared" ref="O20:Q20" si="11">IF(O22&lt;&gt;0,+O22/O24,0%)</f>
        <v>0</v>
      </c>
      <c r="P20" s="42">
        <f>IF(P22&lt;&gt;0,+P22/P24,0%)</f>
        <v>0</v>
      </c>
      <c r="Q20" s="32">
        <f t="shared" si="11"/>
        <v>0</v>
      </c>
      <c r="R20" s="42">
        <f>IF(R22&lt;&gt;0,+R22/R24,0%)</f>
        <v>0</v>
      </c>
      <c r="S20" s="32">
        <f t="shared" ref="S20" si="12">IF(S22&lt;&gt;0,+S22/S24,0%)</f>
        <v>0</v>
      </c>
      <c r="T20" s="42">
        <f>IF(T22&lt;&gt;0,+T22/T24,0%)</f>
        <v>0</v>
      </c>
      <c r="U20" s="32">
        <f t="shared" ref="U20" si="13">IF(U22&lt;&gt;0,+U22/U24,0%)</f>
        <v>0</v>
      </c>
      <c r="V20" s="42">
        <f>IF(V22&lt;&gt;0,+V22/V24,0%)</f>
        <v>1</v>
      </c>
      <c r="W20" s="32">
        <f t="shared" ref="W20" si="14">IF(W22&lt;&gt;0,+W22/W24,0%)</f>
        <v>1</v>
      </c>
      <c r="X20" s="42">
        <f>IF(X22&lt;&gt;0,+X22/X24,0%)</f>
        <v>0</v>
      </c>
      <c r="Y20" s="32">
        <f t="shared" ref="Y20" si="15">IF(Y22&lt;&gt;0,+Y22/Y24,0%)</f>
        <v>1</v>
      </c>
      <c r="Z20" s="42">
        <f>IF(Z22&lt;&gt;0,+Z22/Z24,0%)</f>
        <v>0</v>
      </c>
      <c r="AA20" s="32">
        <f t="shared" ref="AA20" si="16">IF(AA22&lt;&gt;0,+AA22/AA24,0%)</f>
        <v>1</v>
      </c>
      <c r="AB20" s="42">
        <f>IF(AB22&lt;&gt;0,+AB22/AB24,0%)</f>
        <v>0</v>
      </c>
      <c r="AC20" s="32">
        <f t="shared" ref="AC20" si="17">IF(AC22&lt;&gt;0,+AC22/AC24,0%)</f>
        <v>1</v>
      </c>
      <c r="AD20" s="42">
        <f>IF(AD22&lt;&gt;0,+AD22/AD24,0%)</f>
        <v>0</v>
      </c>
      <c r="AE20" s="32">
        <f t="shared" ref="AE20" si="18">IF(AE22&lt;&gt;0,+AE22/AE24,0%)</f>
        <v>1</v>
      </c>
      <c r="AF20" s="42">
        <f>IF(AF22&lt;&gt;0,+AF22/AF24,0%)</f>
        <v>0</v>
      </c>
      <c r="AG20" s="32">
        <f t="shared" ref="AG20" si="19">IF(AG22&lt;&gt;0,+AG22/AG24,0%)</f>
        <v>1</v>
      </c>
      <c r="AH20" s="42">
        <f>IF(AH22&lt;&gt;0,+AH22/AH24,0%)</f>
        <v>1</v>
      </c>
      <c r="AI20" s="32">
        <f t="shared" ref="AI20" si="20">IF(AI22&lt;&gt;0,+AI22/AI24,0%)</f>
        <v>1</v>
      </c>
      <c r="AJ20" s="20"/>
      <c r="AK20" s="69"/>
      <c r="AL20" s="69"/>
      <c r="AM20" s="72"/>
    </row>
    <row r="21" spans="1:41" s="5" customFormat="1" ht="23" customHeight="1" thickBot="1" x14ac:dyDescent="0.3">
      <c r="A21" s="84"/>
      <c r="B21" s="98"/>
      <c r="C21" s="94"/>
      <c r="D21" s="94"/>
      <c r="E21" s="87"/>
      <c r="F21" s="87"/>
      <c r="G21" s="87"/>
      <c r="H21" s="87"/>
      <c r="I21" s="101"/>
      <c r="J21" s="101"/>
      <c r="K21" s="108"/>
      <c r="L21" s="21" t="s">
        <v>95</v>
      </c>
      <c r="M21" s="21" t="s">
        <v>43</v>
      </c>
      <c r="N21" s="21" t="s">
        <v>43</v>
      </c>
      <c r="O21" s="34" t="s">
        <v>43</v>
      </c>
      <c r="P21" s="21" t="s">
        <v>43</v>
      </c>
      <c r="Q21" s="34" t="s">
        <v>43</v>
      </c>
      <c r="R21" s="21" t="s">
        <v>43</v>
      </c>
      <c r="S21" s="34" t="s">
        <v>43</v>
      </c>
      <c r="T21" s="21" t="s">
        <v>43</v>
      </c>
      <c r="U21" s="34" t="s">
        <v>43</v>
      </c>
      <c r="V21" s="21" t="s">
        <v>43</v>
      </c>
      <c r="W21" s="34" t="s">
        <v>43</v>
      </c>
      <c r="X21" s="21" t="s">
        <v>43</v>
      </c>
      <c r="Y21" s="34" t="s">
        <v>43</v>
      </c>
      <c r="Z21" s="21" t="s">
        <v>43</v>
      </c>
      <c r="AA21" s="34" t="s">
        <v>43</v>
      </c>
      <c r="AB21" s="21" t="s">
        <v>43</v>
      </c>
      <c r="AC21" s="34" t="s">
        <v>43</v>
      </c>
      <c r="AD21" s="21" t="s">
        <v>43</v>
      </c>
      <c r="AE21" s="34" t="s">
        <v>43</v>
      </c>
      <c r="AF21" s="21" t="s">
        <v>43</v>
      </c>
      <c r="AG21" s="34" t="s">
        <v>43</v>
      </c>
      <c r="AH21" s="21" t="s">
        <v>43</v>
      </c>
      <c r="AI21" s="34" t="s">
        <v>43</v>
      </c>
      <c r="AJ21" s="20"/>
      <c r="AK21" s="69"/>
      <c r="AL21" s="69"/>
      <c r="AM21" s="72"/>
    </row>
    <row r="22" spans="1:41" s="5" customFormat="1" ht="23" customHeight="1" thickTop="1" x14ac:dyDescent="0.25">
      <c r="A22" s="84"/>
      <c r="B22" s="98"/>
      <c r="C22" s="94"/>
      <c r="D22" s="94"/>
      <c r="E22" s="87"/>
      <c r="F22" s="87"/>
      <c r="G22" s="87"/>
      <c r="H22" s="87"/>
      <c r="I22" s="101"/>
      <c r="J22" s="101"/>
      <c r="K22" s="106" t="s">
        <v>62</v>
      </c>
      <c r="L22" s="22">
        <v>18</v>
      </c>
      <c r="M22" s="23"/>
      <c r="N22" s="23"/>
      <c r="O22" s="36">
        <f t="shared" ref="O22:AI22" si="21">+M22+N22</f>
        <v>0</v>
      </c>
      <c r="P22" s="23"/>
      <c r="Q22" s="36">
        <f t="shared" si="21"/>
        <v>0</v>
      </c>
      <c r="R22" s="23"/>
      <c r="S22" s="36">
        <f t="shared" si="21"/>
        <v>0</v>
      </c>
      <c r="T22" s="23"/>
      <c r="U22" s="36">
        <f t="shared" si="21"/>
        <v>0</v>
      </c>
      <c r="V22" s="23">
        <v>9</v>
      </c>
      <c r="W22" s="36">
        <f t="shared" si="21"/>
        <v>9</v>
      </c>
      <c r="X22" s="23"/>
      <c r="Y22" s="36">
        <f t="shared" si="21"/>
        <v>9</v>
      </c>
      <c r="Z22" s="23"/>
      <c r="AA22" s="36">
        <f t="shared" si="21"/>
        <v>9</v>
      </c>
      <c r="AB22" s="23"/>
      <c r="AC22" s="36">
        <f t="shared" si="21"/>
        <v>9</v>
      </c>
      <c r="AD22" s="23"/>
      <c r="AE22" s="36">
        <f t="shared" si="21"/>
        <v>9</v>
      </c>
      <c r="AF22" s="23"/>
      <c r="AG22" s="36">
        <f t="shared" si="21"/>
        <v>9</v>
      </c>
      <c r="AH22" s="23">
        <v>9</v>
      </c>
      <c r="AI22" s="36">
        <f t="shared" si="21"/>
        <v>18</v>
      </c>
      <c r="AJ22" s="24">
        <f>+AI20/L20</f>
        <v>1</v>
      </c>
      <c r="AK22" s="69"/>
      <c r="AL22" s="69"/>
      <c r="AM22" s="72"/>
    </row>
    <row r="23" spans="1:41" s="5" customFormat="1" ht="23" customHeight="1" x14ac:dyDescent="0.25">
      <c r="A23" s="84"/>
      <c r="B23" s="98"/>
      <c r="C23" s="94"/>
      <c r="D23" s="94"/>
      <c r="E23" s="87"/>
      <c r="F23" s="87"/>
      <c r="G23" s="87"/>
      <c r="H23" s="87"/>
      <c r="I23" s="101"/>
      <c r="J23" s="101"/>
      <c r="K23" s="107"/>
      <c r="L23" s="25" t="s">
        <v>96</v>
      </c>
      <c r="M23" s="25" t="s">
        <v>44</v>
      </c>
      <c r="N23" s="25" t="s">
        <v>44</v>
      </c>
      <c r="O23" s="38" t="s">
        <v>44</v>
      </c>
      <c r="P23" s="25" t="s">
        <v>44</v>
      </c>
      <c r="Q23" s="38" t="s">
        <v>44</v>
      </c>
      <c r="R23" s="25" t="s">
        <v>44</v>
      </c>
      <c r="S23" s="38" t="s">
        <v>44</v>
      </c>
      <c r="T23" s="25" t="s">
        <v>44</v>
      </c>
      <c r="U23" s="38" t="s">
        <v>44</v>
      </c>
      <c r="V23" s="25" t="s">
        <v>44</v>
      </c>
      <c r="W23" s="38" t="s">
        <v>44</v>
      </c>
      <c r="X23" s="25" t="s">
        <v>44</v>
      </c>
      <c r="Y23" s="38" t="s">
        <v>44</v>
      </c>
      <c r="Z23" s="25" t="s">
        <v>44</v>
      </c>
      <c r="AA23" s="38" t="s">
        <v>44</v>
      </c>
      <c r="AB23" s="25" t="s">
        <v>44</v>
      </c>
      <c r="AC23" s="38" t="s">
        <v>44</v>
      </c>
      <c r="AD23" s="25" t="s">
        <v>44</v>
      </c>
      <c r="AE23" s="38" t="s">
        <v>44</v>
      </c>
      <c r="AF23" s="25" t="s">
        <v>44</v>
      </c>
      <c r="AG23" s="38" t="s">
        <v>44</v>
      </c>
      <c r="AH23" s="25" t="s">
        <v>44</v>
      </c>
      <c r="AI23" s="38" t="s">
        <v>44</v>
      </c>
      <c r="AJ23" s="20"/>
      <c r="AK23" s="69"/>
      <c r="AL23" s="69"/>
      <c r="AM23" s="72"/>
    </row>
    <row r="24" spans="1:41" s="5" customFormat="1" ht="23" customHeight="1" thickBot="1" x14ac:dyDescent="0.3">
      <c r="A24" s="85"/>
      <c r="B24" s="99"/>
      <c r="C24" s="95"/>
      <c r="D24" s="95"/>
      <c r="E24" s="88"/>
      <c r="F24" s="88"/>
      <c r="G24" s="88"/>
      <c r="H24" s="88"/>
      <c r="I24" s="102"/>
      <c r="J24" s="102"/>
      <c r="K24" s="108"/>
      <c r="L24" s="22">
        <v>18</v>
      </c>
      <c r="M24" s="27"/>
      <c r="N24" s="27"/>
      <c r="O24" s="36">
        <f t="shared" ref="O24:AI24" si="22">+M24+N24</f>
        <v>0</v>
      </c>
      <c r="P24" s="27"/>
      <c r="Q24" s="36">
        <f t="shared" si="22"/>
        <v>0</v>
      </c>
      <c r="R24" s="27"/>
      <c r="S24" s="36">
        <f t="shared" si="22"/>
        <v>0</v>
      </c>
      <c r="T24" s="27"/>
      <c r="U24" s="36">
        <f t="shared" si="22"/>
        <v>0</v>
      </c>
      <c r="V24" s="27">
        <v>9</v>
      </c>
      <c r="W24" s="36">
        <f t="shared" si="22"/>
        <v>9</v>
      </c>
      <c r="X24" s="27"/>
      <c r="Y24" s="36">
        <f t="shared" si="22"/>
        <v>9</v>
      </c>
      <c r="Z24" s="27"/>
      <c r="AA24" s="36">
        <f t="shared" si="22"/>
        <v>9</v>
      </c>
      <c r="AB24" s="27"/>
      <c r="AC24" s="36">
        <f t="shared" si="22"/>
        <v>9</v>
      </c>
      <c r="AD24" s="27"/>
      <c r="AE24" s="36">
        <f t="shared" si="22"/>
        <v>9</v>
      </c>
      <c r="AF24" s="27"/>
      <c r="AG24" s="36">
        <f t="shared" si="22"/>
        <v>9</v>
      </c>
      <c r="AH24" s="27">
        <v>9</v>
      </c>
      <c r="AI24" s="36">
        <f t="shared" si="22"/>
        <v>18</v>
      </c>
      <c r="AJ24" s="28"/>
      <c r="AK24" s="70"/>
      <c r="AL24" s="70"/>
      <c r="AM24" s="73"/>
    </row>
    <row r="25" spans="1:41" s="5" customFormat="1" ht="23" customHeight="1" thickTop="1" x14ac:dyDescent="0.25">
      <c r="A25" s="142" t="s">
        <v>91</v>
      </c>
      <c r="B25" s="90" t="s">
        <v>49</v>
      </c>
      <c r="C25" s="93" t="s">
        <v>78</v>
      </c>
      <c r="D25" s="93" t="s">
        <v>79</v>
      </c>
      <c r="E25" s="89" t="s">
        <v>51</v>
      </c>
      <c r="F25" s="86" t="s">
        <v>52</v>
      </c>
      <c r="G25" s="86" t="s">
        <v>53</v>
      </c>
      <c r="H25" s="86" t="s">
        <v>52</v>
      </c>
      <c r="I25" s="100">
        <f>L26</f>
        <v>0.95756457564575648</v>
      </c>
      <c r="J25" s="100">
        <v>0.2</v>
      </c>
      <c r="K25" s="93" t="s">
        <v>80</v>
      </c>
      <c r="L25" s="17" t="s">
        <v>42</v>
      </c>
      <c r="M25" s="17" t="s">
        <v>42</v>
      </c>
      <c r="N25" s="17" t="s">
        <v>42</v>
      </c>
      <c r="O25" s="29" t="s">
        <v>42</v>
      </c>
      <c r="P25" s="17" t="s">
        <v>42</v>
      </c>
      <c r="Q25" s="29" t="s">
        <v>42</v>
      </c>
      <c r="R25" s="17" t="s">
        <v>42</v>
      </c>
      <c r="S25" s="29" t="s">
        <v>42</v>
      </c>
      <c r="T25" s="17" t="s">
        <v>42</v>
      </c>
      <c r="U25" s="29" t="s">
        <v>42</v>
      </c>
      <c r="V25" s="17" t="s">
        <v>42</v>
      </c>
      <c r="W25" s="29" t="s">
        <v>42</v>
      </c>
      <c r="X25" s="17" t="s">
        <v>42</v>
      </c>
      <c r="Y25" s="29" t="s">
        <v>42</v>
      </c>
      <c r="Z25" s="17" t="s">
        <v>42</v>
      </c>
      <c r="AA25" s="29" t="s">
        <v>42</v>
      </c>
      <c r="AB25" s="17" t="s">
        <v>42</v>
      </c>
      <c r="AC25" s="29" t="s">
        <v>42</v>
      </c>
      <c r="AD25" s="17" t="s">
        <v>42</v>
      </c>
      <c r="AE25" s="29" t="s">
        <v>42</v>
      </c>
      <c r="AF25" s="17" t="s">
        <v>42</v>
      </c>
      <c r="AG25" s="29" t="s">
        <v>42</v>
      </c>
      <c r="AH25" s="17" t="s">
        <v>42</v>
      </c>
      <c r="AI25" s="29" t="s">
        <v>42</v>
      </c>
      <c r="AJ25" s="30"/>
      <c r="AK25" s="63" t="s">
        <v>74</v>
      </c>
      <c r="AL25" s="68"/>
      <c r="AM25" s="71" t="s">
        <v>54</v>
      </c>
    </row>
    <row r="26" spans="1:41" s="5" customFormat="1" ht="23" customHeight="1" x14ac:dyDescent="0.25">
      <c r="A26" s="148"/>
      <c r="B26" s="91"/>
      <c r="C26" s="150"/>
      <c r="D26" s="150"/>
      <c r="E26" s="87"/>
      <c r="F26" s="87"/>
      <c r="G26" s="87"/>
      <c r="H26" s="87"/>
      <c r="I26" s="101"/>
      <c r="J26" s="101"/>
      <c r="K26" s="107"/>
      <c r="L26" s="44">
        <f>IF(L28&lt;&gt;0,+L28/L30,0%)</f>
        <v>0.95756457564575648</v>
      </c>
      <c r="M26" s="19">
        <f>IF(M28&lt;&gt;0,+M28/M30,0%)</f>
        <v>0.96</v>
      </c>
      <c r="N26" s="19">
        <f>IF(N28&lt;&gt;0,+N28/N30,0%)</f>
        <v>0.95575221238938057</v>
      </c>
      <c r="O26" s="32">
        <f t="shared" ref="O26:Q26" si="23">IF(O28&lt;&gt;0,+O28/O30,0%)</f>
        <v>0.95787139689578715</v>
      </c>
      <c r="P26" s="19">
        <f>IF(P28&lt;&gt;0,+P28/P30,0%)</f>
        <v>0.96017699115044253</v>
      </c>
      <c r="Q26" s="32">
        <f t="shared" si="23"/>
        <v>0.95864106351550959</v>
      </c>
      <c r="R26" s="19">
        <f>IF(R28&lt;&gt;0,+R28/R30,0%)</f>
        <v>0.95154185022026427</v>
      </c>
      <c r="S26" s="32">
        <f t="shared" ref="S26" si="24">IF(S28&lt;&gt;0,+S28/S30,0%)</f>
        <v>0.95685840707964598</v>
      </c>
      <c r="T26" s="19">
        <f>IF(T28&lt;&gt;0,+T28/T30,0%)</f>
        <v>0.96</v>
      </c>
      <c r="U26" s="32">
        <f t="shared" ref="U26" si="25">IF(U28&lt;&gt;0,+U28/U30,0%)</f>
        <v>0.95748449955713022</v>
      </c>
      <c r="V26" s="19">
        <f>IF(V28&lt;&gt;0,+V28/V30,0%)</f>
        <v>0.95575221238938057</v>
      </c>
      <c r="W26" s="32">
        <f t="shared" ref="W26" si="26">IF(W28&lt;&gt;0,+W28/W30,0%)</f>
        <v>0.95719557195571958</v>
      </c>
      <c r="X26" s="19">
        <f>IF(X28&lt;&gt;0,+X28/X30,0%)</f>
        <v>0.96444444444444444</v>
      </c>
      <c r="Y26" s="32">
        <f t="shared" ref="Y26" si="27">IF(Y28&lt;&gt;0,+Y28/Y30,0%)</f>
        <v>0.95822784810126582</v>
      </c>
      <c r="Z26" s="19">
        <f>IF(Z28&lt;&gt;0,+Z28/Z30,0%)</f>
        <v>0.95154185022026427</v>
      </c>
      <c r="AA26" s="32">
        <f t="shared" ref="AA26" si="28">IF(AA28&lt;&gt;0,+AA28/AA30,0%)</f>
        <v>0.95738793580520198</v>
      </c>
      <c r="AB26" s="19">
        <f>IF(AB28&lt;&gt;0,+AB28/AB30,0%)</f>
        <v>0.96</v>
      </c>
      <c r="AC26" s="32">
        <f t="shared" ref="AC26" si="29">IF(AC28&lt;&gt;0,+AC28/AC30,0%)</f>
        <v>0.95767716535433067</v>
      </c>
      <c r="AD26" s="19">
        <f>IF(AD28&lt;&gt;0,+AD28/AD30,0%)</f>
        <v>0.95575221238938057</v>
      </c>
      <c r="AE26" s="32">
        <f t="shared" ref="AE26" si="30">IF(AE28&lt;&gt;0,+AE28/AE30,0%)</f>
        <v>0.95748449955713022</v>
      </c>
      <c r="AF26" s="19">
        <f>IF(AF28&lt;&gt;0,+AF28/AF30,0%)</f>
        <v>0.96444444444444444</v>
      </c>
      <c r="AG26" s="32">
        <f t="shared" ref="AG26" si="31">IF(AG28&lt;&gt;0,+AG28/AG30,0%)</f>
        <v>0.95811518324607325</v>
      </c>
      <c r="AH26" s="19">
        <f>IF(AH28&lt;&gt;0,+AH28/AH30,0%)</f>
        <v>0.95154185022026427</v>
      </c>
      <c r="AI26" s="32">
        <f t="shared" ref="AI26" si="32">IF(AI28&lt;&gt;0,+AI28/AI30,0%)</f>
        <v>0.95756457564575648</v>
      </c>
      <c r="AJ26" s="33"/>
      <c r="AK26" s="64"/>
      <c r="AL26" s="69"/>
      <c r="AM26" s="72"/>
    </row>
    <row r="27" spans="1:41" s="5" customFormat="1" ht="23" customHeight="1" thickBot="1" x14ac:dyDescent="0.3">
      <c r="A27" s="148"/>
      <c r="B27" s="91"/>
      <c r="C27" s="150"/>
      <c r="D27" s="150"/>
      <c r="E27" s="87"/>
      <c r="F27" s="87"/>
      <c r="G27" s="87"/>
      <c r="H27" s="87"/>
      <c r="I27" s="101"/>
      <c r="J27" s="101"/>
      <c r="K27" s="108"/>
      <c r="L27" s="21" t="s">
        <v>43</v>
      </c>
      <c r="M27" s="21" t="s">
        <v>43</v>
      </c>
      <c r="N27" s="21" t="s">
        <v>43</v>
      </c>
      <c r="O27" s="34" t="s">
        <v>43</v>
      </c>
      <c r="P27" s="21" t="s">
        <v>43</v>
      </c>
      <c r="Q27" s="34" t="s">
        <v>43</v>
      </c>
      <c r="R27" s="21" t="s">
        <v>43</v>
      </c>
      <c r="S27" s="34" t="s">
        <v>43</v>
      </c>
      <c r="T27" s="21" t="s">
        <v>43</v>
      </c>
      <c r="U27" s="34" t="s">
        <v>43</v>
      </c>
      <c r="V27" s="21" t="s">
        <v>43</v>
      </c>
      <c r="W27" s="34" t="s">
        <v>43</v>
      </c>
      <c r="X27" s="21" t="s">
        <v>43</v>
      </c>
      <c r="Y27" s="34" t="s">
        <v>43</v>
      </c>
      <c r="Z27" s="21" t="s">
        <v>43</v>
      </c>
      <c r="AA27" s="34" t="s">
        <v>43</v>
      </c>
      <c r="AB27" s="21" t="s">
        <v>43</v>
      </c>
      <c r="AC27" s="34" t="s">
        <v>43</v>
      </c>
      <c r="AD27" s="21" t="s">
        <v>43</v>
      </c>
      <c r="AE27" s="34" t="s">
        <v>43</v>
      </c>
      <c r="AF27" s="21" t="s">
        <v>43</v>
      </c>
      <c r="AG27" s="34" t="s">
        <v>43</v>
      </c>
      <c r="AH27" s="21" t="s">
        <v>43</v>
      </c>
      <c r="AI27" s="34" t="s">
        <v>43</v>
      </c>
      <c r="AJ27" s="33"/>
      <c r="AK27" s="64"/>
      <c r="AL27" s="69"/>
      <c r="AM27" s="72"/>
      <c r="AO27" s="61"/>
    </row>
    <row r="28" spans="1:41" s="5" customFormat="1" ht="23" customHeight="1" thickTop="1" x14ac:dyDescent="0.25">
      <c r="A28" s="148"/>
      <c r="B28" s="91"/>
      <c r="C28" s="150"/>
      <c r="D28" s="150"/>
      <c r="E28" s="87"/>
      <c r="F28" s="87"/>
      <c r="G28" s="87"/>
      <c r="H28" s="87"/>
      <c r="I28" s="101"/>
      <c r="J28" s="101"/>
      <c r="K28" s="107" t="s">
        <v>64</v>
      </c>
      <c r="L28" s="22">
        <v>2595</v>
      </c>
      <c r="M28" s="41">
        <v>216</v>
      </c>
      <c r="N28" s="41">
        <v>216</v>
      </c>
      <c r="O28" s="36">
        <f t="shared" ref="O28:AI28" si="33">+M28+N28</f>
        <v>432</v>
      </c>
      <c r="P28" s="41">
        <v>217</v>
      </c>
      <c r="Q28" s="36">
        <f t="shared" si="33"/>
        <v>649</v>
      </c>
      <c r="R28" s="41">
        <v>216</v>
      </c>
      <c r="S28" s="36">
        <f t="shared" si="33"/>
        <v>865</v>
      </c>
      <c r="T28" s="41">
        <v>216</v>
      </c>
      <c r="U28" s="36">
        <f t="shared" si="33"/>
        <v>1081</v>
      </c>
      <c r="V28" s="41">
        <v>216</v>
      </c>
      <c r="W28" s="36">
        <f t="shared" si="33"/>
        <v>1297</v>
      </c>
      <c r="X28" s="41">
        <v>217</v>
      </c>
      <c r="Y28" s="36">
        <f t="shared" si="33"/>
        <v>1514</v>
      </c>
      <c r="Z28" s="41">
        <v>216</v>
      </c>
      <c r="AA28" s="36">
        <f t="shared" si="33"/>
        <v>1730</v>
      </c>
      <c r="AB28" s="41">
        <v>216</v>
      </c>
      <c r="AC28" s="36">
        <f t="shared" si="33"/>
        <v>1946</v>
      </c>
      <c r="AD28" s="41">
        <v>216</v>
      </c>
      <c r="AE28" s="36">
        <f t="shared" si="33"/>
        <v>2162</v>
      </c>
      <c r="AF28" s="41">
        <v>217</v>
      </c>
      <c r="AG28" s="36">
        <f t="shared" si="33"/>
        <v>2379</v>
      </c>
      <c r="AH28" s="41">
        <v>216</v>
      </c>
      <c r="AI28" s="36">
        <f t="shared" si="33"/>
        <v>2595</v>
      </c>
      <c r="AJ28" s="37">
        <f>AI26/L26</f>
        <v>1</v>
      </c>
      <c r="AK28" s="64"/>
      <c r="AL28" s="69"/>
      <c r="AM28" s="72"/>
    </row>
    <row r="29" spans="1:41" s="5" customFormat="1" ht="23" customHeight="1" x14ac:dyDescent="0.25">
      <c r="A29" s="148"/>
      <c r="B29" s="91"/>
      <c r="C29" s="150"/>
      <c r="D29" s="150"/>
      <c r="E29" s="87"/>
      <c r="F29" s="87"/>
      <c r="G29" s="87"/>
      <c r="H29" s="87"/>
      <c r="I29" s="101"/>
      <c r="J29" s="101"/>
      <c r="K29" s="107"/>
      <c r="L29" s="25" t="s">
        <v>44</v>
      </c>
      <c r="M29" s="25" t="s">
        <v>44</v>
      </c>
      <c r="N29" s="25" t="s">
        <v>44</v>
      </c>
      <c r="O29" s="38" t="s">
        <v>44</v>
      </c>
      <c r="P29" s="25" t="s">
        <v>44</v>
      </c>
      <c r="Q29" s="38" t="s">
        <v>44</v>
      </c>
      <c r="R29" s="25" t="s">
        <v>44</v>
      </c>
      <c r="S29" s="38" t="s">
        <v>44</v>
      </c>
      <c r="T29" s="25" t="s">
        <v>44</v>
      </c>
      <c r="U29" s="38" t="s">
        <v>44</v>
      </c>
      <c r="V29" s="25" t="s">
        <v>44</v>
      </c>
      <c r="W29" s="38" t="s">
        <v>44</v>
      </c>
      <c r="X29" s="25" t="s">
        <v>44</v>
      </c>
      <c r="Y29" s="38" t="s">
        <v>44</v>
      </c>
      <c r="Z29" s="25" t="s">
        <v>44</v>
      </c>
      <c r="AA29" s="38" t="s">
        <v>44</v>
      </c>
      <c r="AB29" s="25" t="s">
        <v>44</v>
      </c>
      <c r="AC29" s="38" t="s">
        <v>44</v>
      </c>
      <c r="AD29" s="25" t="s">
        <v>44</v>
      </c>
      <c r="AE29" s="38" t="s">
        <v>44</v>
      </c>
      <c r="AF29" s="25" t="s">
        <v>44</v>
      </c>
      <c r="AG29" s="38" t="s">
        <v>44</v>
      </c>
      <c r="AH29" s="25" t="s">
        <v>44</v>
      </c>
      <c r="AI29" s="38" t="s">
        <v>44</v>
      </c>
      <c r="AJ29" s="33"/>
      <c r="AK29" s="64"/>
      <c r="AL29" s="69"/>
      <c r="AM29" s="72"/>
    </row>
    <row r="30" spans="1:41" s="5" customFormat="1" ht="23" customHeight="1" thickBot="1" x14ac:dyDescent="0.3">
      <c r="A30" s="149"/>
      <c r="B30" s="92"/>
      <c r="C30" s="151"/>
      <c r="D30" s="151"/>
      <c r="E30" s="88"/>
      <c r="F30" s="88"/>
      <c r="G30" s="88"/>
      <c r="H30" s="88"/>
      <c r="I30" s="102"/>
      <c r="J30" s="102"/>
      <c r="K30" s="108"/>
      <c r="L30" s="22">
        <v>2710</v>
      </c>
      <c r="M30" s="39">
        <v>225</v>
      </c>
      <c r="N30" s="39">
        <v>226</v>
      </c>
      <c r="O30" s="36">
        <f t="shared" ref="O30:AI30" si="34">+M30+N30</f>
        <v>451</v>
      </c>
      <c r="P30" s="41">
        <v>226</v>
      </c>
      <c r="Q30" s="36">
        <f t="shared" si="34"/>
        <v>677</v>
      </c>
      <c r="R30" s="41">
        <v>227</v>
      </c>
      <c r="S30" s="36">
        <f t="shared" si="34"/>
        <v>904</v>
      </c>
      <c r="T30" s="41">
        <v>225</v>
      </c>
      <c r="U30" s="36">
        <f t="shared" si="34"/>
        <v>1129</v>
      </c>
      <c r="V30" s="41">
        <v>226</v>
      </c>
      <c r="W30" s="36">
        <f t="shared" si="34"/>
        <v>1355</v>
      </c>
      <c r="X30" s="41">
        <v>225</v>
      </c>
      <c r="Y30" s="36">
        <f t="shared" si="34"/>
        <v>1580</v>
      </c>
      <c r="Z30" s="41">
        <v>227</v>
      </c>
      <c r="AA30" s="36">
        <f t="shared" si="34"/>
        <v>1807</v>
      </c>
      <c r="AB30" s="41">
        <v>225</v>
      </c>
      <c r="AC30" s="36">
        <f t="shared" si="34"/>
        <v>2032</v>
      </c>
      <c r="AD30" s="41">
        <v>226</v>
      </c>
      <c r="AE30" s="36">
        <f t="shared" si="34"/>
        <v>2258</v>
      </c>
      <c r="AF30" s="41">
        <v>225</v>
      </c>
      <c r="AG30" s="36">
        <f t="shared" si="34"/>
        <v>2483</v>
      </c>
      <c r="AH30" s="41">
        <v>227</v>
      </c>
      <c r="AI30" s="36">
        <f t="shared" si="34"/>
        <v>2710</v>
      </c>
      <c r="AJ30" s="40"/>
      <c r="AK30" s="65"/>
      <c r="AL30" s="70"/>
      <c r="AM30" s="73"/>
    </row>
    <row r="31" spans="1:41" s="5" customFormat="1" ht="23" customHeight="1" thickTop="1" x14ac:dyDescent="0.25">
      <c r="A31" s="142" t="s">
        <v>93</v>
      </c>
      <c r="B31" s="90" t="s">
        <v>49</v>
      </c>
      <c r="C31" s="145" t="s">
        <v>81</v>
      </c>
      <c r="D31" s="93" t="s">
        <v>84</v>
      </c>
      <c r="E31" s="89" t="s">
        <v>51</v>
      </c>
      <c r="F31" s="86" t="s">
        <v>52</v>
      </c>
      <c r="G31" s="86" t="s">
        <v>53</v>
      </c>
      <c r="H31" s="86" t="s">
        <v>52</v>
      </c>
      <c r="I31" s="100">
        <f>+L32</f>
        <v>1</v>
      </c>
      <c r="J31" s="100">
        <v>0.1</v>
      </c>
      <c r="K31" s="155" t="s">
        <v>83</v>
      </c>
      <c r="L31" s="17" t="s">
        <v>42</v>
      </c>
      <c r="M31" s="17" t="s">
        <v>42</v>
      </c>
      <c r="N31" s="17" t="s">
        <v>42</v>
      </c>
      <c r="O31" s="29" t="s">
        <v>42</v>
      </c>
      <c r="P31" s="17" t="s">
        <v>42</v>
      </c>
      <c r="Q31" s="29" t="s">
        <v>42</v>
      </c>
      <c r="R31" s="17" t="s">
        <v>42</v>
      </c>
      <c r="S31" s="29" t="s">
        <v>42</v>
      </c>
      <c r="T31" s="17" t="s">
        <v>42</v>
      </c>
      <c r="U31" s="29" t="s">
        <v>42</v>
      </c>
      <c r="V31" s="17" t="s">
        <v>42</v>
      </c>
      <c r="W31" s="29" t="s">
        <v>42</v>
      </c>
      <c r="X31" s="17" t="s">
        <v>42</v>
      </c>
      <c r="Y31" s="29" t="s">
        <v>42</v>
      </c>
      <c r="Z31" s="17" t="s">
        <v>42</v>
      </c>
      <c r="AA31" s="29" t="s">
        <v>42</v>
      </c>
      <c r="AB31" s="17" t="s">
        <v>42</v>
      </c>
      <c r="AC31" s="29" t="s">
        <v>42</v>
      </c>
      <c r="AD31" s="17" t="s">
        <v>42</v>
      </c>
      <c r="AE31" s="29" t="s">
        <v>42</v>
      </c>
      <c r="AF31" s="17" t="s">
        <v>42</v>
      </c>
      <c r="AG31" s="29" t="s">
        <v>42</v>
      </c>
      <c r="AH31" s="17" t="s">
        <v>42</v>
      </c>
      <c r="AI31" s="29" t="s">
        <v>42</v>
      </c>
      <c r="AJ31" s="18"/>
      <c r="AK31" s="63" t="s">
        <v>85</v>
      </c>
      <c r="AL31" s="152"/>
      <c r="AM31" s="71" t="s">
        <v>54</v>
      </c>
    </row>
    <row r="32" spans="1:41" s="5" customFormat="1" ht="23" customHeight="1" x14ac:dyDescent="0.25">
      <c r="A32" s="143"/>
      <c r="B32" s="91"/>
      <c r="C32" s="146"/>
      <c r="D32" s="107"/>
      <c r="E32" s="87"/>
      <c r="F32" s="87"/>
      <c r="G32" s="87"/>
      <c r="H32" s="87"/>
      <c r="I32" s="101"/>
      <c r="J32" s="101"/>
      <c r="K32" s="156"/>
      <c r="L32" s="44">
        <f>IF(L34&lt;&gt;0,+L34/L36,0%)</f>
        <v>1</v>
      </c>
      <c r="M32" s="19">
        <f>IF(M34&lt;&gt;0,+M34/M36,0%)</f>
        <v>0</v>
      </c>
      <c r="N32" s="19">
        <f>IF(N34&lt;&gt;0,+N34/N36,0%)</f>
        <v>0</v>
      </c>
      <c r="O32" s="32">
        <f t="shared" ref="O32:Q32" si="35">IF(O34&lt;&gt;0,+O34/O36,0%)</f>
        <v>0</v>
      </c>
      <c r="P32" s="19" t="e">
        <f>IF(P34&lt;&gt;0,+P34/P36,0%)</f>
        <v>#DIV/0!</v>
      </c>
      <c r="Q32" s="32" t="e">
        <f t="shared" si="35"/>
        <v>#DIV/0!</v>
      </c>
      <c r="R32" s="19">
        <f>IF(R34&lt;&gt;0,+R34/R36,0%)</f>
        <v>0</v>
      </c>
      <c r="S32" s="32">
        <f t="shared" ref="S32" si="36">IF(S34&lt;&gt;0,+S34/S36,0%)</f>
        <v>1</v>
      </c>
      <c r="T32" s="19">
        <f>IF(T34&lt;&gt;0,+T34/T36,0%)</f>
        <v>0</v>
      </c>
      <c r="U32" s="32">
        <f t="shared" ref="U32" si="37">IF(U34&lt;&gt;0,+U34/U36,0%)</f>
        <v>1</v>
      </c>
      <c r="V32" s="19">
        <f>IF(V34&lt;&gt;0,+V34/V36,0%)</f>
        <v>0</v>
      </c>
      <c r="W32" s="32">
        <f t="shared" ref="W32" si="38">IF(W34&lt;&gt;0,+W34/W36,0%)</f>
        <v>1</v>
      </c>
      <c r="X32" s="19">
        <f>IF(X34&lt;&gt;0,+X34/X36,0%)</f>
        <v>0</v>
      </c>
      <c r="Y32" s="32">
        <f t="shared" ref="Y32" si="39">IF(Y34&lt;&gt;0,+Y34/Y36,0%)</f>
        <v>1</v>
      </c>
      <c r="Z32" s="19">
        <f>IF(Z34&lt;&gt;0,+Z34/Z36,0%)</f>
        <v>0</v>
      </c>
      <c r="AA32" s="32">
        <f t="shared" ref="AA32" si="40">IF(AA34&lt;&gt;0,+AA34/AA36,0%)</f>
        <v>1</v>
      </c>
      <c r="AB32" s="19">
        <f>IF(AB34&lt;&gt;0,+AB34/AB36,0%)</f>
        <v>0</v>
      </c>
      <c r="AC32" s="32">
        <f t="shared" ref="AC32" si="41">IF(AC34&lt;&gt;0,+AC34/AC36,0%)</f>
        <v>1</v>
      </c>
      <c r="AD32" s="19">
        <f>IF(AD34&lt;&gt;0,+AD34/AD36,0%)</f>
        <v>0</v>
      </c>
      <c r="AE32" s="32">
        <f t="shared" ref="AE32" si="42">IF(AE34&lt;&gt;0,+AE34/AE36,0%)</f>
        <v>1</v>
      </c>
      <c r="AF32" s="19">
        <f>IF(AF34&lt;&gt;0,+AF34/AF36,0%)</f>
        <v>0</v>
      </c>
      <c r="AG32" s="32">
        <f t="shared" ref="AG32" si="43">IF(AG34&lt;&gt;0,+AG34/AG36,0%)</f>
        <v>1</v>
      </c>
      <c r="AH32" s="19">
        <f>IF(AH34&lt;&gt;0,+AH34/AH36,0%)</f>
        <v>0</v>
      </c>
      <c r="AI32" s="32">
        <f t="shared" ref="AI32" si="44">IF(AI34&lt;&gt;0,+AI34/AI36,0%)</f>
        <v>1</v>
      </c>
      <c r="AJ32" s="20"/>
      <c r="AK32" s="64"/>
      <c r="AL32" s="153"/>
      <c r="AM32" s="72"/>
    </row>
    <row r="33" spans="1:41" s="5" customFormat="1" ht="23" customHeight="1" thickBot="1" x14ac:dyDescent="0.3">
      <c r="A33" s="143"/>
      <c r="B33" s="91"/>
      <c r="C33" s="146"/>
      <c r="D33" s="107"/>
      <c r="E33" s="87"/>
      <c r="F33" s="87"/>
      <c r="G33" s="87"/>
      <c r="H33" s="87"/>
      <c r="I33" s="101"/>
      <c r="J33" s="101"/>
      <c r="K33" s="157"/>
      <c r="L33" s="21" t="s">
        <v>43</v>
      </c>
      <c r="M33" s="21" t="s">
        <v>43</v>
      </c>
      <c r="N33" s="21" t="s">
        <v>43</v>
      </c>
      <c r="O33" s="34" t="s">
        <v>43</v>
      </c>
      <c r="P33" s="21" t="s">
        <v>43</v>
      </c>
      <c r="Q33" s="34" t="s">
        <v>43</v>
      </c>
      <c r="R33" s="21" t="s">
        <v>43</v>
      </c>
      <c r="S33" s="34" t="s">
        <v>43</v>
      </c>
      <c r="T33" s="21" t="s">
        <v>43</v>
      </c>
      <c r="U33" s="34" t="s">
        <v>43</v>
      </c>
      <c r="V33" s="21" t="s">
        <v>43</v>
      </c>
      <c r="W33" s="34" t="s">
        <v>43</v>
      </c>
      <c r="X33" s="21" t="s">
        <v>43</v>
      </c>
      <c r="Y33" s="34" t="s">
        <v>43</v>
      </c>
      <c r="Z33" s="21" t="s">
        <v>43</v>
      </c>
      <c r="AA33" s="34" t="s">
        <v>43</v>
      </c>
      <c r="AB33" s="21" t="s">
        <v>43</v>
      </c>
      <c r="AC33" s="34" t="s">
        <v>43</v>
      </c>
      <c r="AD33" s="21" t="s">
        <v>43</v>
      </c>
      <c r="AE33" s="34" t="s">
        <v>43</v>
      </c>
      <c r="AF33" s="21" t="s">
        <v>43</v>
      </c>
      <c r="AG33" s="34" t="s">
        <v>43</v>
      </c>
      <c r="AH33" s="21" t="s">
        <v>43</v>
      </c>
      <c r="AI33" s="34" t="s">
        <v>43</v>
      </c>
      <c r="AJ33" s="20"/>
      <c r="AK33" s="64"/>
      <c r="AL33" s="153"/>
      <c r="AM33" s="72"/>
    </row>
    <row r="34" spans="1:41" s="5" customFormat="1" ht="23" customHeight="1" thickTop="1" x14ac:dyDescent="0.25">
      <c r="A34" s="143"/>
      <c r="B34" s="91"/>
      <c r="C34" s="146"/>
      <c r="D34" s="107"/>
      <c r="E34" s="87"/>
      <c r="F34" s="87"/>
      <c r="G34" s="87"/>
      <c r="H34" s="87"/>
      <c r="I34" s="101"/>
      <c r="J34" s="101"/>
      <c r="K34" s="155" t="s">
        <v>82</v>
      </c>
      <c r="L34" s="22">
        <v>2</v>
      </c>
      <c r="M34" s="23"/>
      <c r="N34" s="23"/>
      <c r="O34" s="36">
        <f t="shared" ref="O34:AG34" si="45">+M34+N34</f>
        <v>0</v>
      </c>
      <c r="P34" s="23">
        <v>1</v>
      </c>
      <c r="Q34" s="36">
        <f t="shared" si="45"/>
        <v>1</v>
      </c>
      <c r="R34" s="23"/>
      <c r="S34" s="36">
        <f t="shared" si="45"/>
        <v>1</v>
      </c>
      <c r="T34" s="23"/>
      <c r="U34" s="36">
        <f t="shared" si="45"/>
        <v>1</v>
      </c>
      <c r="V34" s="23"/>
      <c r="W34" s="36">
        <f t="shared" si="45"/>
        <v>1</v>
      </c>
      <c r="X34" s="23"/>
      <c r="Y34" s="36">
        <f t="shared" si="45"/>
        <v>1</v>
      </c>
      <c r="Z34" s="23"/>
      <c r="AA34" s="36">
        <f t="shared" si="45"/>
        <v>1</v>
      </c>
      <c r="AB34" s="23"/>
      <c r="AC34" s="36">
        <f t="shared" si="45"/>
        <v>1</v>
      </c>
      <c r="AD34" s="23"/>
      <c r="AE34" s="36">
        <f t="shared" si="45"/>
        <v>1</v>
      </c>
      <c r="AF34" s="23"/>
      <c r="AG34" s="36">
        <f t="shared" si="45"/>
        <v>1</v>
      </c>
      <c r="AH34" s="23"/>
      <c r="AI34" s="36">
        <f>+AG34+AH34</f>
        <v>1</v>
      </c>
      <c r="AJ34" s="24">
        <f>AI32/L32</f>
        <v>1</v>
      </c>
      <c r="AK34" s="64"/>
      <c r="AL34" s="153"/>
      <c r="AM34" s="72"/>
    </row>
    <row r="35" spans="1:41" s="5" customFormat="1" ht="23" customHeight="1" x14ac:dyDescent="0.25">
      <c r="A35" s="143"/>
      <c r="B35" s="91"/>
      <c r="C35" s="146"/>
      <c r="D35" s="107"/>
      <c r="E35" s="87"/>
      <c r="F35" s="87"/>
      <c r="G35" s="87"/>
      <c r="H35" s="87"/>
      <c r="I35" s="101"/>
      <c r="J35" s="101"/>
      <c r="K35" s="156"/>
      <c r="L35" s="25" t="s">
        <v>44</v>
      </c>
      <c r="M35" s="25" t="s">
        <v>44</v>
      </c>
      <c r="N35" s="25" t="s">
        <v>44</v>
      </c>
      <c r="O35" s="38" t="s">
        <v>44</v>
      </c>
      <c r="P35" s="25" t="s">
        <v>44</v>
      </c>
      <c r="Q35" s="38" t="s">
        <v>44</v>
      </c>
      <c r="R35" s="25" t="s">
        <v>44</v>
      </c>
      <c r="S35" s="38" t="s">
        <v>44</v>
      </c>
      <c r="T35" s="25" t="s">
        <v>44</v>
      </c>
      <c r="U35" s="38" t="s">
        <v>44</v>
      </c>
      <c r="V35" s="25" t="s">
        <v>44</v>
      </c>
      <c r="W35" s="38" t="s">
        <v>44</v>
      </c>
      <c r="X35" s="25" t="s">
        <v>44</v>
      </c>
      <c r="Y35" s="38" t="s">
        <v>44</v>
      </c>
      <c r="Z35" s="25" t="s">
        <v>44</v>
      </c>
      <c r="AA35" s="38" t="s">
        <v>44</v>
      </c>
      <c r="AB35" s="25" t="s">
        <v>44</v>
      </c>
      <c r="AC35" s="38" t="s">
        <v>44</v>
      </c>
      <c r="AD35" s="25" t="s">
        <v>44</v>
      </c>
      <c r="AE35" s="38" t="s">
        <v>44</v>
      </c>
      <c r="AF35" s="25" t="s">
        <v>44</v>
      </c>
      <c r="AG35" s="38" t="s">
        <v>44</v>
      </c>
      <c r="AH35" s="25" t="s">
        <v>44</v>
      </c>
      <c r="AI35" s="38" t="s">
        <v>44</v>
      </c>
      <c r="AJ35" s="20"/>
      <c r="AK35" s="64"/>
      <c r="AL35" s="153"/>
      <c r="AM35" s="72"/>
    </row>
    <row r="36" spans="1:41" s="5" customFormat="1" ht="23" customHeight="1" thickBot="1" x14ac:dyDescent="0.3">
      <c r="A36" s="144"/>
      <c r="B36" s="92"/>
      <c r="C36" s="147"/>
      <c r="D36" s="108"/>
      <c r="E36" s="88"/>
      <c r="F36" s="88"/>
      <c r="G36" s="88"/>
      <c r="H36" s="88"/>
      <c r="I36" s="102"/>
      <c r="J36" s="102"/>
      <c r="K36" s="157"/>
      <c r="L36" s="26">
        <v>2</v>
      </c>
      <c r="M36" s="27"/>
      <c r="N36" s="27"/>
      <c r="O36" s="45">
        <f t="shared" ref="O36:AG36" si="46">+M36+N36</f>
        <v>0</v>
      </c>
      <c r="P36" s="27"/>
      <c r="Q36" s="45">
        <f t="shared" si="46"/>
        <v>0</v>
      </c>
      <c r="R36" s="27">
        <v>1</v>
      </c>
      <c r="S36" s="45">
        <f t="shared" si="46"/>
        <v>1</v>
      </c>
      <c r="T36" s="27"/>
      <c r="U36" s="45">
        <f t="shared" si="46"/>
        <v>1</v>
      </c>
      <c r="V36" s="27"/>
      <c r="W36" s="45">
        <f t="shared" si="46"/>
        <v>1</v>
      </c>
      <c r="X36" s="27"/>
      <c r="Y36" s="45">
        <f t="shared" si="46"/>
        <v>1</v>
      </c>
      <c r="Z36" s="27"/>
      <c r="AA36" s="45">
        <f t="shared" si="46"/>
        <v>1</v>
      </c>
      <c r="AB36" s="27"/>
      <c r="AC36" s="45">
        <f t="shared" si="46"/>
        <v>1</v>
      </c>
      <c r="AD36" s="27"/>
      <c r="AE36" s="45">
        <f t="shared" si="46"/>
        <v>1</v>
      </c>
      <c r="AF36" s="27"/>
      <c r="AG36" s="45">
        <f t="shared" si="46"/>
        <v>1</v>
      </c>
      <c r="AH36" s="27"/>
      <c r="AI36" s="45">
        <f>+AG36+AH36</f>
        <v>1</v>
      </c>
      <c r="AJ36" s="28"/>
      <c r="AK36" s="65"/>
      <c r="AL36" s="154"/>
      <c r="AM36" s="73"/>
    </row>
    <row r="37" spans="1:41" s="5" customFormat="1" ht="23" customHeight="1" thickTop="1" x14ac:dyDescent="0.25">
      <c r="A37" s="168" t="s">
        <v>92</v>
      </c>
      <c r="B37" s="90" t="s">
        <v>49</v>
      </c>
      <c r="C37" s="171" t="s">
        <v>65</v>
      </c>
      <c r="D37" s="174" t="s">
        <v>66</v>
      </c>
      <c r="E37" s="89" t="s">
        <v>51</v>
      </c>
      <c r="F37" s="86" t="s">
        <v>52</v>
      </c>
      <c r="G37" s="86" t="s">
        <v>53</v>
      </c>
      <c r="H37" s="86" t="s">
        <v>52</v>
      </c>
      <c r="I37" s="175">
        <f>+L38</f>
        <v>1</v>
      </c>
      <c r="J37" s="100">
        <v>0.1</v>
      </c>
      <c r="K37" s="164" t="s">
        <v>68</v>
      </c>
      <c r="L37" s="47" t="s">
        <v>42</v>
      </c>
      <c r="M37" s="47" t="s">
        <v>42</v>
      </c>
      <c r="N37" s="47" t="s">
        <v>42</v>
      </c>
      <c r="O37" s="48" t="s">
        <v>42</v>
      </c>
      <c r="P37" s="47" t="s">
        <v>42</v>
      </c>
      <c r="Q37" s="48" t="s">
        <v>42</v>
      </c>
      <c r="R37" s="47" t="s">
        <v>42</v>
      </c>
      <c r="S37" s="48" t="s">
        <v>42</v>
      </c>
      <c r="T37" s="47" t="s">
        <v>42</v>
      </c>
      <c r="U37" s="48" t="s">
        <v>42</v>
      </c>
      <c r="V37" s="47" t="s">
        <v>42</v>
      </c>
      <c r="W37" s="48" t="s">
        <v>42</v>
      </c>
      <c r="X37" s="47" t="s">
        <v>42</v>
      </c>
      <c r="Y37" s="48" t="s">
        <v>42</v>
      </c>
      <c r="Z37" s="47" t="s">
        <v>42</v>
      </c>
      <c r="AA37" s="48" t="s">
        <v>42</v>
      </c>
      <c r="AB37" s="47" t="s">
        <v>42</v>
      </c>
      <c r="AC37" s="48" t="s">
        <v>42</v>
      </c>
      <c r="AD37" s="47" t="s">
        <v>42</v>
      </c>
      <c r="AE37" s="48" t="s">
        <v>42</v>
      </c>
      <c r="AF37" s="47" t="s">
        <v>42</v>
      </c>
      <c r="AG37" s="48" t="s">
        <v>42</v>
      </c>
      <c r="AH37" s="47" t="s">
        <v>42</v>
      </c>
      <c r="AI37" s="48" t="s">
        <v>42</v>
      </c>
      <c r="AJ37" s="49"/>
      <c r="AK37" s="158" t="s">
        <v>75</v>
      </c>
      <c r="AL37" s="68"/>
      <c r="AM37" s="161" t="s">
        <v>55</v>
      </c>
    </row>
    <row r="38" spans="1:41" s="5" customFormat="1" ht="23" customHeight="1" x14ac:dyDescent="0.25">
      <c r="A38" s="169"/>
      <c r="B38" s="91"/>
      <c r="C38" s="172"/>
      <c r="D38" s="172"/>
      <c r="E38" s="87"/>
      <c r="F38" s="87"/>
      <c r="G38" s="87"/>
      <c r="H38" s="87"/>
      <c r="I38" s="176"/>
      <c r="J38" s="101"/>
      <c r="K38" s="165"/>
      <c r="L38" s="50">
        <f>IF(L40&lt;&gt;0,+L40/L42,0%)</f>
        <v>1</v>
      </c>
      <c r="M38" s="51">
        <f>IF(M40&lt;&gt;0,+M40/M42,0%)</f>
        <v>0</v>
      </c>
      <c r="N38" s="51">
        <f>IF(N40&lt;&gt;0,+N40/N42,0%)</f>
        <v>0</v>
      </c>
      <c r="O38" s="52">
        <f t="shared" ref="O38" si="47">IF(O40&lt;&gt;0,+O40/O42,0%)</f>
        <v>0</v>
      </c>
      <c r="P38" s="51">
        <f>IF(P40&lt;&gt;0,+P40/P42,0%)</f>
        <v>0</v>
      </c>
      <c r="Q38" s="52">
        <f t="shared" ref="Q38" si="48">IF(Q40&lt;&gt;0,+Q40/Q42,0%)</f>
        <v>0</v>
      </c>
      <c r="R38" s="51">
        <f>IF(R40&lt;&gt;0,+R40/R42,0%)</f>
        <v>0</v>
      </c>
      <c r="S38" s="52">
        <f t="shared" ref="S38" si="49">IF(S40&lt;&gt;0,+S40/S42,0%)</f>
        <v>0</v>
      </c>
      <c r="T38" s="51">
        <f>IF(T40&lt;&gt;0,+T40/T42,0%)</f>
        <v>0</v>
      </c>
      <c r="U38" s="52">
        <f t="shared" ref="U38" si="50">IF(U40&lt;&gt;0,+U40/U42,0%)</f>
        <v>0</v>
      </c>
      <c r="V38" s="51">
        <f>IF(V40&lt;&gt;0,+V40/V42,0%)</f>
        <v>1</v>
      </c>
      <c r="W38" s="52">
        <f t="shared" ref="W38" si="51">IF(W40&lt;&gt;0,+W40/W42,0%)</f>
        <v>1</v>
      </c>
      <c r="X38" s="51">
        <f>IF(X40&lt;&gt;0,+X40/X42,0%)</f>
        <v>0</v>
      </c>
      <c r="Y38" s="52">
        <f t="shared" ref="Y38" si="52">IF(Y40&lt;&gt;0,+Y40/Y42,0%)</f>
        <v>1</v>
      </c>
      <c r="Z38" s="51">
        <f>IF(Z40&lt;&gt;0,+Z40/Z42,0%)</f>
        <v>0</v>
      </c>
      <c r="AA38" s="52">
        <f t="shared" ref="AA38" si="53">IF(AA40&lt;&gt;0,+AA40/AA42,0%)</f>
        <v>1</v>
      </c>
      <c r="AB38" s="51">
        <f>IF(AB40&lt;&gt;0,+AB40/AB42,0%)</f>
        <v>0</v>
      </c>
      <c r="AC38" s="52">
        <f t="shared" ref="AC38" si="54">IF(AC40&lt;&gt;0,+AC40/AC42,0%)</f>
        <v>1</v>
      </c>
      <c r="AD38" s="51">
        <f>IF(AD40&lt;&gt;0,+AD40/AD42,0%)</f>
        <v>0</v>
      </c>
      <c r="AE38" s="52">
        <f t="shared" ref="AE38" si="55">IF(AE40&lt;&gt;0,+AE40/AE42,0%)</f>
        <v>1</v>
      </c>
      <c r="AF38" s="51">
        <f>IF(AF40&lt;&gt;0,+AF40/AF42,0%)</f>
        <v>0</v>
      </c>
      <c r="AG38" s="52">
        <f t="shared" ref="AG38" si="56">IF(AG40&lt;&gt;0,+AG40/AG42,0%)</f>
        <v>1</v>
      </c>
      <c r="AH38" s="51">
        <f>IF(AH40&lt;&gt;0,+AH40/AH42,0%)</f>
        <v>1</v>
      </c>
      <c r="AI38" s="52">
        <f t="shared" ref="AI38" si="57">IF(AI40&lt;&gt;0,+AI40/AI42,0%)</f>
        <v>1</v>
      </c>
      <c r="AJ38" s="53"/>
      <c r="AK38" s="159"/>
      <c r="AL38" s="69"/>
      <c r="AM38" s="162"/>
    </row>
    <row r="39" spans="1:41" s="5" customFormat="1" ht="23" customHeight="1" thickBot="1" x14ac:dyDescent="0.3">
      <c r="A39" s="169"/>
      <c r="B39" s="91"/>
      <c r="C39" s="172"/>
      <c r="D39" s="172"/>
      <c r="E39" s="87"/>
      <c r="F39" s="87"/>
      <c r="G39" s="87"/>
      <c r="H39" s="87"/>
      <c r="I39" s="176"/>
      <c r="J39" s="101"/>
      <c r="K39" s="166"/>
      <c r="L39" s="54" t="s">
        <v>43</v>
      </c>
      <c r="M39" s="54" t="s">
        <v>43</v>
      </c>
      <c r="N39" s="54" t="s">
        <v>43</v>
      </c>
      <c r="O39" s="55" t="s">
        <v>43</v>
      </c>
      <c r="P39" s="54" t="s">
        <v>43</v>
      </c>
      <c r="Q39" s="55" t="s">
        <v>43</v>
      </c>
      <c r="R39" s="54" t="s">
        <v>43</v>
      </c>
      <c r="S39" s="55" t="s">
        <v>43</v>
      </c>
      <c r="T39" s="54" t="s">
        <v>43</v>
      </c>
      <c r="U39" s="55" t="s">
        <v>43</v>
      </c>
      <c r="V39" s="54" t="s">
        <v>43</v>
      </c>
      <c r="W39" s="55" t="s">
        <v>43</v>
      </c>
      <c r="X39" s="54" t="s">
        <v>43</v>
      </c>
      <c r="Y39" s="55" t="s">
        <v>43</v>
      </c>
      <c r="Z39" s="54" t="s">
        <v>43</v>
      </c>
      <c r="AA39" s="55" t="s">
        <v>43</v>
      </c>
      <c r="AB39" s="54" t="s">
        <v>43</v>
      </c>
      <c r="AC39" s="55" t="s">
        <v>43</v>
      </c>
      <c r="AD39" s="54" t="s">
        <v>43</v>
      </c>
      <c r="AE39" s="55" t="s">
        <v>43</v>
      </c>
      <c r="AF39" s="54" t="s">
        <v>43</v>
      </c>
      <c r="AG39" s="55" t="s">
        <v>43</v>
      </c>
      <c r="AH39" s="54" t="s">
        <v>43</v>
      </c>
      <c r="AI39" s="55" t="s">
        <v>43</v>
      </c>
      <c r="AJ39" s="53"/>
      <c r="AK39" s="159"/>
      <c r="AL39" s="69"/>
      <c r="AM39" s="162"/>
    </row>
    <row r="40" spans="1:41" s="5" customFormat="1" ht="23" customHeight="1" thickTop="1" x14ac:dyDescent="0.25">
      <c r="A40" s="169"/>
      <c r="B40" s="91"/>
      <c r="C40" s="172"/>
      <c r="D40" s="172"/>
      <c r="E40" s="87"/>
      <c r="F40" s="87"/>
      <c r="G40" s="87"/>
      <c r="H40" s="87"/>
      <c r="I40" s="176"/>
      <c r="J40" s="101"/>
      <c r="K40" s="167" t="s">
        <v>67</v>
      </c>
      <c r="L40" s="56">
        <v>24</v>
      </c>
      <c r="M40" s="23"/>
      <c r="N40" s="23"/>
      <c r="O40" s="36">
        <f t="shared" ref="O40" si="58">+M40+N40</f>
        <v>0</v>
      </c>
      <c r="P40" s="23"/>
      <c r="Q40" s="36">
        <f t="shared" ref="Q40" si="59">+O40+P40</f>
        <v>0</v>
      </c>
      <c r="R40" s="23"/>
      <c r="S40" s="36">
        <f t="shared" ref="S40" si="60">+Q40+R40</f>
        <v>0</v>
      </c>
      <c r="T40" s="23"/>
      <c r="U40" s="36">
        <f t="shared" ref="U40" si="61">+S40+T40</f>
        <v>0</v>
      </c>
      <c r="V40" s="23">
        <v>12</v>
      </c>
      <c r="W40" s="36">
        <f t="shared" ref="W40" si="62">+U40+V40</f>
        <v>12</v>
      </c>
      <c r="X40" s="23"/>
      <c r="Y40" s="36">
        <f t="shared" ref="Y40" si="63">+W40+X40</f>
        <v>12</v>
      </c>
      <c r="Z40" s="23"/>
      <c r="AA40" s="36">
        <f t="shared" ref="AA40" si="64">+Y40+Z40</f>
        <v>12</v>
      </c>
      <c r="AB40" s="23"/>
      <c r="AC40" s="36">
        <f t="shared" ref="AC40" si="65">+AA40+AB40</f>
        <v>12</v>
      </c>
      <c r="AD40" s="23"/>
      <c r="AE40" s="36">
        <f t="shared" ref="AE40" si="66">+AC40+AD40</f>
        <v>12</v>
      </c>
      <c r="AF40" s="23"/>
      <c r="AG40" s="36">
        <f t="shared" ref="AG40" si="67">+AE40+AF40</f>
        <v>12</v>
      </c>
      <c r="AH40" s="23">
        <v>12</v>
      </c>
      <c r="AI40" s="36">
        <f>+AG40+AH40</f>
        <v>24</v>
      </c>
      <c r="AJ40" s="57">
        <f>+AI38/L38</f>
        <v>1</v>
      </c>
      <c r="AK40" s="159"/>
      <c r="AL40" s="69"/>
      <c r="AM40" s="162"/>
    </row>
    <row r="41" spans="1:41" s="5" customFormat="1" ht="23" customHeight="1" x14ac:dyDescent="0.25">
      <c r="A41" s="169"/>
      <c r="B41" s="91"/>
      <c r="C41" s="172"/>
      <c r="D41" s="172"/>
      <c r="E41" s="87"/>
      <c r="F41" s="87"/>
      <c r="G41" s="87"/>
      <c r="H41" s="87"/>
      <c r="I41" s="176"/>
      <c r="J41" s="101"/>
      <c r="K41" s="164"/>
      <c r="L41" s="58" t="s">
        <v>44</v>
      </c>
      <c r="M41" s="25" t="s">
        <v>44</v>
      </c>
      <c r="N41" s="25" t="s">
        <v>44</v>
      </c>
      <c r="O41" s="38" t="s">
        <v>44</v>
      </c>
      <c r="P41" s="25" t="s">
        <v>44</v>
      </c>
      <c r="Q41" s="38" t="s">
        <v>44</v>
      </c>
      <c r="R41" s="25" t="s">
        <v>44</v>
      </c>
      <c r="S41" s="38" t="s">
        <v>44</v>
      </c>
      <c r="T41" s="25" t="s">
        <v>44</v>
      </c>
      <c r="U41" s="38" t="s">
        <v>44</v>
      </c>
      <c r="V41" s="25" t="s">
        <v>44</v>
      </c>
      <c r="W41" s="38" t="s">
        <v>44</v>
      </c>
      <c r="X41" s="25" t="s">
        <v>44</v>
      </c>
      <c r="Y41" s="38" t="s">
        <v>44</v>
      </c>
      <c r="Z41" s="25" t="s">
        <v>44</v>
      </c>
      <c r="AA41" s="38" t="s">
        <v>44</v>
      </c>
      <c r="AB41" s="25" t="s">
        <v>44</v>
      </c>
      <c r="AC41" s="38" t="s">
        <v>44</v>
      </c>
      <c r="AD41" s="25" t="s">
        <v>44</v>
      </c>
      <c r="AE41" s="38" t="s">
        <v>44</v>
      </c>
      <c r="AF41" s="25" t="s">
        <v>44</v>
      </c>
      <c r="AG41" s="38" t="s">
        <v>44</v>
      </c>
      <c r="AH41" s="25" t="s">
        <v>44</v>
      </c>
      <c r="AI41" s="38" t="s">
        <v>44</v>
      </c>
      <c r="AJ41" s="53"/>
      <c r="AK41" s="159"/>
      <c r="AL41" s="69"/>
      <c r="AM41" s="162"/>
    </row>
    <row r="42" spans="1:41" s="5" customFormat="1" ht="23" customHeight="1" thickBot="1" x14ac:dyDescent="0.3">
      <c r="A42" s="170"/>
      <c r="B42" s="92"/>
      <c r="C42" s="173"/>
      <c r="D42" s="173"/>
      <c r="E42" s="88"/>
      <c r="F42" s="88"/>
      <c r="G42" s="88"/>
      <c r="H42" s="88"/>
      <c r="I42" s="177"/>
      <c r="J42" s="102"/>
      <c r="K42" s="166"/>
      <c r="L42" s="56">
        <v>24</v>
      </c>
      <c r="M42" s="27"/>
      <c r="N42" s="27"/>
      <c r="O42" s="45">
        <f t="shared" ref="O42" si="68">+M42+N42</f>
        <v>0</v>
      </c>
      <c r="P42" s="27"/>
      <c r="Q42" s="45">
        <f t="shared" ref="Q42" si="69">+O42+P42</f>
        <v>0</v>
      </c>
      <c r="R42" s="27"/>
      <c r="S42" s="45">
        <f t="shared" ref="S42" si="70">+Q42+R42</f>
        <v>0</v>
      </c>
      <c r="T42" s="27"/>
      <c r="U42" s="45">
        <f t="shared" ref="U42" si="71">+S42+T42</f>
        <v>0</v>
      </c>
      <c r="V42" s="27">
        <v>12</v>
      </c>
      <c r="W42" s="45">
        <f t="shared" ref="W42" si="72">+U42+V42</f>
        <v>12</v>
      </c>
      <c r="X42" s="27"/>
      <c r="Y42" s="45">
        <f t="shared" ref="Y42" si="73">+W42+X42</f>
        <v>12</v>
      </c>
      <c r="Z42" s="27"/>
      <c r="AA42" s="45">
        <f t="shared" ref="AA42" si="74">+Y42+Z42</f>
        <v>12</v>
      </c>
      <c r="AB42" s="27"/>
      <c r="AC42" s="45">
        <f t="shared" ref="AC42" si="75">+AA42+AB42</f>
        <v>12</v>
      </c>
      <c r="AD42" s="27"/>
      <c r="AE42" s="45">
        <f t="shared" ref="AE42" si="76">+AC42+AD42</f>
        <v>12</v>
      </c>
      <c r="AF42" s="27"/>
      <c r="AG42" s="45">
        <f t="shared" ref="AG42" si="77">+AE42+AF42</f>
        <v>12</v>
      </c>
      <c r="AH42" s="27">
        <v>12</v>
      </c>
      <c r="AI42" s="45">
        <f>+AG42+AH42</f>
        <v>24</v>
      </c>
      <c r="AJ42" s="59"/>
      <c r="AK42" s="160"/>
      <c r="AL42" s="70"/>
      <c r="AM42" s="163"/>
    </row>
    <row r="43" spans="1:41" s="5" customFormat="1" ht="23" customHeight="1" thickTop="1" x14ac:dyDescent="0.25">
      <c r="A43" s="142" t="s">
        <v>94</v>
      </c>
      <c r="B43" s="90" t="s">
        <v>49</v>
      </c>
      <c r="C43" s="171" t="s">
        <v>86</v>
      </c>
      <c r="D43" s="174" t="s">
        <v>87</v>
      </c>
      <c r="E43" s="89" t="s">
        <v>51</v>
      </c>
      <c r="F43" s="86" t="s">
        <v>52</v>
      </c>
      <c r="G43" s="86" t="s">
        <v>53</v>
      </c>
      <c r="H43" s="86" t="s">
        <v>52</v>
      </c>
      <c r="I43" s="175">
        <f>+L44</f>
        <v>1</v>
      </c>
      <c r="J43" s="100">
        <v>0.1</v>
      </c>
      <c r="K43" s="164" t="s">
        <v>89</v>
      </c>
      <c r="L43" s="47" t="s">
        <v>42</v>
      </c>
      <c r="M43" s="47" t="s">
        <v>42</v>
      </c>
      <c r="N43" s="47" t="s">
        <v>42</v>
      </c>
      <c r="O43" s="48" t="s">
        <v>42</v>
      </c>
      <c r="P43" s="47" t="s">
        <v>42</v>
      </c>
      <c r="Q43" s="48" t="s">
        <v>42</v>
      </c>
      <c r="R43" s="47" t="s">
        <v>42</v>
      </c>
      <c r="S43" s="48" t="s">
        <v>42</v>
      </c>
      <c r="T43" s="47" t="s">
        <v>42</v>
      </c>
      <c r="U43" s="48" t="s">
        <v>42</v>
      </c>
      <c r="V43" s="47" t="s">
        <v>42</v>
      </c>
      <c r="W43" s="48" t="s">
        <v>42</v>
      </c>
      <c r="X43" s="47" t="s">
        <v>42</v>
      </c>
      <c r="Y43" s="48" t="s">
        <v>42</v>
      </c>
      <c r="Z43" s="47" t="s">
        <v>42</v>
      </c>
      <c r="AA43" s="48" t="s">
        <v>42</v>
      </c>
      <c r="AB43" s="47" t="s">
        <v>42</v>
      </c>
      <c r="AC43" s="48" t="s">
        <v>42</v>
      </c>
      <c r="AD43" s="47" t="s">
        <v>42</v>
      </c>
      <c r="AE43" s="48" t="s">
        <v>42</v>
      </c>
      <c r="AF43" s="47" t="s">
        <v>42</v>
      </c>
      <c r="AG43" s="48" t="s">
        <v>42</v>
      </c>
      <c r="AH43" s="47" t="s">
        <v>42</v>
      </c>
      <c r="AI43" s="48" t="s">
        <v>42</v>
      </c>
      <c r="AJ43" s="49"/>
      <c r="AK43" s="178" t="s">
        <v>90</v>
      </c>
      <c r="AL43" s="68"/>
      <c r="AM43" s="161" t="s">
        <v>55</v>
      </c>
    </row>
    <row r="44" spans="1:41" s="5" customFormat="1" ht="23" customHeight="1" x14ac:dyDescent="0.25">
      <c r="A44" s="143"/>
      <c r="B44" s="91"/>
      <c r="C44" s="172"/>
      <c r="D44" s="172"/>
      <c r="E44" s="87"/>
      <c r="F44" s="87"/>
      <c r="G44" s="87"/>
      <c r="H44" s="87"/>
      <c r="I44" s="176"/>
      <c r="J44" s="101"/>
      <c r="K44" s="165"/>
      <c r="L44" s="50">
        <f>IF(L46&lt;&gt;0,+L46/L48,0%)</f>
        <v>1</v>
      </c>
      <c r="M44" s="51">
        <f>IF(M46&lt;&gt;0,+M46/M48,0%)</f>
        <v>0</v>
      </c>
      <c r="N44" s="51">
        <f>IF(N46&lt;&gt;0,+N46/N48,0%)</f>
        <v>0</v>
      </c>
      <c r="O44" s="52">
        <f t="shared" ref="O44" si="78">IF(O46&lt;&gt;0,+O46/O48,0%)</f>
        <v>0</v>
      </c>
      <c r="P44" s="51">
        <f>IF(P46&lt;&gt;0,+P46/P48,0%)</f>
        <v>0</v>
      </c>
      <c r="Q44" s="52">
        <f t="shared" ref="Q44" si="79">IF(Q46&lt;&gt;0,+Q46/Q48,0%)</f>
        <v>0</v>
      </c>
      <c r="R44" s="51">
        <f>IF(R46&lt;&gt;0,+R46/R48,0%)</f>
        <v>1</v>
      </c>
      <c r="S44" s="52">
        <f t="shared" ref="S44" si="80">IF(S46&lt;&gt;0,+S46/S48,0%)</f>
        <v>1</v>
      </c>
      <c r="T44" s="51">
        <f>IF(T46&lt;&gt;0,+T46/T48,0%)</f>
        <v>0</v>
      </c>
      <c r="U44" s="52">
        <f t="shared" ref="U44" si="81">IF(U46&lt;&gt;0,+U46/U48,0%)</f>
        <v>1</v>
      </c>
      <c r="V44" s="51">
        <f>IF(V46&lt;&gt;0,+V46/V48,0%)</f>
        <v>0</v>
      </c>
      <c r="W44" s="52">
        <f t="shared" ref="W44" si="82">IF(W46&lt;&gt;0,+W46/W48,0%)</f>
        <v>1</v>
      </c>
      <c r="X44" s="51">
        <f>IF(X46&lt;&gt;0,+X46/X48,0%)</f>
        <v>0</v>
      </c>
      <c r="Y44" s="52">
        <f t="shared" ref="Y44" si="83">IF(Y46&lt;&gt;0,+Y46/Y48,0%)</f>
        <v>1</v>
      </c>
      <c r="Z44" s="51">
        <f>IF(Z46&lt;&gt;0,+Z46/Z48,0%)</f>
        <v>0</v>
      </c>
      <c r="AA44" s="52">
        <f t="shared" ref="AA44" si="84">IF(AA46&lt;&gt;0,+AA46/AA48,0%)</f>
        <v>1</v>
      </c>
      <c r="AB44" s="51">
        <f>IF(AB46&lt;&gt;0,+AB46/AB48,0%)</f>
        <v>1</v>
      </c>
      <c r="AC44" s="52">
        <f t="shared" ref="AC44" si="85">IF(AC46&lt;&gt;0,+AC46/AC48,0%)</f>
        <v>1</v>
      </c>
      <c r="AD44" s="51">
        <f>IF(AD46&lt;&gt;0,+AD46/AD48,0%)</f>
        <v>0</v>
      </c>
      <c r="AE44" s="52">
        <f t="shared" ref="AE44" si="86">IF(AE46&lt;&gt;0,+AE46/AE48,0%)</f>
        <v>1</v>
      </c>
      <c r="AF44" s="51">
        <f>IF(AF46&lt;&gt;0,+AF46/AF48,0%)</f>
        <v>1</v>
      </c>
      <c r="AG44" s="52">
        <f t="shared" ref="AG44" si="87">IF(AG46&lt;&gt;0,+AG46/AG48,0%)</f>
        <v>1</v>
      </c>
      <c r="AH44" s="51">
        <f>IF(AH46&lt;&gt;0,+AH46/AH48,0%)</f>
        <v>0</v>
      </c>
      <c r="AI44" s="52">
        <f t="shared" ref="AI44" si="88">IF(AI46&lt;&gt;0,+AI46/AI48,0%)</f>
        <v>1</v>
      </c>
      <c r="AJ44" s="53"/>
      <c r="AK44" s="179"/>
      <c r="AL44" s="69"/>
      <c r="AM44" s="162"/>
    </row>
    <row r="45" spans="1:41" s="5" customFormat="1" ht="23" customHeight="1" thickBot="1" x14ac:dyDescent="0.3">
      <c r="A45" s="143"/>
      <c r="B45" s="91"/>
      <c r="C45" s="172"/>
      <c r="D45" s="172"/>
      <c r="E45" s="87"/>
      <c r="F45" s="87"/>
      <c r="G45" s="87"/>
      <c r="H45" s="87"/>
      <c r="I45" s="176"/>
      <c r="J45" s="101"/>
      <c r="K45" s="166"/>
      <c r="L45" s="54" t="s">
        <v>43</v>
      </c>
      <c r="M45" s="54" t="s">
        <v>43</v>
      </c>
      <c r="N45" s="54" t="s">
        <v>43</v>
      </c>
      <c r="O45" s="55" t="s">
        <v>43</v>
      </c>
      <c r="P45" s="54" t="s">
        <v>43</v>
      </c>
      <c r="Q45" s="55" t="s">
        <v>43</v>
      </c>
      <c r="R45" s="54" t="s">
        <v>43</v>
      </c>
      <c r="S45" s="55" t="s">
        <v>43</v>
      </c>
      <c r="T45" s="54" t="s">
        <v>43</v>
      </c>
      <c r="U45" s="55" t="s">
        <v>43</v>
      </c>
      <c r="V45" s="54" t="s">
        <v>43</v>
      </c>
      <c r="W45" s="55" t="s">
        <v>43</v>
      </c>
      <c r="X45" s="54" t="s">
        <v>43</v>
      </c>
      <c r="Y45" s="55" t="s">
        <v>43</v>
      </c>
      <c r="Z45" s="54" t="s">
        <v>43</v>
      </c>
      <c r="AA45" s="55" t="s">
        <v>43</v>
      </c>
      <c r="AB45" s="54" t="s">
        <v>43</v>
      </c>
      <c r="AC45" s="55" t="s">
        <v>43</v>
      </c>
      <c r="AD45" s="54" t="s">
        <v>43</v>
      </c>
      <c r="AE45" s="55" t="s">
        <v>43</v>
      </c>
      <c r="AF45" s="54" t="s">
        <v>43</v>
      </c>
      <c r="AG45" s="55" t="s">
        <v>43</v>
      </c>
      <c r="AH45" s="54" t="s">
        <v>43</v>
      </c>
      <c r="AI45" s="55" t="s">
        <v>43</v>
      </c>
      <c r="AJ45" s="53"/>
      <c r="AK45" s="179"/>
      <c r="AL45" s="69"/>
      <c r="AM45" s="162"/>
    </row>
    <row r="46" spans="1:41" s="5" customFormat="1" ht="23" customHeight="1" thickTop="1" x14ac:dyDescent="0.25">
      <c r="A46" s="143"/>
      <c r="B46" s="91"/>
      <c r="C46" s="172"/>
      <c r="D46" s="172"/>
      <c r="E46" s="87"/>
      <c r="F46" s="87"/>
      <c r="G46" s="87"/>
      <c r="H46" s="87"/>
      <c r="I46" s="176"/>
      <c r="J46" s="101"/>
      <c r="K46" s="167" t="s">
        <v>88</v>
      </c>
      <c r="L46" s="56">
        <v>3</v>
      </c>
      <c r="M46" s="23"/>
      <c r="N46" s="23"/>
      <c r="O46" s="36">
        <f t="shared" ref="O46" si="89">+M46+N46</f>
        <v>0</v>
      </c>
      <c r="P46" s="23"/>
      <c r="Q46" s="36">
        <f t="shared" ref="Q46" si="90">+O46+P46</f>
        <v>0</v>
      </c>
      <c r="R46" s="23">
        <v>1</v>
      </c>
      <c r="S46" s="36">
        <f t="shared" ref="S46" si="91">+Q46+R46</f>
        <v>1</v>
      </c>
      <c r="T46" s="23"/>
      <c r="U46" s="36">
        <f t="shared" ref="U46" si="92">+S46+T46</f>
        <v>1</v>
      </c>
      <c r="V46" s="23"/>
      <c r="W46" s="36">
        <f t="shared" ref="W46" si="93">+U46+V46</f>
        <v>1</v>
      </c>
      <c r="X46" s="23"/>
      <c r="Y46" s="36">
        <f t="shared" ref="Y46" si="94">+W46+X46</f>
        <v>1</v>
      </c>
      <c r="Z46" s="23"/>
      <c r="AA46" s="36">
        <f t="shared" ref="AA46" si="95">+Y46+Z46</f>
        <v>1</v>
      </c>
      <c r="AB46" s="23">
        <v>1</v>
      </c>
      <c r="AC46" s="36">
        <f t="shared" ref="AC46" si="96">+AA46+AB46</f>
        <v>2</v>
      </c>
      <c r="AD46" s="23"/>
      <c r="AE46" s="36">
        <f t="shared" ref="AE46" si="97">+AC46+AD46</f>
        <v>2</v>
      </c>
      <c r="AF46" s="23">
        <v>1</v>
      </c>
      <c r="AG46" s="36">
        <f t="shared" ref="AG46" si="98">+AE46+AF46</f>
        <v>3</v>
      </c>
      <c r="AH46" s="23"/>
      <c r="AI46" s="36">
        <f>+AG46+AH46</f>
        <v>3</v>
      </c>
      <c r="AJ46" s="57">
        <f>+AI44/L44</f>
        <v>1</v>
      </c>
      <c r="AK46" s="179"/>
      <c r="AL46" s="69"/>
      <c r="AM46" s="162"/>
      <c r="AO46" s="62"/>
    </row>
    <row r="47" spans="1:41" s="5" customFormat="1" ht="23" customHeight="1" x14ac:dyDescent="0.25">
      <c r="A47" s="143"/>
      <c r="B47" s="91"/>
      <c r="C47" s="172"/>
      <c r="D47" s="172"/>
      <c r="E47" s="87"/>
      <c r="F47" s="87"/>
      <c r="G47" s="87"/>
      <c r="H47" s="87"/>
      <c r="I47" s="176"/>
      <c r="J47" s="101"/>
      <c r="K47" s="164"/>
      <c r="L47" s="58" t="s">
        <v>44</v>
      </c>
      <c r="M47" s="25" t="s">
        <v>44</v>
      </c>
      <c r="N47" s="25" t="s">
        <v>44</v>
      </c>
      <c r="O47" s="38" t="s">
        <v>44</v>
      </c>
      <c r="P47" s="25" t="s">
        <v>44</v>
      </c>
      <c r="Q47" s="38" t="s">
        <v>44</v>
      </c>
      <c r="R47" s="25" t="s">
        <v>44</v>
      </c>
      <c r="S47" s="38" t="s">
        <v>44</v>
      </c>
      <c r="T47" s="25" t="s">
        <v>44</v>
      </c>
      <c r="U47" s="38" t="s">
        <v>44</v>
      </c>
      <c r="V47" s="25" t="s">
        <v>44</v>
      </c>
      <c r="W47" s="38" t="s">
        <v>44</v>
      </c>
      <c r="X47" s="25" t="s">
        <v>44</v>
      </c>
      <c r="Y47" s="38" t="s">
        <v>44</v>
      </c>
      <c r="Z47" s="25" t="s">
        <v>44</v>
      </c>
      <c r="AA47" s="38" t="s">
        <v>44</v>
      </c>
      <c r="AB47" s="25" t="s">
        <v>44</v>
      </c>
      <c r="AC47" s="38" t="s">
        <v>44</v>
      </c>
      <c r="AD47" s="25" t="s">
        <v>44</v>
      </c>
      <c r="AE47" s="38" t="s">
        <v>44</v>
      </c>
      <c r="AF47" s="25" t="s">
        <v>44</v>
      </c>
      <c r="AG47" s="38" t="s">
        <v>44</v>
      </c>
      <c r="AH47" s="25" t="s">
        <v>44</v>
      </c>
      <c r="AI47" s="38" t="s">
        <v>44</v>
      </c>
      <c r="AJ47" s="53"/>
      <c r="AK47" s="179"/>
      <c r="AL47" s="69"/>
      <c r="AM47" s="162"/>
    </row>
    <row r="48" spans="1:41" s="5" customFormat="1" ht="23" customHeight="1" thickBot="1" x14ac:dyDescent="0.3">
      <c r="A48" s="144"/>
      <c r="B48" s="92"/>
      <c r="C48" s="173"/>
      <c r="D48" s="173"/>
      <c r="E48" s="88"/>
      <c r="F48" s="88"/>
      <c r="G48" s="88"/>
      <c r="H48" s="88"/>
      <c r="I48" s="177"/>
      <c r="J48" s="102"/>
      <c r="K48" s="166"/>
      <c r="L48" s="56">
        <v>3</v>
      </c>
      <c r="M48" s="27"/>
      <c r="N48" s="27"/>
      <c r="O48" s="45">
        <f t="shared" ref="O48" si="99">+M48+N48</f>
        <v>0</v>
      </c>
      <c r="P48" s="27"/>
      <c r="Q48" s="45">
        <f t="shared" ref="Q48" si="100">+O48+P48</f>
        <v>0</v>
      </c>
      <c r="R48" s="27">
        <v>1</v>
      </c>
      <c r="S48" s="45">
        <f t="shared" ref="S48" si="101">+Q48+R48</f>
        <v>1</v>
      </c>
      <c r="T48" s="27"/>
      <c r="U48" s="45">
        <f t="shared" ref="U48" si="102">+S48+T48</f>
        <v>1</v>
      </c>
      <c r="V48" s="27"/>
      <c r="W48" s="45">
        <f t="shared" ref="W48" si="103">+U48+V48</f>
        <v>1</v>
      </c>
      <c r="X48" s="27"/>
      <c r="Y48" s="45">
        <f t="shared" ref="Y48" si="104">+W48+X48</f>
        <v>1</v>
      </c>
      <c r="Z48" s="27"/>
      <c r="AA48" s="45">
        <f t="shared" ref="AA48" si="105">+Y48+Z48</f>
        <v>1</v>
      </c>
      <c r="AB48" s="27">
        <v>1</v>
      </c>
      <c r="AC48" s="45">
        <f t="shared" ref="AC48" si="106">+AA48+AB48</f>
        <v>2</v>
      </c>
      <c r="AD48" s="27"/>
      <c r="AE48" s="45">
        <f t="shared" ref="AE48" si="107">+AC48+AD48</f>
        <v>2</v>
      </c>
      <c r="AF48" s="27">
        <v>1</v>
      </c>
      <c r="AG48" s="45">
        <f t="shared" ref="AG48" si="108">+AE48+AF48</f>
        <v>3</v>
      </c>
      <c r="AH48" s="27"/>
      <c r="AI48" s="45">
        <f>+AG48+AH48</f>
        <v>3</v>
      </c>
      <c r="AJ48" s="59"/>
      <c r="AK48" s="180"/>
      <c r="AL48" s="70"/>
      <c r="AM48" s="163"/>
    </row>
    <row r="49" spans="10:10" ht="13.5" thickTop="1" x14ac:dyDescent="0.3">
      <c r="J49" s="60">
        <f>SUM(J13:J48)</f>
        <v>0.99999999999999989</v>
      </c>
    </row>
    <row r="340" spans="5:5" x14ac:dyDescent="0.3">
      <c r="E340" s="3" t="s">
        <v>30</v>
      </c>
    </row>
  </sheetData>
  <mergeCells count="138">
    <mergeCell ref="J43:J48"/>
    <mergeCell ref="K43:K45"/>
    <mergeCell ref="AK43:AK48"/>
    <mergeCell ref="AL43:AL48"/>
    <mergeCell ref="AM43:AM48"/>
    <mergeCell ref="K46:K48"/>
    <mergeCell ref="A43:A48"/>
    <mergeCell ref="B43:B48"/>
    <mergeCell ref="C43:C48"/>
    <mergeCell ref="D43:D48"/>
    <mergeCell ref="E43:E48"/>
    <mergeCell ref="F43:F48"/>
    <mergeCell ref="G43:G48"/>
    <mergeCell ref="H43:H48"/>
    <mergeCell ref="I43:I48"/>
    <mergeCell ref="AM37:AM42"/>
    <mergeCell ref="K37:K39"/>
    <mergeCell ref="K40:K42"/>
    <mergeCell ref="A37:A42"/>
    <mergeCell ref="B37:B42"/>
    <mergeCell ref="C37:C42"/>
    <mergeCell ref="D37:D42"/>
    <mergeCell ref="E37:E42"/>
    <mergeCell ref="F37:F42"/>
    <mergeCell ref="G37:G42"/>
    <mergeCell ref="H37:H42"/>
    <mergeCell ref="I37:I42"/>
    <mergeCell ref="G31:G36"/>
    <mergeCell ref="H31:H36"/>
    <mergeCell ref="I31:I36"/>
    <mergeCell ref="J31:J36"/>
    <mergeCell ref="K31:K33"/>
    <mergeCell ref="AK31:AK36"/>
    <mergeCell ref="J37:J42"/>
    <mergeCell ref="AK37:AK42"/>
    <mergeCell ref="AL37:AL42"/>
    <mergeCell ref="A31:A36"/>
    <mergeCell ref="B31:B36"/>
    <mergeCell ref="C31:C36"/>
    <mergeCell ref="D31:D36"/>
    <mergeCell ref="E31:E36"/>
    <mergeCell ref="F31:F36"/>
    <mergeCell ref="AL25:AL30"/>
    <mergeCell ref="AM25:AM30"/>
    <mergeCell ref="G25:G30"/>
    <mergeCell ref="H25:H30"/>
    <mergeCell ref="I25:I30"/>
    <mergeCell ref="J25:J30"/>
    <mergeCell ref="AK25:AK30"/>
    <mergeCell ref="K25:K27"/>
    <mergeCell ref="K28:K30"/>
    <mergeCell ref="F25:F30"/>
    <mergeCell ref="A25:A30"/>
    <mergeCell ref="B25:B30"/>
    <mergeCell ref="C25:C30"/>
    <mergeCell ref="D25:D30"/>
    <mergeCell ref="E25:E30"/>
    <mergeCell ref="AL31:AL36"/>
    <mergeCell ref="AM31:AM36"/>
    <mergeCell ref="K34:K36"/>
    <mergeCell ref="B6:D6"/>
    <mergeCell ref="AB11:AB12"/>
    <mergeCell ref="AA11:AA12"/>
    <mergeCell ref="T11:T12"/>
    <mergeCell ref="U11:U12"/>
    <mergeCell ref="I11:I12"/>
    <mergeCell ref="O6:R6"/>
    <mergeCell ref="B1:D5"/>
    <mergeCell ref="G11:G12"/>
    <mergeCell ref="C11:C12"/>
    <mergeCell ref="B11:B12"/>
    <mergeCell ref="D11:D12"/>
    <mergeCell ref="E6:N6"/>
    <mergeCell ref="H11:H12"/>
    <mergeCell ref="K11:K12"/>
    <mergeCell ref="F11:F12"/>
    <mergeCell ref="P11:P12"/>
    <mergeCell ref="J11:J12"/>
    <mergeCell ref="O1:R1"/>
    <mergeCell ref="O3:R3"/>
    <mergeCell ref="E1:N5"/>
    <mergeCell ref="O2:R2"/>
    <mergeCell ref="L11:L12"/>
    <mergeCell ref="O5:R5"/>
    <mergeCell ref="I13:I18"/>
    <mergeCell ref="K13:K15"/>
    <mergeCell ref="K16:K18"/>
    <mergeCell ref="H13:H18"/>
    <mergeCell ref="G13:G18"/>
    <mergeCell ref="G19:G24"/>
    <mergeCell ref="I19:I24"/>
    <mergeCell ref="K22:K24"/>
    <mergeCell ref="H19:H24"/>
    <mergeCell ref="J13:J18"/>
    <mergeCell ref="J19:J24"/>
    <mergeCell ref="K19:K21"/>
    <mergeCell ref="A11:A12"/>
    <mergeCell ref="A13:A18"/>
    <mergeCell ref="A19:A24"/>
    <mergeCell ref="E11:E12"/>
    <mergeCell ref="F13:F18"/>
    <mergeCell ref="E13:E18"/>
    <mergeCell ref="F19:F24"/>
    <mergeCell ref="B13:B18"/>
    <mergeCell ref="D13:D18"/>
    <mergeCell ref="C13:C18"/>
    <mergeCell ref="D19:D24"/>
    <mergeCell ref="C19:C24"/>
    <mergeCell ref="E19:E24"/>
    <mergeCell ref="B19:B24"/>
    <mergeCell ref="AD11:AD12"/>
    <mergeCell ref="V11:V12"/>
    <mergeCell ref="M11:M12"/>
    <mergeCell ref="S11:S12"/>
    <mergeCell ref="X11:X12"/>
    <mergeCell ref="AG11:AG12"/>
    <mergeCell ref="AF11:AF12"/>
    <mergeCell ref="AH11:AH12"/>
    <mergeCell ref="AE11:AE12"/>
    <mergeCell ref="O11:O12"/>
    <mergeCell ref="AC11:AC12"/>
    <mergeCell ref="N11:N12"/>
    <mergeCell ref="Z11:Z12"/>
    <mergeCell ref="Q11:Q12"/>
    <mergeCell ref="R11:R12"/>
    <mergeCell ref="W11:W12"/>
    <mergeCell ref="Y11:Y12"/>
    <mergeCell ref="AM13:AM18"/>
    <mergeCell ref="AL11:AL12"/>
    <mergeCell ref="AL19:AL24"/>
    <mergeCell ref="AM19:AM24"/>
    <mergeCell ref="AM11:AM12"/>
    <mergeCell ref="AK13:AK18"/>
    <mergeCell ref="AK19:AK24"/>
    <mergeCell ref="AI11:AI12"/>
    <mergeCell ref="AJ11:AJ12"/>
    <mergeCell ref="AK11:AK12"/>
    <mergeCell ref="AL13:AL18"/>
  </mergeCells>
  <phoneticPr fontId="5" type="noConversion"/>
  <pageMargins left="0.15748031496062992" right="0.39370078740157483" top="0" bottom="0" header="0" footer="0"/>
  <pageSetup scale="40" fitToHeight="0" orientation="landscape" r:id="rId1"/>
  <headerFooter alignWithMargins="0"/>
  <colBreaks count="2" manualBreakCount="2">
    <brk id="11" max="59" man="1"/>
    <brk id="38" max="1048575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CDC 2026</vt:lpstr>
      <vt:lpstr>'CDC 2026'!Área_de_impresión</vt:lpstr>
      <vt:lpstr>'CDC 2026'!Títulos_a_imprimir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Cesar Francisco Alfaro Valdes</cp:lastModifiedBy>
  <cp:lastPrinted>2016-10-25T19:42:08Z</cp:lastPrinted>
  <dcterms:created xsi:type="dcterms:W3CDTF">2008-08-20T14:03:15Z</dcterms:created>
  <dcterms:modified xsi:type="dcterms:W3CDTF">2026-02-03T15:35:20Z</dcterms:modified>
</cp:coreProperties>
</file>