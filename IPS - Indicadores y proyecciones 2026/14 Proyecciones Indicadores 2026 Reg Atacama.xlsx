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80" documentId="8_{FE30D88F-0E38-43CA-817C-4A5BEC96FF74}" xr6:coauthVersionLast="47" xr6:coauthVersionMax="47" xr10:uidLastSave="{5F89AC0D-833C-4409-819D-02A96D63D95C}"/>
  <bookViews>
    <workbookView xWindow="-110" yWindow="-110" windowWidth="19420" windowHeight="11500" xr2:uid="{00000000-000D-0000-FFFF-FFFF00000000}"/>
  </bookViews>
  <sheets>
    <sheet name="CDC 2026" sheetId="7" r:id="rId1"/>
  </sheets>
  <definedNames>
    <definedName name="_xlnm.Print_Area" localSheetId="0">'CDC 2026'!$C$11:$L$36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7" l="1"/>
  <c r="O24" i="7" l="1"/>
  <c r="Q24" i="7" s="1"/>
  <c r="S24" i="7" s="1"/>
  <c r="U24" i="7" s="1"/>
  <c r="W24" i="7" s="1"/>
  <c r="Y24" i="7" s="1"/>
  <c r="AA24" i="7" s="1"/>
  <c r="AC24" i="7" s="1"/>
  <c r="AE24" i="7" s="1"/>
  <c r="AG24" i="7" s="1"/>
  <c r="O22" i="7"/>
  <c r="Q22" i="7" s="1"/>
  <c r="S22" i="7" s="1"/>
  <c r="U22" i="7" s="1"/>
  <c r="W22" i="7" s="1"/>
  <c r="Y22" i="7" s="1"/>
  <c r="AA22" i="7" s="1"/>
  <c r="AC22" i="7" s="1"/>
  <c r="AE22" i="7" s="1"/>
  <c r="AG22" i="7" s="1"/>
  <c r="O18" i="7"/>
  <c r="Q18" i="7" s="1"/>
  <c r="S18" i="7" s="1"/>
  <c r="U18" i="7" s="1"/>
  <c r="W18" i="7" s="1"/>
  <c r="Y18" i="7" s="1"/>
  <c r="AA18" i="7" s="1"/>
  <c r="AC18" i="7" s="1"/>
  <c r="AE18" i="7" s="1"/>
  <c r="AG18" i="7" s="1"/>
  <c r="AI18" i="7" s="1"/>
  <c r="O16" i="7"/>
  <c r="Q16" i="7" s="1"/>
  <c r="AH14" i="7"/>
  <c r="AF14" i="7"/>
  <c r="AD14" i="7"/>
  <c r="AB14" i="7"/>
  <c r="Z14" i="7"/>
  <c r="X14" i="7"/>
  <c r="V14" i="7"/>
  <c r="T14" i="7"/>
  <c r="R14" i="7"/>
  <c r="P14" i="7"/>
  <c r="O14" i="7"/>
  <c r="N14" i="7"/>
  <c r="M14" i="7"/>
  <c r="L14" i="7"/>
  <c r="I13" i="7" s="1"/>
  <c r="Q14" i="7" l="1"/>
  <c r="S16" i="7"/>
  <c r="U16" i="7" l="1"/>
  <c r="S14" i="7"/>
  <c r="W16" i="7" l="1"/>
  <c r="U14" i="7"/>
  <c r="Y16" i="7" l="1"/>
  <c r="W14" i="7"/>
  <c r="AA16" i="7" l="1"/>
  <c r="Y14" i="7"/>
  <c r="AC16" i="7" l="1"/>
  <c r="AA14" i="7"/>
  <c r="AC14" i="7" l="1"/>
  <c r="AE16" i="7"/>
  <c r="AE14" i="7" l="1"/>
  <c r="AG16" i="7"/>
  <c r="AG14" i="7" l="1"/>
  <c r="AI16" i="7"/>
  <c r="AI14" i="7" s="1"/>
  <c r="AJ16" i="7" s="1"/>
  <c r="O40" i="7" l="1"/>
  <c r="O38" i="7" s="1"/>
  <c r="AH38" i="7"/>
  <c r="AF38" i="7"/>
  <c r="AD38" i="7"/>
  <c r="AB38" i="7"/>
  <c r="Z38" i="7"/>
  <c r="X38" i="7"/>
  <c r="V38" i="7"/>
  <c r="T38" i="7"/>
  <c r="R38" i="7"/>
  <c r="P38" i="7"/>
  <c r="N38" i="7"/>
  <c r="M38" i="7"/>
  <c r="L38" i="7"/>
  <c r="I37" i="7" s="1"/>
  <c r="Q40" i="7" l="1"/>
  <c r="S40" i="7" l="1"/>
  <c r="Q38" i="7"/>
  <c r="U40" i="7" l="1"/>
  <c r="S38" i="7"/>
  <c r="U38" i="7" l="1"/>
  <c r="W40" i="7"/>
  <c r="W38" i="7" l="1"/>
  <c r="Y40" i="7"/>
  <c r="AA40" i="7" l="1"/>
  <c r="Y38" i="7"/>
  <c r="AA38" i="7" l="1"/>
  <c r="AC40" i="7"/>
  <c r="AC38" i="7" l="1"/>
  <c r="AE40" i="7"/>
  <c r="AE38" i="7" l="1"/>
  <c r="AG40" i="7"/>
  <c r="AI40" i="7" l="1"/>
  <c r="AI38" i="7" s="1"/>
  <c r="AJ40" i="7" s="1"/>
  <c r="AG38" i="7"/>
  <c r="L32" i="7" l="1"/>
  <c r="I31" i="7" s="1"/>
  <c r="L20" i="7"/>
  <c r="I19" i="7" s="1"/>
  <c r="L26" i="7" l="1"/>
  <c r="I25" i="7" s="1"/>
  <c r="AI24" i="7"/>
  <c r="AI22" i="7"/>
  <c r="O34" i="7" l="1"/>
  <c r="Q34" i="7" s="1"/>
  <c r="AH32" i="7"/>
  <c r="AF32" i="7"/>
  <c r="AD32" i="7"/>
  <c r="AB32" i="7"/>
  <c r="Z32" i="7"/>
  <c r="X32" i="7"/>
  <c r="V32" i="7"/>
  <c r="T32" i="7"/>
  <c r="R32" i="7"/>
  <c r="P32" i="7"/>
  <c r="N32" i="7"/>
  <c r="M32" i="7"/>
  <c r="O28" i="7"/>
  <c r="Q28" i="7" s="1"/>
  <c r="AH26" i="7"/>
  <c r="AF26" i="7"/>
  <c r="AD26" i="7"/>
  <c r="AB26" i="7"/>
  <c r="Z26" i="7"/>
  <c r="X26" i="7"/>
  <c r="V26" i="7"/>
  <c r="T26" i="7"/>
  <c r="R26" i="7"/>
  <c r="P26" i="7"/>
  <c r="N26" i="7"/>
  <c r="M26" i="7"/>
  <c r="AH20" i="7"/>
  <c r="AF20" i="7"/>
  <c r="AD20" i="7"/>
  <c r="AB20" i="7"/>
  <c r="Z20" i="7"/>
  <c r="X20" i="7"/>
  <c r="V20" i="7"/>
  <c r="T20" i="7"/>
  <c r="R20" i="7"/>
  <c r="P20" i="7"/>
  <c r="N20" i="7"/>
  <c r="M20" i="7"/>
  <c r="O26" i="7" l="1"/>
  <c r="O32" i="7"/>
  <c r="S28" i="7"/>
  <c r="U28" i="7" s="1"/>
  <c r="Q26" i="7"/>
  <c r="S34" i="7"/>
  <c r="S32" i="7" s="1"/>
  <c r="Q32" i="7"/>
  <c r="Q20" i="7"/>
  <c r="O20" i="7"/>
  <c r="U34" i="7" l="1"/>
  <c r="U32" i="7" s="1"/>
  <c r="S26" i="7"/>
  <c r="W34" i="7"/>
  <c r="S20" i="7"/>
  <c r="W28" i="7"/>
  <c r="U26" i="7"/>
  <c r="U20" i="7" l="1"/>
  <c r="Y34" i="7"/>
  <c r="W32" i="7"/>
  <c r="Y28" i="7"/>
  <c r="W26" i="7"/>
  <c r="W20" i="7" l="1"/>
  <c r="AA34" i="7"/>
  <c r="Y32" i="7"/>
  <c r="AA28" i="7"/>
  <c r="Y26" i="7"/>
  <c r="AC28" i="7" l="1"/>
  <c r="AA26" i="7"/>
  <c r="AA32" i="7"/>
  <c r="AC34" i="7"/>
  <c r="Y20" i="7"/>
  <c r="AA20" i="7" l="1"/>
  <c r="AE28" i="7"/>
  <c r="AG28" i="7" s="1"/>
  <c r="AC26" i="7"/>
  <c r="AC32" i="7"/>
  <c r="AE34" i="7"/>
  <c r="AG34" i="7" s="1"/>
  <c r="AE32" i="7" l="1"/>
  <c r="AE26" i="7"/>
  <c r="AC20" i="7"/>
  <c r="AE20" i="7" l="1"/>
  <c r="AG26" i="7"/>
  <c r="AI28" i="7"/>
  <c r="AI26" i="7" s="1"/>
  <c r="AJ28" i="7" s="1"/>
  <c r="AI34" i="7"/>
  <c r="AI32" i="7" s="1"/>
  <c r="AJ34" i="7" s="1"/>
  <c r="AG32" i="7"/>
  <c r="AG20" i="7" l="1"/>
  <c r="AI20" i="7"/>
  <c r="AJ22" i="7" s="1"/>
</calcChain>
</file>

<file path=xl/sharedStrings.xml><?xml version="1.0" encoding="utf-8"?>
<sst xmlns="http://schemas.openxmlformats.org/spreadsheetml/2006/main" count="469" uniqueCount="98">
  <si>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</si>
  <si>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</si>
  <si>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</si>
  <si>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</si>
  <si>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</si>
  <si>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</si>
  <si>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</si>
  <si>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</si>
  <si>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 xml:space="preserve">INDICADOR </t>
  </si>
  <si>
    <t>FORMULA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</si>
  <si>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</si>
  <si>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</si>
  <si>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</si>
  <si>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</si>
  <si>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</si>
  <si>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</si>
  <si>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</si>
  <si>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</si>
  <si>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</si>
  <si>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</si>
  <si>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</si>
  <si>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</si>
  <si>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</si>
  <si>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</si>
  <si>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</si>
  <si>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</si>
  <si>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</si>
  <si>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</si>
  <si>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</si>
  <si>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</si>
  <si>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</si>
  <si>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</si>
  <si>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</si>
  <si>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</si>
  <si>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</si>
  <si>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</si>
  <si>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 xml:space="preserve">Valor indicador=   </t>
  </si>
  <si>
    <t xml:space="preserve">Operando 1=   </t>
  </si>
  <si>
    <t xml:space="preserve">Operando 2=    </t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</si>
  <si>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</si>
  <si>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</si>
  <si>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</si>
  <si>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 xml:space="preserve"> Número de Municipalidades en convenio)*100</t>
  </si>
  <si>
    <t>NÚMERO</t>
  </si>
  <si>
    <t>PRODUCTO O PROCESO ESPECÍFICO</t>
  </si>
  <si>
    <t xml:space="preserve">1.-Atención de Público en materias previsionales, sociales y otros trámites
1.3.-­Servicio de información en canales presenciales
1.3.1.-­Servicio de información en canales presenciales
</t>
  </si>
  <si>
    <t>UNIDAD</t>
  </si>
  <si>
    <t>RESPONSABLE CENTRO DE RESPONSABILIDAD</t>
  </si>
  <si>
    <t>GESTOR</t>
  </si>
  <si>
    <t>SUPERVISORES</t>
  </si>
  <si>
    <t>Control de Cambios</t>
  </si>
  <si>
    <t>DIRECCIÓN REGIONAL - REGIÓN ATACAMA</t>
  </si>
  <si>
    <t>1.3.1.37</t>
  </si>
  <si>
    <t>Dirección Regional Atacama</t>
  </si>
  <si>
    <t xml:space="preserve">CDC REGiONAL DR ATACAMA
</t>
  </si>
  <si>
    <t>Instrumentos de Gestión Asociados</t>
  </si>
  <si>
    <t>Ponderador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</si>
  <si>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
</t>
    </r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</si>
  <si>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
</t>
    </r>
  </si>
  <si>
    <t>1.3.1.4-3 INDICADOR HIJO</t>
  </si>
  <si>
    <t>División Beneficios</t>
  </si>
  <si>
    <t>(Número de Municipalidades supervisadas en convenio / Número de Municipalidades en convenio) *100</t>
  </si>
  <si>
    <t>Número de Municipalidades supervisadas en convenio</t>
  </si>
  <si>
    <t>Carlos Rodriguez Retamal</t>
  </si>
  <si>
    <t>Dissa Maria Castellani Martinez</t>
  </si>
  <si>
    <t>Maritza Patricia Rojas Concha</t>
  </si>
  <si>
    <t>5.- Proceso de Apoyo
 5.1.- Administración y Finanzas
 5.1.3.- Programación y Control Presupuestario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</si>
  <si>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</si>
  <si>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</si>
  <si>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Julio Santistevan Jimenez</t>
  </si>
  <si>
    <t>Manuel Aguila Castillo</t>
  </si>
  <si>
    <t>(Sumatoria de hitos de control cumplidos de ejecución presupuestaria a nivel del Subtítulo 22 dentro de los plazos establecidos</t>
  </si>
  <si>
    <t>Reportes/Informes
-  Informe de ejecución presupuestaria emitido por el Subdepartamento de Presupuesto del Departamento de Finanzas.</t>
  </si>
  <si>
    <t>N° total de hitos de control definidos de ejecución presupuestaria a nivel del Subtítulo 22) *100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</si>
  <si>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</si>
  <si>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</si>
  <si>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</si>
  <si>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</si>
  <si>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</si>
  <si>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</si>
  <si>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Reportes/Informes
-  Reporte Tiempo Espera.</t>
  </si>
  <si>
    <t>Reportes/Informes
-  Reporte Supervisión.
-  Planificación de supervisiones a municipalidades.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</si>
  <si>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 Atacama)</t>
    </r>
  </si>
  <si>
    <t>Proyectado 2025</t>
  </si>
  <si>
    <t>5.1.3.48</t>
  </si>
  <si>
    <t>3.5.1.27</t>
  </si>
  <si>
    <t>CDC: Div. Beneficio, Subd. Servicio al Cliente, Div Informática, Subd Sistema de Información y Administración, Div Jurídica, Direcciones Regionales.</t>
  </si>
  <si>
    <t>Formulario H
CDC:  Subdir. Servicio al Cliente, Direcciones Regionales.</t>
  </si>
  <si>
    <r>
      <t xml:space="preserve">Calidad/Producto
</t>
    </r>
    <r>
      <rPr>
        <sz val="8"/>
        <color theme="1"/>
        <rFont val="Arial Narrow"/>
        <family val="2"/>
      </rPr>
      <t xml:space="preserve">Porcentaje de actividades cumplidas del Plan de Difusión de temáticas de Seguridad Social y otras en la comunidad en el año t
</t>
    </r>
  </si>
  <si>
    <t>(Sumatoria de actividades cumplidas del Plan de Difusión de temáticas de Seguridad Social y otras en la comunidad en el año t / N° total de actividades programadas del Plan en el año t)*100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</si>
  <si>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</si>
  <si>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</si>
  <si>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</si>
  <si>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>CONVENIO DE DESEMPEÑO COLECTIVO - AÑO 2026</t>
  </si>
  <si>
    <t>Meta 2026</t>
  </si>
  <si>
    <t>Reinaldo Zuñiga Herrera</t>
  </si>
  <si>
    <t>Maria Eugenia Elizalde</t>
  </si>
  <si>
    <t>1.3.1.123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</si>
</sst>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5" x14ac:knownFonts="1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indexed="2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6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/>
    <xf numFmtId="0" fontId="4" fillId="0" borderId="0" xfId="0" applyFont="1" applyProtection="1">
      <protection locked="0"/>
    </xf>
    <xf numFmtId="0" fontId="4" fillId="0" borderId="4" xfId="0" applyFont="1" applyBorder="1" applyProtection="1">
      <protection locked="0"/>
    </xf>
    <xf numFmtId="0" fontId="4" fillId="0" borderId="0" xfId="0" applyFont="1"/>
    <xf numFmtId="0" fontId="3" fillId="5" borderId="0" xfId="0" applyFont="1" applyFill="1" applyProtection="1">
      <protection locked="0"/>
    </xf>
    <xf numFmtId="0" fontId="3" fillId="0" borderId="0" xfId="0" applyFont="1" applyProtection="1">
      <protection locked="0"/>
    </xf>
    <xf numFmtId="166" fontId="5" fillId="0" borderId="0" xfId="13" applyNumberFormat="1" applyFont="1" applyFill="1" applyBorder="1" applyAlignment="1">
      <alignment horizontal="right"/>
    </xf>
    <xf numFmtId="166" fontId="4" fillId="0" borderId="0" xfId="0" applyNumberFormat="1" applyFont="1"/>
    <xf numFmtId="0" fontId="7" fillId="0" borderId="0" xfId="0" applyFont="1" applyProtection="1">
      <protection locked="0"/>
    </xf>
    <xf numFmtId="0" fontId="7" fillId="0" borderId="6" xfId="0" applyFont="1" applyBorder="1" applyAlignment="1">
      <alignment horizontal="left" vertical="center" wrapText="1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0" fontId="7" fillId="0" borderId="8" xfId="0" applyFont="1" applyBorder="1" applyAlignment="1">
      <alignment horizontal="left" vertical="center" wrapText="1"/>
    </xf>
    <xf numFmtId="10" fontId="7" fillId="0" borderId="8" xfId="1" applyNumberFormat="1" applyFont="1" applyBorder="1" applyAlignment="1">
      <alignment horizontal="center" vertical="center"/>
    </xf>
    <xf numFmtId="9" fontId="7" fillId="0" borderId="10" xfId="1" applyFont="1" applyBorder="1" applyAlignment="1">
      <alignment vertical="center"/>
    </xf>
    <xf numFmtId="10" fontId="6" fillId="10" borderId="8" xfId="1" applyNumberFormat="1" applyFont="1" applyFill="1" applyBorder="1" applyAlignment="1" applyProtection="1">
      <alignment horizontal="right"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0" borderId="10" xfId="1" applyNumberFormat="1" applyFont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7" fillId="5" borderId="8" xfId="1" applyNumberFormat="1" applyFont="1" applyFill="1" applyBorder="1" applyAlignment="1">
      <alignment vertical="center"/>
    </xf>
    <xf numFmtId="10" fontId="6" fillId="10" borderId="25" xfId="1" applyNumberFormat="1" applyFont="1" applyFill="1" applyBorder="1" applyAlignment="1" applyProtection="1">
      <alignment horizontal="right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10" fontId="9" fillId="7" borderId="8" xfId="1" applyNumberFormat="1" applyFont="1" applyFill="1" applyBorder="1" applyAlignment="1" applyProtection="1">
      <alignment horizontal="right" vertical="center"/>
    </xf>
    <xf numFmtId="10" fontId="9" fillId="2" borderId="9" xfId="1" applyNumberFormat="1" applyFont="1" applyFill="1" applyBorder="1" applyAlignment="1" applyProtection="1">
      <alignment vertical="center"/>
    </xf>
    <xf numFmtId="10" fontId="9" fillId="2" borderId="8" xfId="1" applyNumberFormat="1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10" fontId="9" fillId="3" borderId="8" xfId="1" applyNumberFormat="1" applyFont="1" applyFill="1" applyBorder="1" applyAlignment="1" applyProtection="1">
      <alignment horizontal="right" vertical="center"/>
    </xf>
    <xf numFmtId="10" fontId="9" fillId="3" borderId="8" xfId="1" applyNumberFormat="1" applyFont="1" applyFill="1" applyBorder="1" applyAlignment="1">
      <alignment vertical="center"/>
    </xf>
    <xf numFmtId="10" fontId="9" fillId="8" borderId="8" xfId="1" applyNumberFormat="1" applyFont="1" applyFill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left" vertical="center" wrapText="1"/>
    </xf>
    <xf numFmtId="3" fontId="9" fillId="2" borderId="9" xfId="0" applyNumberFormat="1" applyFont="1" applyFill="1" applyBorder="1" applyAlignment="1">
      <alignment horizontal="left" vertical="center" wrapText="1"/>
    </xf>
    <xf numFmtId="3" fontId="9" fillId="3" borderId="10" xfId="0" applyNumberFormat="1" applyFont="1" applyFill="1" applyBorder="1" applyAlignment="1">
      <alignment horizontal="right" vertical="center" wrapText="1"/>
    </xf>
    <xf numFmtId="3" fontId="9" fillId="2" borderId="11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3" fontId="9" fillId="7" borderId="10" xfId="0" applyNumberFormat="1" applyFont="1" applyFill="1" applyBorder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2" fontId="9" fillId="7" borderId="8" xfId="1" applyNumberFormat="1" applyFont="1" applyFill="1" applyBorder="1" applyAlignment="1" applyProtection="1">
      <alignment horizontal="right" vertical="center"/>
    </xf>
    <xf numFmtId="2" fontId="9" fillId="3" borderId="8" xfId="1" applyNumberFormat="1" applyFont="1" applyFill="1" applyBorder="1" applyAlignment="1" applyProtection="1">
      <alignment horizontal="right" vertical="center"/>
    </xf>
    <xf numFmtId="2" fontId="9" fillId="2" borderId="9" xfId="1" applyNumberFormat="1" applyFont="1" applyFill="1" applyBorder="1" applyAlignment="1" applyProtection="1">
      <alignment vertical="center"/>
    </xf>
    <xf numFmtId="2" fontId="9" fillId="2" borderId="8" xfId="1" applyNumberFormat="1" applyFont="1" applyFill="1" applyBorder="1" applyAlignment="1">
      <alignment vertical="center"/>
    </xf>
    <xf numFmtId="2" fontId="9" fillId="3" borderId="8" xfId="1" applyNumberFormat="1" applyFont="1" applyFill="1" applyBorder="1" applyAlignment="1">
      <alignment vertical="center"/>
    </xf>
    <xf numFmtId="2" fontId="9" fillId="8" borderId="8" xfId="1" applyNumberFormat="1" applyFont="1" applyFill="1" applyBorder="1" applyAlignment="1">
      <alignment vertical="center"/>
    </xf>
    <xf numFmtId="3" fontId="9" fillId="6" borderId="8" xfId="0" applyNumberFormat="1" applyFont="1" applyFill="1" applyBorder="1" applyAlignment="1">
      <alignment horizontal="right" vertical="center" wrapText="1"/>
    </xf>
    <xf numFmtId="9" fontId="9" fillId="0" borderId="6" xfId="1" applyFont="1" applyBorder="1" applyAlignment="1">
      <alignment vertical="center"/>
    </xf>
    <xf numFmtId="0" fontId="14" fillId="0" borderId="0" xfId="0" applyFont="1"/>
    <xf numFmtId="10" fontId="12" fillId="10" borderId="8" xfId="1" applyNumberFormat="1" applyFont="1" applyFill="1" applyBorder="1" applyAlignment="1" applyProtection="1">
      <alignment horizontal="right" vertical="center"/>
    </xf>
    <xf numFmtId="9" fontId="9" fillId="0" borderId="8" xfId="1" applyFont="1" applyBorder="1" applyAlignment="1">
      <alignment vertical="center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8" xfId="0" applyNumberFormat="1" applyFont="1" applyFill="1" applyBorder="1" applyAlignment="1">
      <alignment horizontal="right" vertical="center" wrapText="1"/>
    </xf>
    <xf numFmtId="10" fontId="9" fillId="0" borderId="8" xfId="1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left" vertical="center" wrapText="1"/>
    </xf>
    <xf numFmtId="3" fontId="7" fillId="2" borderId="9" xfId="0" applyNumberFormat="1" applyFont="1" applyFill="1" applyBorder="1" applyAlignment="1">
      <alignment horizontal="left" vertical="center" wrapText="1"/>
    </xf>
    <xf numFmtId="3" fontId="9" fillId="6" borderId="10" xfId="0" applyNumberFormat="1" applyFont="1" applyFill="1" applyBorder="1" applyAlignment="1">
      <alignment horizontal="right" vertical="center" wrapText="1"/>
    </xf>
    <xf numFmtId="3" fontId="7" fillId="3" borderId="10" xfId="0" applyNumberFormat="1" applyFont="1" applyFill="1" applyBorder="1" applyAlignment="1">
      <alignment horizontal="right" vertical="center" wrapText="1"/>
    </xf>
    <xf numFmtId="3" fontId="7" fillId="2" borderId="11" xfId="0" applyNumberFormat="1" applyFont="1" applyFill="1" applyBorder="1" applyAlignment="1">
      <alignment horizontal="right" vertical="center" wrapText="1"/>
    </xf>
    <xf numFmtId="9" fontId="9" fillId="0" borderId="10" xfId="1" applyFont="1" applyBorder="1" applyAlignment="1">
      <alignment vertical="center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8" xfId="6" applyNumberFormat="1" applyFont="1" applyFill="1" applyBorder="1" applyAlignment="1">
      <alignment horizontal="right" vertical="center" wrapText="1"/>
    </xf>
    <xf numFmtId="3" fontId="9" fillId="0" borderId="8" xfId="6" applyNumberFormat="1" applyFont="1" applyBorder="1" applyAlignment="1">
      <alignment horizontal="left" vertical="center" wrapText="1"/>
    </xf>
    <xf numFmtId="3" fontId="9" fillId="2" borderId="9" xfId="6" applyNumberFormat="1" applyFont="1" applyFill="1" applyBorder="1" applyAlignment="1">
      <alignment horizontal="left" vertical="center" wrapText="1"/>
    </xf>
    <xf numFmtId="3" fontId="9" fillId="2" borderId="8" xfId="6" applyNumberFormat="1" applyFont="1" applyFill="1" applyBorder="1" applyAlignment="1">
      <alignment horizontal="left" vertical="center" wrapText="1"/>
    </xf>
    <xf numFmtId="3" fontId="9" fillId="3" borderId="10" xfId="6" applyNumberFormat="1" applyFont="1" applyFill="1" applyBorder="1" applyAlignment="1">
      <alignment horizontal="right" vertical="center" wrapText="1"/>
    </xf>
    <xf numFmtId="3" fontId="9" fillId="2" borderId="11" xfId="6" applyNumberFormat="1" applyFont="1" applyFill="1" applyBorder="1" applyAlignment="1">
      <alignment horizontal="right" vertical="center" wrapText="1"/>
    </xf>
    <xf numFmtId="10" fontId="4" fillId="0" borderId="0" xfId="0" applyNumberFormat="1" applyFont="1" applyProtection="1">
      <protection locked="0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165" fontId="7" fillId="0" borderId="21" xfId="1" applyNumberFormat="1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9" fontId="7" fillId="4" borderId="8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wrapText="1"/>
    </xf>
    <xf numFmtId="0" fontId="7" fillId="4" borderId="10" xfId="0" applyFont="1" applyFill="1" applyBorder="1" applyAlignment="1">
      <alignment wrapText="1"/>
    </xf>
    <xf numFmtId="9" fontId="5" fillId="0" borderId="0" xfId="1" applyFont="1" applyFill="1" applyBorder="1" applyAlignment="1">
      <alignment horizontal="center" vertical="center"/>
    </xf>
    <xf numFmtId="0" fontId="12" fillId="2" borderId="6" xfId="6" applyFont="1" applyFill="1" applyBorder="1" applyAlignment="1">
      <alignment horizontal="center" vertical="center" wrapText="1"/>
    </xf>
    <xf numFmtId="0" fontId="12" fillId="2" borderId="10" xfId="6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9" fillId="4" borderId="6" xfId="6" applyFont="1" applyFill="1" applyBorder="1" applyAlignment="1">
      <alignment horizontal="center" vertical="center" wrapText="1"/>
    </xf>
    <xf numFmtId="0" fontId="9" fillId="4" borderId="8" xfId="6" applyFont="1" applyFill="1" applyBorder="1" applyAlignment="1">
      <alignment horizontal="center" vertical="center" wrapText="1"/>
    </xf>
    <xf numFmtId="0" fontId="9" fillId="4" borderId="10" xfId="6" applyFont="1" applyFill="1" applyBorder="1" applyAlignment="1">
      <alignment horizontal="center" vertical="center" wrapText="1"/>
    </xf>
    <xf numFmtId="165" fontId="7" fillId="0" borderId="6" xfId="1" applyNumberFormat="1" applyFont="1" applyBorder="1" applyAlignment="1">
      <alignment horizontal="left" vertical="center" wrapText="1"/>
    </xf>
    <xf numFmtId="165" fontId="7" fillId="0" borderId="8" xfId="1" applyNumberFormat="1" applyFont="1" applyBorder="1" applyAlignment="1">
      <alignment horizontal="left" vertical="center" wrapText="1"/>
    </xf>
    <xf numFmtId="165" fontId="7" fillId="0" borderId="10" xfId="1" applyNumberFormat="1" applyFont="1" applyBorder="1" applyAlignment="1">
      <alignment horizontal="left" vertical="center" wrapText="1"/>
    </xf>
    <xf numFmtId="9" fontId="7" fillId="4" borderId="6" xfId="0" applyNumberFormat="1" applyFont="1" applyFill="1" applyBorder="1" applyAlignment="1">
      <alignment horizontal="left" vertical="center" wrapText="1"/>
    </xf>
    <xf numFmtId="0" fontId="6" fillId="2" borderId="6" xfId="6" applyFont="1" applyFill="1" applyBorder="1" applyAlignment="1">
      <alignment horizontal="center" vertical="center" wrapText="1"/>
    </xf>
    <xf numFmtId="0" fontId="6" fillId="2" borderId="10" xfId="6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8" xfId="6" applyFont="1" applyFill="1" applyBorder="1" applyAlignment="1">
      <alignment horizontal="center" vertical="center" wrapText="1"/>
    </xf>
    <xf numFmtId="0" fontId="7" fillId="4" borderId="10" xfId="6" applyFont="1" applyFill="1" applyBorder="1" applyAlignment="1">
      <alignment horizontal="center" vertical="center" wrapText="1"/>
    </xf>
    <xf numFmtId="9" fontId="7" fillId="11" borderId="6" xfId="0" applyNumberFormat="1" applyFont="1" applyFill="1" applyBorder="1" applyAlignment="1">
      <alignment horizontal="left" vertical="center" wrapText="1"/>
    </xf>
    <xf numFmtId="9" fontId="7" fillId="11" borderId="8" xfId="0" applyNumberFormat="1" applyFont="1" applyFill="1" applyBorder="1" applyAlignment="1">
      <alignment horizontal="left" vertical="center" wrapText="1"/>
    </xf>
    <xf numFmtId="9" fontId="7" fillId="11" borderId="10" xfId="0" applyNumberFormat="1" applyFont="1" applyFill="1" applyBorder="1" applyAlignment="1">
      <alignment horizontal="left" vertical="center" wrapText="1"/>
    </xf>
    <xf numFmtId="10" fontId="7" fillId="5" borderId="8" xfId="1" applyNumberFormat="1" applyFont="1" applyFill="1" applyBorder="1" applyAlignment="1">
      <alignment horizontal="center" vertical="center"/>
    </xf>
    <xf numFmtId="10" fontId="7" fillId="5" borderId="10" xfId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4" borderId="6" xfId="6" applyFont="1" applyFill="1" applyBorder="1" applyAlignment="1" applyProtection="1">
      <alignment horizontal="center" vertical="center" wrapText="1"/>
      <protection locked="0"/>
    </xf>
    <xf numFmtId="0" fontId="7" fillId="4" borderId="8" xfId="6" applyFont="1" applyFill="1" applyBorder="1" applyAlignment="1" applyProtection="1">
      <alignment horizontal="center" vertical="center" wrapText="1"/>
      <protection locked="0"/>
    </xf>
    <xf numFmtId="0" fontId="7" fillId="4" borderId="10" xfId="6" applyFont="1" applyFill="1" applyBorder="1" applyAlignment="1" applyProtection="1">
      <alignment horizontal="center" vertical="center" wrapText="1"/>
      <protection locked="0"/>
    </xf>
    <xf numFmtId="0" fontId="7" fillId="11" borderId="6" xfId="6" applyFont="1" applyFill="1" applyBorder="1" applyAlignment="1" applyProtection="1">
      <alignment horizontal="center" vertical="center" wrapText="1"/>
      <protection locked="0"/>
    </xf>
    <xf numFmtId="0" fontId="7" fillId="11" borderId="8" xfId="6" applyFont="1" applyFill="1" applyBorder="1" applyAlignment="1" applyProtection="1">
      <alignment horizontal="center" vertical="center" wrapText="1"/>
      <protection locked="0"/>
    </xf>
    <xf numFmtId="0" fontId="7" fillId="11" borderId="10" xfId="6" applyFont="1" applyFill="1" applyBorder="1" applyAlignment="1" applyProtection="1">
      <alignment horizontal="center" vertical="center" wrapText="1"/>
      <protection locked="0"/>
    </xf>
    <xf numFmtId="0" fontId="7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10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left"/>
    </xf>
    <xf numFmtId="9" fontId="7" fillId="2" borderId="6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 vertical="center" wrapText="1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7" fillId="11" borderId="8" xfId="0" applyFont="1" applyFill="1" applyBorder="1" applyAlignment="1" applyProtection="1">
      <alignment horizontal="center" vertical="center"/>
      <protection locked="0"/>
    </xf>
    <xf numFmtId="0" fontId="7" fillId="11" borderId="10" xfId="0" applyFont="1" applyFill="1" applyBorder="1" applyAlignment="1" applyProtection="1">
      <alignment horizontal="center" vertical="center"/>
      <protection locked="0"/>
    </xf>
    <xf numFmtId="0" fontId="7" fillId="11" borderId="6" xfId="0" applyFont="1" applyFill="1" applyBorder="1" applyAlignment="1" applyProtection="1">
      <alignment horizontal="left" vertical="center" wrapText="1"/>
      <protection locked="0"/>
    </xf>
    <xf numFmtId="0" fontId="7" fillId="11" borderId="8" xfId="0" applyFont="1" applyFill="1" applyBorder="1" applyAlignment="1" applyProtection="1">
      <alignment horizontal="left" vertical="center" wrapText="1"/>
      <protection locked="0"/>
    </xf>
    <xf numFmtId="0" fontId="7" fillId="11" borderId="10" xfId="0" applyFont="1" applyFill="1" applyBorder="1" applyAlignment="1" applyProtection="1">
      <alignment horizontal="left" vertical="center" wrapText="1"/>
      <protection locked="0"/>
    </xf>
    <xf numFmtId="0" fontId="8" fillId="4" borderId="6" xfId="0" applyFont="1" applyFill="1" applyBorder="1" applyAlignment="1" applyProtection="1">
      <alignment horizontal="left" vertical="center" wrapText="1"/>
      <protection locked="0"/>
    </xf>
    <xf numFmtId="0" fontId="7" fillId="4" borderId="8" xfId="0" applyFont="1" applyFill="1" applyBorder="1" applyAlignment="1" applyProtection="1">
      <alignment horizontal="left" vertical="center"/>
      <protection locked="0"/>
    </xf>
    <xf numFmtId="0" fontId="7" fillId="4" borderId="10" xfId="0" applyFont="1" applyFill="1" applyBorder="1" applyAlignment="1" applyProtection="1">
      <alignment horizontal="left" vertical="center"/>
      <protection locked="0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/>
    <xf numFmtId="0" fontId="7" fillId="4" borderId="10" xfId="0" applyFont="1" applyFill="1" applyBorder="1"/>
    <xf numFmtId="0" fontId="6" fillId="11" borderId="6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left" vertical="center"/>
    </xf>
    <xf numFmtId="0" fontId="7" fillId="11" borderId="10" xfId="0" applyFont="1" applyFill="1" applyBorder="1" applyAlignment="1">
      <alignment horizontal="left" vertical="center"/>
    </xf>
    <xf numFmtId="0" fontId="7" fillId="11" borderId="6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 applyProtection="1">
      <alignment horizontal="left" vertical="center" wrapText="1"/>
      <protection locked="0"/>
    </xf>
    <xf numFmtId="0" fontId="8" fillId="11" borderId="8" xfId="0" applyFont="1" applyFill="1" applyBorder="1" applyAlignment="1" applyProtection="1">
      <alignment horizontal="left" vertical="center" wrapText="1"/>
      <protection locked="0"/>
    </xf>
    <xf numFmtId="0" fontId="8" fillId="11" borderId="10" xfId="0" applyFont="1" applyFill="1" applyBorder="1" applyAlignment="1" applyProtection="1">
      <alignment horizontal="left" vertical="center" wrapText="1"/>
      <protection locked="0"/>
    </xf>
    <xf numFmtId="0" fontId="7" fillId="11" borderId="8" xfId="0" applyFont="1" applyFill="1" applyBorder="1"/>
    <xf numFmtId="0" fontId="7" fillId="11" borderId="10" xfId="0" applyFont="1" applyFill="1" applyBorder="1"/>
    <xf numFmtId="0" fontId="6" fillId="9" borderId="6" xfId="0" applyFont="1" applyFill="1" applyBorder="1" applyAlignment="1" applyProtection="1">
      <alignment horizontal="center" vertical="center" wrapText="1"/>
      <protection locked="0"/>
    </xf>
    <xf numFmtId="0" fontId="7" fillId="9" borderId="8" xfId="0" applyFont="1" applyFill="1" applyBorder="1" applyAlignment="1" applyProtection="1">
      <alignment horizontal="center" vertical="center"/>
      <protection locked="0"/>
    </xf>
    <xf numFmtId="0" fontId="7" fillId="9" borderId="10" xfId="0" applyFont="1" applyFill="1" applyBorder="1" applyAlignment="1" applyProtection="1">
      <alignment horizontal="center" vertical="center"/>
      <protection locked="0"/>
    </xf>
    <xf numFmtId="0" fontId="7" fillId="9" borderId="6" xfId="0" applyFont="1" applyFill="1" applyBorder="1" applyAlignment="1" applyProtection="1">
      <alignment horizontal="left" vertical="center" wrapText="1"/>
      <protection locked="0"/>
    </xf>
    <xf numFmtId="0" fontId="8" fillId="9" borderId="8" xfId="0" applyFont="1" applyFill="1" applyBorder="1" applyAlignment="1" applyProtection="1">
      <alignment horizontal="left" vertical="center" wrapText="1"/>
      <protection locked="0"/>
    </xf>
    <xf numFmtId="0" fontId="8" fillId="9" borderId="10" xfId="0" applyFont="1" applyFill="1" applyBorder="1" applyAlignment="1" applyProtection="1">
      <alignment horizontal="left" vertical="center" wrapText="1"/>
      <protection locked="0"/>
    </xf>
    <xf numFmtId="0" fontId="12" fillId="11" borderId="6" xfId="0" applyFont="1" applyFill="1" applyBorder="1" applyAlignment="1">
      <alignment horizontal="center" vertical="center" wrapText="1"/>
    </xf>
    <xf numFmtId="0" fontId="9" fillId="11" borderId="8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2" fillId="0" borderId="22" xfId="0" applyFont="1" applyBorder="1" applyAlignment="1" applyProtection="1">
      <alignment horizontal="center"/>
      <protection locked="0"/>
    </xf>
    <xf numFmtId="0" fontId="2" fillId="0" borderId="2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 applyProtection="1">
      <alignment horizontal="left" wrapText="1"/>
      <protection locked="0"/>
    </xf>
    <xf numFmtId="0" fontId="4" fillId="0" borderId="17" xfId="0" applyFont="1" applyBorder="1" applyAlignment="1" applyProtection="1">
      <alignment horizontal="left" wrapText="1"/>
      <protection locked="0"/>
    </xf>
    <xf numFmtId="0" fontId="4" fillId="0" borderId="15" xfId="0" applyFont="1" applyBorder="1" applyAlignment="1" applyProtection="1">
      <alignment horizontal="left" wrapText="1"/>
      <protection locked="0"/>
    </xf>
    <xf numFmtId="0" fontId="6" fillId="4" borderId="6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center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1" fontId="9" fillId="4" borderId="10" xfId="0" applyNumberFormat="1" applyFont="1" applyFill="1" applyBorder="1" applyAlignment="1">
      <alignment horizontal="left" vertical="center" wrapText="1"/>
    </xf>
    <xf numFmtId="10" fontId="7" fillId="4" borderId="6" xfId="0" applyNumberFormat="1" applyFont="1" applyFill="1" applyBorder="1" applyAlignment="1">
      <alignment horizontal="center" vertical="center" wrapText="1"/>
    </xf>
    <xf numFmtId="10" fontId="7" fillId="4" borderId="8" xfId="0" applyNumberFormat="1" applyFont="1" applyFill="1" applyBorder="1" applyAlignment="1">
      <alignment horizontal="center" vertical="center" wrapText="1"/>
    </xf>
    <xf numFmtId="10" fontId="7" fillId="4" borderId="10" xfId="0" applyNumberFormat="1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10" fontId="9" fillId="11" borderId="6" xfId="0" applyNumberFormat="1" applyFont="1" applyFill="1" applyBorder="1" applyAlignment="1">
      <alignment horizontal="center" vertical="center" wrapText="1"/>
    </xf>
    <xf numFmtId="10" fontId="9" fillId="11" borderId="8" xfId="0" applyNumberFormat="1" applyFont="1" applyFill="1" applyBorder="1" applyAlignment="1">
      <alignment horizontal="center" vertical="center" wrapText="1"/>
    </xf>
    <xf numFmtId="10" fontId="9" fillId="11" borderId="10" xfId="0" applyNumberFormat="1" applyFont="1" applyFill="1" applyBorder="1" applyAlignment="1">
      <alignment horizontal="center" vertical="center" wrapText="1"/>
    </xf>
    <xf numFmtId="10" fontId="9" fillId="4" borderId="6" xfId="0" applyNumberFormat="1" applyFont="1" applyFill="1" applyBorder="1" applyAlignment="1">
      <alignment horizontal="center" vertical="center" wrapText="1"/>
    </xf>
    <xf numFmtId="10" fontId="9" fillId="4" borderId="8" xfId="0" applyNumberFormat="1" applyFont="1" applyFill="1" applyBorder="1" applyAlignment="1">
      <alignment horizontal="center" vertical="center" wrapText="1"/>
    </xf>
    <xf numFmtId="10" fontId="9" fillId="4" borderId="10" xfId="0" applyNumberFormat="1" applyFont="1" applyFill="1" applyBorder="1" applyAlignment="1">
      <alignment horizontal="center" vertical="center" wrapText="1"/>
    </xf>
    <xf numFmtId="10" fontId="7" fillId="4" borderId="6" xfId="1" applyNumberFormat="1" applyFont="1" applyFill="1" applyBorder="1" applyAlignment="1">
      <alignment horizontal="center" vertical="center" wrapText="1"/>
    </xf>
    <xf numFmtId="10" fontId="7" fillId="4" borderId="8" xfId="1" applyNumberFormat="1" applyFont="1" applyFill="1" applyBorder="1" applyAlignment="1">
      <alignment horizontal="center" vertical="center" wrapText="1"/>
    </xf>
    <xf numFmtId="10" fontId="7" fillId="4" borderId="10" xfId="1" applyNumberFormat="1" applyFont="1" applyFill="1" applyBorder="1" applyAlignment="1">
      <alignment horizontal="center" vertical="center" wrapText="1"/>
    </xf>
    <xf numFmtId="10" fontId="7" fillId="11" borderId="6" xfId="1" applyNumberFormat="1" applyFont="1" applyFill="1" applyBorder="1" applyAlignment="1">
      <alignment horizontal="center" vertical="center" wrapText="1"/>
    </xf>
    <xf numFmtId="10" fontId="7" fillId="11" borderId="8" xfId="1" applyNumberFormat="1" applyFont="1" applyFill="1" applyBorder="1" applyAlignment="1">
      <alignment horizontal="center" vertical="center" wrapText="1"/>
    </xf>
    <xf numFmtId="10" fontId="7" fillId="11" borderId="10" xfId="1" applyNumberFormat="1" applyFont="1" applyFill="1" applyBorder="1" applyAlignment="1">
      <alignment horizontal="center" vertical="center" wrapText="1"/>
    </xf>
    <xf numFmtId="9" fontId="7" fillId="2" borderId="10" xfId="0" applyNumberFormat="1" applyFont="1" applyFill="1" applyBorder="1" applyAlignment="1">
      <alignment horizontal="center" vertical="center" wrapText="1"/>
    </xf>
    <xf numFmtId="0" fontId="7" fillId="11" borderId="6" xfId="6" applyFont="1" applyFill="1" applyBorder="1" applyAlignment="1">
      <alignment horizontal="center" vertical="center" wrapText="1"/>
    </xf>
    <xf numFmtId="0" fontId="7" fillId="11" borderId="8" xfId="6" applyFont="1" applyFill="1" applyBorder="1" applyAlignment="1">
      <alignment horizontal="center" vertical="center" wrapText="1"/>
    </xf>
    <xf numFmtId="0" fontId="7" fillId="11" borderId="10" xfId="6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left" vertical="center" wrapText="1"/>
    </xf>
    <xf numFmtId="0" fontId="9" fillId="4" borderId="8" xfId="6" applyFont="1" applyFill="1" applyBorder="1" applyAlignment="1">
      <alignment horizontal="left" vertical="center" wrapText="1"/>
    </xf>
    <xf numFmtId="0" fontId="9" fillId="4" borderId="10" xfId="6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top" wrapText="1"/>
    </xf>
    <xf numFmtId="0" fontId="9" fillId="4" borderId="8" xfId="0" applyFont="1" applyFill="1" applyBorder="1" applyAlignment="1">
      <alignment horizontal="left" vertical="top"/>
    </xf>
    <xf numFmtId="0" fontId="9" fillId="4" borderId="10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1" fontId="14" fillId="4" borderId="8" xfId="0" applyNumberFormat="1" applyFont="1" applyFill="1" applyBorder="1" applyAlignment="1">
      <alignment horizontal="left" vertical="center" wrapText="1"/>
    </xf>
    <xf numFmtId="1" fontId="14" fillId="4" borderId="10" xfId="0" applyNumberFormat="1" applyFont="1" applyFill="1" applyBorder="1" applyAlignment="1">
      <alignment horizontal="left" vertical="center" wrapText="1"/>
    </xf>
    <xf numFmtId="165" fontId="9" fillId="0" borderId="6" xfId="1" applyNumberFormat="1" applyFont="1" applyFill="1" applyBorder="1" applyAlignment="1">
      <alignment horizontal="left" vertical="center" wrapText="1"/>
    </xf>
    <xf numFmtId="165" fontId="9" fillId="0" borderId="8" xfId="1" applyNumberFormat="1" applyFont="1" applyFill="1" applyBorder="1" applyAlignment="1">
      <alignment horizontal="left" vertical="center" wrapText="1"/>
    </xf>
    <xf numFmtId="165" fontId="9" fillId="0" borderId="10" xfId="1" applyNumberFormat="1" applyFont="1" applyFill="1" applyBorder="1" applyAlignment="1">
      <alignment horizontal="left" vertical="center" wrapText="1"/>
    </xf>
    <xf numFmtId="165" fontId="9" fillId="0" borderId="6" xfId="1" applyNumberFormat="1" applyFont="1" applyBorder="1" applyAlignment="1">
      <alignment horizontal="left" vertical="center" wrapText="1"/>
    </xf>
    <xf numFmtId="165" fontId="9" fillId="0" borderId="8" xfId="1" applyNumberFormat="1" applyFont="1" applyBorder="1" applyAlignment="1">
      <alignment horizontal="left" vertical="center" wrapText="1"/>
    </xf>
    <xf numFmtId="165" fontId="9" fillId="0" borderId="10" xfId="1" applyNumberFormat="1" applyFont="1" applyBorder="1" applyAlignment="1">
      <alignment horizontal="left" vertical="center" wrapText="1"/>
    </xf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57150</xdr:rowOff>
    </xdr:from>
    <xdr:to>
      <xdr:col>2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57150"/>
          <a:ext cx="77152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381000</xdr:colOff>
      <xdr:row>0</xdr:row>
      <xdr:rowOff>28575</xdr:rowOff>
    </xdr:from>
    <xdr:to>
      <xdr:col>2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3"/>
  <sheetViews>
    <sheetView showGridLines="0" tabSelected="1" topLeftCell="A8" zoomScale="90" zoomScaleNormal="90" zoomScaleSheetLayoutView="110" workbookViewId="0">
      <pane xSplit="3" ySplit="5" topLeftCell="L26" activePane="bottomRight" state="frozen"/>
      <selection activeCell="A8" sqref="A8"/>
      <selection pane="topRight" activeCell="D8" sqref="D8"/>
      <selection pane="bottomLeft" activeCell="A13" sqref="A13"/>
      <selection pane="bottomRight" activeCell="M28" activeCellId="1" sqref="L34:AI34 L28:AI28"/>
    </sheetView>
  </sheetViews>
  <sheetFormatPr baseColWidth="10" defaultColWidth="11.453125" defaultRowHeight="13" x14ac:dyDescent="0.3"/>
  <cols>
    <col min="1" max="1" width="11.453125" style="3"/>
    <col min="2" max="2" width="21.453125" style="3" customWidth="1"/>
    <col min="3" max="8" width="30.7265625" style="3" customWidth="1"/>
    <col min="9" max="10" width="9.453125" style="3" customWidth="1"/>
    <col min="11" max="11" width="26.81640625" style="3" customWidth="1"/>
    <col min="12" max="12" width="13.453125" style="5" customWidth="1"/>
    <col min="13" max="13" width="11.453125" style="5" customWidth="1"/>
    <col min="14" max="14" width="12" style="5" customWidth="1"/>
    <col min="15" max="35" width="11.453125" style="5"/>
    <col min="36" max="36" width="13" style="5" customWidth="1"/>
    <col min="37" max="37" width="26.81640625" style="49" customWidth="1"/>
    <col min="38" max="38" width="11.453125" style="5"/>
    <col min="39" max="39" width="28.81640625" style="5" customWidth="1"/>
    <col min="40" max="16384" width="11.453125" style="3"/>
  </cols>
  <sheetData>
    <row r="1" spans="1:39" s="1" customFormat="1" ht="15.75" customHeight="1" x14ac:dyDescent="0.35">
      <c r="C1" s="167"/>
      <c r="D1" s="170" t="s">
        <v>0</v>
      </c>
      <c r="E1" s="171"/>
      <c r="F1" s="171"/>
      <c r="G1" s="171"/>
      <c r="H1" s="171"/>
      <c r="I1" s="171"/>
      <c r="J1" s="171"/>
      <c r="K1" s="172"/>
      <c r="L1" s="195" t="s">
        <v>1</v>
      </c>
      <c r="M1" s="196"/>
      <c r="N1" s="196"/>
      <c r="O1" s="196"/>
      <c r="P1" s="196"/>
      <c r="Q1" s="197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48"/>
      <c r="AL1" s="2"/>
      <c r="AM1" s="2"/>
    </row>
    <row r="2" spans="1:39" s="1" customFormat="1" ht="15.75" customHeight="1" x14ac:dyDescent="0.35">
      <c r="C2" s="168"/>
      <c r="D2" s="173"/>
      <c r="E2" s="174"/>
      <c r="F2" s="174"/>
      <c r="G2" s="174"/>
      <c r="H2" s="174"/>
      <c r="I2" s="174"/>
      <c r="J2" s="174"/>
      <c r="K2" s="175"/>
      <c r="L2" s="198" t="s">
        <v>2</v>
      </c>
      <c r="M2" s="199"/>
      <c r="N2" s="199"/>
      <c r="O2" s="199"/>
      <c r="P2" s="199"/>
      <c r="Q2" s="200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48"/>
      <c r="AL2" s="2"/>
      <c r="AM2" s="2"/>
    </row>
    <row r="3" spans="1:39" s="1" customFormat="1" ht="15.75" customHeight="1" x14ac:dyDescent="0.35">
      <c r="C3" s="168"/>
      <c r="D3" s="173"/>
      <c r="E3" s="174"/>
      <c r="F3" s="174"/>
      <c r="G3" s="174"/>
      <c r="H3" s="174"/>
      <c r="I3" s="174"/>
      <c r="J3" s="174"/>
      <c r="K3" s="175"/>
      <c r="L3" s="198" t="s">
        <v>3</v>
      </c>
      <c r="M3" s="199"/>
      <c r="N3" s="199"/>
      <c r="O3" s="199"/>
      <c r="P3" s="199"/>
      <c r="Q3" s="200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48"/>
      <c r="AL3" s="2"/>
      <c r="AM3" s="2"/>
    </row>
    <row r="4" spans="1:39" s="1" customFormat="1" ht="12.75" customHeight="1" x14ac:dyDescent="0.35">
      <c r="C4" s="168"/>
      <c r="D4" s="173"/>
      <c r="E4" s="174"/>
      <c r="F4" s="174"/>
      <c r="G4" s="174"/>
      <c r="H4" s="174"/>
      <c r="I4" s="174"/>
      <c r="J4" s="174"/>
      <c r="K4" s="175"/>
      <c r="L4" s="201"/>
      <c r="M4" s="202"/>
      <c r="N4" s="202"/>
      <c r="O4" s="202"/>
      <c r="P4" s="202"/>
      <c r="Q4" s="20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48"/>
      <c r="AL4" s="2"/>
      <c r="AM4" s="2"/>
    </row>
    <row r="5" spans="1:39" s="1" customFormat="1" ht="13.5" customHeight="1" x14ac:dyDescent="0.35">
      <c r="C5" s="169"/>
      <c r="D5" s="176"/>
      <c r="E5" s="177"/>
      <c r="F5" s="177"/>
      <c r="G5" s="177"/>
      <c r="H5" s="177"/>
      <c r="I5" s="177"/>
      <c r="J5" s="177"/>
      <c r="K5" s="178"/>
      <c r="L5" s="204" t="s">
        <v>4</v>
      </c>
      <c r="M5" s="205"/>
      <c r="N5" s="205"/>
      <c r="O5" s="205"/>
      <c r="P5" s="205"/>
      <c r="Q5" s="206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48"/>
      <c r="AL5" s="2"/>
      <c r="AM5" s="2"/>
    </row>
    <row r="6" spans="1:39" ht="13.5" customHeight="1" x14ac:dyDescent="0.3">
      <c r="C6" s="4" t="s">
        <v>5</v>
      </c>
      <c r="D6" s="179" t="s">
        <v>6</v>
      </c>
      <c r="E6" s="180"/>
      <c r="F6" s="180"/>
      <c r="G6" s="180"/>
      <c r="H6" s="180"/>
      <c r="I6" s="180"/>
      <c r="J6" s="180"/>
      <c r="K6" s="181"/>
      <c r="L6" s="207" t="s">
        <v>7</v>
      </c>
      <c r="M6" s="208"/>
      <c r="N6" s="208"/>
      <c r="O6" s="208"/>
      <c r="P6" s="208"/>
      <c r="Q6" s="209"/>
    </row>
    <row r="7" spans="1:39" s="1" customFormat="1" ht="15.5" x14ac:dyDescent="0.35"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49"/>
      <c r="AL7" s="5"/>
      <c r="AM7" s="5"/>
    </row>
    <row r="8" spans="1:39" s="1" customFormat="1" ht="15.5" x14ac:dyDescent="0.35">
      <c r="C8" s="191" t="s">
        <v>93</v>
      </c>
      <c r="D8" s="191"/>
      <c r="E8" s="6"/>
      <c r="F8" s="7"/>
      <c r="G8" s="7"/>
      <c r="H8" s="7"/>
      <c r="I8" s="7"/>
      <c r="J8" s="7"/>
      <c r="K8" s="7"/>
      <c r="L8" s="8"/>
      <c r="M8" s="87"/>
      <c r="N8" s="8"/>
      <c r="O8" s="87"/>
      <c r="P8" s="8"/>
      <c r="Q8" s="87"/>
      <c r="R8" s="8"/>
      <c r="S8" s="87"/>
      <c r="T8" s="8"/>
      <c r="U8" s="87"/>
      <c r="V8" s="8"/>
      <c r="W8" s="87"/>
      <c r="X8" s="8"/>
      <c r="Y8" s="87"/>
      <c r="Z8" s="8"/>
      <c r="AA8" s="87"/>
      <c r="AB8" s="8"/>
      <c r="AC8" s="87"/>
      <c r="AD8" s="8"/>
      <c r="AE8" s="87"/>
      <c r="AF8" s="8"/>
      <c r="AG8" s="87"/>
      <c r="AH8" s="8"/>
      <c r="AI8" s="87"/>
      <c r="AJ8" s="9"/>
      <c r="AK8" s="49"/>
      <c r="AL8" s="5"/>
      <c r="AM8" s="5"/>
    </row>
    <row r="9" spans="1:39" s="1" customFormat="1" ht="15.5" x14ac:dyDescent="0.35">
      <c r="C9" s="7" t="s">
        <v>51</v>
      </c>
      <c r="D9" s="7"/>
      <c r="E9" s="6"/>
      <c r="F9" s="6"/>
      <c r="G9" s="7"/>
      <c r="H9" s="7"/>
      <c r="I9" s="7"/>
      <c r="J9" s="7"/>
      <c r="K9" s="7"/>
      <c r="L9" s="8"/>
      <c r="M9" s="87"/>
      <c r="N9" s="8"/>
      <c r="O9" s="87"/>
      <c r="P9" s="8"/>
      <c r="Q9" s="87"/>
      <c r="R9" s="8"/>
      <c r="S9" s="87"/>
      <c r="T9" s="8"/>
      <c r="U9" s="87"/>
      <c r="V9" s="8"/>
      <c r="W9" s="87"/>
      <c r="X9" s="8"/>
      <c r="Y9" s="87"/>
      <c r="Z9" s="8"/>
      <c r="AA9" s="87"/>
      <c r="AB9" s="8"/>
      <c r="AC9" s="87"/>
      <c r="AD9" s="8"/>
      <c r="AE9" s="87"/>
      <c r="AF9" s="8"/>
      <c r="AG9" s="87"/>
      <c r="AH9" s="8"/>
      <c r="AI9" s="87"/>
      <c r="AJ9" s="9"/>
      <c r="AK9" s="49"/>
      <c r="AL9" s="5"/>
      <c r="AM9" s="5"/>
    </row>
    <row r="10" spans="1:39" s="1" customFormat="1" ht="16" thickBot="1" x14ac:dyDescent="0.4">
      <c r="F10"/>
      <c r="G10"/>
      <c r="H10"/>
      <c r="I10" s="49"/>
      <c r="J10"/>
      <c r="K10"/>
      <c r="L10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49"/>
      <c r="AL10" s="5"/>
      <c r="AM10" s="5"/>
    </row>
    <row r="11" spans="1:39" s="50" customFormat="1" ht="22.9" customHeight="1" thickTop="1" x14ac:dyDescent="0.25">
      <c r="A11" s="90" t="s">
        <v>43</v>
      </c>
      <c r="B11" s="113" t="s">
        <v>44</v>
      </c>
      <c r="C11" s="113" t="s">
        <v>8</v>
      </c>
      <c r="D11" s="90" t="s">
        <v>9</v>
      </c>
      <c r="E11" s="88" t="s">
        <v>46</v>
      </c>
      <c r="F11" s="88" t="s">
        <v>47</v>
      </c>
      <c r="G11" s="88" t="s">
        <v>48</v>
      </c>
      <c r="H11" s="88" t="s">
        <v>49</v>
      </c>
      <c r="I11" s="88" t="s">
        <v>94</v>
      </c>
      <c r="J11" s="88" t="s">
        <v>56</v>
      </c>
      <c r="K11" s="90" t="s">
        <v>10</v>
      </c>
      <c r="L11" s="90" t="s">
        <v>11</v>
      </c>
      <c r="M11" s="90" t="s">
        <v>12</v>
      </c>
      <c r="N11" s="90" t="s">
        <v>13</v>
      </c>
      <c r="O11" s="113" t="s">
        <v>14</v>
      </c>
      <c r="P11" s="90" t="s">
        <v>15</v>
      </c>
      <c r="Q11" s="90" t="s">
        <v>16</v>
      </c>
      <c r="R11" s="90" t="s">
        <v>17</v>
      </c>
      <c r="S11" s="90" t="s">
        <v>18</v>
      </c>
      <c r="T11" s="90" t="s">
        <v>19</v>
      </c>
      <c r="U11" s="113" t="s">
        <v>20</v>
      </c>
      <c r="V11" s="113" t="s">
        <v>21</v>
      </c>
      <c r="W11" s="90" t="s">
        <v>22</v>
      </c>
      <c r="X11" s="79" t="s">
        <v>23</v>
      </c>
      <c r="Y11" s="90" t="s">
        <v>24</v>
      </c>
      <c r="Z11" s="90" t="s">
        <v>25</v>
      </c>
      <c r="AA11" s="90" t="s">
        <v>26</v>
      </c>
      <c r="AB11" s="90" t="s">
        <v>27</v>
      </c>
      <c r="AC11" s="90" t="s">
        <v>28</v>
      </c>
      <c r="AD11" s="90" t="s">
        <v>29</v>
      </c>
      <c r="AE11" s="90" t="s">
        <v>30</v>
      </c>
      <c r="AF11" s="113" t="s">
        <v>31</v>
      </c>
      <c r="AG11" s="90" t="s">
        <v>32</v>
      </c>
      <c r="AH11" s="90" t="s">
        <v>33</v>
      </c>
      <c r="AI11" s="88" t="s">
        <v>83</v>
      </c>
      <c r="AJ11" s="90" t="s">
        <v>34</v>
      </c>
      <c r="AK11" s="90" t="s">
        <v>35</v>
      </c>
      <c r="AL11" s="88" t="s">
        <v>50</v>
      </c>
      <c r="AM11" s="100" t="s">
        <v>55</v>
      </c>
    </row>
    <row r="12" spans="1:39" s="50" customFormat="1" ht="22.9" customHeight="1" thickBot="1" x14ac:dyDescent="0.3">
      <c r="A12" s="91"/>
      <c r="B12" s="116"/>
      <c r="C12" s="116"/>
      <c r="D12" s="91"/>
      <c r="E12" s="89"/>
      <c r="F12" s="89"/>
      <c r="G12" s="89"/>
      <c r="H12" s="89"/>
      <c r="I12" s="89"/>
      <c r="J12" s="89"/>
      <c r="K12" s="91"/>
      <c r="L12" s="117"/>
      <c r="M12" s="91"/>
      <c r="N12" s="91"/>
      <c r="O12" s="116"/>
      <c r="P12" s="91"/>
      <c r="Q12" s="91"/>
      <c r="R12" s="91"/>
      <c r="S12" s="92"/>
      <c r="T12" s="91"/>
      <c r="U12" s="114"/>
      <c r="V12" s="114"/>
      <c r="W12" s="92"/>
      <c r="X12" s="80"/>
      <c r="Y12" s="91"/>
      <c r="Z12" s="92"/>
      <c r="AA12" s="92"/>
      <c r="AB12" s="92"/>
      <c r="AC12" s="92"/>
      <c r="AD12" s="92"/>
      <c r="AE12" s="92"/>
      <c r="AF12" s="114"/>
      <c r="AG12" s="92"/>
      <c r="AH12" s="91"/>
      <c r="AI12" s="89">
        <v>2018</v>
      </c>
      <c r="AJ12" s="91"/>
      <c r="AK12" s="115"/>
      <c r="AL12" s="89"/>
      <c r="AM12" s="101"/>
    </row>
    <row r="13" spans="1:39" s="10" customFormat="1" ht="22.9" hidden="1" customHeight="1" thickTop="1" x14ac:dyDescent="0.25">
      <c r="A13" s="127" t="s">
        <v>85</v>
      </c>
      <c r="B13" s="130" t="s">
        <v>74</v>
      </c>
      <c r="C13" s="182" t="s">
        <v>75</v>
      </c>
      <c r="D13" s="144" t="s">
        <v>76</v>
      </c>
      <c r="E13" s="133" t="s">
        <v>60</v>
      </c>
      <c r="F13" s="192" t="s">
        <v>95</v>
      </c>
      <c r="G13" s="192" t="s">
        <v>63</v>
      </c>
      <c r="H13" s="192" t="s">
        <v>95</v>
      </c>
      <c r="I13" s="216">
        <f>+L14</f>
        <v>0.9</v>
      </c>
      <c r="J13" s="188">
        <v>0.2</v>
      </c>
      <c r="K13" s="185" t="s">
        <v>77</v>
      </c>
      <c r="L13" s="11" t="s">
        <v>36</v>
      </c>
      <c r="M13" s="34" t="s">
        <v>36</v>
      </c>
      <c r="N13" s="34" t="s">
        <v>36</v>
      </c>
      <c r="O13" s="35" t="s">
        <v>36</v>
      </c>
      <c r="P13" s="34" t="s">
        <v>36</v>
      </c>
      <c r="Q13" s="26" t="s">
        <v>36</v>
      </c>
      <c r="R13" s="34" t="s">
        <v>36</v>
      </c>
      <c r="S13" s="26" t="s">
        <v>36</v>
      </c>
      <c r="T13" s="34" t="s">
        <v>36</v>
      </c>
      <c r="U13" s="26" t="s">
        <v>36</v>
      </c>
      <c r="V13" s="34" t="s">
        <v>36</v>
      </c>
      <c r="W13" s="26" t="s">
        <v>36</v>
      </c>
      <c r="X13" s="34" t="s">
        <v>36</v>
      </c>
      <c r="Y13" s="26" t="s">
        <v>36</v>
      </c>
      <c r="Z13" s="34" t="s">
        <v>36</v>
      </c>
      <c r="AA13" s="26" t="s">
        <v>36</v>
      </c>
      <c r="AB13" s="34" t="s">
        <v>36</v>
      </c>
      <c r="AC13" s="26" t="s">
        <v>36</v>
      </c>
      <c r="AD13" s="34" t="s">
        <v>36</v>
      </c>
      <c r="AE13" s="26" t="s">
        <v>36</v>
      </c>
      <c r="AF13" s="34" t="s">
        <v>36</v>
      </c>
      <c r="AG13" s="26" t="s">
        <v>36</v>
      </c>
      <c r="AH13" s="34" t="s">
        <v>36</v>
      </c>
      <c r="AI13" s="26" t="s">
        <v>36</v>
      </c>
      <c r="AJ13" s="12"/>
      <c r="AK13" s="96" t="s">
        <v>78</v>
      </c>
      <c r="AL13" s="96"/>
      <c r="AM13" s="93" t="s">
        <v>86</v>
      </c>
    </row>
    <row r="14" spans="1:39" s="10" customFormat="1" ht="22.9" hidden="1" customHeight="1" x14ac:dyDescent="0.25">
      <c r="A14" s="128"/>
      <c r="B14" s="131"/>
      <c r="C14" s="183"/>
      <c r="D14" s="145"/>
      <c r="E14" s="134"/>
      <c r="F14" s="193"/>
      <c r="G14" s="193"/>
      <c r="H14" s="193"/>
      <c r="I14" s="217"/>
      <c r="J14" s="189"/>
      <c r="K14" s="186"/>
      <c r="L14" s="17">
        <f>IF(L16&lt;&gt;0,+L16/L18,0%)</f>
        <v>0.9</v>
      </c>
      <c r="M14" s="51">
        <f>IF(M16&lt;&gt;0,+M16/M18,0%)</f>
        <v>0</v>
      </c>
      <c r="N14" s="52">
        <f>IF(N16&lt;&gt;0,+N16/N18,0%)</f>
        <v>0</v>
      </c>
      <c r="O14" s="53">
        <f t="shared" ref="O14:AG14" si="0">IF(O16&lt;&gt;0,+O16/O18,0%)</f>
        <v>0</v>
      </c>
      <c r="P14" s="52">
        <f>IF(P16&lt;&gt;0,ROUND(+P16/P18,4),0%)</f>
        <v>0</v>
      </c>
      <c r="Q14" s="54">
        <f t="shared" si="0"/>
        <v>0</v>
      </c>
      <c r="R14" s="55">
        <f>IF(R16&lt;&gt;0,ROUND(+R16/R18,4),0%)</f>
        <v>0</v>
      </c>
      <c r="S14" s="54">
        <f t="shared" si="0"/>
        <v>0</v>
      </c>
      <c r="T14" s="55">
        <f>IF(T16&lt;&gt;0,ROUND(+T16/T18,4),0%)</f>
        <v>0</v>
      </c>
      <c r="U14" s="54">
        <f t="shared" si="0"/>
        <v>0</v>
      </c>
      <c r="V14" s="55">
        <f>IF(V16&lt;&gt;0,ROUND(+V16/V18,4),0%)</f>
        <v>0</v>
      </c>
      <c r="W14" s="54">
        <f t="shared" si="0"/>
        <v>0</v>
      </c>
      <c r="X14" s="55">
        <f>IF(X16&lt;&gt;0,ROUND(+X16/X18,4),0%)</f>
        <v>0</v>
      </c>
      <c r="Y14" s="54">
        <f t="shared" si="0"/>
        <v>0</v>
      </c>
      <c r="Z14" s="56">
        <f>IF(Z16&lt;&gt;0,ROUND(+Z16/Z18,4),0%)</f>
        <v>0</v>
      </c>
      <c r="AA14" s="54">
        <f t="shared" si="0"/>
        <v>0</v>
      </c>
      <c r="AB14" s="55">
        <f>IF(AB16&lt;&gt;0,ROUND(+AB16/AB18,4),0%)</f>
        <v>0</v>
      </c>
      <c r="AC14" s="54">
        <f t="shared" si="0"/>
        <v>0</v>
      </c>
      <c r="AD14" s="55">
        <f>IF(AD16&lt;&gt;0,ROUND(+AD16/AD18,4),0%)</f>
        <v>0</v>
      </c>
      <c r="AE14" s="54">
        <f t="shared" si="0"/>
        <v>0</v>
      </c>
      <c r="AF14" s="55">
        <f>IF(AF16&lt;&gt;0,ROUND(+AF16/AF18,4),0%)</f>
        <v>0</v>
      </c>
      <c r="AG14" s="54">
        <f t="shared" si="0"/>
        <v>0</v>
      </c>
      <c r="AH14" s="55">
        <f>IF(AH16&lt;&gt;0,ROUND(+AH16/AH18,4),0%)</f>
        <v>0</v>
      </c>
      <c r="AI14" s="54">
        <f>IF(AI16&lt;&gt;0,+AI16/AI18,0%)</f>
        <v>0</v>
      </c>
      <c r="AJ14" s="13"/>
      <c r="AK14" s="97"/>
      <c r="AL14" s="97"/>
      <c r="AM14" s="94"/>
    </row>
    <row r="15" spans="1:39" s="10" customFormat="1" ht="22.9" hidden="1" customHeight="1" thickBot="1" x14ac:dyDescent="0.3">
      <c r="A15" s="128"/>
      <c r="B15" s="131"/>
      <c r="C15" s="183"/>
      <c r="D15" s="145"/>
      <c r="E15" s="134"/>
      <c r="F15" s="193"/>
      <c r="G15" s="193"/>
      <c r="H15" s="193"/>
      <c r="I15" s="217"/>
      <c r="J15" s="189"/>
      <c r="K15" s="187"/>
      <c r="L15" s="14" t="s">
        <v>37</v>
      </c>
      <c r="M15" s="39" t="s">
        <v>37</v>
      </c>
      <c r="N15" s="39" t="s">
        <v>37</v>
      </c>
      <c r="O15" s="40" t="s">
        <v>37</v>
      </c>
      <c r="P15" s="39" t="s">
        <v>37</v>
      </c>
      <c r="Q15" s="30" t="s">
        <v>37</v>
      </c>
      <c r="R15" s="39" t="s">
        <v>37</v>
      </c>
      <c r="S15" s="30" t="s">
        <v>37</v>
      </c>
      <c r="T15" s="39" t="s">
        <v>37</v>
      </c>
      <c r="U15" s="30" t="s">
        <v>37</v>
      </c>
      <c r="V15" s="39" t="s">
        <v>37</v>
      </c>
      <c r="W15" s="30" t="s">
        <v>37</v>
      </c>
      <c r="X15" s="39" t="s">
        <v>37</v>
      </c>
      <c r="Y15" s="30" t="s">
        <v>37</v>
      </c>
      <c r="Z15" s="39" t="s">
        <v>37</v>
      </c>
      <c r="AA15" s="30" t="s">
        <v>37</v>
      </c>
      <c r="AB15" s="39" t="s">
        <v>37</v>
      </c>
      <c r="AC15" s="30" t="s">
        <v>37</v>
      </c>
      <c r="AD15" s="39" t="s">
        <v>37</v>
      </c>
      <c r="AE15" s="30" t="s">
        <v>37</v>
      </c>
      <c r="AF15" s="39" t="s">
        <v>37</v>
      </c>
      <c r="AG15" s="30" t="s">
        <v>37</v>
      </c>
      <c r="AH15" s="39" t="s">
        <v>37</v>
      </c>
      <c r="AI15" s="30" t="s">
        <v>37</v>
      </c>
      <c r="AJ15" s="13"/>
      <c r="AK15" s="97"/>
      <c r="AL15" s="97"/>
      <c r="AM15" s="94"/>
    </row>
    <row r="16" spans="1:39" s="10" customFormat="1" ht="22.9" hidden="1" customHeight="1" thickTop="1" x14ac:dyDescent="0.25">
      <c r="A16" s="128"/>
      <c r="B16" s="131"/>
      <c r="C16" s="183"/>
      <c r="D16" s="145"/>
      <c r="E16" s="134"/>
      <c r="F16" s="193"/>
      <c r="G16" s="193"/>
      <c r="H16" s="193"/>
      <c r="I16" s="217"/>
      <c r="J16" s="189"/>
      <c r="K16" s="185" t="s">
        <v>79</v>
      </c>
      <c r="L16" s="57">
        <v>24300</v>
      </c>
      <c r="M16" s="46"/>
      <c r="N16" s="46"/>
      <c r="O16" s="31">
        <f>+M16+N16</f>
        <v>0</v>
      </c>
      <c r="P16" s="46"/>
      <c r="Q16" s="31">
        <f>+O16+P16</f>
        <v>0</v>
      </c>
      <c r="R16" s="46"/>
      <c r="S16" s="31">
        <f>+Q16+R16</f>
        <v>0</v>
      </c>
      <c r="T16" s="46"/>
      <c r="U16" s="31">
        <f>+S16+T16</f>
        <v>0</v>
      </c>
      <c r="V16" s="46"/>
      <c r="W16" s="31">
        <f>+U16+V16</f>
        <v>0</v>
      </c>
      <c r="X16" s="46"/>
      <c r="Y16" s="31">
        <f>+W16+X16</f>
        <v>0</v>
      </c>
      <c r="Z16" s="46"/>
      <c r="AA16" s="31">
        <f>+Y16+Z16</f>
        <v>0</v>
      </c>
      <c r="AB16" s="46"/>
      <c r="AC16" s="31">
        <f>+AA16+AB16</f>
        <v>0</v>
      </c>
      <c r="AD16" s="46"/>
      <c r="AE16" s="31">
        <f>+AC16+AD16</f>
        <v>0</v>
      </c>
      <c r="AF16" s="46"/>
      <c r="AG16" s="31">
        <f>+AE16+AF16</f>
        <v>0</v>
      </c>
      <c r="AH16" s="46"/>
      <c r="AI16" s="31">
        <f>+AG16+AH16</f>
        <v>0</v>
      </c>
      <c r="AJ16" s="15">
        <f>+AI14/L14</f>
        <v>0</v>
      </c>
      <c r="AK16" s="97"/>
      <c r="AL16" s="97"/>
      <c r="AM16" s="94"/>
    </row>
    <row r="17" spans="1:39" s="10" customFormat="1" ht="22.9" hidden="1" customHeight="1" x14ac:dyDescent="0.25">
      <c r="A17" s="128"/>
      <c r="B17" s="131"/>
      <c r="C17" s="183"/>
      <c r="D17" s="145"/>
      <c r="E17" s="134"/>
      <c r="F17" s="193"/>
      <c r="G17" s="193"/>
      <c r="H17" s="193"/>
      <c r="I17" s="217"/>
      <c r="J17" s="189"/>
      <c r="K17" s="186"/>
      <c r="L17" s="42" t="s">
        <v>38</v>
      </c>
      <c r="M17" s="42" t="s">
        <v>38</v>
      </c>
      <c r="N17" s="42" t="s">
        <v>38</v>
      </c>
      <c r="O17" s="43" t="s">
        <v>38</v>
      </c>
      <c r="P17" s="42" t="s">
        <v>38</v>
      </c>
      <c r="Q17" s="43" t="s">
        <v>38</v>
      </c>
      <c r="R17" s="42" t="s">
        <v>38</v>
      </c>
      <c r="S17" s="43" t="s">
        <v>38</v>
      </c>
      <c r="T17" s="42" t="s">
        <v>38</v>
      </c>
      <c r="U17" s="43" t="s">
        <v>38</v>
      </c>
      <c r="V17" s="42" t="s">
        <v>38</v>
      </c>
      <c r="W17" s="43" t="s">
        <v>38</v>
      </c>
      <c r="X17" s="42" t="s">
        <v>38</v>
      </c>
      <c r="Y17" s="43" t="s">
        <v>38</v>
      </c>
      <c r="Z17" s="42" t="s">
        <v>38</v>
      </c>
      <c r="AA17" s="43" t="s">
        <v>38</v>
      </c>
      <c r="AB17" s="42" t="s">
        <v>38</v>
      </c>
      <c r="AC17" s="43" t="s">
        <v>38</v>
      </c>
      <c r="AD17" s="42" t="s">
        <v>38</v>
      </c>
      <c r="AE17" s="43" t="s">
        <v>38</v>
      </c>
      <c r="AF17" s="42" t="s">
        <v>38</v>
      </c>
      <c r="AG17" s="43" t="s">
        <v>38</v>
      </c>
      <c r="AH17" s="42" t="s">
        <v>38</v>
      </c>
      <c r="AI17" s="32" t="s">
        <v>38</v>
      </c>
      <c r="AJ17" s="13"/>
      <c r="AK17" s="97"/>
      <c r="AL17" s="97"/>
      <c r="AM17" s="94"/>
    </row>
    <row r="18" spans="1:39" s="10" customFormat="1" ht="22.9" hidden="1" customHeight="1" thickBot="1" x14ac:dyDescent="0.3">
      <c r="A18" s="129"/>
      <c r="B18" s="132"/>
      <c r="C18" s="184"/>
      <c r="D18" s="146"/>
      <c r="E18" s="134"/>
      <c r="F18" s="194"/>
      <c r="G18" s="194"/>
      <c r="H18" s="194"/>
      <c r="I18" s="218"/>
      <c r="J18" s="190"/>
      <c r="K18" s="187"/>
      <c r="L18" s="57">
        <v>27000</v>
      </c>
      <c r="M18" s="47"/>
      <c r="N18" s="47"/>
      <c r="O18" s="45">
        <f>+M18+N18</f>
        <v>0</v>
      </c>
      <c r="P18" s="47"/>
      <c r="Q18" s="45">
        <f>+O18+P18</f>
        <v>0</v>
      </c>
      <c r="R18" s="47"/>
      <c r="S18" s="45">
        <f>+Q18+R18</f>
        <v>0</v>
      </c>
      <c r="T18" s="47"/>
      <c r="U18" s="45">
        <f>+S18+T18</f>
        <v>0</v>
      </c>
      <c r="V18" s="47"/>
      <c r="W18" s="45">
        <f>+U18+V18</f>
        <v>0</v>
      </c>
      <c r="X18" s="47"/>
      <c r="Y18" s="45">
        <f>+W18+X18</f>
        <v>0</v>
      </c>
      <c r="Z18" s="47"/>
      <c r="AA18" s="45">
        <f>+Y18+Z18</f>
        <v>0</v>
      </c>
      <c r="AB18" s="47"/>
      <c r="AC18" s="45">
        <f>+AA18+AB18</f>
        <v>0</v>
      </c>
      <c r="AD18" s="47"/>
      <c r="AE18" s="45">
        <f>+AC18+AD18</f>
        <v>0</v>
      </c>
      <c r="AF18" s="47"/>
      <c r="AG18" s="45">
        <f>+AE18+AF18</f>
        <v>0</v>
      </c>
      <c r="AH18" s="47"/>
      <c r="AI18" s="45">
        <f>+AG18+AH18</f>
        <v>0</v>
      </c>
      <c r="AJ18" s="16"/>
      <c r="AK18" s="98"/>
      <c r="AL18" s="98"/>
      <c r="AM18" s="95"/>
    </row>
    <row r="19" spans="1:39" s="10" customFormat="1" ht="22.9" hidden="1" customHeight="1" thickTop="1" x14ac:dyDescent="0.25">
      <c r="A19" s="158" t="s">
        <v>59</v>
      </c>
      <c r="B19" s="161" t="s">
        <v>45</v>
      </c>
      <c r="C19" s="141" t="s">
        <v>57</v>
      </c>
      <c r="D19" s="144" t="s">
        <v>39</v>
      </c>
      <c r="E19" s="118" t="s">
        <v>53</v>
      </c>
      <c r="F19" s="133" t="s">
        <v>64</v>
      </c>
      <c r="G19" s="133" t="s">
        <v>65</v>
      </c>
      <c r="H19" s="133" t="s">
        <v>64</v>
      </c>
      <c r="I19" s="213">
        <f>+L20</f>
        <v>0.97777941176470584</v>
      </c>
      <c r="J19" s="188">
        <v>0.2</v>
      </c>
      <c r="K19" s="99" t="s">
        <v>40</v>
      </c>
      <c r="L19" s="11" t="s">
        <v>36</v>
      </c>
      <c r="M19" s="34" t="s">
        <v>36</v>
      </c>
      <c r="N19" s="34" t="s">
        <v>36</v>
      </c>
      <c r="O19" s="35" t="s">
        <v>36</v>
      </c>
      <c r="P19" s="34" t="s">
        <v>36</v>
      </c>
      <c r="Q19" s="26" t="s">
        <v>36</v>
      </c>
      <c r="R19" s="34" t="s">
        <v>36</v>
      </c>
      <c r="S19" s="26" t="s">
        <v>36</v>
      </c>
      <c r="T19" s="34" t="s">
        <v>36</v>
      </c>
      <c r="U19" s="26" t="s">
        <v>36</v>
      </c>
      <c r="V19" s="34" t="s">
        <v>36</v>
      </c>
      <c r="W19" s="26" t="s">
        <v>36</v>
      </c>
      <c r="X19" s="34" t="s">
        <v>36</v>
      </c>
      <c r="Y19" s="26" t="s">
        <v>36</v>
      </c>
      <c r="Z19" s="34" t="s">
        <v>36</v>
      </c>
      <c r="AA19" s="26" t="s">
        <v>36</v>
      </c>
      <c r="AB19" s="34" t="s">
        <v>36</v>
      </c>
      <c r="AC19" s="26" t="s">
        <v>36</v>
      </c>
      <c r="AD19" s="34" t="s">
        <v>36</v>
      </c>
      <c r="AE19" s="26" t="s">
        <v>36</v>
      </c>
      <c r="AF19" s="34" t="s">
        <v>36</v>
      </c>
      <c r="AG19" s="26" t="s">
        <v>36</v>
      </c>
      <c r="AH19" s="34" t="s">
        <v>36</v>
      </c>
      <c r="AI19" s="26" t="s">
        <v>36</v>
      </c>
      <c r="AJ19" s="18"/>
      <c r="AK19" s="81" t="s">
        <v>80</v>
      </c>
      <c r="AL19" s="102"/>
      <c r="AM19" s="93" t="s">
        <v>87</v>
      </c>
    </row>
    <row r="20" spans="1:39" s="10" customFormat="1" ht="22.9" hidden="1" customHeight="1" x14ac:dyDescent="0.25">
      <c r="A20" s="159"/>
      <c r="B20" s="162"/>
      <c r="C20" s="142"/>
      <c r="D20" s="145"/>
      <c r="E20" s="119"/>
      <c r="F20" s="134"/>
      <c r="G20" s="134"/>
      <c r="H20" s="134"/>
      <c r="I20" s="214"/>
      <c r="J20" s="189"/>
      <c r="K20" s="84"/>
      <c r="L20" s="17">
        <f>IF(L22&lt;&gt;0,+L22/L24,0%)</f>
        <v>0.97777941176470584</v>
      </c>
      <c r="M20" s="27">
        <f>IF(M22&lt;&gt;0,+M22/M24,0%)</f>
        <v>0</v>
      </c>
      <c r="N20" s="36">
        <f>IF(N22&lt;&gt;0,+N22/N24,0%)</f>
        <v>0</v>
      </c>
      <c r="O20" s="28">
        <f t="shared" ref="O20" si="1">IF(O22&lt;&gt;0,+O22/O24,0%)</f>
        <v>0</v>
      </c>
      <c r="P20" s="36">
        <f>IF(P22&lt;&gt;0,ROUND(+P22/P24,4),0%)</f>
        <v>0</v>
      </c>
      <c r="Q20" s="29">
        <f t="shared" ref="Q20" si="2">IF(Q22&lt;&gt;0,+Q22/Q24,0%)</f>
        <v>0</v>
      </c>
      <c r="R20" s="37">
        <f>IF(R22&lt;&gt;0,ROUND(+R22/R24,4),0%)</f>
        <v>0</v>
      </c>
      <c r="S20" s="29">
        <f t="shared" ref="S20" si="3">IF(S22&lt;&gt;0,+S22/S24,0%)</f>
        <v>0</v>
      </c>
      <c r="T20" s="37">
        <f>IF(T22&lt;&gt;0,ROUND(+T22/T24,4),0%)</f>
        <v>0</v>
      </c>
      <c r="U20" s="29">
        <f t="shared" ref="U20" si="4">IF(U22&lt;&gt;0,+U22/U24,0%)</f>
        <v>0</v>
      </c>
      <c r="V20" s="37">
        <f>IF(V22&lt;&gt;0,ROUND(+V22/V24,4),0%)</f>
        <v>0</v>
      </c>
      <c r="W20" s="29">
        <f t="shared" ref="W20" si="5">IF(W22&lt;&gt;0,+W22/W24,0%)</f>
        <v>0</v>
      </c>
      <c r="X20" s="37">
        <f>IF(X22&lt;&gt;0,ROUND(+X22/X24,4),0%)</f>
        <v>0</v>
      </c>
      <c r="Y20" s="29">
        <f t="shared" ref="Y20" si="6">IF(Y22&lt;&gt;0,+Y22/Y24,0%)</f>
        <v>0</v>
      </c>
      <c r="Z20" s="38">
        <f>IF(Z22&lt;&gt;0,ROUND(+Z22/Z24,4),0%)</f>
        <v>0</v>
      </c>
      <c r="AA20" s="29">
        <f t="shared" ref="AA20" si="7">IF(AA22&lt;&gt;0,+AA22/AA24,0%)</f>
        <v>0</v>
      </c>
      <c r="AB20" s="37">
        <f>IF(AB22&lt;&gt;0,ROUND(+AB22/AB24,4),0%)</f>
        <v>0</v>
      </c>
      <c r="AC20" s="29">
        <f t="shared" ref="AC20" si="8">IF(AC22&lt;&gt;0,+AC22/AC24,0%)</f>
        <v>0</v>
      </c>
      <c r="AD20" s="37">
        <f>IF(AD22&lt;&gt;0,ROUND(+AD22/AD24,4),0%)</f>
        <v>0</v>
      </c>
      <c r="AE20" s="29">
        <f t="shared" ref="AE20" si="9">IF(AE22&lt;&gt;0,+AE22/AE24,0%)</f>
        <v>0</v>
      </c>
      <c r="AF20" s="37">
        <f>IF(AF22&lt;&gt;0,ROUND(+AF22/AF24,4),0%)</f>
        <v>0</v>
      </c>
      <c r="AG20" s="29">
        <f t="shared" ref="AG20" si="10">IF(AG22&lt;&gt;0,+AG22/AG24,0%)</f>
        <v>0</v>
      </c>
      <c r="AH20" s="37">
        <f>IF(AH22&lt;&gt;0,ROUND(+AH22/AH24,4),0%)</f>
        <v>0</v>
      </c>
      <c r="AI20" s="29">
        <f>IF(AI22&lt;&gt;0,+AI22/AI24,0%)</f>
        <v>0</v>
      </c>
      <c r="AJ20" s="19"/>
      <c r="AK20" s="82"/>
      <c r="AL20" s="103"/>
      <c r="AM20" s="94"/>
    </row>
    <row r="21" spans="1:39" s="10" customFormat="1" ht="22.9" hidden="1" customHeight="1" thickBot="1" x14ac:dyDescent="0.3">
      <c r="A21" s="159"/>
      <c r="B21" s="162"/>
      <c r="C21" s="142"/>
      <c r="D21" s="145"/>
      <c r="E21" s="119"/>
      <c r="F21" s="134"/>
      <c r="G21" s="134"/>
      <c r="H21" s="134"/>
      <c r="I21" s="214"/>
      <c r="J21" s="189"/>
      <c r="K21" s="86"/>
      <c r="L21" s="14" t="s">
        <v>37</v>
      </c>
      <c r="M21" s="39" t="s">
        <v>37</v>
      </c>
      <c r="N21" s="39" t="s">
        <v>37</v>
      </c>
      <c r="O21" s="40" t="s">
        <v>37</v>
      </c>
      <c r="P21" s="39" t="s">
        <v>37</v>
      </c>
      <c r="Q21" s="30" t="s">
        <v>37</v>
      </c>
      <c r="R21" s="39" t="s">
        <v>37</v>
      </c>
      <c r="S21" s="30" t="s">
        <v>37</v>
      </c>
      <c r="T21" s="39" t="s">
        <v>37</v>
      </c>
      <c r="U21" s="30" t="s">
        <v>37</v>
      </c>
      <c r="V21" s="39" t="s">
        <v>37</v>
      </c>
      <c r="W21" s="30" t="s">
        <v>37</v>
      </c>
      <c r="X21" s="39" t="s">
        <v>37</v>
      </c>
      <c r="Y21" s="30" t="s">
        <v>37</v>
      </c>
      <c r="Z21" s="39" t="s">
        <v>37</v>
      </c>
      <c r="AA21" s="30" t="s">
        <v>37</v>
      </c>
      <c r="AB21" s="39" t="s">
        <v>37</v>
      </c>
      <c r="AC21" s="30" t="s">
        <v>37</v>
      </c>
      <c r="AD21" s="39" t="s">
        <v>37</v>
      </c>
      <c r="AE21" s="30" t="s">
        <v>37</v>
      </c>
      <c r="AF21" s="39" t="s">
        <v>37</v>
      </c>
      <c r="AG21" s="30" t="s">
        <v>37</v>
      </c>
      <c r="AH21" s="39" t="s">
        <v>37</v>
      </c>
      <c r="AI21" s="30" t="s">
        <v>37</v>
      </c>
      <c r="AJ21" s="19"/>
      <c r="AK21" s="82"/>
      <c r="AL21" s="103"/>
      <c r="AM21" s="94"/>
    </row>
    <row r="22" spans="1:39" s="10" customFormat="1" ht="22.9" hidden="1" customHeight="1" thickTop="1" x14ac:dyDescent="0.25">
      <c r="A22" s="159"/>
      <c r="B22" s="162"/>
      <c r="C22" s="142"/>
      <c r="D22" s="145"/>
      <c r="E22" s="119"/>
      <c r="F22" s="134"/>
      <c r="G22" s="134"/>
      <c r="H22" s="134"/>
      <c r="I22" s="214"/>
      <c r="J22" s="189"/>
      <c r="K22" s="84" t="s">
        <v>41</v>
      </c>
      <c r="L22" s="57">
        <v>66489</v>
      </c>
      <c r="M22" s="71"/>
      <c r="N22" s="71"/>
      <c r="O22" s="72">
        <f t="shared" ref="O22" si="11">+M22+N22</f>
        <v>0</v>
      </c>
      <c r="P22" s="71"/>
      <c r="Q22" s="72">
        <f t="shared" ref="Q22" si="12">+O22+P22</f>
        <v>0</v>
      </c>
      <c r="R22" s="71"/>
      <c r="S22" s="72">
        <f t="shared" ref="S22" si="13">+Q22+R22</f>
        <v>0</v>
      </c>
      <c r="T22" s="71"/>
      <c r="U22" s="72">
        <f t="shared" ref="U22" si="14">+S22+T22</f>
        <v>0</v>
      </c>
      <c r="V22" s="71"/>
      <c r="W22" s="72">
        <f t="shared" ref="W22" si="15">+U22+V22</f>
        <v>0</v>
      </c>
      <c r="X22" s="71"/>
      <c r="Y22" s="72">
        <f t="shared" ref="Y22" si="16">+W22+X22</f>
        <v>0</v>
      </c>
      <c r="Z22" s="71"/>
      <c r="AA22" s="72">
        <f t="shared" ref="AA22" si="17">+Y22+Z22</f>
        <v>0</v>
      </c>
      <c r="AB22" s="71"/>
      <c r="AC22" s="72">
        <f t="shared" ref="AC22" si="18">+AA22+AB22</f>
        <v>0</v>
      </c>
      <c r="AD22" s="71"/>
      <c r="AE22" s="72">
        <f t="shared" ref="AE22" si="19">+AC22+AD22</f>
        <v>0</v>
      </c>
      <c r="AF22" s="71"/>
      <c r="AG22" s="72">
        <f t="shared" ref="AG22" si="20">+AE22+AF22</f>
        <v>0</v>
      </c>
      <c r="AH22" s="71"/>
      <c r="AI22" s="31">
        <f>+AG22+AH22</f>
        <v>0</v>
      </c>
      <c r="AJ22" s="15">
        <f>+AI20/L20</f>
        <v>0</v>
      </c>
      <c r="AK22" s="82"/>
      <c r="AL22" s="103"/>
      <c r="AM22" s="94"/>
    </row>
    <row r="23" spans="1:39" s="10" customFormat="1" ht="22.9" hidden="1" customHeight="1" x14ac:dyDescent="0.25">
      <c r="A23" s="159"/>
      <c r="B23" s="162"/>
      <c r="C23" s="142"/>
      <c r="D23" s="145"/>
      <c r="E23" s="119"/>
      <c r="F23" s="134"/>
      <c r="G23" s="134"/>
      <c r="H23" s="134"/>
      <c r="I23" s="214"/>
      <c r="J23" s="189"/>
      <c r="K23" s="85"/>
      <c r="L23" s="42" t="s">
        <v>38</v>
      </c>
      <c r="M23" s="73" t="s">
        <v>38</v>
      </c>
      <c r="N23" s="73" t="s">
        <v>38</v>
      </c>
      <c r="O23" s="74" t="s">
        <v>38</v>
      </c>
      <c r="P23" s="73" t="s">
        <v>38</v>
      </c>
      <c r="Q23" s="75" t="s">
        <v>38</v>
      </c>
      <c r="R23" s="73" t="s">
        <v>38</v>
      </c>
      <c r="S23" s="75" t="s">
        <v>38</v>
      </c>
      <c r="T23" s="73" t="s">
        <v>38</v>
      </c>
      <c r="U23" s="75" t="s">
        <v>38</v>
      </c>
      <c r="V23" s="73" t="s">
        <v>38</v>
      </c>
      <c r="W23" s="75" t="s">
        <v>38</v>
      </c>
      <c r="X23" s="73" t="s">
        <v>38</v>
      </c>
      <c r="Y23" s="75" t="s">
        <v>38</v>
      </c>
      <c r="Z23" s="73" t="s">
        <v>38</v>
      </c>
      <c r="AA23" s="75" t="s">
        <v>38</v>
      </c>
      <c r="AB23" s="73" t="s">
        <v>38</v>
      </c>
      <c r="AC23" s="75" t="s">
        <v>38</v>
      </c>
      <c r="AD23" s="73" t="s">
        <v>38</v>
      </c>
      <c r="AE23" s="75" t="s">
        <v>38</v>
      </c>
      <c r="AF23" s="73" t="s">
        <v>38</v>
      </c>
      <c r="AG23" s="75" t="s">
        <v>38</v>
      </c>
      <c r="AH23" s="73" t="s">
        <v>38</v>
      </c>
      <c r="AI23" s="43" t="s">
        <v>38</v>
      </c>
      <c r="AJ23" s="19"/>
      <c r="AK23" s="82"/>
      <c r="AL23" s="103"/>
      <c r="AM23" s="94"/>
    </row>
    <row r="24" spans="1:39" s="10" customFormat="1" ht="22.9" hidden="1" customHeight="1" thickBot="1" x14ac:dyDescent="0.3">
      <c r="A24" s="160"/>
      <c r="B24" s="163"/>
      <c r="C24" s="143"/>
      <c r="D24" s="146"/>
      <c r="E24" s="120"/>
      <c r="F24" s="222"/>
      <c r="G24" s="222"/>
      <c r="H24" s="222"/>
      <c r="I24" s="215"/>
      <c r="J24" s="190"/>
      <c r="K24" s="86"/>
      <c r="L24" s="57">
        <v>68000</v>
      </c>
      <c r="M24" s="76"/>
      <c r="N24" s="76"/>
      <c r="O24" s="77">
        <f t="shared" ref="O24" si="21">+M24+N24</f>
        <v>0</v>
      </c>
      <c r="P24" s="76"/>
      <c r="Q24" s="77">
        <f t="shared" ref="Q24" si="22">+O24+P24</f>
        <v>0</v>
      </c>
      <c r="R24" s="76"/>
      <c r="S24" s="77">
        <f t="shared" ref="S24" si="23">+Q24+R24</f>
        <v>0</v>
      </c>
      <c r="T24" s="76"/>
      <c r="U24" s="77">
        <f t="shared" ref="U24" si="24">+S24+T24</f>
        <v>0</v>
      </c>
      <c r="V24" s="76"/>
      <c r="W24" s="77">
        <f t="shared" ref="W24" si="25">+U24+V24</f>
        <v>0</v>
      </c>
      <c r="X24" s="76"/>
      <c r="Y24" s="77">
        <f t="shared" ref="Y24" si="26">+W24+X24</f>
        <v>0</v>
      </c>
      <c r="Z24" s="76"/>
      <c r="AA24" s="77">
        <f t="shared" ref="AA24" si="27">+Y24+Z24</f>
        <v>0</v>
      </c>
      <c r="AB24" s="76"/>
      <c r="AC24" s="77">
        <f t="shared" ref="AC24" si="28">+AA24+AB24</f>
        <v>0</v>
      </c>
      <c r="AD24" s="76"/>
      <c r="AE24" s="77">
        <f t="shared" ref="AE24" si="29">+AC24+AD24</f>
        <v>0</v>
      </c>
      <c r="AF24" s="76"/>
      <c r="AG24" s="77">
        <f t="shared" ref="AG24" si="30">+AE24+AF24</f>
        <v>0</v>
      </c>
      <c r="AH24" s="76"/>
      <c r="AI24" s="45">
        <f>+AG24+AH24</f>
        <v>0</v>
      </c>
      <c r="AJ24" s="20"/>
      <c r="AK24" s="83"/>
      <c r="AL24" s="104"/>
      <c r="AM24" s="95"/>
    </row>
    <row r="25" spans="1:39" s="10" customFormat="1" ht="22.9" customHeight="1" thickTop="1" x14ac:dyDescent="0.25">
      <c r="A25" s="164" t="s">
        <v>97</v>
      </c>
      <c r="B25" s="124" t="s">
        <v>45</v>
      </c>
      <c r="C25" s="147" t="s">
        <v>88</v>
      </c>
      <c r="D25" s="150" t="s">
        <v>89</v>
      </c>
      <c r="E25" s="121" t="s">
        <v>53</v>
      </c>
      <c r="F25" s="223" t="s">
        <v>64</v>
      </c>
      <c r="G25" s="223" t="s">
        <v>65</v>
      </c>
      <c r="H25" s="223" t="s">
        <v>64</v>
      </c>
      <c r="I25" s="210">
        <f>+L26</f>
        <v>1.3333333333333333</v>
      </c>
      <c r="J25" s="219">
        <v>0.2</v>
      </c>
      <c r="K25" s="108" t="s">
        <v>90</v>
      </c>
      <c r="L25" s="11" t="s">
        <v>36</v>
      </c>
      <c r="M25" s="34" t="s">
        <v>36</v>
      </c>
      <c r="N25" s="34" t="s">
        <v>36</v>
      </c>
      <c r="O25" s="35" t="s">
        <v>36</v>
      </c>
      <c r="P25" s="34" t="s">
        <v>36</v>
      </c>
      <c r="Q25" s="26" t="s">
        <v>36</v>
      </c>
      <c r="R25" s="34" t="s">
        <v>36</v>
      </c>
      <c r="S25" s="26" t="s">
        <v>36</v>
      </c>
      <c r="T25" s="34" t="s">
        <v>36</v>
      </c>
      <c r="U25" s="26" t="s">
        <v>36</v>
      </c>
      <c r="V25" s="34" t="s">
        <v>36</v>
      </c>
      <c r="W25" s="26" t="s">
        <v>36</v>
      </c>
      <c r="X25" s="34" t="s">
        <v>36</v>
      </c>
      <c r="Y25" s="26" t="s">
        <v>36</v>
      </c>
      <c r="Z25" s="34" t="s">
        <v>36</v>
      </c>
      <c r="AA25" s="26" t="s">
        <v>36</v>
      </c>
      <c r="AB25" s="34" t="s">
        <v>36</v>
      </c>
      <c r="AC25" s="26" t="s">
        <v>36</v>
      </c>
      <c r="AD25" s="34" t="s">
        <v>36</v>
      </c>
      <c r="AE25" s="26" t="s">
        <v>36</v>
      </c>
      <c r="AF25" s="34" t="s">
        <v>36</v>
      </c>
      <c r="AG25" s="26" t="s">
        <v>36</v>
      </c>
      <c r="AH25" s="34" t="s">
        <v>36</v>
      </c>
      <c r="AI25" s="26" t="s">
        <v>36</v>
      </c>
      <c r="AJ25" s="21"/>
      <c r="AK25" s="81" t="s">
        <v>92</v>
      </c>
      <c r="AL25" s="102"/>
      <c r="AM25" s="105" t="s">
        <v>54</v>
      </c>
    </row>
    <row r="26" spans="1:39" s="10" customFormat="1" ht="22.9" customHeight="1" x14ac:dyDescent="0.25">
      <c r="A26" s="165"/>
      <c r="B26" s="125"/>
      <c r="C26" s="148"/>
      <c r="D26" s="151"/>
      <c r="E26" s="122"/>
      <c r="F26" s="224"/>
      <c r="G26" s="224"/>
      <c r="H26" s="224"/>
      <c r="I26" s="211"/>
      <c r="J26" s="220"/>
      <c r="K26" s="109"/>
      <c r="L26" s="17">
        <f>IF(L28&lt;&gt;0,+L28/L30,0%)</f>
        <v>1.3333333333333333</v>
      </c>
      <c r="M26" s="27">
        <f>IF(M28&lt;&gt;0,+M28/M30,0%)</f>
        <v>0</v>
      </c>
      <c r="N26" s="36">
        <f>IF(N28&lt;&gt;0,+N28/N30,0%)</f>
        <v>0</v>
      </c>
      <c r="O26" s="28">
        <f t="shared" ref="O26" si="31">IF(O28&lt;&gt;0,+O28/O30,0%)</f>
        <v>0</v>
      </c>
      <c r="P26" s="36">
        <f>IF(P28&lt;&gt;0,ROUND(+P28/P30,4),0%)</f>
        <v>0</v>
      </c>
      <c r="Q26" s="29">
        <f t="shared" ref="Q26" si="32">IF(Q28&lt;&gt;0,+Q28/Q30,0%)</f>
        <v>0</v>
      </c>
      <c r="R26" s="37">
        <f>IF(R28&lt;&gt;0,ROUND(+R28/R30,4),0%)</f>
        <v>0</v>
      </c>
      <c r="S26" s="29">
        <f t="shared" ref="S26" si="33">IF(S28&lt;&gt;0,+S28/S30,0%)</f>
        <v>0</v>
      </c>
      <c r="T26" s="37">
        <f>IF(T28&lt;&gt;0,ROUND(+T28/T30,4),0%)</f>
        <v>0.33329999999999999</v>
      </c>
      <c r="U26" s="29">
        <f t="shared" ref="U26" si="34">IF(U28&lt;&gt;0,+U28/U30,0%)</f>
        <v>0.33333333333333331</v>
      </c>
      <c r="V26" s="37">
        <f>IF(V28&lt;&gt;0,ROUND(+V28/V30,4),0%)</f>
        <v>0.33329999999999999</v>
      </c>
      <c r="W26" s="29">
        <f t="shared" ref="W26" si="35">IF(W28&lt;&gt;0,+W28/W30,0%)</f>
        <v>0.66666666666666663</v>
      </c>
      <c r="X26" s="37">
        <f>IF(X28&lt;&gt;0,ROUND(+X28/X30,4),0%)</f>
        <v>0</v>
      </c>
      <c r="Y26" s="29">
        <f t="shared" ref="Y26" si="36">IF(Y28&lt;&gt;0,+Y28/Y30,0%)</f>
        <v>0.66666666666666663</v>
      </c>
      <c r="Z26" s="38">
        <f>IF(Z28&lt;&gt;0,ROUND(+Z28/Z30,4),0%)</f>
        <v>0</v>
      </c>
      <c r="AA26" s="29">
        <f t="shared" ref="AA26" si="37">IF(AA28&lt;&gt;0,+AA28/AA30,0%)</f>
        <v>0.66666666666666663</v>
      </c>
      <c r="AB26" s="37">
        <f>IF(AB28&lt;&gt;0,ROUND(+AB28/AB30,4),0%)</f>
        <v>0</v>
      </c>
      <c r="AC26" s="29">
        <f t="shared" ref="AC26" si="38">IF(AC28&lt;&gt;0,+AC28/AC30,0%)</f>
        <v>0.66666666666666663</v>
      </c>
      <c r="AD26" s="37">
        <f>IF(AD28&lt;&gt;0,ROUND(+AD28/AD30,4),0%)</f>
        <v>0.33329999999999999</v>
      </c>
      <c r="AE26" s="29">
        <f t="shared" ref="AE26" si="39">IF(AE28&lt;&gt;0,+AE28/AE30,0%)</f>
        <v>1</v>
      </c>
      <c r="AF26" s="37">
        <f>IF(AF28&lt;&gt;0,ROUND(+AF28/AF30,4),0%)</f>
        <v>0</v>
      </c>
      <c r="AG26" s="29">
        <f t="shared" ref="AG26" si="40">IF(AG28&lt;&gt;0,+AG28/AG30,0%)</f>
        <v>1</v>
      </c>
      <c r="AH26" s="37">
        <f>IF(AH28&lt;&gt;0,ROUND(+AH28/AH30,4),0%)</f>
        <v>0</v>
      </c>
      <c r="AI26" s="29">
        <f>IF(AI28&lt;&gt;0,+AI28/AI30,0%)</f>
        <v>1</v>
      </c>
      <c r="AJ26" s="22"/>
      <c r="AK26" s="82"/>
      <c r="AL26" s="103"/>
      <c r="AM26" s="106"/>
    </row>
    <row r="27" spans="1:39" s="10" customFormat="1" ht="22.9" customHeight="1" thickBot="1" x14ac:dyDescent="0.3">
      <c r="A27" s="165"/>
      <c r="B27" s="125"/>
      <c r="C27" s="148"/>
      <c r="D27" s="151"/>
      <c r="E27" s="122"/>
      <c r="F27" s="224"/>
      <c r="G27" s="224"/>
      <c r="H27" s="224"/>
      <c r="I27" s="211"/>
      <c r="J27" s="220"/>
      <c r="K27" s="110"/>
      <c r="L27" s="14" t="s">
        <v>37</v>
      </c>
      <c r="M27" s="39" t="s">
        <v>37</v>
      </c>
      <c r="N27" s="39" t="s">
        <v>37</v>
      </c>
      <c r="O27" s="40" t="s">
        <v>37</v>
      </c>
      <c r="P27" s="39" t="s">
        <v>37</v>
      </c>
      <c r="Q27" s="30" t="s">
        <v>37</v>
      </c>
      <c r="R27" s="39" t="s">
        <v>37</v>
      </c>
      <c r="S27" s="30" t="s">
        <v>37</v>
      </c>
      <c r="T27" s="39" t="s">
        <v>37</v>
      </c>
      <c r="U27" s="30" t="s">
        <v>37</v>
      </c>
      <c r="V27" s="39" t="s">
        <v>37</v>
      </c>
      <c r="W27" s="30" t="s">
        <v>37</v>
      </c>
      <c r="X27" s="39" t="s">
        <v>37</v>
      </c>
      <c r="Y27" s="30" t="s">
        <v>37</v>
      </c>
      <c r="Z27" s="39" t="s">
        <v>37</v>
      </c>
      <c r="AA27" s="30" t="s">
        <v>37</v>
      </c>
      <c r="AB27" s="39" t="s">
        <v>37</v>
      </c>
      <c r="AC27" s="30" t="s">
        <v>37</v>
      </c>
      <c r="AD27" s="39" t="s">
        <v>37</v>
      </c>
      <c r="AE27" s="30" t="s">
        <v>37</v>
      </c>
      <c r="AF27" s="39" t="s">
        <v>37</v>
      </c>
      <c r="AG27" s="30" t="s">
        <v>37</v>
      </c>
      <c r="AH27" s="39" t="s">
        <v>37</v>
      </c>
      <c r="AI27" s="30" t="s">
        <v>37</v>
      </c>
      <c r="AJ27" s="22"/>
      <c r="AK27" s="82"/>
      <c r="AL27" s="103"/>
      <c r="AM27" s="106"/>
    </row>
    <row r="28" spans="1:39" s="10" customFormat="1" ht="22.9" customHeight="1" thickTop="1" x14ac:dyDescent="0.25">
      <c r="A28" s="165"/>
      <c r="B28" s="125"/>
      <c r="C28" s="148"/>
      <c r="D28" s="151"/>
      <c r="E28" s="122"/>
      <c r="F28" s="224"/>
      <c r="G28" s="224"/>
      <c r="H28" s="224"/>
      <c r="I28" s="211"/>
      <c r="J28" s="220"/>
      <c r="K28" s="108" t="s">
        <v>91</v>
      </c>
      <c r="L28" s="57">
        <v>4</v>
      </c>
      <c r="M28" s="41">
        <v>0</v>
      </c>
      <c r="N28" s="41">
        <v>0</v>
      </c>
      <c r="O28" s="31">
        <f>+M28+N28</f>
        <v>0</v>
      </c>
      <c r="P28" s="41">
        <v>0</v>
      </c>
      <c r="Q28" s="31">
        <f>+O28+P28</f>
        <v>0</v>
      </c>
      <c r="R28" s="41">
        <v>0</v>
      </c>
      <c r="S28" s="31">
        <f>+Q28+R28</f>
        <v>0</v>
      </c>
      <c r="T28" s="41">
        <v>1</v>
      </c>
      <c r="U28" s="31">
        <f>+S28+T28</f>
        <v>1</v>
      </c>
      <c r="V28" s="41">
        <v>1</v>
      </c>
      <c r="W28" s="31">
        <f>+U28+V28</f>
        <v>2</v>
      </c>
      <c r="X28" s="41">
        <v>0</v>
      </c>
      <c r="Y28" s="31">
        <f>+W28+X28</f>
        <v>2</v>
      </c>
      <c r="Z28" s="41">
        <v>0</v>
      </c>
      <c r="AA28" s="31">
        <f>+Y28+Z28</f>
        <v>2</v>
      </c>
      <c r="AB28" s="41">
        <v>0</v>
      </c>
      <c r="AC28" s="31">
        <f>+AA28+AB28</f>
        <v>2</v>
      </c>
      <c r="AD28" s="41">
        <v>1</v>
      </c>
      <c r="AE28" s="31">
        <f>+AC28+AD28</f>
        <v>3</v>
      </c>
      <c r="AF28" s="41">
        <v>0</v>
      </c>
      <c r="AG28" s="31">
        <f>+AE28+AF28</f>
        <v>3</v>
      </c>
      <c r="AH28" s="41">
        <v>0</v>
      </c>
      <c r="AI28" s="31">
        <f>+AG28+AH28</f>
        <v>3</v>
      </c>
      <c r="AJ28" s="33">
        <f>+AI26/L26</f>
        <v>0.75</v>
      </c>
      <c r="AK28" s="82"/>
      <c r="AL28" s="103"/>
      <c r="AM28" s="106"/>
    </row>
    <row r="29" spans="1:39" s="10" customFormat="1" ht="22.9" customHeight="1" x14ac:dyDescent="0.25">
      <c r="A29" s="165"/>
      <c r="B29" s="125"/>
      <c r="C29" s="148"/>
      <c r="D29" s="151"/>
      <c r="E29" s="122"/>
      <c r="F29" s="224"/>
      <c r="G29" s="224"/>
      <c r="H29" s="224"/>
      <c r="I29" s="211"/>
      <c r="J29" s="220"/>
      <c r="K29" s="109"/>
      <c r="L29" s="42" t="s">
        <v>38</v>
      </c>
      <c r="M29" s="42" t="s">
        <v>38</v>
      </c>
      <c r="N29" s="42" t="s">
        <v>38</v>
      </c>
      <c r="O29" s="43" t="s">
        <v>38</v>
      </c>
      <c r="P29" s="42" t="s">
        <v>38</v>
      </c>
      <c r="Q29" s="32" t="s">
        <v>38</v>
      </c>
      <c r="R29" s="42" t="s">
        <v>38</v>
      </c>
      <c r="S29" s="32" t="s">
        <v>38</v>
      </c>
      <c r="T29" s="42" t="s">
        <v>38</v>
      </c>
      <c r="U29" s="32" t="s">
        <v>38</v>
      </c>
      <c r="V29" s="42" t="s">
        <v>38</v>
      </c>
      <c r="W29" s="32" t="s">
        <v>38</v>
      </c>
      <c r="X29" s="42" t="s">
        <v>38</v>
      </c>
      <c r="Y29" s="32" t="s">
        <v>38</v>
      </c>
      <c r="Z29" s="42" t="s">
        <v>38</v>
      </c>
      <c r="AA29" s="32" t="s">
        <v>38</v>
      </c>
      <c r="AB29" s="42" t="s">
        <v>38</v>
      </c>
      <c r="AC29" s="32" t="s">
        <v>38</v>
      </c>
      <c r="AD29" s="42" t="s">
        <v>38</v>
      </c>
      <c r="AE29" s="32" t="s">
        <v>38</v>
      </c>
      <c r="AF29" s="42" t="s">
        <v>38</v>
      </c>
      <c r="AG29" s="32" t="s">
        <v>38</v>
      </c>
      <c r="AH29" s="42" t="s">
        <v>38</v>
      </c>
      <c r="AI29" s="32" t="s">
        <v>38</v>
      </c>
      <c r="AJ29" s="111"/>
      <c r="AK29" s="82"/>
      <c r="AL29" s="103"/>
      <c r="AM29" s="106"/>
    </row>
    <row r="30" spans="1:39" s="10" customFormat="1" ht="22.9" customHeight="1" thickBot="1" x14ac:dyDescent="0.3">
      <c r="A30" s="166"/>
      <c r="B30" s="126"/>
      <c r="C30" s="149"/>
      <c r="D30" s="152"/>
      <c r="E30" s="123"/>
      <c r="F30" s="225"/>
      <c r="G30" s="225"/>
      <c r="H30" s="225"/>
      <c r="I30" s="212"/>
      <c r="J30" s="221"/>
      <c r="K30" s="110"/>
      <c r="L30" s="57">
        <v>3</v>
      </c>
      <c r="M30" s="44">
        <v>3</v>
      </c>
      <c r="N30" s="44">
        <v>3</v>
      </c>
      <c r="O30" s="45">
        <v>3</v>
      </c>
      <c r="P30" s="44">
        <v>3</v>
      </c>
      <c r="Q30" s="45">
        <v>3</v>
      </c>
      <c r="R30" s="44">
        <v>3</v>
      </c>
      <c r="S30" s="45">
        <v>3</v>
      </c>
      <c r="T30" s="44">
        <v>3</v>
      </c>
      <c r="U30" s="45">
        <v>3</v>
      </c>
      <c r="V30" s="44">
        <v>3</v>
      </c>
      <c r="W30" s="45">
        <v>3</v>
      </c>
      <c r="X30" s="44">
        <v>3</v>
      </c>
      <c r="Y30" s="45">
        <v>3</v>
      </c>
      <c r="Z30" s="44">
        <v>3</v>
      </c>
      <c r="AA30" s="45">
        <v>3</v>
      </c>
      <c r="AB30" s="44">
        <v>3</v>
      </c>
      <c r="AC30" s="45">
        <v>3</v>
      </c>
      <c r="AD30" s="44">
        <v>3</v>
      </c>
      <c r="AE30" s="45">
        <v>3</v>
      </c>
      <c r="AF30" s="44">
        <v>3</v>
      </c>
      <c r="AG30" s="45">
        <v>3</v>
      </c>
      <c r="AH30" s="44">
        <v>3</v>
      </c>
      <c r="AI30" s="45">
        <v>3</v>
      </c>
      <c r="AJ30" s="112"/>
      <c r="AK30" s="83"/>
      <c r="AL30" s="104"/>
      <c r="AM30" s="107"/>
    </row>
    <row r="31" spans="1:39" s="10" customFormat="1" ht="22.9" customHeight="1" thickTop="1" x14ac:dyDescent="0.25">
      <c r="A31" s="135" t="s">
        <v>52</v>
      </c>
      <c r="B31" s="138" t="s">
        <v>45</v>
      </c>
      <c r="C31" s="153" t="s">
        <v>58</v>
      </c>
      <c r="D31" s="150" t="s">
        <v>61</v>
      </c>
      <c r="E31" s="121" t="s">
        <v>53</v>
      </c>
      <c r="F31" s="223" t="s">
        <v>64</v>
      </c>
      <c r="G31" s="223" t="s">
        <v>65</v>
      </c>
      <c r="H31" s="223" t="s">
        <v>64</v>
      </c>
      <c r="I31" s="210">
        <f>+L32</f>
        <v>1</v>
      </c>
      <c r="J31" s="219">
        <v>0.2</v>
      </c>
      <c r="K31" s="108" t="s">
        <v>62</v>
      </c>
      <c r="L31" s="24" t="s">
        <v>36</v>
      </c>
      <c r="M31" s="34" t="s">
        <v>36</v>
      </c>
      <c r="N31" s="34" t="s">
        <v>36</v>
      </c>
      <c r="O31" s="35" t="s">
        <v>36</v>
      </c>
      <c r="P31" s="34" t="s">
        <v>36</v>
      </c>
      <c r="Q31" s="26" t="s">
        <v>36</v>
      </c>
      <c r="R31" s="34" t="s">
        <v>36</v>
      </c>
      <c r="S31" s="26" t="s">
        <v>36</v>
      </c>
      <c r="T31" s="34" t="s">
        <v>36</v>
      </c>
      <c r="U31" s="26" t="s">
        <v>36</v>
      </c>
      <c r="V31" s="34" t="s">
        <v>36</v>
      </c>
      <c r="W31" s="26" t="s">
        <v>36</v>
      </c>
      <c r="X31" s="34" t="s">
        <v>36</v>
      </c>
      <c r="Y31" s="26" t="s">
        <v>36</v>
      </c>
      <c r="Z31" s="34" t="s">
        <v>36</v>
      </c>
      <c r="AA31" s="26" t="s">
        <v>36</v>
      </c>
      <c r="AB31" s="34" t="s">
        <v>36</v>
      </c>
      <c r="AC31" s="26" t="s">
        <v>36</v>
      </c>
      <c r="AD31" s="34" t="s">
        <v>36</v>
      </c>
      <c r="AE31" s="26" t="s">
        <v>36</v>
      </c>
      <c r="AF31" s="34" t="s">
        <v>36</v>
      </c>
      <c r="AG31" s="26" t="s">
        <v>36</v>
      </c>
      <c r="AH31" s="34" t="s">
        <v>36</v>
      </c>
      <c r="AI31" s="26" t="s">
        <v>36</v>
      </c>
      <c r="AJ31" s="18"/>
      <c r="AK31" s="81" t="s">
        <v>81</v>
      </c>
      <c r="AL31" s="102"/>
      <c r="AM31" s="105" t="s">
        <v>54</v>
      </c>
    </row>
    <row r="32" spans="1:39" s="10" customFormat="1" ht="22.9" customHeight="1" x14ac:dyDescent="0.25">
      <c r="A32" s="136"/>
      <c r="B32" s="139"/>
      <c r="C32" s="154"/>
      <c r="D32" s="156"/>
      <c r="E32" s="122"/>
      <c r="F32" s="224"/>
      <c r="G32" s="224"/>
      <c r="H32" s="224"/>
      <c r="I32" s="211"/>
      <c r="J32" s="220"/>
      <c r="K32" s="109"/>
      <c r="L32" s="23">
        <f>IF(L34&lt;&gt;0,+L34/L36,0%)</f>
        <v>1</v>
      </c>
      <c r="M32" s="27">
        <f>IF(M34&lt;&gt;0,+M34/M36,0%)</f>
        <v>0</v>
      </c>
      <c r="N32" s="36">
        <f>IF(N34&lt;&gt;0,+N34/N36,0%)</f>
        <v>0.1111111111111111</v>
      </c>
      <c r="O32" s="28">
        <f t="shared" ref="O32" si="41">IF(O34&lt;&gt;0,+O34/O36,0%)</f>
        <v>0.1111111111111111</v>
      </c>
      <c r="P32" s="36">
        <f>IF(P34&lt;&gt;0,ROUND(+P34/P36,4),0%)</f>
        <v>0.1111</v>
      </c>
      <c r="Q32" s="29">
        <f t="shared" ref="Q32" si="42">IF(Q34&lt;&gt;0,+Q34/Q36,0%)</f>
        <v>0.22222222222222221</v>
      </c>
      <c r="R32" s="37">
        <f>IF(R34&lt;&gt;0,ROUND(+R34/R36,4),0%)</f>
        <v>0.1111</v>
      </c>
      <c r="S32" s="29">
        <f t="shared" ref="S32" si="43">IF(S34&lt;&gt;0,+S34/S36,0%)</f>
        <v>0.33333333333333331</v>
      </c>
      <c r="T32" s="37">
        <f>IF(T34&lt;&gt;0,ROUND(+T34/T36,4),0%)</f>
        <v>0.1111</v>
      </c>
      <c r="U32" s="29">
        <f t="shared" ref="U32" si="44">IF(U34&lt;&gt;0,+U34/U36,0%)</f>
        <v>0.44444444444444442</v>
      </c>
      <c r="V32" s="37">
        <f>IF(V34&lt;&gt;0,ROUND(+V34/V36,4),0%)</f>
        <v>0.1111</v>
      </c>
      <c r="W32" s="29">
        <f t="shared" ref="W32" si="45">IF(W34&lt;&gt;0,+W34/W36,0%)</f>
        <v>0.55555555555555558</v>
      </c>
      <c r="X32" s="37">
        <f>IF(X34&lt;&gt;0,ROUND(+X34/X36,4),0%)</f>
        <v>0.1111</v>
      </c>
      <c r="Y32" s="29">
        <f t="shared" ref="Y32" si="46">IF(Y34&lt;&gt;0,+Y34/Y36,0%)</f>
        <v>0.66666666666666663</v>
      </c>
      <c r="Z32" s="38">
        <f>IF(Z34&lt;&gt;0,ROUND(+Z34/Z36,4),0%)</f>
        <v>0.1111</v>
      </c>
      <c r="AA32" s="29">
        <f t="shared" ref="AA32" si="47">IF(AA34&lt;&gt;0,+AA34/AA36,0%)</f>
        <v>0.77777777777777779</v>
      </c>
      <c r="AB32" s="37">
        <f>IF(AB34&lt;&gt;0,ROUND(+AB34/AB36,4),0%)</f>
        <v>0.1111</v>
      </c>
      <c r="AC32" s="29">
        <f t="shared" ref="AC32" si="48">IF(AC34&lt;&gt;0,+AC34/AC36,0%)</f>
        <v>0.88888888888888884</v>
      </c>
      <c r="AD32" s="37">
        <f>IF(AD34&lt;&gt;0,ROUND(+AD34/AD36,4),0%)</f>
        <v>0.1111</v>
      </c>
      <c r="AE32" s="29">
        <f t="shared" ref="AE32" si="49">IF(AE34&lt;&gt;0,+AE34/AE36,0%)</f>
        <v>1</v>
      </c>
      <c r="AF32" s="37">
        <f>IF(AF34&lt;&gt;0,ROUND(+AF34/AF36,4),0%)</f>
        <v>0</v>
      </c>
      <c r="AG32" s="29">
        <f t="shared" ref="AG32" si="50">IF(AG34&lt;&gt;0,+AG34/AG36,0%)</f>
        <v>1</v>
      </c>
      <c r="AH32" s="37">
        <f>IF(AH34&lt;&gt;0,ROUND(+AH34/AH36,4),0%)</f>
        <v>0</v>
      </c>
      <c r="AI32" s="29">
        <f>IF(AI34&lt;&gt;0,+AI34/AI36,0%)</f>
        <v>1</v>
      </c>
      <c r="AJ32" s="19"/>
      <c r="AK32" s="82"/>
      <c r="AL32" s="103"/>
      <c r="AM32" s="106"/>
    </row>
    <row r="33" spans="1:39" s="10" customFormat="1" ht="22.9" customHeight="1" thickBot="1" x14ac:dyDescent="0.3">
      <c r="A33" s="136"/>
      <c r="B33" s="139"/>
      <c r="C33" s="154"/>
      <c r="D33" s="156"/>
      <c r="E33" s="122"/>
      <c r="F33" s="224"/>
      <c r="G33" s="224"/>
      <c r="H33" s="224"/>
      <c r="I33" s="211"/>
      <c r="J33" s="220"/>
      <c r="K33" s="110"/>
      <c r="L33" s="25" t="s">
        <v>37</v>
      </c>
      <c r="M33" s="39" t="s">
        <v>37</v>
      </c>
      <c r="N33" s="39" t="s">
        <v>37</v>
      </c>
      <c r="O33" s="40" t="s">
        <v>37</v>
      </c>
      <c r="P33" s="39" t="s">
        <v>37</v>
      </c>
      <c r="Q33" s="30" t="s">
        <v>37</v>
      </c>
      <c r="R33" s="39" t="s">
        <v>37</v>
      </c>
      <c r="S33" s="30" t="s">
        <v>37</v>
      </c>
      <c r="T33" s="39" t="s">
        <v>37</v>
      </c>
      <c r="U33" s="30" t="s">
        <v>37</v>
      </c>
      <c r="V33" s="39" t="s">
        <v>37</v>
      </c>
      <c r="W33" s="30" t="s">
        <v>37</v>
      </c>
      <c r="X33" s="39" t="s">
        <v>37</v>
      </c>
      <c r="Y33" s="30" t="s">
        <v>37</v>
      </c>
      <c r="Z33" s="39" t="s">
        <v>37</v>
      </c>
      <c r="AA33" s="30" t="s">
        <v>37</v>
      </c>
      <c r="AB33" s="39" t="s">
        <v>37</v>
      </c>
      <c r="AC33" s="30" t="s">
        <v>37</v>
      </c>
      <c r="AD33" s="39" t="s">
        <v>37</v>
      </c>
      <c r="AE33" s="30" t="s">
        <v>37</v>
      </c>
      <c r="AF33" s="39" t="s">
        <v>37</v>
      </c>
      <c r="AG33" s="30" t="s">
        <v>37</v>
      </c>
      <c r="AH33" s="39" t="s">
        <v>37</v>
      </c>
      <c r="AI33" s="30" t="s">
        <v>37</v>
      </c>
      <c r="AJ33" s="19"/>
      <c r="AK33" s="82"/>
      <c r="AL33" s="103"/>
      <c r="AM33" s="106"/>
    </row>
    <row r="34" spans="1:39" s="10" customFormat="1" ht="22.9" customHeight="1" thickTop="1" x14ac:dyDescent="0.25">
      <c r="A34" s="136"/>
      <c r="B34" s="139"/>
      <c r="C34" s="154"/>
      <c r="D34" s="156"/>
      <c r="E34" s="122"/>
      <c r="F34" s="224"/>
      <c r="G34" s="224"/>
      <c r="H34" s="224"/>
      <c r="I34" s="211"/>
      <c r="J34" s="220"/>
      <c r="K34" s="108" t="s">
        <v>42</v>
      </c>
      <c r="L34" s="57">
        <v>9</v>
      </c>
      <c r="M34" s="41">
        <v>0</v>
      </c>
      <c r="N34" s="41">
        <v>1</v>
      </c>
      <c r="O34" s="31">
        <f>+M34+N34</f>
        <v>1</v>
      </c>
      <c r="P34" s="41">
        <v>1</v>
      </c>
      <c r="Q34" s="31">
        <f>+O34+P34</f>
        <v>2</v>
      </c>
      <c r="R34" s="41">
        <v>1</v>
      </c>
      <c r="S34" s="31">
        <f>+Q34+R34</f>
        <v>3</v>
      </c>
      <c r="T34" s="41">
        <v>1</v>
      </c>
      <c r="U34" s="31">
        <f>+S34+T34</f>
        <v>4</v>
      </c>
      <c r="V34" s="41">
        <v>1</v>
      </c>
      <c r="W34" s="31">
        <f>+U34+V34</f>
        <v>5</v>
      </c>
      <c r="X34" s="41">
        <v>1</v>
      </c>
      <c r="Y34" s="31">
        <f>+W34+X34</f>
        <v>6</v>
      </c>
      <c r="Z34" s="41">
        <v>1</v>
      </c>
      <c r="AA34" s="31">
        <f>+Y34+Z34</f>
        <v>7</v>
      </c>
      <c r="AB34" s="41">
        <v>1</v>
      </c>
      <c r="AC34" s="31">
        <f>+AA34+AB34</f>
        <v>8</v>
      </c>
      <c r="AD34" s="41">
        <v>1</v>
      </c>
      <c r="AE34" s="31">
        <f>+AC34+AD34</f>
        <v>9</v>
      </c>
      <c r="AF34" s="41">
        <v>0</v>
      </c>
      <c r="AG34" s="31">
        <f>+AE34+AF34</f>
        <v>9</v>
      </c>
      <c r="AH34" s="41">
        <v>0</v>
      </c>
      <c r="AI34" s="31">
        <f>+AG34+AH34</f>
        <v>9</v>
      </c>
      <c r="AJ34" s="15">
        <f>+AI32/L32</f>
        <v>1</v>
      </c>
      <c r="AK34" s="82"/>
      <c r="AL34" s="103"/>
      <c r="AM34" s="106"/>
    </row>
    <row r="35" spans="1:39" s="10" customFormat="1" ht="22.9" customHeight="1" x14ac:dyDescent="0.25">
      <c r="A35" s="136"/>
      <c r="B35" s="139"/>
      <c r="C35" s="154"/>
      <c r="D35" s="156"/>
      <c r="E35" s="122"/>
      <c r="F35" s="224"/>
      <c r="G35" s="224"/>
      <c r="H35" s="224"/>
      <c r="I35" s="211"/>
      <c r="J35" s="220"/>
      <c r="K35" s="109"/>
      <c r="L35" s="42" t="s">
        <v>38</v>
      </c>
      <c r="M35" s="42" t="s">
        <v>38</v>
      </c>
      <c r="N35" s="42" t="s">
        <v>38</v>
      </c>
      <c r="O35" s="43" t="s">
        <v>38</v>
      </c>
      <c r="P35" s="42" t="s">
        <v>38</v>
      </c>
      <c r="Q35" s="32" t="s">
        <v>38</v>
      </c>
      <c r="R35" s="42" t="s">
        <v>38</v>
      </c>
      <c r="S35" s="32" t="s">
        <v>38</v>
      </c>
      <c r="T35" s="42" t="s">
        <v>38</v>
      </c>
      <c r="U35" s="32" t="s">
        <v>38</v>
      </c>
      <c r="V35" s="42" t="s">
        <v>38</v>
      </c>
      <c r="W35" s="32" t="s">
        <v>38</v>
      </c>
      <c r="X35" s="42" t="s">
        <v>38</v>
      </c>
      <c r="Y35" s="32" t="s">
        <v>38</v>
      </c>
      <c r="Z35" s="42" t="s">
        <v>38</v>
      </c>
      <c r="AA35" s="32" t="s">
        <v>38</v>
      </c>
      <c r="AB35" s="42" t="s">
        <v>38</v>
      </c>
      <c r="AC35" s="32" t="s">
        <v>38</v>
      </c>
      <c r="AD35" s="42" t="s">
        <v>38</v>
      </c>
      <c r="AE35" s="32" t="s">
        <v>38</v>
      </c>
      <c r="AF35" s="42" t="s">
        <v>38</v>
      </c>
      <c r="AG35" s="32" t="s">
        <v>38</v>
      </c>
      <c r="AH35" s="42" t="s">
        <v>38</v>
      </c>
      <c r="AI35" s="32" t="s">
        <v>38</v>
      </c>
      <c r="AJ35" s="19"/>
      <c r="AK35" s="82"/>
      <c r="AL35" s="103"/>
      <c r="AM35" s="106"/>
    </row>
    <row r="36" spans="1:39" s="10" customFormat="1" ht="22.9" customHeight="1" thickBot="1" x14ac:dyDescent="0.3">
      <c r="A36" s="137"/>
      <c r="B36" s="140"/>
      <c r="C36" s="155"/>
      <c r="D36" s="157"/>
      <c r="E36" s="123"/>
      <c r="F36" s="225"/>
      <c r="G36" s="225"/>
      <c r="H36" s="225"/>
      <c r="I36" s="212"/>
      <c r="J36" s="221"/>
      <c r="K36" s="110"/>
      <c r="L36" s="57">
        <v>9</v>
      </c>
      <c r="M36" s="44">
        <v>9</v>
      </c>
      <c r="N36" s="44">
        <v>9</v>
      </c>
      <c r="O36" s="45">
        <v>9</v>
      </c>
      <c r="P36" s="44">
        <v>9</v>
      </c>
      <c r="Q36" s="45">
        <v>9</v>
      </c>
      <c r="R36" s="44">
        <v>9</v>
      </c>
      <c r="S36" s="45">
        <v>9</v>
      </c>
      <c r="T36" s="44">
        <v>9</v>
      </c>
      <c r="U36" s="45">
        <v>9</v>
      </c>
      <c r="V36" s="44">
        <v>9</v>
      </c>
      <c r="W36" s="45">
        <v>9</v>
      </c>
      <c r="X36" s="44">
        <v>9</v>
      </c>
      <c r="Y36" s="45">
        <v>9</v>
      </c>
      <c r="Z36" s="44">
        <v>9</v>
      </c>
      <c r="AA36" s="45">
        <v>9</v>
      </c>
      <c r="AB36" s="44">
        <v>9</v>
      </c>
      <c r="AC36" s="45">
        <v>9</v>
      </c>
      <c r="AD36" s="44">
        <v>9</v>
      </c>
      <c r="AE36" s="45">
        <v>9</v>
      </c>
      <c r="AF36" s="44">
        <v>9</v>
      </c>
      <c r="AG36" s="45">
        <v>9</v>
      </c>
      <c r="AH36" s="44">
        <v>9</v>
      </c>
      <c r="AI36" s="45">
        <v>9</v>
      </c>
      <c r="AJ36" s="20"/>
      <c r="AK36" s="83"/>
      <c r="AL36" s="104"/>
      <c r="AM36" s="107"/>
    </row>
    <row r="37" spans="1:39" s="59" customFormat="1" ht="22.9" hidden="1" customHeight="1" thickTop="1" x14ac:dyDescent="0.25">
      <c r="A37" s="226" t="s">
        <v>84</v>
      </c>
      <c r="B37" s="229" t="s">
        <v>66</v>
      </c>
      <c r="C37" s="232" t="s">
        <v>82</v>
      </c>
      <c r="D37" s="235" t="s">
        <v>67</v>
      </c>
      <c r="E37" s="192" t="s">
        <v>68</v>
      </c>
      <c r="F37" s="192" t="s">
        <v>96</v>
      </c>
      <c r="G37" s="192" t="s">
        <v>69</v>
      </c>
      <c r="H37" s="192" t="s">
        <v>70</v>
      </c>
      <c r="I37" s="213">
        <f>L38</f>
        <v>0.66666666666666663</v>
      </c>
      <c r="J37" s="216">
        <v>0.2</v>
      </c>
      <c r="K37" s="185" t="s">
        <v>71</v>
      </c>
      <c r="L37" s="34" t="s">
        <v>36</v>
      </c>
      <c r="M37" s="34" t="s">
        <v>36</v>
      </c>
      <c r="N37" s="34" t="s">
        <v>36</v>
      </c>
      <c r="O37" s="35" t="s">
        <v>36</v>
      </c>
      <c r="P37" s="34" t="s">
        <v>36</v>
      </c>
      <c r="Q37" s="35" t="s">
        <v>36</v>
      </c>
      <c r="R37" s="34" t="s">
        <v>36</v>
      </c>
      <c r="S37" s="35" t="s">
        <v>36</v>
      </c>
      <c r="T37" s="34" t="s">
        <v>36</v>
      </c>
      <c r="U37" s="35" t="s">
        <v>36</v>
      </c>
      <c r="V37" s="34" t="s">
        <v>36</v>
      </c>
      <c r="W37" s="35" t="s">
        <v>36</v>
      </c>
      <c r="X37" s="34" t="s">
        <v>36</v>
      </c>
      <c r="Y37" s="35" t="s">
        <v>36</v>
      </c>
      <c r="Z37" s="34" t="s">
        <v>36</v>
      </c>
      <c r="AA37" s="35" t="s">
        <v>36</v>
      </c>
      <c r="AB37" s="34" t="s">
        <v>36</v>
      </c>
      <c r="AC37" s="35" t="s">
        <v>36</v>
      </c>
      <c r="AD37" s="34" t="s">
        <v>36</v>
      </c>
      <c r="AE37" s="35" t="s">
        <v>36</v>
      </c>
      <c r="AF37" s="34" t="s">
        <v>36</v>
      </c>
      <c r="AG37" s="35" t="s">
        <v>36</v>
      </c>
      <c r="AH37" s="34" t="s">
        <v>36</v>
      </c>
      <c r="AI37" s="35" t="s">
        <v>36</v>
      </c>
      <c r="AJ37" s="58"/>
      <c r="AK37" s="240" t="s">
        <v>72</v>
      </c>
      <c r="AL37" s="243"/>
      <c r="AM37" s="105" t="s">
        <v>54</v>
      </c>
    </row>
    <row r="38" spans="1:39" s="59" customFormat="1" ht="22.9" hidden="1" customHeight="1" x14ac:dyDescent="0.25">
      <c r="A38" s="227"/>
      <c r="B38" s="230"/>
      <c r="C38" s="233"/>
      <c r="D38" s="236"/>
      <c r="E38" s="193"/>
      <c r="F38" s="193"/>
      <c r="G38" s="193"/>
      <c r="H38" s="193"/>
      <c r="I38" s="214"/>
      <c r="J38" s="217"/>
      <c r="K38" s="238"/>
      <c r="L38" s="60">
        <f t="shared" ref="L38:AI38" si="51">IF(L40&lt;&gt;0,+L40/L42,0%)</f>
        <v>0.66666666666666663</v>
      </c>
      <c r="M38" s="27">
        <f t="shared" si="51"/>
        <v>0</v>
      </c>
      <c r="N38" s="27">
        <f t="shared" si="51"/>
        <v>0</v>
      </c>
      <c r="O38" s="28">
        <f t="shared" si="51"/>
        <v>0</v>
      </c>
      <c r="P38" s="27">
        <f t="shared" si="51"/>
        <v>0</v>
      </c>
      <c r="Q38" s="28">
        <f t="shared" si="51"/>
        <v>0</v>
      </c>
      <c r="R38" s="27">
        <f t="shared" si="51"/>
        <v>0.33333333333333331</v>
      </c>
      <c r="S38" s="28">
        <f t="shared" si="51"/>
        <v>0.33333333333333331</v>
      </c>
      <c r="T38" s="27">
        <f t="shared" si="51"/>
        <v>0</v>
      </c>
      <c r="U38" s="28">
        <f t="shared" si="51"/>
        <v>0.33333333333333331</v>
      </c>
      <c r="V38" s="27">
        <f t="shared" si="51"/>
        <v>0.33333333333333331</v>
      </c>
      <c r="W38" s="28">
        <f t="shared" si="51"/>
        <v>0.66666666666666663</v>
      </c>
      <c r="X38" s="27">
        <f t="shared" si="51"/>
        <v>0</v>
      </c>
      <c r="Y38" s="28">
        <f t="shared" si="51"/>
        <v>0.66666666666666663</v>
      </c>
      <c r="Z38" s="27">
        <f t="shared" si="51"/>
        <v>0</v>
      </c>
      <c r="AA38" s="28">
        <f t="shared" si="51"/>
        <v>0.66666666666666663</v>
      </c>
      <c r="AB38" s="27">
        <f t="shared" si="51"/>
        <v>0</v>
      </c>
      <c r="AC38" s="28">
        <f t="shared" si="51"/>
        <v>0.66666666666666663</v>
      </c>
      <c r="AD38" s="27">
        <f t="shared" si="51"/>
        <v>0</v>
      </c>
      <c r="AE38" s="28">
        <f t="shared" si="51"/>
        <v>0.66666666666666663</v>
      </c>
      <c r="AF38" s="27">
        <f t="shared" si="51"/>
        <v>0</v>
      </c>
      <c r="AG38" s="28">
        <f t="shared" si="51"/>
        <v>0.66666666666666663</v>
      </c>
      <c r="AH38" s="27">
        <f t="shared" si="51"/>
        <v>0</v>
      </c>
      <c r="AI38" s="28">
        <f t="shared" si="51"/>
        <v>0.66666666666666663</v>
      </c>
      <c r="AJ38" s="61"/>
      <c r="AK38" s="241"/>
      <c r="AL38" s="244"/>
      <c r="AM38" s="106"/>
    </row>
    <row r="39" spans="1:39" s="59" customFormat="1" ht="22.9" hidden="1" customHeight="1" thickBot="1" x14ac:dyDescent="0.3">
      <c r="A39" s="227"/>
      <c r="B39" s="230"/>
      <c r="C39" s="233"/>
      <c r="D39" s="236"/>
      <c r="E39" s="193"/>
      <c r="F39" s="193"/>
      <c r="G39" s="193"/>
      <c r="H39" s="193"/>
      <c r="I39" s="214"/>
      <c r="J39" s="217"/>
      <c r="K39" s="239"/>
      <c r="L39" s="39" t="s">
        <v>37</v>
      </c>
      <c r="M39" s="39" t="s">
        <v>37</v>
      </c>
      <c r="N39" s="39" t="s">
        <v>37</v>
      </c>
      <c r="O39" s="40" t="s">
        <v>37</v>
      </c>
      <c r="P39" s="39" t="s">
        <v>37</v>
      </c>
      <c r="Q39" s="40" t="s">
        <v>37</v>
      </c>
      <c r="R39" s="39" t="s">
        <v>37</v>
      </c>
      <c r="S39" s="40" t="s">
        <v>37</v>
      </c>
      <c r="T39" s="39" t="s">
        <v>37</v>
      </c>
      <c r="U39" s="40" t="s">
        <v>37</v>
      </c>
      <c r="V39" s="39" t="s">
        <v>37</v>
      </c>
      <c r="W39" s="40" t="s">
        <v>37</v>
      </c>
      <c r="X39" s="39" t="s">
        <v>37</v>
      </c>
      <c r="Y39" s="40" t="s">
        <v>37</v>
      </c>
      <c r="Z39" s="39" t="s">
        <v>37</v>
      </c>
      <c r="AA39" s="40" t="s">
        <v>37</v>
      </c>
      <c r="AB39" s="39" t="s">
        <v>37</v>
      </c>
      <c r="AC39" s="40" t="s">
        <v>37</v>
      </c>
      <c r="AD39" s="39" t="s">
        <v>37</v>
      </c>
      <c r="AE39" s="40" t="s">
        <v>37</v>
      </c>
      <c r="AF39" s="39" t="s">
        <v>37</v>
      </c>
      <c r="AG39" s="40" t="s">
        <v>37</v>
      </c>
      <c r="AH39" s="39" t="s">
        <v>37</v>
      </c>
      <c r="AI39" s="40" t="s">
        <v>37</v>
      </c>
      <c r="AJ39" s="61"/>
      <c r="AK39" s="241"/>
      <c r="AL39" s="244"/>
      <c r="AM39" s="106"/>
    </row>
    <row r="40" spans="1:39" s="59" customFormat="1" ht="22.9" hidden="1" customHeight="1" thickTop="1" x14ac:dyDescent="0.25">
      <c r="A40" s="227"/>
      <c r="B40" s="230"/>
      <c r="C40" s="233"/>
      <c r="D40" s="236"/>
      <c r="E40" s="193"/>
      <c r="F40" s="193"/>
      <c r="G40" s="193"/>
      <c r="H40" s="193"/>
      <c r="I40" s="214"/>
      <c r="J40" s="217"/>
      <c r="K40" s="185" t="s">
        <v>73</v>
      </c>
      <c r="L40" s="57">
        <v>2</v>
      </c>
      <c r="M40" s="62"/>
      <c r="N40" s="62"/>
      <c r="O40" s="63">
        <f>+M40+N40</f>
        <v>0</v>
      </c>
      <c r="P40" s="62"/>
      <c r="Q40" s="63">
        <f t="shared" ref="Q40:AI40" si="52">+O40+P40</f>
        <v>0</v>
      </c>
      <c r="R40" s="62">
        <v>1</v>
      </c>
      <c r="S40" s="63">
        <f t="shared" si="52"/>
        <v>1</v>
      </c>
      <c r="T40" s="62"/>
      <c r="U40" s="63">
        <f t="shared" si="52"/>
        <v>1</v>
      </c>
      <c r="V40" s="62">
        <v>1</v>
      </c>
      <c r="W40" s="63">
        <f t="shared" si="52"/>
        <v>2</v>
      </c>
      <c r="X40" s="62"/>
      <c r="Y40" s="63">
        <f t="shared" si="52"/>
        <v>2</v>
      </c>
      <c r="Z40" s="62"/>
      <c r="AA40" s="63">
        <f t="shared" si="52"/>
        <v>2</v>
      </c>
      <c r="AB40" s="62">
        <v>0</v>
      </c>
      <c r="AC40" s="63">
        <f t="shared" si="52"/>
        <v>2</v>
      </c>
      <c r="AD40" s="62"/>
      <c r="AE40" s="63">
        <f t="shared" si="52"/>
        <v>2</v>
      </c>
      <c r="AF40" s="62"/>
      <c r="AG40" s="63">
        <f t="shared" si="52"/>
        <v>2</v>
      </c>
      <c r="AH40" s="62"/>
      <c r="AI40" s="63">
        <f t="shared" si="52"/>
        <v>2</v>
      </c>
      <c r="AJ40" s="64">
        <f>AI38/L38</f>
        <v>1</v>
      </c>
      <c r="AK40" s="241"/>
      <c r="AL40" s="244"/>
      <c r="AM40" s="106"/>
    </row>
    <row r="41" spans="1:39" s="59" customFormat="1" ht="22.9" hidden="1" customHeight="1" x14ac:dyDescent="0.25">
      <c r="A41" s="227"/>
      <c r="B41" s="230"/>
      <c r="C41" s="233"/>
      <c r="D41" s="236"/>
      <c r="E41" s="193"/>
      <c r="F41" s="193"/>
      <c r="G41" s="193"/>
      <c r="H41" s="193"/>
      <c r="I41" s="214"/>
      <c r="J41" s="217"/>
      <c r="K41" s="186"/>
      <c r="L41" s="42" t="s">
        <v>38</v>
      </c>
      <c r="M41" s="65" t="s">
        <v>38</v>
      </c>
      <c r="N41" s="65" t="s">
        <v>38</v>
      </c>
      <c r="O41" s="66" t="s">
        <v>38</v>
      </c>
      <c r="P41" s="65" t="s">
        <v>38</v>
      </c>
      <c r="Q41" s="66" t="s">
        <v>38</v>
      </c>
      <c r="R41" s="65" t="s">
        <v>38</v>
      </c>
      <c r="S41" s="66" t="s">
        <v>38</v>
      </c>
      <c r="T41" s="65" t="s">
        <v>38</v>
      </c>
      <c r="U41" s="66" t="s">
        <v>38</v>
      </c>
      <c r="V41" s="65" t="s">
        <v>38</v>
      </c>
      <c r="W41" s="66" t="s">
        <v>38</v>
      </c>
      <c r="X41" s="65" t="s">
        <v>38</v>
      </c>
      <c r="Y41" s="66" t="s">
        <v>38</v>
      </c>
      <c r="Z41" s="65" t="s">
        <v>38</v>
      </c>
      <c r="AA41" s="66" t="s">
        <v>38</v>
      </c>
      <c r="AB41" s="65" t="s">
        <v>38</v>
      </c>
      <c r="AC41" s="66" t="s">
        <v>38</v>
      </c>
      <c r="AD41" s="65" t="s">
        <v>38</v>
      </c>
      <c r="AE41" s="66" t="s">
        <v>38</v>
      </c>
      <c r="AF41" s="65" t="s">
        <v>38</v>
      </c>
      <c r="AG41" s="66" t="s">
        <v>38</v>
      </c>
      <c r="AH41" s="65" t="s">
        <v>38</v>
      </c>
      <c r="AI41" s="66" t="s">
        <v>38</v>
      </c>
      <c r="AJ41" s="61"/>
      <c r="AK41" s="241"/>
      <c r="AL41" s="244"/>
      <c r="AM41" s="106"/>
    </row>
    <row r="42" spans="1:39" s="59" customFormat="1" ht="22.9" hidden="1" customHeight="1" thickBot="1" x14ac:dyDescent="0.3">
      <c r="A42" s="228"/>
      <c r="B42" s="231"/>
      <c r="C42" s="234"/>
      <c r="D42" s="237"/>
      <c r="E42" s="194"/>
      <c r="F42" s="194"/>
      <c r="G42" s="194"/>
      <c r="H42" s="194"/>
      <c r="I42" s="215"/>
      <c r="J42" s="218"/>
      <c r="K42" s="187"/>
      <c r="L42" s="67">
        <v>3</v>
      </c>
      <c r="M42" s="68">
        <v>3</v>
      </c>
      <c r="N42" s="68">
        <v>3</v>
      </c>
      <c r="O42" s="69">
        <v>3</v>
      </c>
      <c r="P42" s="68">
        <v>3</v>
      </c>
      <c r="Q42" s="69">
        <v>3</v>
      </c>
      <c r="R42" s="68">
        <v>3</v>
      </c>
      <c r="S42" s="69">
        <v>3</v>
      </c>
      <c r="T42" s="68">
        <v>3</v>
      </c>
      <c r="U42" s="69">
        <v>3</v>
      </c>
      <c r="V42" s="68">
        <v>3</v>
      </c>
      <c r="W42" s="69">
        <v>3</v>
      </c>
      <c r="X42" s="68">
        <v>3</v>
      </c>
      <c r="Y42" s="69">
        <v>3</v>
      </c>
      <c r="Z42" s="68">
        <v>3</v>
      </c>
      <c r="AA42" s="69">
        <v>3</v>
      </c>
      <c r="AB42" s="68">
        <v>3</v>
      </c>
      <c r="AC42" s="69">
        <v>3</v>
      </c>
      <c r="AD42" s="68">
        <v>3</v>
      </c>
      <c r="AE42" s="69">
        <v>3</v>
      </c>
      <c r="AF42" s="68">
        <v>3</v>
      </c>
      <c r="AG42" s="69">
        <v>3</v>
      </c>
      <c r="AH42" s="68">
        <v>3</v>
      </c>
      <c r="AI42" s="69">
        <v>3</v>
      </c>
      <c r="AJ42" s="70"/>
      <c r="AK42" s="242"/>
      <c r="AL42" s="245"/>
      <c r="AM42" s="107"/>
    </row>
    <row r="43" spans="1:39" ht="13.5" thickTop="1" x14ac:dyDescent="0.3">
      <c r="J43" s="78">
        <f>SUM(J13:J42)</f>
        <v>1</v>
      </c>
      <c r="AK43" s="5"/>
    </row>
  </sheetData>
  <mergeCells count="137">
    <mergeCell ref="F31:F36"/>
    <mergeCell ref="G31:G36"/>
    <mergeCell ref="H31:H36"/>
    <mergeCell ref="G25:G30"/>
    <mergeCell ref="H25:H30"/>
    <mergeCell ref="AM37:AM42"/>
    <mergeCell ref="K40:K42"/>
    <mergeCell ref="A37:A42"/>
    <mergeCell ref="B37:B42"/>
    <mergeCell ref="C37:C42"/>
    <mergeCell ref="D37:D42"/>
    <mergeCell ref="E37:E42"/>
    <mergeCell ref="G37:G42"/>
    <mergeCell ref="H37:H42"/>
    <mergeCell ref="I37:I42"/>
    <mergeCell ref="J37:J42"/>
    <mergeCell ref="K37:K39"/>
    <mergeCell ref="AK37:AK42"/>
    <mergeCell ref="AL37:AL42"/>
    <mergeCell ref="F25:F30"/>
    <mergeCell ref="AM31:AM36"/>
    <mergeCell ref="AL31:AL36"/>
    <mergeCell ref="AK31:AK36"/>
    <mergeCell ref="F37:F42"/>
    <mergeCell ref="F19:F24"/>
    <mergeCell ref="G19:G24"/>
    <mergeCell ref="R11:R12"/>
    <mergeCell ref="S11:S12"/>
    <mergeCell ref="T11:T12"/>
    <mergeCell ref="U11:U12"/>
    <mergeCell ref="V11:V12"/>
    <mergeCell ref="W11:W12"/>
    <mergeCell ref="H19:H24"/>
    <mergeCell ref="L1:Q1"/>
    <mergeCell ref="L2:Q2"/>
    <mergeCell ref="L3:Q3"/>
    <mergeCell ref="L4:Q4"/>
    <mergeCell ref="L5:Q5"/>
    <mergeCell ref="L6:Q6"/>
    <mergeCell ref="I31:I36"/>
    <mergeCell ref="I25:I30"/>
    <mergeCell ref="I19:I24"/>
    <mergeCell ref="I13:I18"/>
    <mergeCell ref="K31:K33"/>
    <mergeCell ref="J31:J36"/>
    <mergeCell ref="M8:M9"/>
    <mergeCell ref="O8:O9"/>
    <mergeCell ref="Q8:Q9"/>
    <mergeCell ref="J25:J30"/>
    <mergeCell ref="K34:K36"/>
    <mergeCell ref="K25:K27"/>
    <mergeCell ref="J19:J24"/>
    <mergeCell ref="M11:M12"/>
    <mergeCell ref="C1:C5"/>
    <mergeCell ref="D1:K5"/>
    <mergeCell ref="D6:K6"/>
    <mergeCell ref="C11:C12"/>
    <mergeCell ref="D11:D12"/>
    <mergeCell ref="I11:I12"/>
    <mergeCell ref="K11:K12"/>
    <mergeCell ref="C13:C18"/>
    <mergeCell ref="D13:D18"/>
    <mergeCell ref="K13:K15"/>
    <mergeCell ref="J11:J12"/>
    <mergeCell ref="J13:J18"/>
    <mergeCell ref="C8:D8"/>
    <mergeCell ref="E11:E12"/>
    <mergeCell ref="K16:K18"/>
    <mergeCell ref="F11:F12"/>
    <mergeCell ref="G11:G12"/>
    <mergeCell ref="H11:H12"/>
    <mergeCell ref="F13:F18"/>
    <mergeCell ref="G13:G18"/>
    <mergeCell ref="H13:H18"/>
    <mergeCell ref="E19:E24"/>
    <mergeCell ref="E25:E30"/>
    <mergeCell ref="B25:B30"/>
    <mergeCell ref="A11:A12"/>
    <mergeCell ref="B11:B12"/>
    <mergeCell ref="A13:A18"/>
    <mergeCell ref="B13:B18"/>
    <mergeCell ref="E13:E18"/>
    <mergeCell ref="A31:A36"/>
    <mergeCell ref="B31:B36"/>
    <mergeCell ref="C19:C24"/>
    <mergeCell ref="D19:D24"/>
    <mergeCell ref="C25:C30"/>
    <mergeCell ref="D25:D30"/>
    <mergeCell ref="C31:C36"/>
    <mergeCell ref="D31:D36"/>
    <mergeCell ref="E31:E36"/>
    <mergeCell ref="A19:A24"/>
    <mergeCell ref="B19:B24"/>
    <mergeCell ref="A25:A30"/>
    <mergeCell ref="AM13:AM18"/>
    <mergeCell ref="AM19:AM24"/>
    <mergeCell ref="AK13:AK18"/>
    <mergeCell ref="K19:K21"/>
    <mergeCell ref="AK25:AK30"/>
    <mergeCell ref="AM11:AM12"/>
    <mergeCell ref="AL13:AL18"/>
    <mergeCell ref="AL19:AL24"/>
    <mergeCell ref="AL25:AL30"/>
    <mergeCell ref="AM25:AM30"/>
    <mergeCell ref="K28:K30"/>
    <mergeCell ref="AJ29:AJ30"/>
    <mergeCell ref="AF11:AF12"/>
    <mergeCell ref="AG11:AG12"/>
    <mergeCell ref="AH11:AH12"/>
    <mergeCell ref="Y11:Y12"/>
    <mergeCell ref="Z11:Z12"/>
    <mergeCell ref="AK11:AK12"/>
    <mergeCell ref="N11:N12"/>
    <mergeCell ref="O11:O12"/>
    <mergeCell ref="P11:P12"/>
    <mergeCell ref="Q11:Q12"/>
    <mergeCell ref="AL11:AL12"/>
    <mergeCell ref="L11:L12"/>
    <mergeCell ref="X11:X12"/>
    <mergeCell ref="AK19:AK24"/>
    <mergeCell ref="K22:K24"/>
    <mergeCell ref="Y8:Y9"/>
    <mergeCell ref="AA8:AA9"/>
    <mergeCell ref="AC8:AC9"/>
    <mergeCell ref="AE8:AE9"/>
    <mergeCell ref="AG8:AG9"/>
    <mergeCell ref="AI8:AI9"/>
    <mergeCell ref="AI11:AI12"/>
    <mergeCell ref="AJ11:AJ12"/>
    <mergeCell ref="AA11:AA12"/>
    <mergeCell ref="AB11:AB12"/>
    <mergeCell ref="AC11:AC12"/>
    <mergeCell ref="AE11:AE12"/>
    <mergeCell ref="AD11:AD12"/>
    <mergeCell ref="S8:S9"/>
    <mergeCell ref="U8:U9"/>
    <mergeCell ref="W8:W9"/>
  </mergeCells>
  <printOptions horizontalCentered="1"/>
  <pageMargins left="0.31496062992125984" right="0.15748031496062992" top="0.51181102362204722" bottom="0.55118110236220474" header="0.31496062992125984" footer="0.31496062992125984"/>
  <pageSetup scale="42"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CDC 2026</vt:lpstr>
      <vt:lpstr>'CDC 2026'!Área_de_impresión</vt:lpstr>
    </vt:vector>
  </TitlesOfParts>
  <Company>IPS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creator>Ma. Cristina Torres</dc:creator>
  <cp:lastModifiedBy>Cesar Francisco Alfaro Valdes</cp:lastModifiedBy>
  <cp:revision/>
  <cp:lastPrinted>2016-09-08T18:57:28Z</cp:lastPrinted>
  <dcterms:created xsi:type="dcterms:W3CDTF">2008-08-20T14:03:15Z</dcterms:created>
  <dcterms:modified xsi:type="dcterms:W3CDTF">2026-02-03T14:44:11Z</dcterms:modified>
</cp:coreProperties>
</file>