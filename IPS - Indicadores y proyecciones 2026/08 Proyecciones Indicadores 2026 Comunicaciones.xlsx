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DC 2026"/>
  </sheets>
  <definedNames>
    <definedName name="_xlnm.Print_Area" localSheetId="0">'CDC 2026'!$A$1:$AL$28</definedName>
    <definedName name="_xlnm.Print_Titles" localSheetId="0">'CDC 2026'!$1:$12</definedName>
  </definedNames>
  <calcPr fullCalcOnLoad="1"/>
</workbook>
</file>

<file path=xl/sharedStrings.xml><?xml version="1.0" encoding="utf-8"?>
<sst xmlns="http://schemas.openxmlformats.org/spreadsheetml/2006/main" count="638" uniqueCount="106">
  <si>
    <t>Plantilla del SIG Compromisos Institucionales</t>
  </si>
  <si>
    <t>DIVISIÓN PLANIFICACIÓN</t>
  </si>
  <si>
    <t>Y DESARROLLO</t>
  </si>
  <si>
    <t xml:space="preserve">Fecha: </t>
  </si>
  <si>
    <t xml:space="preserve">  </t>
  </si>
  <si>
    <t>Elaborado por: Analista de Gestión</t>
  </si>
  <si>
    <t>Revisado por:</t>
  </si>
  <si>
    <t xml:space="preserve">Aprobado por: </t>
  </si>
  <si>
    <t>CONVENIO DE DESEMPEÑO COLECTIVO 2026</t>
  </si>
  <si>
    <t>CENTRO DE RESPONSABILIDAD: DEPARTAMENTO DE COMUNICACIONES Y PARTICIPACIÓN CIUDADANA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</si>
  <si>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</si>
  <si>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</si>
  <si>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</si>
  <si>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</si>
  <si>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</si>
  <si>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</si>
  <si>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</si>
  <si>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</si>
  <si>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Meta 2026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</si>
  <si>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</si>
  <si>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</si>
  <si>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</si>
  <si>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</si>
  <si>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</si>
  <si>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</si>
  <si>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</si>
  <si>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</si>
  <si>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</si>
  <si>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</si>
  <si>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</si>
  <si>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</si>
  <si>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</si>
  <si>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</si>
  <si>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</si>
  <si>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</si>
  <si>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</si>
  <si>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</si>
  <si>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</si>
  <si>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</si>
  <si>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</si>
  <si>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</si>
  <si>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</si>
  <si>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</si>
  <si>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</si>
  <si>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Cumplimiento
Proyectado
2025</t>
  </si>
  <si>
    <t>% Cumplimiento de Meta</t>
  </si>
  <si>
    <t>Medios de Verificación</t>
  </si>
  <si>
    <t>Control de Cambios</t>
  </si>
  <si>
    <t>Instrumentos de Gestión Asociados</t>
  </si>
  <si>
    <t>5.6.1.19</t>
  </si>
  <si>
    <t>5.- Proceso de Apoyo                                             5.6.- Comunicaciones                                                 5.6.1.- Comunicaciones</t>
  </si>
  <si>
    <r>
      <t xml:space="preserve">1) Calidad/Producto
</t>
    </r>
    <r>
      <rPr>
        <sz val="8"/>
        <color theme="1"/>
        <rFont val="Arial Narrow"/>
        <family val="2"/>
      </rPr>
      <t>Porcentaje de actividades cumplidas del Plan de acción de Participación Ciudadana en el año t.</t>
    </r>
  </si>
  <si>
    <t>(Número de actividades cumplidas del Plan de acción de Participación Ciudadana en el año t,/ Número actividades definidas en el Plan de   acción de Participación Ciudadana en el año t) *100</t>
  </si>
  <si>
    <t>Departamento de Comunicaciones</t>
  </si>
  <si>
    <t>Pedro Vallette Barria</t>
  </si>
  <si>
    <t>Luis Jorquera Lara</t>
  </si>
  <si>
    <t>(Número de actividades cumplidas del Plan de acción de Participación Ciudadana en el año t</t>
  </si>
  <si>
    <t xml:space="preserve">Valor indicador=   </t>
  </si>
  <si>
    <t>Reportes/Informes
-	Plan de acción de Participación Ciudadana en el año t.
-	Medios de verificación de las actividades definidas en el plan.</t>
  </si>
  <si>
    <t>CDC: Depto Comunicaciones</t>
  </si>
  <si>
    <t xml:space="preserve">Operando 1=   </t>
  </si>
  <si>
    <t>Número actividades definidas en el Plan de   acción de Participación Ciudadana en el año t) *100</t>
  </si>
  <si>
    <t xml:space="preserve">Operando 2=    </t>
  </si>
  <si>
    <t>5.6.1.20</t>
  </si>
  <si>
    <r>
      <t xml:space="preserve">2) Eficacia/Proceso
</t>
    </r>
    <r>
      <rPr>
        <sz val="8"/>
        <color theme="1"/>
        <rFont val="Arial Narrow"/>
        <family val="2"/>
      </rPr>
      <t>Porcentaje de encuestas para conocer la percepción del funcionariado sobre la entrega de información en temáticas vinculadas IPS.</t>
    </r>
  </si>
  <si>
    <t>(Sumatoria de encuestas para conocer la percepción del funcionariado sobre la entrega de información en temáticas vinculadas IPS en el año t / Nº total de encuestas planificadas en el año t ) *100</t>
  </si>
  <si>
    <t>(Sumatoria de encuestas para conocer la percepción del funcionariado sobre la entrega de información en temáticas vinculadas IPS en el año t</t>
  </si>
  <si>
    <t>Reportes/Informes
-	Informe de encuestas realizadas</t>
  </si>
  <si>
    <t>Nº total de encuestas planificadas en el año t ) *100</t>
  </si>
  <si>
    <t>5.6.1.21</t>
  </si>
  <si>
    <r>
      <t xml:space="preserve">3) Eficacia/Proceso
</t>
    </r>
    <r>
      <rPr>
        <sz val="8"/>
        <color theme="1"/>
        <rFont val="Arial Narrow"/>
        <family val="2"/>
      </rPr>
      <t>Porcentaje de actividades públicas orientadas a beneficiarias/os del IPS</t>
    </r>
  </si>
  <si>
    <t>(Sumatoria de actividades públicas orientadas a beneficiarios/as del IPS en el año t / Nº total de actividades públicas orientadas a beneficiarios/as del IPS definidas para el año t) *100</t>
  </si>
  <si>
    <t>Sumatoria de actividades públicas orientadas a beneficiarios/as del IPS en el año t</t>
  </si>
  <si>
    <t>Reportes/Informes
-	Informe de las actividades públicas desarrolladas orientadas a beneficiarios/as del IPS</t>
  </si>
  <si>
    <t>Nº total de actividades públicas orientadas a beneficiarios/as del IPS definidas para el año t) *100</t>
  </si>
  <si>
    <t>5.1.3.44</t>
  </si>
  <si>
    <t xml:space="preserve">5.-Proceso de Apoyo
5.7.-Gestión Documental 
5.7.1.-Gestión Documental y Transparencia
</t>
  </si>
  <si>
    <r>
      <t/>
    </r>
    <r>
      <rPr>
        <b/>
        <u/>
        <sz val="8"/>
        <color theme="1"/>
        <rFont val="Arial Narrow"/>
        <family val="2"/>
      </rPr>
      <t xml:space="preserve">4)Eficacia/Proceso
</t>
    </r>
    <r>
      <rPr>
        <sz val="8"/>
        <color theme="1"/>
        <rFont val="Arial Narrow"/>
        <family val="2"/>
      </rPr>
      <t xml:space="preserve">Porcentaje de hitos de control cumplidos de ejecución presupuestaria a nivel de los Subtítulos 22 y 29, dentro de los plazos establecidos.
(Depto Comunicaciones)
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</si>
  <si>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</si>
  <si>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 xml:space="preserve">Subdirección Sistemas de Información y Administración
Departamento Secretaria General y Transparencia </t>
  </si>
  <si>
    <t>María Eugenia Elizalde</t>
  </si>
  <si>
    <t>Julio Santistevan Jimenez</t>
  </si>
  <si>
    <t>Manuel Aguila Castillo</t>
  </si>
  <si>
    <t>Sumatoria de hitos de control cumplidos de ejecución presupuestaria a nivel de los Subtítulos 22 y 29, dentro de los plazos establecidos</t>
  </si>
  <si>
    <t>Reportes/Informes
- Informe de ejecución presupuestaria emitido por el Subdepartamento de Presupuesto del Departamento de Finanzas.</t>
  </si>
  <si>
    <t xml:space="preserve">
CDC: Div. Beneficio,Subdirección Clientes, División Informática, Subdirección Sistema de información y Administración, División Planificación y Desarrollo, Departamento Comunicaciones, </t>
  </si>
  <si>
    <t>N° total de hitos de control definidos de ejecución presupuestaria a nivel de los Subtítulos 22 y 29</t>
  </si>
  <si>
    <t>5.6.1.17</t>
  </si>
  <si>
    <r>
      <t xml:space="preserve">5) Eficacia /Proceso
</t>
    </r>
    <r>
      <rPr>
        <sz val="8"/>
        <color theme="1"/>
        <rFont val="Arial Narrow"/>
        <family val="2"/>
      </rPr>
      <t>Porcentaje de actividades cumplidos en el plan de trabajo de Comunicaciones para abordar las brechas identificadas y priorizadas en relación a la Norma Chilena 3262 en el año t.</t>
    </r>
  </si>
  <si>
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</si>
  <si>
    <t>(Sumatoria de actividades cumplidos en el plan de trabajo de Comunicaciones para abordar las brechas identificadas y priorizadas en relación a la Norma Chilena 3262 en el año t</t>
  </si>
  <si>
    <t xml:space="preserve">Reportes/Informes
-	Plan de trabajo Anual de Comunicaciones para abordar las brechas identificadas y priorizadas en relación a la Norma Chilena 3262.
-	Medios de verificación de actividades definidas en el plan.  </t>
  </si>
  <si>
    <t>N° total de actividades definidas en el plan de trabajo de Comunicaciones en el año t) *100</t>
  </si>
  <si>
    <t>5.6.1.22</t>
  </si>
  <si>
    <r>
      <t xml:space="preserve">6) Eficacia/Proceso
</t>
    </r>
    <r>
      <rPr>
        <sz val="8"/>
        <color theme="1"/>
        <rFont val="Arial Narrow"/>
        <family val="2"/>
      </rPr>
      <t>Porcentaje de envíos de información respecto de la reforma previsional a los usuarios/as y beneficiarios/as del IPS en el año t</t>
    </r>
  </si>
  <si>
    <t>(Sumatoria de envíos de información respecto de la reforma previsional a los usuarios/as y beneficiarios/as del IPS en el año t / Nº total de envíos de información planificados en el año t) *100</t>
  </si>
  <si>
    <t>(Sumatoria de envíos de información respecto de la reforma previsional a los usuarios/as y beneficiarios/as del IPS en el año t</t>
  </si>
  <si>
    <t xml:space="preserve">Reportes/Informes
-	Informe de los envíos de información de la Reforma Previsional realizados a los beneficiarios </t>
  </si>
  <si>
    <t>Nº total de envíos de información planificados en el año t) *100</t>
  </si>
  <si>
    <t>5.6.1.23</t>
  </si>
  <si>
    <r>
      <t xml:space="preserve">6) Eficacia/Proceso
</t>
    </r>
    <r>
      <rPr>
        <sz val="8"/>
        <color theme="1"/>
        <rFont val="Arial Narrow"/>
        <family val="2"/>
      </rPr>
      <t xml:space="preserve">Porcentaje de informes de publicaciones en redes sociales institucionales IPS elaborados en el año t </t>
    </r>
  </si>
  <si>
    <t>(Sumatoria de informes en redes sociales institucionales del IPS elaborados en el año t / Nº total de informes en redes sociales institucionales planificados en el año t) *100</t>
  </si>
  <si>
    <t>(Sumatoria de informes en redes sociales institucionales del IPS elaboradas  en el año t</t>
  </si>
  <si>
    <t>Reportes/Informes
-	Informe de publicaciones en redes sociales institucionales.</t>
  </si>
  <si>
    <t>N° total de informes en redes sociales institucionales planificadas en el año t) *100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</si>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</sst>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%"/>
    <numFmt numFmtId="165" formatCode="#,##0%"/>
    <numFmt numFmtId="166" formatCode="#,##0.0%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fff00"/>
      </patternFill>
    </fill>
    <fill>
      <patternFill patternType="solid">
        <fgColor rgb="FFfdeada"/>
      </patternFill>
    </fill>
    <fill>
      <patternFill patternType="solid">
        <fgColor rgb="FFffff99"/>
      </patternFill>
    </fill>
    <fill>
      <patternFill patternType="solid">
        <fgColor rgb="FFfcd5b5"/>
      </patternFill>
    </fill>
    <fill>
      <patternFill patternType="solid">
        <fgColor rgb="FFfcd5b4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c6c6c6"/>
      </left>
      <right style="double">
        <color rgb="FF000000"/>
      </right>
      <top style="double">
        <color rgb="FF000000"/>
      </top>
      <bottom style="thin">
        <color rgb="FFc6c6c6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double">
        <color rgb="FF000000"/>
      </top>
      <bottom style="thin">
        <color rgb="FFc6c6c6"/>
      </bottom>
      <diagonal/>
    </border>
    <border>
      <left style="thin">
        <color rgb="FFc6c6c6"/>
      </left>
      <right style="double">
        <color rgb="FF000000"/>
      </right>
      <top style="thin">
        <color rgb="FFc6c6c6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c6c6c6"/>
      </top>
      <bottom style="thin">
        <color rgb="FFc6c6c6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c6c6c6"/>
      </left>
      <right style="double">
        <color rgb="FF000000"/>
      </right>
      <top style="thin">
        <color rgb="FFc6c6c6"/>
      </top>
      <bottom style="thin">
        <color rgb="FFc6c6c6"/>
      </bottom>
      <diagonal/>
    </border>
    <border>
      <left style="double">
        <color rgb="FF000000"/>
      </left>
      <right style="double">
        <color rgb="FF000000"/>
      </right>
      <top/>
      <bottom/>
      <diagonal/>
    </border>
  </borders>
  <cellStyleXfs count="1">
    <xf numFmtId="0" fontId="0" fillId="0" borderId="0"/>
  </cellStyleXfs>
  <cellXfs count="16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 vertical="top"/>
    </xf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3" applyBorder="1" fontId="2" applyFont="1" fillId="0" applyAlignment="1">
      <alignment horizontal="center" vertical="top" wrapText="1"/>
    </xf>
    <xf xfId="0" numFmtId="0" borderId="1" applyBorder="1" fontId="2" applyFont="1" fillId="0" applyAlignment="1">
      <alignment horizontal="center" wrapText="1"/>
    </xf>
    <xf xfId="0" numFmtId="164" applyNumberFormat="1" borderId="1" applyBorder="1" fontId="2" applyFont="1" fillId="0" applyAlignment="1">
      <alignment horizontal="center" wrapText="1"/>
    </xf>
    <xf xfId="0" numFmtId="165" applyNumberFormat="1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3" applyNumberFormat="1" borderId="2" applyBorder="1" fontId="2" applyFont="1" fillId="0" applyAlignment="1">
      <alignment horizontal="center" wrapText="1"/>
    </xf>
    <xf xfId="0" numFmtId="3" applyNumberFormat="1" borderId="3" applyBorder="1" fontId="2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2" applyBorder="1" fontId="1" applyFont="1" fillId="0" applyAlignment="1">
      <alignment horizontal="center" wrapText="1"/>
    </xf>
    <xf xfId="0" numFmtId="3" applyNumberFormat="1" borderId="4" applyBorder="1" fontId="1" applyFont="1" fillId="0" applyAlignment="1">
      <alignment horizontal="center"/>
    </xf>
    <xf xfId="0" numFmtId="164" applyNumberFormat="1" borderId="4" applyBorder="1" fontId="1" applyFont="1" fillId="0" applyAlignment="1">
      <alignment horizontal="center"/>
    </xf>
    <xf xfId="0" numFmtId="0" borderId="4" applyBorder="1" fontId="1" applyFont="1" fillId="0" applyAlignment="1">
      <alignment horizontal="center"/>
    </xf>
    <xf xfId="0" numFmtId="0" borderId="5" applyBorder="1" fontId="1" applyFont="1" fillId="0" applyAlignment="1">
      <alignment horizontal="center"/>
    </xf>
    <xf xfId="0" numFmtId="0" borderId="6" applyBorder="1" fontId="2" applyFont="1" fillId="0" applyAlignment="1">
      <alignment horizontal="center" wrapText="1"/>
    </xf>
    <xf xfId="0" numFmtId="0" borderId="4" applyBorder="1" fontId="2" applyFont="1" fillId="0" applyAlignment="1">
      <alignment horizontal="center" wrapText="1"/>
    </xf>
    <xf xfId="0" numFmtId="164" applyNumberFormat="1" borderId="4" applyBorder="1" fontId="2" applyFont="1" fillId="0" applyAlignment="1">
      <alignment horizontal="center" wrapText="1"/>
    </xf>
    <xf xfId="0" numFmtId="165" applyNumberFormat="1" borderId="4" applyBorder="1" fontId="2" applyFont="1" fillId="0" applyAlignment="1">
      <alignment horizontal="center" wrapText="1"/>
    </xf>
    <xf xfId="0" numFmtId="3" applyNumberFormat="1" borderId="4" applyBorder="1" fontId="2" applyFont="1" fillId="0" applyAlignment="1">
      <alignment horizontal="center" wrapText="1"/>
    </xf>
    <xf xfId="0" numFmtId="3" applyNumberFormat="1" borderId="5" applyBorder="1" fontId="2" applyFont="1" fillId="0" applyAlignment="1">
      <alignment horizontal="center" wrapText="1"/>
    </xf>
    <xf xfId="0" numFmtId="3" applyNumberFormat="1" borderId="6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3" applyNumberFormat="1" borderId="5" applyBorder="1" fontId="2" applyFont="1" fillId="0" applyAlignment="1">
      <alignment horizontal="center"/>
    </xf>
    <xf xfId="0" numFmtId="3" applyNumberFormat="1" borderId="6" applyBorder="1" fontId="2" applyFont="1" fillId="0" applyAlignment="1">
      <alignment horizontal="center" wrapText="1"/>
    </xf>
    <xf xfId="0" numFmtId="3" applyNumberFormat="1" borderId="4" applyBorder="1" fontId="1" applyFont="1" fillId="0" applyAlignment="1">
      <alignment horizontal="center" wrapText="1"/>
    </xf>
    <xf xfId="0" numFmtId="3" applyNumberFormat="1" borderId="5" applyBorder="1" fontId="1" applyFont="1" fillId="0" applyAlignment="1">
      <alignment horizontal="center" wrapText="1"/>
    </xf>
    <xf xfId="0" numFmtId="3" applyNumberFormat="1" borderId="7" applyBorder="1" fontId="2" applyFont="1" fillId="0" applyAlignment="1">
      <alignment horizontal="center"/>
    </xf>
    <xf xfId="0" numFmtId="3" applyNumberFormat="1" borderId="8" applyBorder="1" fontId="2" applyFont="1" fillId="0" applyAlignment="1">
      <alignment horizontal="center"/>
    </xf>
    <xf xfId="0" numFmtId="3" applyNumberFormat="1" borderId="9" applyBorder="1" fontId="2" applyFont="1" fillId="0" applyAlignment="1">
      <alignment horizontal="center"/>
    </xf>
    <xf xfId="0" numFmtId="0" borderId="8" applyBorder="1" fontId="1" applyFont="1" fillId="0" applyAlignment="1">
      <alignment horizontal="center"/>
    </xf>
    <xf xfId="0" numFmtId="0" borderId="9" applyBorder="1" fontId="1" applyFont="1" fillId="0" applyAlignment="1">
      <alignment horizontal="center"/>
    </xf>
    <xf xfId="0" numFmtId="0" borderId="7" applyBorder="1" fontId="2" applyFont="1" fillId="0" applyAlignment="1">
      <alignment horizontal="center" wrapText="1"/>
    </xf>
    <xf xfId="0" numFmtId="0" borderId="8" applyBorder="1" fontId="2" applyFont="1" fillId="0" applyAlignment="1">
      <alignment horizontal="center" wrapText="1"/>
    </xf>
    <xf xfId="0" numFmtId="164" applyNumberFormat="1" borderId="8" applyBorder="1" fontId="2" applyFont="1" fillId="0" applyAlignment="1">
      <alignment horizontal="center" wrapText="1"/>
    </xf>
    <xf xfId="0" numFmtId="165" applyNumberFormat="1" borderId="8" applyBorder="1" fontId="2" applyFont="1" fillId="0" applyAlignment="1">
      <alignment horizontal="center" wrapText="1"/>
    </xf>
    <xf xfId="0" numFmtId="3" applyNumberFormat="1" borderId="8" applyBorder="1" fontId="2" applyFont="1" fillId="0" applyAlignment="1">
      <alignment horizontal="center" wrapText="1"/>
    </xf>
    <xf xfId="0" numFmtId="3" applyNumberFormat="1" borderId="9" applyBorder="1" fontId="2" applyFont="1" fillId="0" applyAlignment="1">
      <alignment horizontal="center" wrapText="1"/>
    </xf>
    <xf xfId="0" numFmtId="3" applyNumberFormat="1" borderId="10" applyBorder="1" fontId="1" applyFont="1" fillId="0" applyAlignment="1">
      <alignment horizontal="left" wrapText="1"/>
    </xf>
    <xf xfId="0" numFmtId="3" applyNumberFormat="1" borderId="11" applyBorder="1" fontId="1" applyFont="1" fillId="0" applyAlignment="1">
      <alignment horizontal="left" wrapText="1"/>
    </xf>
    <xf xfId="0" numFmtId="3" applyNumberFormat="1" borderId="12" applyBorder="1" fontId="1" applyFont="1" fillId="0" applyAlignment="1">
      <alignment horizontal="left" wrapText="1"/>
    </xf>
    <xf xfId="0" numFmtId="0" borderId="10" applyBorder="1" fontId="3" applyFont="1" fillId="0" applyAlignment="1">
      <alignment horizontal="left"/>
    </xf>
    <xf xfId="0" numFmtId="0" borderId="11" applyBorder="1" fontId="3" applyFont="1" fillId="0" applyAlignment="1">
      <alignment horizontal="left"/>
    </xf>
    <xf xfId="0" numFmtId="0" borderId="12" applyBorder="1" fontId="3" applyFont="1" fillId="0" applyAlignment="1">
      <alignment horizontal="left"/>
    </xf>
    <xf xfId="0" numFmtId="0" borderId="10" applyBorder="1" fontId="3" applyFont="1" fillId="0" applyAlignment="1">
      <alignment horizontal="left" wrapText="1"/>
    </xf>
    <xf xfId="0" numFmtId="0" borderId="11" applyBorder="1" fontId="3" applyFont="1" fillId="0" applyAlignment="1">
      <alignment horizontal="left" wrapText="1"/>
    </xf>
    <xf xfId="0" numFmtId="164" applyNumberFormat="1" borderId="11" applyBorder="1" fontId="3" applyFont="1" fillId="0" applyAlignment="1">
      <alignment horizontal="left" wrapText="1"/>
    </xf>
    <xf xfId="0" numFmtId="165" applyNumberFormat="1" borderId="11" applyBorder="1" fontId="3" applyFont="1" fillId="0" applyAlignment="1">
      <alignment horizontal="left" wrapText="1"/>
    </xf>
    <xf xfId="0" numFmtId="3" applyNumberFormat="1" borderId="11" applyBorder="1" fontId="3" applyFont="1" fillId="0" applyAlignment="1">
      <alignment horizontal="left" wrapText="1"/>
    </xf>
    <xf xfId="0" numFmtId="3" applyNumberFormat="1" borderId="12" applyBorder="1" fontId="3" applyFont="1" fillId="0" applyAlignment="1">
      <alignment horizontal="left" wrapText="1"/>
    </xf>
    <xf xfId="0" numFmtId="3" applyNumberFormat="1" borderId="10" applyBorder="1" fontId="3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4" applyBorder="1" fontId="2" applyFont="1" fillId="0" applyAlignment="1">
      <alignment horizontal="left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165" applyNumberFormat="1" borderId="0" fontId="0" fillId="0" applyAlignment="1">
      <alignment horizontal="general"/>
    </xf>
    <xf xfId="0" numFmtId="0" borderId="4" applyBorder="1" fontId="4" applyFont="1" fillId="0" applyAlignment="1">
      <alignment horizontal="left"/>
    </xf>
    <xf xfId="0" numFmtId="3" applyNumberFormat="1" borderId="13" applyBorder="1" fontId="1" applyFont="1" fillId="0" applyAlignment="1">
      <alignment horizontal="center"/>
    </xf>
    <xf xfId="0" numFmtId="164" applyNumberFormat="1" borderId="13" applyBorder="1" fontId="1" applyFont="1" fillId="0" applyAlignment="1">
      <alignment horizontal="center"/>
    </xf>
    <xf xfId="0" numFmtId="0" borderId="13" applyBorder="1" fontId="1" applyFont="1" fillId="0" applyAlignment="1">
      <alignment horizontal="center"/>
    </xf>
    <xf xfId="0" numFmtId="0" borderId="4" applyBorder="1" fontId="2" applyFont="1" fillId="0" applyAlignment="1">
      <alignment horizontal="center"/>
    </xf>
    <xf xfId="0" numFmtId="0" borderId="0" fontId="0" fillId="0" applyAlignment="1">
      <alignment wrapText="1"/>
    </xf>
    <xf xfId="0" numFmtId="0" borderId="14" applyBorder="1" fontId="5" applyFont="1" fillId="2" applyFill="1" applyAlignment="1">
      <alignment horizontal="center" vertical="top" wrapText="1"/>
    </xf>
    <xf xfId="0" numFmtId="0" borderId="15" applyBorder="1" fontId="5" applyFont="1" fillId="2" applyFill="1" applyAlignment="1">
      <alignment horizontal="center" vertical="top" wrapText="1"/>
    </xf>
    <xf xfId="0" numFmtId="164" applyNumberFormat="1" borderId="15" applyBorder="1" fontId="5" applyFont="1" fillId="2" applyFill="1" applyAlignment="1">
      <alignment horizontal="center" vertical="top" wrapText="1"/>
    </xf>
    <xf xfId="0" numFmtId="165" applyNumberFormat="1" borderId="15" applyBorder="1" fontId="5" applyFont="1" fillId="2" applyFill="1" applyAlignment="1">
      <alignment horizontal="center" vertical="top" wrapText="1"/>
    </xf>
    <xf xfId="0" numFmtId="3" applyNumberFormat="1" borderId="15" applyBorder="1" fontId="5" applyFont="1" fillId="2" applyFill="1" applyAlignment="1">
      <alignment horizontal="center" vertical="top" wrapText="1"/>
    </xf>
    <xf xfId="0" numFmtId="3" applyNumberFormat="1" borderId="14" applyBorder="1" fontId="5" applyFont="1" fillId="2" applyFill="1" applyAlignment="1">
      <alignment horizontal="center" vertical="top" wrapText="1"/>
    </xf>
    <xf xfId="0" numFmtId="3" applyNumberFormat="1" borderId="16" applyBorder="1" fontId="5" applyFont="1" fillId="2" applyFill="1" applyAlignment="1">
      <alignment horizontal="center" vertical="top" wrapText="1"/>
    </xf>
    <xf xfId="0" numFmtId="0" borderId="17" applyBorder="1" fontId="5" applyFont="1" fillId="2" applyFill="1" applyAlignment="1">
      <alignment horizontal="center" wrapText="1"/>
    </xf>
    <xf xfId="0" numFmtId="0" borderId="18" applyBorder="1" fontId="5" applyFont="1" fillId="2" applyFill="1" applyAlignment="1">
      <alignment horizontal="center" wrapText="1"/>
    </xf>
    <xf xfId="0" numFmtId="164" applyNumberFormat="1" borderId="18" applyBorder="1" fontId="5" applyFont="1" fillId="2" applyFill="1" applyAlignment="1">
      <alignment horizontal="center" wrapText="1"/>
    </xf>
    <xf xfId="0" numFmtId="165" applyNumberFormat="1" borderId="18" applyBorder="1" fontId="5" applyFont="1" fillId="2" applyFill="1" applyAlignment="1">
      <alignment horizontal="center" wrapText="1"/>
    </xf>
    <xf xfId="0" numFmtId="3" applyNumberFormat="1" borderId="18" applyBorder="1" fontId="6" applyFont="1" fillId="2" applyFill="1" applyAlignment="1">
      <alignment horizontal="center" wrapText="1"/>
    </xf>
    <xf xfId="0" numFmtId="3" applyNumberFormat="1" borderId="18" applyBorder="1" fontId="5" applyFont="1" fillId="2" applyFill="1" applyAlignment="1">
      <alignment horizontal="center" wrapText="1"/>
    </xf>
    <xf xfId="0" numFmtId="3" applyNumberFormat="1" borderId="17" applyBorder="1" fontId="5" applyFont="1" fillId="2" applyFill="1" applyAlignment="1">
      <alignment horizontal="center" wrapText="1"/>
    </xf>
    <xf xfId="0" numFmtId="3" applyNumberFormat="1" borderId="18" applyBorder="1" fontId="5" applyFont="1" fillId="2" applyFill="1" applyAlignment="1">
      <alignment horizontal="center"/>
    </xf>
    <xf xfId="0" numFmtId="3" applyNumberFormat="1" borderId="17" applyBorder="1" fontId="5" applyFont="1" fillId="2" applyFill="1" applyAlignment="1">
      <alignment horizontal="center"/>
    </xf>
    <xf xfId="0" numFmtId="3" applyNumberFormat="1" borderId="19" applyBorder="1" fontId="5" applyFont="1" fillId="2" applyFill="1" applyAlignment="1">
      <alignment horizontal="center"/>
    </xf>
    <xf xfId="0" numFmtId="0" borderId="20" applyBorder="1" fontId="5" applyFont="1" fillId="0" applyAlignment="1">
      <alignment horizontal="center" wrapText="1"/>
    </xf>
    <xf xfId="0" numFmtId="0" borderId="15" applyBorder="1" fontId="5" applyFont="1" fillId="3" applyFill="1" applyAlignment="1">
      <alignment horizontal="center" vertical="top" wrapText="1"/>
    </xf>
    <xf xfId="0" numFmtId="0" borderId="15" applyBorder="1" fontId="6" applyFont="1" fillId="3" applyFill="1" applyAlignment="1">
      <alignment horizontal="left" vertical="top" wrapText="1"/>
    </xf>
    <xf xfId="0" numFmtId="0" borderId="15" applyBorder="1" fontId="7" applyFont="1" fillId="3" applyFill="1" applyAlignment="1">
      <alignment horizontal="left" vertical="top" wrapText="1"/>
    </xf>
    <xf xfId="0" numFmtId="0" borderId="15" applyBorder="1" fontId="6" applyFont="1" fillId="3" applyFill="1" applyAlignment="1">
      <alignment horizontal="center" vertical="top" wrapText="1"/>
    </xf>
    <xf xfId="0" numFmtId="164" applyNumberFormat="1" borderId="15" applyBorder="1" fontId="6" applyFont="1" fillId="3" applyFill="1" applyAlignment="1">
      <alignment horizontal="center" vertical="top" wrapText="1"/>
    </xf>
    <xf xfId="0" numFmtId="165" applyNumberFormat="1" borderId="15" applyBorder="1" fontId="6" applyFont="1" fillId="3" applyFill="1" applyAlignment="1">
      <alignment horizontal="center" vertical="top" wrapText="1"/>
    </xf>
    <xf xfId="0" numFmtId="0" borderId="21" applyBorder="1" fontId="6" applyFont="1" fillId="3" applyFill="1" applyAlignment="1">
      <alignment horizontal="left" vertical="top" wrapText="1"/>
    </xf>
    <xf xfId="0" numFmtId="3" applyNumberFormat="1" borderId="22" applyBorder="1" fontId="6" applyFont="1" fillId="0" applyAlignment="1">
      <alignment horizontal="left" wrapText="1"/>
    </xf>
    <xf xfId="0" numFmtId="3" applyNumberFormat="1" borderId="14" applyBorder="1" fontId="6" applyFont="1" fillId="2" applyFill="1" applyAlignment="1">
      <alignment horizontal="left" wrapText="1"/>
    </xf>
    <xf xfId="0" numFmtId="165" applyNumberFormat="1" borderId="22" applyBorder="1" fontId="6" applyFont="1" fillId="0" applyAlignment="1">
      <alignment horizontal="right"/>
    </xf>
    <xf xfId="0" numFmtId="0" borderId="22" applyBorder="1" fontId="6" applyFont="1" fillId="0" applyAlignment="1">
      <alignment horizontal="left" vertical="top" wrapText="1"/>
    </xf>
    <xf xfId="0" numFmtId="166" applyNumberFormat="1" borderId="22" applyBorder="1" fontId="6" applyFont="1" fillId="0" applyAlignment="1">
      <alignment horizontal="left" vertical="top" wrapText="1"/>
    </xf>
    <xf xfId="0" numFmtId="0" borderId="15" applyBorder="1" fontId="6" applyFont="1" fillId="2" applyFill="1" applyAlignment="1">
      <alignment horizontal="center" vertical="top" wrapText="1"/>
    </xf>
    <xf xfId="0" numFmtId="0" borderId="21" applyBorder="1" fontId="6" applyFont="1" fillId="3" applyFill="1" applyAlignment="1">
      <alignment horizontal="center"/>
    </xf>
    <xf xfId="0" numFmtId="0" borderId="21" applyBorder="1" fontId="6" applyFont="1" fillId="3" applyFill="1" applyAlignment="1">
      <alignment horizontal="left" wrapText="1"/>
    </xf>
    <xf xfId="0" numFmtId="0" borderId="21" applyBorder="1" fontId="7" applyFont="1" fillId="3" applyFill="1" applyAlignment="1">
      <alignment horizontal="left" wrapText="1"/>
    </xf>
    <xf xfId="0" numFmtId="0" borderId="21" applyBorder="1" fontId="6" applyFont="1" fillId="3" applyFill="1" applyAlignment="1">
      <alignment horizontal="left"/>
    </xf>
    <xf xfId="0" numFmtId="165" applyNumberFormat="1" borderId="21" applyBorder="1" fontId="6" applyFont="1" fillId="3" applyFill="1" applyAlignment="1">
      <alignment horizontal="center" wrapText="1"/>
    </xf>
    <xf xfId="0" numFmtId="0" borderId="21" applyBorder="1" fontId="6" applyFont="1" fillId="3" applyFill="1" applyAlignment="1">
      <alignment horizontal="center" wrapText="1"/>
    </xf>
    <xf xfId="0" numFmtId="164" applyNumberFormat="1" borderId="21" applyBorder="1" fontId="6" applyFont="1" fillId="3" applyFill="1" applyAlignment="1">
      <alignment horizontal="center" wrapText="1"/>
    </xf>
    <xf xfId="0" numFmtId="164" applyNumberFormat="1" borderId="21" applyBorder="1" fontId="5" applyFont="1" fillId="4" applyFill="1" applyAlignment="1">
      <alignment horizontal="right"/>
    </xf>
    <xf xfId="0" numFmtId="164" applyNumberFormat="1" borderId="21" applyBorder="1" fontId="6" applyFont="1" fillId="5" applyFill="1" applyAlignment="1">
      <alignment horizontal="right"/>
    </xf>
    <xf xfId="0" numFmtId="164" applyNumberFormat="1" borderId="23" applyBorder="1" fontId="6" applyFont="1" fillId="2" applyFill="1" applyAlignment="1">
      <alignment horizontal="right"/>
    </xf>
    <xf xfId="0" numFmtId="165" applyNumberFormat="1" borderId="24" applyBorder="1" fontId="6" applyFont="1" fillId="0" applyAlignment="1">
      <alignment horizontal="right"/>
    </xf>
    <xf xfId="0" numFmtId="166" applyNumberFormat="1" borderId="24" applyBorder="1" fontId="6" applyFont="1" fillId="0" applyAlignment="1">
      <alignment horizontal="left" wrapText="1"/>
    </xf>
    <xf xfId="0" numFmtId="0" borderId="21" applyBorder="1" fontId="6" applyFont="1" fillId="2" applyFill="1" applyAlignment="1">
      <alignment horizontal="center" wrapText="1"/>
    </xf>
    <xf xfId="0" numFmtId="0" borderId="18" applyBorder="1" fontId="6" applyFont="1" fillId="3" applyFill="1" applyAlignment="1">
      <alignment horizontal="left" wrapText="1"/>
    </xf>
    <xf xfId="0" numFmtId="3" applyNumberFormat="1" borderId="24" applyBorder="1" fontId="6" applyFont="1" fillId="0" applyAlignment="1">
      <alignment horizontal="left" wrapText="1"/>
    </xf>
    <xf xfId="0" numFmtId="3" applyNumberFormat="1" borderId="23" applyBorder="1" fontId="6" applyFont="1" fillId="2" applyFill="1" applyAlignment="1">
      <alignment horizontal="left" wrapText="1"/>
    </xf>
    <xf xfId="0" numFmtId="3" applyNumberFormat="1" borderId="21" applyBorder="1" fontId="6" applyFont="1" fillId="6" applyFill="1" applyAlignment="1">
      <alignment horizontal="right" wrapText="1"/>
    </xf>
    <xf xfId="0" numFmtId="3" applyNumberFormat="1" borderId="21" applyBorder="1" fontId="6" applyFont="1" fillId="5" applyFill="1" applyAlignment="1">
      <alignment horizontal="right" wrapText="1"/>
    </xf>
    <xf xfId="0" numFmtId="3" applyNumberFormat="1" borderId="21" applyBorder="1" fontId="6" applyFont="1" fillId="2" applyFill="1" applyAlignment="1">
      <alignment horizontal="right" wrapText="1"/>
    </xf>
    <xf xfId="0" numFmtId="164" applyNumberFormat="1" borderId="24" applyBorder="1" fontId="6" applyFont="1" fillId="0" applyAlignment="1">
      <alignment horizontal="center"/>
    </xf>
    <xf xfId="0" numFmtId="165" applyNumberFormat="1" borderId="21" applyBorder="1" fontId="6" applyFont="1" fillId="3" applyFill="1" applyAlignment="1">
      <alignment horizontal="left" wrapText="1"/>
    </xf>
    <xf xfId="0" numFmtId="0" borderId="18" applyBorder="1" fontId="6" applyFont="1" fillId="3" applyFill="1" applyAlignment="1">
      <alignment horizontal="center"/>
    </xf>
    <xf xfId="0" numFmtId="0" borderId="18" applyBorder="1" fontId="7" applyFont="1" fillId="3" applyFill="1" applyAlignment="1">
      <alignment horizontal="left" wrapText="1"/>
    </xf>
    <xf xfId="0" numFmtId="0" borderId="18" applyBorder="1" fontId="6" applyFont="1" fillId="3" applyFill="1" applyAlignment="1">
      <alignment horizontal="left"/>
    </xf>
    <xf xfId="0" numFmtId="0" borderId="18" applyBorder="1" fontId="6" applyFont="1" fillId="3" applyFill="1" applyAlignment="1">
      <alignment horizontal="center" wrapText="1"/>
    </xf>
    <xf xfId="0" numFmtId="164" applyNumberFormat="1" borderId="18" applyBorder="1" fontId="6" applyFont="1" fillId="3" applyFill="1" applyAlignment="1">
      <alignment horizontal="center" wrapText="1"/>
    </xf>
    <xf xfId="0" numFmtId="165" applyNumberFormat="1" borderId="18" applyBorder="1" fontId="6" applyFont="1" fillId="3" applyFill="1" applyAlignment="1">
      <alignment horizontal="center" wrapText="1"/>
    </xf>
    <xf xfId="0" numFmtId="3" applyNumberFormat="1" borderId="18" applyBorder="1" fontId="6" applyFont="1" fillId="5" applyFill="1" applyAlignment="1">
      <alignment horizontal="right" wrapText="1"/>
    </xf>
    <xf xfId="0" numFmtId="3" applyNumberFormat="1" borderId="17" applyBorder="1" fontId="6" applyFont="1" fillId="2" applyFill="1" applyAlignment="1">
      <alignment horizontal="right" wrapText="1"/>
    </xf>
    <xf xfId="0" numFmtId="165" applyNumberFormat="1" borderId="20" applyBorder="1" fontId="6" applyFont="1" fillId="0" applyAlignment="1">
      <alignment horizontal="right"/>
    </xf>
    <xf xfId="0" numFmtId="166" applyNumberFormat="1" borderId="20" applyBorder="1" fontId="6" applyFont="1" fillId="0" applyAlignment="1">
      <alignment horizontal="left" wrapText="1"/>
    </xf>
    <xf xfId="0" numFmtId="0" borderId="18" applyBorder="1" fontId="6" applyFont="1" fillId="2" applyFill="1" applyAlignment="1">
      <alignment horizontal="center" wrapText="1"/>
    </xf>
    <xf xfId="0" numFmtId="165" applyNumberFormat="1" borderId="18" applyBorder="1" fontId="6" applyFont="1" fillId="3" applyFill="1" applyAlignment="1">
      <alignment horizontal="left" wrapText="1"/>
    </xf>
    <xf xfId="0" numFmtId="1" applyNumberFormat="1" borderId="21" applyBorder="1" fontId="6" applyFont="1" fillId="3" applyFill="1" applyAlignment="1">
      <alignment horizontal="left" wrapText="1"/>
    </xf>
    <xf xfId="0" numFmtId="0" borderId="24" applyBorder="1" fontId="6" applyFont="1" fillId="0" applyAlignment="1">
      <alignment horizontal="left" wrapText="1"/>
    </xf>
    <xf xfId="0" numFmtId="0" borderId="24" applyBorder="1" fontId="6" applyFont="1" fillId="0" applyAlignment="1">
      <alignment horizontal="center" wrapText="1"/>
    </xf>
    <xf xfId="0" numFmtId="1" applyNumberFormat="1" borderId="18" applyBorder="1" fontId="6" applyFont="1" fillId="3" applyFill="1" applyAlignment="1">
      <alignment horizontal="left" wrapText="1"/>
    </xf>
    <xf xfId="0" numFmtId="3" applyNumberFormat="1" borderId="18" applyBorder="1" fontId="6" applyFont="1" fillId="6" applyFill="1" applyAlignment="1">
      <alignment horizontal="right" wrapText="1"/>
    </xf>
    <xf xfId="0" numFmtId="0" borderId="20" applyBorder="1" fontId="6" applyFont="1" fillId="0" applyAlignment="1">
      <alignment horizontal="left" wrapText="1"/>
    </xf>
    <xf xfId="0" numFmtId="0" borderId="20" applyBorder="1" fontId="6" applyFont="1" fillId="0" applyAlignment="1">
      <alignment horizontal="center" wrapText="1"/>
    </xf>
    <xf xfId="0" numFmtId="0" borderId="15" applyBorder="1" fontId="6" applyFont="1" fillId="2" applyFill="1" applyAlignment="1">
      <alignment horizontal="left" vertical="top" wrapText="1"/>
    </xf>
    <xf xfId="0" numFmtId="164" applyNumberFormat="1" borderId="15" applyBorder="1" fontId="6" applyFont="1" fillId="2" applyFill="1" applyAlignment="1">
      <alignment horizontal="center" vertical="top" wrapText="1"/>
    </xf>
    <xf xfId="0" numFmtId="165" applyNumberFormat="1" borderId="15" applyBorder="1" fontId="6" applyFont="1" fillId="2" applyFill="1" applyAlignment="1">
      <alignment horizontal="center" vertical="top" wrapText="1"/>
    </xf>
    <xf xfId="0" numFmtId="0" borderId="21" applyBorder="1" fontId="5" applyFont="1" fillId="2" applyFill="1" applyAlignment="1">
      <alignment horizontal="center" wrapText="1"/>
    </xf>
    <xf xfId="0" numFmtId="0" borderId="21" applyBorder="1" fontId="6" applyFont="1" fillId="2" applyFill="1" applyAlignment="1">
      <alignment horizontal="left" wrapText="1"/>
    </xf>
    <xf xfId="0" numFmtId="0" borderId="21" applyBorder="1" fontId="6" applyFont="1" fillId="2" applyFill="1" applyAlignment="1">
      <alignment horizontal="left"/>
    </xf>
    <xf xfId="0" numFmtId="164" applyNumberFormat="1" borderId="21" applyBorder="1" fontId="6" applyFont="1" fillId="2" applyFill="1" applyAlignment="1">
      <alignment horizontal="center" wrapText="1"/>
    </xf>
    <xf xfId="0" numFmtId="165" applyNumberFormat="1" borderId="21" applyBorder="1" fontId="6" applyFont="1" fillId="2" applyFill="1" applyAlignment="1">
      <alignment horizontal="center" wrapText="1"/>
    </xf>
    <xf xfId="0" numFmtId="1" applyNumberFormat="1" borderId="21" applyBorder="1" fontId="8" applyFont="1" fillId="2" applyFill="1" applyAlignment="1">
      <alignment horizontal="left" wrapText="1"/>
    </xf>
    <xf xfId="0" numFmtId="1" applyNumberFormat="1" borderId="18" applyBorder="1" fontId="8" applyFont="1" fillId="2" applyFill="1" applyAlignment="1">
      <alignment horizontal="left" wrapText="1"/>
    </xf>
    <xf xfId="0" numFmtId="1" applyNumberFormat="1" borderId="21" applyBorder="1" fontId="6" applyFont="1" fillId="2" applyFill="1" applyAlignment="1">
      <alignment horizontal="left" wrapText="1"/>
    </xf>
    <xf xfId="0" numFmtId="0" borderId="18" applyBorder="1" fontId="6" applyFont="1" fillId="2" applyFill="1" applyAlignment="1">
      <alignment horizontal="left" wrapText="1"/>
    </xf>
    <xf xfId="0" numFmtId="0" borderId="18" applyBorder="1" fontId="6" applyFont="1" fillId="2" applyFill="1" applyAlignment="1">
      <alignment horizontal="left"/>
    </xf>
    <xf xfId="0" numFmtId="164" applyNumberFormat="1" borderId="18" applyBorder="1" fontId="6" applyFont="1" fillId="2" applyFill="1" applyAlignment="1">
      <alignment horizontal="center" wrapText="1"/>
    </xf>
    <xf xfId="0" numFmtId="165" applyNumberFormat="1" borderId="18" applyBorder="1" fontId="6" applyFont="1" fillId="2" applyFill="1" applyAlignment="1">
      <alignment horizontal="center" wrapText="1"/>
    </xf>
    <xf xfId="0" numFmtId="1" applyNumberFormat="1" borderId="18" applyBorder="1" fontId="6" applyFont="1" fillId="2" applyFill="1" applyAlignment="1">
      <alignment horizontal="left" wrapText="1"/>
    </xf>
    <xf xfId="0" numFmtId="3" applyNumberFormat="1" borderId="18" applyBorder="1" fontId="6" applyFont="1" fillId="7" applyFill="1" applyAlignment="1">
      <alignment horizontal="right" wrapText="1"/>
    </xf>
    <xf xfId="0" numFmtId="0" borderId="21" applyBorder="1" fontId="5" applyFont="1" fillId="3" applyFill="1" applyAlignment="1">
      <alignment horizontal="center" wrapText="1"/>
    </xf>
    <xf xfId="0" numFmtId="0" borderId="18" applyBorder="1" fontId="5" applyFont="1" fillId="3" applyFill="1" applyAlignment="1">
      <alignment horizontal="center" wrapText="1"/>
    </xf>
    <xf xfId="0" numFmtId="165" applyNumberFormat="1" borderId="4" applyBorder="1" fontId="3" applyFont="1" fillId="0" applyAlignment="1">
      <alignment horizontal="right"/>
    </xf>
    <xf xfId="0" numFmtId="0" borderId="4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165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340"/>
  <sheetViews>
    <sheetView workbookViewId="0" tabSelected="1">
      <pane state="frozen" activePane="bottomLeft" topLeftCell="A6" ySplit="5" xSplit="0"/>
    </sheetView>
  </sheetViews>
  <sheetFormatPr defaultRowHeight="15" x14ac:dyDescent="0.25"/>
  <cols>
    <col min="1" max="1" style="158" width="16.576428571428572" customWidth="1" bestFit="1"/>
    <col min="2" max="2" style="158" width="12.43357142857143" customWidth="1" bestFit="1"/>
    <col min="3" max="3" style="158" width="26.719285714285714" customWidth="1" bestFit="1"/>
    <col min="4" max="4" style="158" width="26.719285714285714" customWidth="1" bestFit="1"/>
    <col min="5" max="5" style="158" width="22.433571428571426" customWidth="1" bestFit="1"/>
    <col min="6" max="6" style="159" width="14.576428571428572" customWidth="1" bestFit="1"/>
    <col min="7" max="7" style="158" width="23.433571428571426" customWidth="1" bestFit="1"/>
    <col min="8" max="8" style="159" width="18.005" customWidth="1" bestFit="1"/>
    <col min="9" max="9" style="160" width="11.147857142857141" customWidth="1" bestFit="1"/>
    <col min="10" max="10" style="161" width="11.147857142857141" customWidth="1" bestFit="1"/>
    <col min="11" max="11" style="159" width="28.576428571428572" customWidth="1" bestFit="1"/>
    <col min="12" max="12" style="162" width="17.005" customWidth="1" bestFit="1"/>
    <col min="13" max="13" style="162" width="11.147857142857141" customWidth="1" bestFit="1"/>
    <col min="14" max="14" style="162" width="11.719285714285713" customWidth="1" bestFit="1"/>
    <col min="15" max="15" style="162" width="10.719285714285713" customWidth="1" bestFit="1"/>
    <col min="16" max="16" style="162" width="10.719285714285713" customWidth="1" bestFit="1"/>
    <col min="17" max="17" style="162" width="10.719285714285713" customWidth="1" bestFit="1"/>
    <col min="18" max="18" style="162" width="10.719285714285713" customWidth="1" bestFit="1"/>
    <col min="19" max="19" style="162" width="10.719285714285713" customWidth="1" bestFit="1"/>
    <col min="20" max="20" style="162" width="10.719285714285713" customWidth="1" bestFit="1"/>
    <col min="21" max="21" style="162" width="10.719285714285713" customWidth="1" bestFit="1"/>
    <col min="22" max="22" style="162" width="10.719285714285713" customWidth="1" bestFit="1"/>
    <col min="23" max="23" style="162" width="10.719285714285713" customWidth="1" bestFit="1"/>
    <col min="24" max="24" style="162" width="10.719285714285713" customWidth="1" bestFit="1"/>
    <col min="25" max="25" style="162" width="10.719285714285713" customWidth="1" bestFit="1"/>
    <col min="26" max="26" style="162" width="10.719285714285713" customWidth="1" bestFit="1"/>
    <col min="27" max="27" style="162" width="10.719285714285713" customWidth="1" bestFit="1"/>
    <col min="28" max="28" style="162" width="10.719285714285713" customWidth="1" bestFit="1"/>
    <col min="29" max="29" style="162" width="10.719285714285713" customWidth="1" bestFit="1"/>
    <col min="30" max="30" style="162" width="10.719285714285713" customWidth="1" bestFit="1"/>
    <col min="31" max="31" style="162" width="10.719285714285713" customWidth="1" bestFit="1"/>
    <col min="32" max="32" style="162" width="10.719285714285713" customWidth="1" bestFit="1"/>
    <col min="33" max="33" style="162" width="10.719285714285713" customWidth="1" bestFit="1"/>
    <col min="34" max="34" style="162" width="10.719285714285713" customWidth="1" bestFit="1"/>
    <col min="35" max="35" style="162" width="10.719285714285713" customWidth="1" bestFit="1"/>
    <col min="36" max="36" style="163" width="16.005" customWidth="1" bestFit="1"/>
    <col min="37" max="37" style="158" width="20.005" customWidth="1" bestFit="1"/>
    <col min="38" max="38" style="158" width="12.576428571428572" customWidth="1" bestFit="1"/>
    <col min="39" max="39" style="158" width="28.719285714285714" customWidth="1" bestFit="1"/>
    <col min="40" max="40" style="158" width="21.290714285714284" customWidth="1" bestFit="1"/>
  </cols>
  <sheetData>
    <row x14ac:dyDescent="0.25" r="1" customHeight="1" ht="12.75">
      <c r="A1" s="1"/>
      <c r="B1" s="2"/>
      <c r="C1" s="3"/>
      <c r="D1" s="4"/>
      <c r="E1" s="5" t="s">
        <v>0</v>
      </c>
      <c r="F1" s="6"/>
      <c r="G1" s="6"/>
      <c r="H1" s="6"/>
      <c r="I1" s="7"/>
      <c r="J1" s="8"/>
      <c r="K1" s="6"/>
      <c r="L1" s="9"/>
      <c r="M1" s="9"/>
      <c r="N1" s="10"/>
      <c r="O1" s="11" t="s">
        <v>1</v>
      </c>
      <c r="P1" s="12"/>
      <c r="Q1" s="12"/>
      <c r="R1" s="13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5"/>
      <c r="AK1" s="16"/>
      <c r="AL1" s="1"/>
      <c r="AM1" s="1"/>
      <c r="AN1" s="1"/>
    </row>
    <row x14ac:dyDescent="0.25" r="2" customHeight="1" ht="12.75">
      <c r="A2" s="1"/>
      <c r="B2" s="16"/>
      <c r="C2" s="16"/>
      <c r="D2" s="17"/>
      <c r="E2" s="18"/>
      <c r="F2" s="19"/>
      <c r="G2" s="19"/>
      <c r="H2" s="19"/>
      <c r="I2" s="20"/>
      <c r="J2" s="21"/>
      <c r="K2" s="19"/>
      <c r="L2" s="22"/>
      <c r="M2" s="22"/>
      <c r="N2" s="23"/>
      <c r="O2" s="24" t="s">
        <v>2</v>
      </c>
      <c r="P2" s="25"/>
      <c r="Q2" s="25"/>
      <c r="R2" s="26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5"/>
      <c r="AK2" s="16"/>
      <c r="AL2" s="1"/>
      <c r="AM2" s="1"/>
      <c r="AN2" s="1"/>
    </row>
    <row x14ac:dyDescent="0.25" r="3" customHeight="1" ht="15.75">
      <c r="A3" s="1"/>
      <c r="B3" s="16"/>
      <c r="C3" s="16"/>
      <c r="D3" s="17"/>
      <c r="E3" s="18"/>
      <c r="F3" s="19"/>
      <c r="G3" s="19"/>
      <c r="H3" s="19"/>
      <c r="I3" s="20"/>
      <c r="J3" s="21"/>
      <c r="K3" s="19"/>
      <c r="L3" s="22"/>
      <c r="M3" s="22"/>
      <c r="N3" s="23"/>
      <c r="O3" s="27"/>
      <c r="P3" s="28"/>
      <c r="Q3" s="28"/>
      <c r="R3" s="29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5"/>
      <c r="AK3" s="16"/>
      <c r="AL3" s="1"/>
      <c r="AM3" s="1"/>
      <c r="AN3" s="1"/>
    </row>
    <row x14ac:dyDescent="0.25" r="4" customHeight="1" ht="12.75">
      <c r="A4" s="1"/>
      <c r="B4" s="16"/>
      <c r="C4" s="16"/>
      <c r="D4" s="17"/>
      <c r="E4" s="18"/>
      <c r="F4" s="19"/>
      <c r="G4" s="19"/>
      <c r="H4" s="19"/>
      <c r="I4" s="20"/>
      <c r="J4" s="21"/>
      <c r="K4" s="19"/>
      <c r="L4" s="22"/>
      <c r="M4" s="22"/>
      <c r="N4" s="23"/>
      <c r="O4" s="30"/>
      <c r="P4" s="31"/>
      <c r="Q4" s="31"/>
      <c r="R4" s="32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5"/>
      <c r="AK4" s="16"/>
      <c r="AL4" s="1"/>
      <c r="AM4" s="1"/>
      <c r="AN4" s="1"/>
    </row>
    <row x14ac:dyDescent="0.25" r="5" customHeight="1" ht="20.25">
      <c r="A5" s="1"/>
      <c r="B5" s="33"/>
      <c r="C5" s="33"/>
      <c r="D5" s="34"/>
      <c r="E5" s="35"/>
      <c r="F5" s="36"/>
      <c r="G5" s="36"/>
      <c r="H5" s="36"/>
      <c r="I5" s="37"/>
      <c r="J5" s="38"/>
      <c r="K5" s="36"/>
      <c r="L5" s="39"/>
      <c r="M5" s="39"/>
      <c r="N5" s="40"/>
      <c r="O5" s="41" t="s">
        <v>3</v>
      </c>
      <c r="P5" s="42"/>
      <c r="Q5" s="42"/>
      <c r="R5" s="43"/>
      <c r="S5" s="14"/>
      <c r="T5" s="14"/>
      <c r="U5" s="14"/>
      <c r="V5" s="14" t="s">
        <v>4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5"/>
      <c r="AK5" s="16"/>
      <c r="AL5" s="1"/>
      <c r="AM5" s="1"/>
      <c r="AN5" s="1"/>
    </row>
    <row x14ac:dyDescent="0.25" r="6" customHeight="1" ht="18.75">
      <c r="A6" s="1"/>
      <c r="B6" s="44" t="s">
        <v>5</v>
      </c>
      <c r="C6" s="45"/>
      <c r="D6" s="46"/>
      <c r="E6" s="47" t="s">
        <v>6</v>
      </c>
      <c r="F6" s="48"/>
      <c r="G6" s="48"/>
      <c r="H6" s="48"/>
      <c r="I6" s="49"/>
      <c r="J6" s="50"/>
      <c r="K6" s="48"/>
      <c r="L6" s="51"/>
      <c r="M6" s="51"/>
      <c r="N6" s="52"/>
      <c r="O6" s="53" t="s">
        <v>7</v>
      </c>
      <c r="P6" s="51"/>
      <c r="Q6" s="51"/>
      <c r="R6" s="52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K6" s="1"/>
      <c r="AL6" s="1"/>
      <c r="AM6" s="1"/>
      <c r="AN6" s="1"/>
    </row>
    <row x14ac:dyDescent="0.25" r="7" customHeight="1" ht="19.5">
      <c r="A7" s="1"/>
      <c r="B7" s="1"/>
      <c r="C7" s="1"/>
      <c r="D7" s="1"/>
      <c r="E7" s="56"/>
      <c r="F7" s="57"/>
      <c r="G7" s="1"/>
      <c r="H7" s="57"/>
      <c r="I7" s="58"/>
      <c r="J7" s="59"/>
      <c r="K7" s="57"/>
      <c r="L7" s="54"/>
      <c r="M7" s="5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5"/>
      <c r="AK7" s="16"/>
      <c r="AL7" s="1"/>
      <c r="AM7" s="1"/>
      <c r="AN7" s="1"/>
    </row>
    <row x14ac:dyDescent="0.25" r="8" customHeight="1" ht="19.5">
      <c r="A8" s="1"/>
      <c r="B8" s="56" t="s">
        <v>8</v>
      </c>
      <c r="C8" s="56"/>
      <c r="D8" s="56"/>
      <c r="E8" s="60"/>
      <c r="F8" s="57"/>
      <c r="G8" s="1"/>
      <c r="H8" s="57"/>
      <c r="I8" s="58"/>
      <c r="J8" s="59"/>
      <c r="K8" s="57"/>
      <c r="L8" s="54"/>
      <c r="M8" s="5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5"/>
      <c r="AK8" s="14"/>
      <c r="AL8" s="1"/>
      <c r="AM8" s="1"/>
      <c r="AN8" s="1"/>
    </row>
    <row x14ac:dyDescent="0.25" r="9" customHeight="1" ht="19.5">
      <c r="A9" s="1"/>
      <c r="B9" s="56" t="s">
        <v>9</v>
      </c>
      <c r="C9" s="56"/>
      <c r="D9" s="56"/>
      <c r="E9" s="60"/>
      <c r="F9" s="57"/>
      <c r="G9" s="1"/>
      <c r="H9" s="57"/>
      <c r="I9" s="58"/>
      <c r="J9" s="59"/>
      <c r="K9" s="57"/>
      <c r="L9" s="54"/>
      <c r="M9" s="5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5"/>
      <c r="AK9" s="16"/>
      <c r="AL9" s="1"/>
      <c r="AM9" s="1"/>
      <c r="AN9" s="1"/>
    </row>
    <row x14ac:dyDescent="0.25" r="10" customHeight="1" ht="19.5">
      <c r="A10" s="1"/>
      <c r="B10" s="56"/>
      <c r="C10" s="56"/>
      <c r="D10" s="56"/>
      <c r="E10" s="56"/>
      <c r="F10" s="57"/>
      <c r="G10" s="1"/>
      <c r="H10" s="57"/>
      <c r="I10" s="58"/>
      <c r="J10" s="59"/>
      <c r="K10" s="57"/>
      <c r="L10" s="54"/>
      <c r="M10" s="54"/>
      <c r="N10" s="14"/>
      <c r="O10" s="14"/>
      <c r="P10" s="61"/>
      <c r="Q10" s="61"/>
      <c r="R10" s="61"/>
      <c r="S10" s="61"/>
      <c r="T10" s="61"/>
      <c r="U10" s="61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61"/>
      <c r="AJ10" s="62"/>
      <c r="AK10" s="63"/>
      <c r="AL10" s="64"/>
      <c r="AM10" s="64"/>
      <c r="AN10" s="64"/>
    </row>
    <row x14ac:dyDescent="0.25" r="11" customHeight="1" ht="18.75" customFormat="1" s="65">
      <c r="A11" s="66" t="s">
        <v>10</v>
      </c>
      <c r="B11" s="66" t="s">
        <v>11</v>
      </c>
      <c r="C11" s="66" t="s">
        <v>12</v>
      </c>
      <c r="D11" s="67" t="s">
        <v>13</v>
      </c>
      <c r="E11" s="67" t="s">
        <v>14</v>
      </c>
      <c r="F11" s="67" t="s">
        <v>15</v>
      </c>
      <c r="G11" s="67" t="s">
        <v>16</v>
      </c>
      <c r="H11" s="67" t="s">
        <v>17</v>
      </c>
      <c r="I11" s="68" t="s">
        <v>18</v>
      </c>
      <c r="J11" s="69" t="s">
        <v>19</v>
      </c>
      <c r="K11" s="67" t="s">
        <v>20</v>
      </c>
      <c r="L11" s="70" t="s">
        <v>21</v>
      </c>
      <c r="M11" s="70" t="s">
        <v>22</v>
      </c>
      <c r="N11" s="70" t="s">
        <v>23</v>
      </c>
      <c r="O11" s="71" t="s">
        <v>24</v>
      </c>
      <c r="P11" s="70" t="s">
        <v>25</v>
      </c>
      <c r="Q11" s="70" t="s">
        <v>26</v>
      </c>
      <c r="R11" s="70" t="s">
        <v>27</v>
      </c>
      <c r="S11" s="70" t="s">
        <v>28</v>
      </c>
      <c r="T11" s="70" t="s">
        <v>29</v>
      </c>
      <c r="U11" s="71" t="s">
        <v>30</v>
      </c>
      <c r="V11" s="71" t="s">
        <v>31</v>
      </c>
      <c r="W11" s="70" t="s">
        <v>32</v>
      </c>
      <c r="X11" s="72" t="s">
        <v>33</v>
      </c>
      <c r="Y11" s="70" t="s">
        <v>34</v>
      </c>
      <c r="Z11" s="70" t="s">
        <v>35</v>
      </c>
      <c r="AA11" s="70" t="s">
        <v>36</v>
      </c>
      <c r="AB11" s="70" t="s">
        <v>37</v>
      </c>
      <c r="AC11" s="70" t="s">
        <v>38</v>
      </c>
      <c r="AD11" s="70" t="s">
        <v>39</v>
      </c>
      <c r="AE11" s="70" t="s">
        <v>40</v>
      </c>
      <c r="AF11" s="71" t="s">
        <v>41</v>
      </c>
      <c r="AG11" s="70" t="s">
        <v>42</v>
      </c>
      <c r="AH11" s="70" t="s">
        <v>43</v>
      </c>
      <c r="AI11" s="70" t="s">
        <v>44</v>
      </c>
      <c r="AJ11" s="68" t="s">
        <v>45</v>
      </c>
      <c r="AK11" s="67" t="s">
        <v>46</v>
      </c>
      <c r="AL11" s="67" t="s">
        <v>47</v>
      </c>
      <c r="AM11" s="67" t="s">
        <v>48</v>
      </c>
      <c r="AN11" s="57"/>
    </row>
    <row x14ac:dyDescent="0.25" r="12" customHeight="1" ht="18.75">
      <c r="A12" s="73"/>
      <c r="B12" s="73"/>
      <c r="C12" s="73"/>
      <c r="D12" s="74"/>
      <c r="E12" s="74"/>
      <c r="F12" s="74"/>
      <c r="G12" s="74"/>
      <c r="H12" s="74"/>
      <c r="I12" s="75"/>
      <c r="J12" s="76"/>
      <c r="K12" s="74"/>
      <c r="L12" s="77"/>
      <c r="M12" s="78"/>
      <c r="N12" s="78"/>
      <c r="O12" s="79"/>
      <c r="P12" s="78"/>
      <c r="Q12" s="78"/>
      <c r="R12" s="78"/>
      <c r="S12" s="80"/>
      <c r="T12" s="78"/>
      <c r="U12" s="81"/>
      <c r="V12" s="81"/>
      <c r="W12" s="80"/>
      <c r="X12" s="82"/>
      <c r="Y12" s="78"/>
      <c r="Z12" s="80"/>
      <c r="AA12" s="80"/>
      <c r="AB12" s="80"/>
      <c r="AC12" s="80"/>
      <c r="AD12" s="80"/>
      <c r="AE12" s="80"/>
      <c r="AF12" s="81"/>
      <c r="AG12" s="80"/>
      <c r="AH12" s="78"/>
      <c r="AI12" s="78"/>
      <c r="AJ12" s="75"/>
      <c r="AK12" s="83"/>
      <c r="AL12" s="74"/>
      <c r="AM12" s="74"/>
      <c r="AN12" s="1"/>
    </row>
    <row x14ac:dyDescent="0.25" r="13" customHeight="1" ht="27">
      <c r="A13" s="84" t="s">
        <v>49</v>
      </c>
      <c r="B13" s="85" t="s">
        <v>50</v>
      </c>
      <c r="C13" s="86" t="s">
        <v>51</v>
      </c>
      <c r="D13" s="87" t="s">
        <v>52</v>
      </c>
      <c r="E13" s="87" t="s">
        <v>53</v>
      </c>
      <c r="F13" s="87" t="s">
        <v>54</v>
      </c>
      <c r="G13" s="87" t="s">
        <v>55</v>
      </c>
      <c r="H13" s="87" t="s">
        <v>54</v>
      </c>
      <c r="I13" s="88">
        <f>L14</f>
      </c>
      <c r="J13" s="89">
        <v>0.15</v>
      </c>
      <c r="K13" s="90" t="s">
        <v>56</v>
      </c>
      <c r="L13" s="91" t="s">
        <v>57</v>
      </c>
      <c r="M13" s="91" t="s">
        <v>57</v>
      </c>
      <c r="N13" s="91" t="s">
        <v>57</v>
      </c>
      <c r="O13" s="92" t="s">
        <v>57</v>
      </c>
      <c r="P13" s="91" t="s">
        <v>57</v>
      </c>
      <c r="Q13" s="92" t="s">
        <v>57</v>
      </c>
      <c r="R13" s="91" t="s">
        <v>57</v>
      </c>
      <c r="S13" s="92" t="s">
        <v>57</v>
      </c>
      <c r="T13" s="91" t="s">
        <v>57</v>
      </c>
      <c r="U13" s="92" t="s">
        <v>57</v>
      </c>
      <c r="V13" s="91" t="s">
        <v>57</v>
      </c>
      <c r="W13" s="92" t="s">
        <v>57</v>
      </c>
      <c r="X13" s="91" t="s">
        <v>57</v>
      </c>
      <c r="Y13" s="92" t="s">
        <v>57</v>
      </c>
      <c r="Z13" s="91" t="s">
        <v>57</v>
      </c>
      <c r="AA13" s="92" t="s">
        <v>57</v>
      </c>
      <c r="AB13" s="91" t="s">
        <v>57</v>
      </c>
      <c r="AC13" s="92" t="s">
        <v>57</v>
      </c>
      <c r="AD13" s="91" t="s">
        <v>57</v>
      </c>
      <c r="AE13" s="92" t="s">
        <v>57</v>
      </c>
      <c r="AF13" s="91" t="s">
        <v>57</v>
      </c>
      <c r="AG13" s="92" t="s">
        <v>57</v>
      </c>
      <c r="AH13" s="91" t="s">
        <v>57</v>
      </c>
      <c r="AI13" s="92" t="s">
        <v>57</v>
      </c>
      <c r="AJ13" s="93"/>
      <c r="AK13" s="94" t="s">
        <v>58</v>
      </c>
      <c r="AL13" s="95"/>
      <c r="AM13" s="96" t="s">
        <v>59</v>
      </c>
      <c r="AN13" s="1"/>
    </row>
    <row x14ac:dyDescent="0.25" r="14" customHeight="1" ht="18.75">
      <c r="A14" s="97"/>
      <c r="B14" s="98"/>
      <c r="C14" s="99"/>
      <c r="D14" s="100"/>
      <c r="E14" s="101"/>
      <c r="F14" s="102"/>
      <c r="G14" s="101"/>
      <c r="H14" s="102"/>
      <c r="I14" s="103"/>
      <c r="J14" s="101"/>
      <c r="K14" s="98"/>
      <c r="L14" s="104">
        <f>IF(L16&lt;&gt;0,+L16/L18,0%)</f>
      </c>
      <c r="M14" s="105">
        <f>IF(M16&lt;&gt;0,+M16/M18,0%)</f>
      </c>
      <c r="N14" s="105">
        <f>IF(N16&lt;&gt;0,+N16/N18,0%)</f>
      </c>
      <c r="O14" s="106">
        <f>IF(O16&lt;&gt;0,+O16/O18,0%)</f>
      </c>
      <c r="P14" s="105">
        <f>IF(P16&lt;&gt;0,+P16/P18,0%)</f>
      </c>
      <c r="Q14" s="106">
        <f>IF(Q16&lt;&gt;0,+Q16/Q18,0%)</f>
      </c>
      <c r="R14" s="105">
        <f>IF(R16&lt;&gt;0,+R16/R18,0%)</f>
      </c>
      <c r="S14" s="106">
        <f>IF(S16&lt;&gt;0,+S16/S18,0%)</f>
      </c>
      <c r="T14" s="105">
        <f>IF(T16&lt;&gt;0,+T16/T18,0%)</f>
      </c>
      <c r="U14" s="106">
        <f>IF(U16&lt;&gt;0,+U16/U18,0%)</f>
      </c>
      <c r="V14" s="105">
        <f>IF(V16&lt;&gt;0,+V16/V18,0%)</f>
      </c>
      <c r="W14" s="106">
        <f>IF(W16&lt;&gt;0,+W16/W18,0%)</f>
      </c>
      <c r="X14" s="105">
        <f>IF(X16&lt;&gt;0,+X16/X18,0%)</f>
      </c>
      <c r="Y14" s="106">
        <f>IF(Y16&lt;&gt;0,+Y16/Y18,0%)</f>
      </c>
      <c r="Z14" s="105">
        <f>IF(Z16&lt;&gt;0,+Z16/Z18,0%)</f>
      </c>
      <c r="AA14" s="106">
        <f>IF(AA16&lt;&gt;0,+AA16/AA18,0%)</f>
      </c>
      <c r="AB14" s="105">
        <f>IF(AB16&lt;&gt;0,+AB16/AB18,0%)</f>
      </c>
      <c r="AC14" s="106">
        <f>IF(AC16&lt;&gt;0,+AC16/AC18,0%)</f>
      </c>
      <c r="AD14" s="105">
        <f>IF(AD16&lt;&gt;0,+AD16/AD18,0%)</f>
      </c>
      <c r="AE14" s="106">
        <f>IF(AE16&lt;&gt;0,+AE16/AE18,0%)</f>
      </c>
      <c r="AF14" s="105">
        <f>IF(AF16&lt;&gt;0,+AF16/AF18,0%)</f>
      </c>
      <c r="AG14" s="106">
        <f>IF(AG16&lt;&gt;0,+AG16/AG18,0%)</f>
      </c>
      <c r="AH14" s="105">
        <f>IF(AH16&lt;&gt;0,+AH16/AH18,0%)</f>
      </c>
      <c r="AI14" s="106">
        <f>IF(AI16&lt;&gt;0,+AI16/AI18,0%)</f>
      </c>
      <c r="AJ14" s="107"/>
      <c r="AK14" s="108"/>
      <c r="AL14" s="108"/>
      <c r="AM14" s="109"/>
      <c r="AN14" s="1"/>
    </row>
    <row x14ac:dyDescent="0.25" r="15" customHeight="1" ht="18.75">
      <c r="A15" s="97"/>
      <c r="B15" s="98"/>
      <c r="C15" s="99"/>
      <c r="D15" s="100"/>
      <c r="E15" s="101"/>
      <c r="F15" s="102"/>
      <c r="G15" s="101"/>
      <c r="H15" s="102"/>
      <c r="I15" s="103"/>
      <c r="J15" s="101"/>
      <c r="K15" s="110"/>
      <c r="L15" s="111" t="s">
        <v>60</v>
      </c>
      <c r="M15" s="111" t="s">
        <v>60</v>
      </c>
      <c r="N15" s="111" t="s">
        <v>60</v>
      </c>
      <c r="O15" s="112" t="s">
        <v>60</v>
      </c>
      <c r="P15" s="111" t="s">
        <v>60</v>
      </c>
      <c r="Q15" s="112" t="s">
        <v>60</v>
      </c>
      <c r="R15" s="111" t="s">
        <v>60</v>
      </c>
      <c r="S15" s="112" t="s">
        <v>60</v>
      </c>
      <c r="T15" s="111" t="s">
        <v>60</v>
      </c>
      <c r="U15" s="112" t="s">
        <v>60</v>
      </c>
      <c r="V15" s="111" t="s">
        <v>60</v>
      </c>
      <c r="W15" s="112" t="s">
        <v>60</v>
      </c>
      <c r="X15" s="111" t="s">
        <v>60</v>
      </c>
      <c r="Y15" s="112" t="s">
        <v>60</v>
      </c>
      <c r="Z15" s="111" t="s">
        <v>60</v>
      </c>
      <c r="AA15" s="112" t="s">
        <v>60</v>
      </c>
      <c r="AB15" s="111" t="s">
        <v>60</v>
      </c>
      <c r="AC15" s="112" t="s">
        <v>60</v>
      </c>
      <c r="AD15" s="111" t="s">
        <v>60</v>
      </c>
      <c r="AE15" s="112" t="s">
        <v>60</v>
      </c>
      <c r="AF15" s="111" t="s">
        <v>60</v>
      </c>
      <c r="AG15" s="112" t="s">
        <v>60</v>
      </c>
      <c r="AH15" s="111" t="s">
        <v>60</v>
      </c>
      <c r="AI15" s="112" t="s">
        <v>60</v>
      </c>
      <c r="AJ15" s="107"/>
      <c r="AK15" s="108"/>
      <c r="AL15" s="108"/>
      <c r="AM15" s="109"/>
      <c r="AN15" s="1"/>
    </row>
    <row x14ac:dyDescent="0.25" r="16" customHeight="1" ht="22.899999999999995">
      <c r="A16" s="97"/>
      <c r="B16" s="98"/>
      <c r="C16" s="99"/>
      <c r="D16" s="100"/>
      <c r="E16" s="101"/>
      <c r="F16" s="102"/>
      <c r="G16" s="101"/>
      <c r="H16" s="102"/>
      <c r="I16" s="103"/>
      <c r="J16" s="101"/>
      <c r="K16" s="85" t="s">
        <v>61</v>
      </c>
      <c r="L16" s="113">
        <v>4</v>
      </c>
      <c r="M16" s="114">
        <v>0</v>
      </c>
      <c r="N16" s="114">
        <v>0</v>
      </c>
      <c r="O16" s="115">
        <f>+M16+N16</f>
      </c>
      <c r="P16" s="114">
        <v>0</v>
      </c>
      <c r="Q16" s="115">
        <f>+O16+P16</f>
      </c>
      <c r="R16" s="114">
        <v>0</v>
      </c>
      <c r="S16" s="115">
        <f>+Q16+R16</f>
      </c>
      <c r="T16" s="114">
        <v>0</v>
      </c>
      <c r="U16" s="115">
        <f>+S16+T16</f>
      </c>
      <c r="V16" s="114">
        <v>1</v>
      </c>
      <c r="W16" s="115">
        <f>+U16+V16</f>
      </c>
      <c r="X16" s="114">
        <v>1</v>
      </c>
      <c r="Y16" s="115">
        <f>+W16+X16</f>
      </c>
      <c r="Z16" s="114">
        <v>0</v>
      </c>
      <c r="AA16" s="115">
        <f>+Y16+Z16</f>
      </c>
      <c r="AB16" s="114">
        <v>0</v>
      </c>
      <c r="AC16" s="115">
        <f>+AA16+AB16</f>
      </c>
      <c r="AD16" s="114">
        <v>0</v>
      </c>
      <c r="AE16" s="115">
        <f>+AC16+AD16</f>
      </c>
      <c r="AF16" s="114">
        <v>2</v>
      </c>
      <c r="AG16" s="115">
        <f>+AE16+AF16</f>
      </c>
      <c r="AH16" s="114">
        <v>0</v>
      </c>
      <c r="AI16" s="115">
        <f>+AG16+AH16</f>
      </c>
      <c r="AJ16" s="116">
        <f>+AI14/L14</f>
      </c>
      <c r="AK16" s="108"/>
      <c r="AL16" s="108"/>
      <c r="AM16" s="109"/>
      <c r="AN16" s="1"/>
    </row>
    <row x14ac:dyDescent="0.25" r="17" customHeight="1" ht="22.899999999999995">
      <c r="A17" s="97"/>
      <c r="B17" s="98"/>
      <c r="C17" s="99"/>
      <c r="D17" s="100"/>
      <c r="E17" s="101"/>
      <c r="F17" s="102"/>
      <c r="G17" s="101"/>
      <c r="H17" s="102"/>
      <c r="I17" s="103"/>
      <c r="J17" s="101"/>
      <c r="K17" s="117"/>
      <c r="L17" s="111" t="s">
        <v>62</v>
      </c>
      <c r="M17" s="111" t="s">
        <v>62</v>
      </c>
      <c r="N17" s="111" t="s">
        <v>62</v>
      </c>
      <c r="O17" s="112" t="s">
        <v>62</v>
      </c>
      <c r="P17" s="111" t="s">
        <v>62</v>
      </c>
      <c r="Q17" s="112" t="s">
        <v>62</v>
      </c>
      <c r="R17" s="111" t="s">
        <v>62</v>
      </c>
      <c r="S17" s="112" t="s">
        <v>62</v>
      </c>
      <c r="T17" s="111" t="s">
        <v>62</v>
      </c>
      <c r="U17" s="112" t="s">
        <v>62</v>
      </c>
      <c r="V17" s="111" t="s">
        <v>62</v>
      </c>
      <c r="W17" s="112" t="s">
        <v>62</v>
      </c>
      <c r="X17" s="111" t="s">
        <v>62</v>
      </c>
      <c r="Y17" s="112" t="s">
        <v>62</v>
      </c>
      <c r="Z17" s="111" t="s">
        <v>62</v>
      </c>
      <c r="AA17" s="112" t="s">
        <v>62</v>
      </c>
      <c r="AB17" s="111" t="s">
        <v>62</v>
      </c>
      <c r="AC17" s="112" t="s">
        <v>62</v>
      </c>
      <c r="AD17" s="111" t="s">
        <v>62</v>
      </c>
      <c r="AE17" s="112" t="s">
        <v>62</v>
      </c>
      <c r="AF17" s="111" t="s">
        <v>62</v>
      </c>
      <c r="AG17" s="112" t="s">
        <v>62</v>
      </c>
      <c r="AH17" s="111" t="s">
        <v>62</v>
      </c>
      <c r="AI17" s="112" t="s">
        <v>62</v>
      </c>
      <c r="AJ17" s="107"/>
      <c r="AK17" s="108"/>
      <c r="AL17" s="108"/>
      <c r="AM17" s="109"/>
      <c r="AN17" s="1"/>
    </row>
    <row x14ac:dyDescent="0.25" r="18" customHeight="1" ht="22.899999999999995">
      <c r="A18" s="118"/>
      <c r="B18" s="110"/>
      <c r="C18" s="119"/>
      <c r="D18" s="120"/>
      <c r="E18" s="101"/>
      <c r="F18" s="121"/>
      <c r="G18" s="101"/>
      <c r="H18" s="121"/>
      <c r="I18" s="122"/>
      <c r="J18" s="123"/>
      <c r="K18" s="110"/>
      <c r="L18" s="113">
        <v>4</v>
      </c>
      <c r="M18" s="124">
        <v>4</v>
      </c>
      <c r="N18" s="124">
        <v>4</v>
      </c>
      <c r="O18" s="125">
        <v>4</v>
      </c>
      <c r="P18" s="124">
        <v>4</v>
      </c>
      <c r="Q18" s="125">
        <v>4</v>
      </c>
      <c r="R18" s="124">
        <v>4</v>
      </c>
      <c r="S18" s="125">
        <v>4</v>
      </c>
      <c r="T18" s="124">
        <v>4</v>
      </c>
      <c r="U18" s="125">
        <v>4</v>
      </c>
      <c r="V18" s="124">
        <v>4</v>
      </c>
      <c r="W18" s="125">
        <v>4</v>
      </c>
      <c r="X18" s="124">
        <v>4</v>
      </c>
      <c r="Y18" s="125">
        <v>4</v>
      </c>
      <c r="Z18" s="124">
        <v>4</v>
      </c>
      <c r="AA18" s="125">
        <v>4</v>
      </c>
      <c r="AB18" s="124">
        <v>4</v>
      </c>
      <c r="AC18" s="125">
        <v>4</v>
      </c>
      <c r="AD18" s="124">
        <v>4</v>
      </c>
      <c r="AE18" s="125">
        <v>4</v>
      </c>
      <c r="AF18" s="124">
        <v>4</v>
      </c>
      <c r="AG18" s="125">
        <v>4</v>
      </c>
      <c r="AH18" s="124">
        <v>4</v>
      </c>
      <c r="AI18" s="125">
        <v>4</v>
      </c>
      <c r="AJ18" s="126"/>
      <c r="AK18" s="127"/>
      <c r="AL18" s="127"/>
      <c r="AM18" s="128"/>
      <c r="AN18" s="1"/>
    </row>
    <row x14ac:dyDescent="0.25" r="19" customHeight="1" ht="22.899999999999995">
      <c r="A19" s="84" t="s">
        <v>63</v>
      </c>
      <c r="B19" s="85" t="s">
        <v>50</v>
      </c>
      <c r="C19" s="86" t="s">
        <v>64</v>
      </c>
      <c r="D19" s="87" t="s">
        <v>65</v>
      </c>
      <c r="E19" s="87" t="s">
        <v>53</v>
      </c>
      <c r="F19" s="87" t="s">
        <v>54</v>
      </c>
      <c r="G19" s="87" t="s">
        <v>55</v>
      </c>
      <c r="H19" s="87" t="s">
        <v>54</v>
      </c>
      <c r="I19" s="88">
        <f>L20</f>
      </c>
      <c r="J19" s="89">
        <v>0.15</v>
      </c>
      <c r="K19" s="85" t="s">
        <v>66</v>
      </c>
      <c r="L19" s="91" t="s">
        <v>57</v>
      </c>
      <c r="M19" s="91" t="s">
        <v>57</v>
      </c>
      <c r="N19" s="91" t="s">
        <v>57</v>
      </c>
      <c r="O19" s="92" t="s">
        <v>57</v>
      </c>
      <c r="P19" s="91" t="s">
        <v>57</v>
      </c>
      <c r="Q19" s="92" t="s">
        <v>57</v>
      </c>
      <c r="R19" s="91" t="s">
        <v>57</v>
      </c>
      <c r="S19" s="92" t="s">
        <v>57</v>
      </c>
      <c r="T19" s="91" t="s">
        <v>57</v>
      </c>
      <c r="U19" s="92" t="s">
        <v>57</v>
      </c>
      <c r="V19" s="91" t="s">
        <v>57</v>
      </c>
      <c r="W19" s="92" t="s">
        <v>57</v>
      </c>
      <c r="X19" s="91" t="s">
        <v>57</v>
      </c>
      <c r="Y19" s="92" t="s">
        <v>57</v>
      </c>
      <c r="Z19" s="91" t="s">
        <v>57</v>
      </c>
      <c r="AA19" s="92" t="s">
        <v>57</v>
      </c>
      <c r="AB19" s="91" t="s">
        <v>57</v>
      </c>
      <c r="AC19" s="92" t="s">
        <v>57</v>
      </c>
      <c r="AD19" s="91" t="s">
        <v>57</v>
      </c>
      <c r="AE19" s="92" t="s">
        <v>57</v>
      </c>
      <c r="AF19" s="91" t="s">
        <v>57</v>
      </c>
      <c r="AG19" s="92" t="s">
        <v>57</v>
      </c>
      <c r="AH19" s="91" t="s">
        <v>57</v>
      </c>
      <c r="AI19" s="92" t="s">
        <v>57</v>
      </c>
      <c r="AJ19" s="93"/>
      <c r="AK19" s="94" t="s">
        <v>67</v>
      </c>
      <c r="AL19" s="95"/>
      <c r="AM19" s="96" t="s">
        <v>59</v>
      </c>
      <c r="AN19" s="1"/>
    </row>
    <row x14ac:dyDescent="0.25" r="20" customHeight="1" ht="22.899999999999995">
      <c r="A20" s="97"/>
      <c r="B20" s="98"/>
      <c r="C20" s="99"/>
      <c r="D20" s="102"/>
      <c r="E20" s="101"/>
      <c r="F20" s="102"/>
      <c r="G20" s="101"/>
      <c r="H20" s="102"/>
      <c r="I20" s="103"/>
      <c r="J20" s="101"/>
      <c r="K20" s="117"/>
      <c r="L20" s="104">
        <f>IF(L22&lt;&gt;0,+L22/L24,0%)</f>
      </c>
      <c r="M20" s="105">
        <v>0.06</v>
      </c>
      <c r="N20" s="105">
        <v>0.06</v>
      </c>
      <c r="O20" s="106">
        <f>IF(O22&lt;&gt;0,+O22/O24,0%)</f>
      </c>
      <c r="P20" s="105">
        <v>0.06</v>
      </c>
      <c r="Q20" s="106">
        <f>IF(Q22&lt;&gt;0,+Q22/Q24,0%)</f>
      </c>
      <c r="R20" s="105">
        <v>0.06</v>
      </c>
      <c r="S20" s="106">
        <f>IF(S22&lt;&gt;0,+S22/S24,0%)</f>
      </c>
      <c r="T20" s="105">
        <v>0.06</v>
      </c>
      <c r="U20" s="106">
        <f>IF(U22&lt;&gt;0,+U22/U24,0%)</f>
      </c>
      <c r="V20" s="105">
        <v>0.06</v>
      </c>
      <c r="W20" s="106">
        <f>IF(W22&lt;&gt;0,+W22/W24,0%)</f>
      </c>
      <c r="X20" s="105">
        <v>0.06</v>
      </c>
      <c r="Y20" s="106">
        <f>IF(Y22&lt;&gt;0,+Y22/Y24,0%)</f>
      </c>
      <c r="Z20" s="105">
        <v>0.06</v>
      </c>
      <c r="AA20" s="106">
        <f>IF(AA22&lt;&gt;0,+AA22/AA24,0%)</f>
      </c>
      <c r="AB20" s="105">
        <v>0.06</v>
      </c>
      <c r="AC20" s="106">
        <f>IF(AC22&lt;&gt;0,+AC22/AC24,0%)</f>
      </c>
      <c r="AD20" s="105">
        <v>0.06</v>
      </c>
      <c r="AE20" s="106">
        <f>IF(AE22&lt;&gt;0,+AE22/AE24,0%)</f>
      </c>
      <c r="AF20" s="105">
        <v>0.06</v>
      </c>
      <c r="AG20" s="106">
        <f>IF(AG22&lt;&gt;0,+AG22/AG24,0%)</f>
      </c>
      <c r="AH20" s="105">
        <v>0.06</v>
      </c>
      <c r="AI20" s="106">
        <f>IF(AI22&lt;&gt;0,+AI22/AI24,0%)</f>
      </c>
      <c r="AJ20" s="107"/>
      <c r="AK20" s="108"/>
      <c r="AL20" s="108"/>
      <c r="AM20" s="109"/>
      <c r="AN20" s="1"/>
    </row>
    <row x14ac:dyDescent="0.25" r="21" customHeight="1" ht="22.899999999999995">
      <c r="A21" s="97"/>
      <c r="B21" s="98"/>
      <c r="C21" s="99"/>
      <c r="D21" s="102"/>
      <c r="E21" s="101"/>
      <c r="F21" s="102"/>
      <c r="G21" s="101"/>
      <c r="H21" s="102"/>
      <c r="I21" s="103"/>
      <c r="J21" s="101"/>
      <c r="K21" s="129"/>
      <c r="L21" s="111" t="s">
        <v>60</v>
      </c>
      <c r="M21" s="111" t="s">
        <v>60</v>
      </c>
      <c r="N21" s="111" t="s">
        <v>60</v>
      </c>
      <c r="O21" s="112" t="s">
        <v>60</v>
      </c>
      <c r="P21" s="111" t="s">
        <v>60</v>
      </c>
      <c r="Q21" s="112" t="s">
        <v>60</v>
      </c>
      <c r="R21" s="111" t="s">
        <v>60</v>
      </c>
      <c r="S21" s="112" t="s">
        <v>60</v>
      </c>
      <c r="T21" s="111" t="s">
        <v>60</v>
      </c>
      <c r="U21" s="112" t="s">
        <v>60</v>
      </c>
      <c r="V21" s="111" t="s">
        <v>60</v>
      </c>
      <c r="W21" s="112" t="s">
        <v>60</v>
      </c>
      <c r="X21" s="111" t="s">
        <v>60</v>
      </c>
      <c r="Y21" s="112" t="s">
        <v>60</v>
      </c>
      <c r="Z21" s="111" t="s">
        <v>60</v>
      </c>
      <c r="AA21" s="112" t="s">
        <v>60</v>
      </c>
      <c r="AB21" s="111" t="s">
        <v>60</v>
      </c>
      <c r="AC21" s="112" t="s">
        <v>60</v>
      </c>
      <c r="AD21" s="111" t="s">
        <v>60</v>
      </c>
      <c r="AE21" s="112" t="s">
        <v>60</v>
      </c>
      <c r="AF21" s="111" t="s">
        <v>60</v>
      </c>
      <c r="AG21" s="112" t="s">
        <v>60</v>
      </c>
      <c r="AH21" s="111" t="s">
        <v>60</v>
      </c>
      <c r="AI21" s="112" t="s">
        <v>60</v>
      </c>
      <c r="AJ21" s="107"/>
      <c r="AK21" s="108"/>
      <c r="AL21" s="108"/>
      <c r="AM21" s="109"/>
      <c r="AN21" s="1"/>
    </row>
    <row x14ac:dyDescent="0.25" r="22" customHeight="1" ht="22.899999999999995">
      <c r="A22" s="97"/>
      <c r="B22" s="98"/>
      <c r="C22" s="99"/>
      <c r="D22" s="102"/>
      <c r="E22" s="101"/>
      <c r="F22" s="102"/>
      <c r="G22" s="101"/>
      <c r="H22" s="102"/>
      <c r="I22" s="103"/>
      <c r="J22" s="101"/>
      <c r="K22" s="85" t="s">
        <v>68</v>
      </c>
      <c r="L22" s="113">
        <v>2</v>
      </c>
      <c r="M22" s="114">
        <v>0</v>
      </c>
      <c r="N22" s="114">
        <v>0</v>
      </c>
      <c r="O22" s="115">
        <f>+M22+N22</f>
      </c>
      <c r="P22" s="114">
        <v>0</v>
      </c>
      <c r="Q22" s="115">
        <f>+O22+P22</f>
      </c>
      <c r="R22" s="114">
        <v>0</v>
      </c>
      <c r="S22" s="115">
        <f>+Q22+R22</f>
      </c>
      <c r="T22" s="114">
        <v>1</v>
      </c>
      <c r="U22" s="115">
        <f>+S22+T22</f>
      </c>
      <c r="V22" s="114">
        <v>0</v>
      </c>
      <c r="W22" s="115">
        <f>+U22+V22</f>
      </c>
      <c r="X22" s="114">
        <v>0</v>
      </c>
      <c r="Y22" s="115">
        <f>+W22+X22</f>
      </c>
      <c r="Z22" s="114">
        <v>0</v>
      </c>
      <c r="AA22" s="115">
        <f>+Y22+Z22</f>
      </c>
      <c r="AB22" s="114">
        <v>0</v>
      </c>
      <c r="AC22" s="115">
        <f>+AA22+AB22</f>
      </c>
      <c r="AD22" s="114">
        <v>0</v>
      </c>
      <c r="AE22" s="115">
        <f>+AC22+AD22</f>
      </c>
      <c r="AF22" s="114">
        <v>0</v>
      </c>
      <c r="AG22" s="115">
        <f>+AE22+AF22</f>
      </c>
      <c r="AH22" s="114">
        <v>1</v>
      </c>
      <c r="AI22" s="115">
        <f>+AG22+AH22</f>
      </c>
      <c r="AJ22" s="116">
        <f>AI20/L20</f>
      </c>
      <c r="AK22" s="108"/>
      <c r="AL22" s="108"/>
      <c r="AM22" s="109"/>
      <c r="AN22" s="1"/>
    </row>
    <row x14ac:dyDescent="0.25" r="23" customHeight="1" ht="22.899999999999995">
      <c r="A23" s="97"/>
      <c r="B23" s="98"/>
      <c r="C23" s="99"/>
      <c r="D23" s="102"/>
      <c r="E23" s="101"/>
      <c r="F23" s="102"/>
      <c r="G23" s="101"/>
      <c r="H23" s="102"/>
      <c r="I23" s="103"/>
      <c r="J23" s="101"/>
      <c r="K23" s="117"/>
      <c r="L23" s="111" t="s">
        <v>62</v>
      </c>
      <c r="M23" s="111" t="s">
        <v>62</v>
      </c>
      <c r="N23" s="111" t="s">
        <v>62</v>
      </c>
      <c r="O23" s="112" t="s">
        <v>62</v>
      </c>
      <c r="P23" s="111" t="s">
        <v>62</v>
      </c>
      <c r="Q23" s="112" t="s">
        <v>62</v>
      </c>
      <c r="R23" s="111" t="s">
        <v>62</v>
      </c>
      <c r="S23" s="112" t="s">
        <v>62</v>
      </c>
      <c r="T23" s="111" t="s">
        <v>62</v>
      </c>
      <c r="U23" s="112" t="s">
        <v>62</v>
      </c>
      <c r="V23" s="111" t="s">
        <v>62</v>
      </c>
      <c r="W23" s="112" t="s">
        <v>62</v>
      </c>
      <c r="X23" s="111" t="s">
        <v>62</v>
      </c>
      <c r="Y23" s="112" t="s">
        <v>62</v>
      </c>
      <c r="Z23" s="111" t="s">
        <v>62</v>
      </c>
      <c r="AA23" s="112" t="s">
        <v>62</v>
      </c>
      <c r="AB23" s="111" t="s">
        <v>62</v>
      </c>
      <c r="AC23" s="112" t="s">
        <v>62</v>
      </c>
      <c r="AD23" s="111" t="s">
        <v>62</v>
      </c>
      <c r="AE23" s="112" t="s">
        <v>62</v>
      </c>
      <c r="AF23" s="111" t="s">
        <v>62</v>
      </c>
      <c r="AG23" s="112" t="s">
        <v>62</v>
      </c>
      <c r="AH23" s="111" t="s">
        <v>62</v>
      </c>
      <c r="AI23" s="112" t="s">
        <v>62</v>
      </c>
      <c r="AJ23" s="107"/>
      <c r="AK23" s="108"/>
      <c r="AL23" s="108"/>
      <c r="AM23" s="109"/>
      <c r="AN23" s="1"/>
    </row>
    <row x14ac:dyDescent="0.25" r="24" customHeight="1" ht="22.899999999999995">
      <c r="A24" s="118"/>
      <c r="B24" s="110"/>
      <c r="C24" s="119"/>
      <c r="D24" s="121"/>
      <c r="E24" s="101"/>
      <c r="F24" s="121"/>
      <c r="G24" s="101"/>
      <c r="H24" s="121"/>
      <c r="I24" s="122"/>
      <c r="J24" s="123"/>
      <c r="K24" s="129"/>
      <c r="L24" s="113">
        <v>2</v>
      </c>
      <c r="M24" s="124">
        <v>2</v>
      </c>
      <c r="N24" s="124">
        <v>2</v>
      </c>
      <c r="O24" s="125">
        <v>2</v>
      </c>
      <c r="P24" s="124">
        <v>2</v>
      </c>
      <c r="Q24" s="125">
        <v>2</v>
      </c>
      <c r="R24" s="124">
        <v>2</v>
      </c>
      <c r="S24" s="125">
        <v>2</v>
      </c>
      <c r="T24" s="124">
        <v>2</v>
      </c>
      <c r="U24" s="125">
        <v>2</v>
      </c>
      <c r="V24" s="124">
        <v>2</v>
      </c>
      <c r="W24" s="125">
        <v>2</v>
      </c>
      <c r="X24" s="124">
        <v>2</v>
      </c>
      <c r="Y24" s="125">
        <v>2</v>
      </c>
      <c r="Z24" s="124">
        <v>2</v>
      </c>
      <c r="AA24" s="125">
        <v>2</v>
      </c>
      <c r="AB24" s="124">
        <v>2</v>
      </c>
      <c r="AC24" s="125">
        <v>2</v>
      </c>
      <c r="AD24" s="124">
        <v>2</v>
      </c>
      <c r="AE24" s="125">
        <v>2</v>
      </c>
      <c r="AF24" s="124">
        <v>2</v>
      </c>
      <c r="AG24" s="125">
        <v>2</v>
      </c>
      <c r="AH24" s="124">
        <v>2</v>
      </c>
      <c r="AI24" s="125">
        <v>2</v>
      </c>
      <c r="AJ24" s="126"/>
      <c r="AK24" s="127"/>
      <c r="AL24" s="127"/>
      <c r="AM24" s="128"/>
      <c r="AN24" s="1"/>
    </row>
    <row x14ac:dyDescent="0.25" r="25" customHeight="1" ht="22.899999999999995">
      <c r="A25" s="84" t="s">
        <v>69</v>
      </c>
      <c r="B25" s="85" t="s">
        <v>50</v>
      </c>
      <c r="C25" s="86" t="s">
        <v>70</v>
      </c>
      <c r="D25" s="87" t="s">
        <v>71</v>
      </c>
      <c r="E25" s="87" t="s">
        <v>53</v>
      </c>
      <c r="F25" s="87" t="s">
        <v>54</v>
      </c>
      <c r="G25" s="87" t="s">
        <v>55</v>
      </c>
      <c r="H25" s="87" t="s">
        <v>54</v>
      </c>
      <c r="I25" s="88">
        <f>L26</f>
      </c>
      <c r="J25" s="89">
        <v>0.15</v>
      </c>
      <c r="K25" s="85" t="s">
        <v>72</v>
      </c>
      <c r="L25" s="91" t="s">
        <v>57</v>
      </c>
      <c r="M25" s="91" t="s">
        <v>57</v>
      </c>
      <c r="N25" s="91" t="s">
        <v>57</v>
      </c>
      <c r="O25" s="92" t="s">
        <v>57</v>
      </c>
      <c r="P25" s="91" t="s">
        <v>57</v>
      </c>
      <c r="Q25" s="92" t="s">
        <v>57</v>
      </c>
      <c r="R25" s="91" t="s">
        <v>57</v>
      </c>
      <c r="S25" s="92" t="s">
        <v>57</v>
      </c>
      <c r="T25" s="91" t="s">
        <v>57</v>
      </c>
      <c r="U25" s="92" t="s">
        <v>57</v>
      </c>
      <c r="V25" s="91" t="s">
        <v>57</v>
      </c>
      <c r="W25" s="92" t="s">
        <v>57</v>
      </c>
      <c r="X25" s="91" t="s">
        <v>57</v>
      </c>
      <c r="Y25" s="92" t="s">
        <v>57</v>
      </c>
      <c r="Z25" s="91" t="s">
        <v>57</v>
      </c>
      <c r="AA25" s="92" t="s">
        <v>57</v>
      </c>
      <c r="AB25" s="91" t="s">
        <v>57</v>
      </c>
      <c r="AC25" s="92" t="s">
        <v>57</v>
      </c>
      <c r="AD25" s="91" t="s">
        <v>57</v>
      </c>
      <c r="AE25" s="92" t="s">
        <v>57</v>
      </c>
      <c r="AF25" s="91" t="s">
        <v>57</v>
      </c>
      <c r="AG25" s="92" t="s">
        <v>57</v>
      </c>
      <c r="AH25" s="91" t="s">
        <v>57</v>
      </c>
      <c r="AI25" s="92" t="s">
        <v>57</v>
      </c>
      <c r="AJ25" s="93"/>
      <c r="AK25" s="94" t="s">
        <v>73</v>
      </c>
      <c r="AL25" s="95"/>
      <c r="AM25" s="96" t="s">
        <v>59</v>
      </c>
      <c r="AN25" s="1"/>
    </row>
    <row x14ac:dyDescent="0.25" r="26" customHeight="1" ht="22.899999999999995">
      <c r="A26" s="97"/>
      <c r="B26" s="98"/>
      <c r="C26" s="99"/>
      <c r="D26" s="102"/>
      <c r="E26" s="102"/>
      <c r="F26" s="102"/>
      <c r="G26" s="101"/>
      <c r="H26" s="102"/>
      <c r="I26" s="103"/>
      <c r="J26" s="101"/>
      <c r="K26" s="130"/>
      <c r="L26" s="104">
        <f>IF(L28&lt;&gt;0,+L28/L30,0%)</f>
      </c>
      <c r="M26" s="105">
        <f>IF(M28&lt;&gt;0,+M28/M30,0%)</f>
      </c>
      <c r="N26" s="105">
        <f>IF(N28&lt;&gt;0,+N28/N30,0%)</f>
      </c>
      <c r="O26" s="106">
        <f>IF(O28&lt;&gt;0,+O28/O30,0%)</f>
      </c>
      <c r="P26" s="105">
        <f>IF(P28&lt;&gt;0,+P28/P30,0%)</f>
      </c>
      <c r="Q26" s="106">
        <f>IF(Q28&lt;&gt;0,+Q28/Q30,0%)</f>
      </c>
      <c r="R26" s="105">
        <f>IF(R28&lt;&gt;0,+R28/R30,0%)</f>
      </c>
      <c r="S26" s="106">
        <f>IF(S28&lt;&gt;0,+S28/S30,0%)</f>
      </c>
      <c r="T26" s="105">
        <f>IF(T28&lt;&gt;0,+T28/T30,0%)</f>
      </c>
      <c r="U26" s="106">
        <f>IF(U28&lt;&gt;0,+U28/U30,0%)</f>
      </c>
      <c r="V26" s="105">
        <f>IF(V28&lt;&gt;0,+V28/V30,0%)</f>
      </c>
      <c r="W26" s="106">
        <f>IF(W28&lt;&gt;0,+W28/W30,0%)</f>
      </c>
      <c r="X26" s="105">
        <f>IF(X28&lt;&gt;0,+X28/X30,0%)</f>
      </c>
      <c r="Y26" s="106">
        <f>IF(Y28&lt;&gt;0,+Y28/Y30,0%)</f>
      </c>
      <c r="Z26" s="105">
        <f>IF(Z28&lt;&gt;0,+Z28/Z30,0%)</f>
      </c>
      <c r="AA26" s="106">
        <f>IF(AA28&lt;&gt;0,+AA28/AA30,0%)</f>
      </c>
      <c r="AB26" s="105">
        <f>IF(AB28&lt;&gt;0,+AB28/AB30,0%)</f>
      </c>
      <c r="AC26" s="106">
        <f>IF(AC28&lt;&gt;0,+AC28/AC30,0%)</f>
      </c>
      <c r="AD26" s="105">
        <f>IF(AD28&lt;&gt;0,+AD28/AD30,0%)</f>
      </c>
      <c r="AE26" s="106">
        <f>IF(AE28&lt;&gt;0,+AE28/AE30,0%)</f>
      </c>
      <c r="AF26" s="105">
        <f>IF(AF28&lt;&gt;0,+AF28/AF30,0%)</f>
      </c>
      <c r="AG26" s="106">
        <f>IF(AG28&lt;&gt;0,+AG28/AG30,0%)</f>
      </c>
      <c r="AH26" s="105">
        <f>IF(AH28&lt;&gt;0,+AH28/AH30,0%)</f>
      </c>
      <c r="AI26" s="106">
        <f>IF(AI28&lt;&gt;0,+AI28/AI30,0%)</f>
      </c>
      <c r="AJ26" s="107"/>
      <c r="AK26" s="131"/>
      <c r="AL26" s="108"/>
      <c r="AM26" s="132"/>
      <c r="AN26" s="1"/>
    </row>
    <row x14ac:dyDescent="0.25" r="27" customHeight="1" ht="22.899999999999995">
      <c r="A27" s="97"/>
      <c r="B27" s="98"/>
      <c r="C27" s="99"/>
      <c r="D27" s="102"/>
      <c r="E27" s="102"/>
      <c r="F27" s="102"/>
      <c r="G27" s="101"/>
      <c r="H27" s="102"/>
      <c r="I27" s="103"/>
      <c r="J27" s="101"/>
      <c r="K27" s="133"/>
      <c r="L27" s="111" t="s">
        <v>60</v>
      </c>
      <c r="M27" s="111" t="s">
        <v>60</v>
      </c>
      <c r="N27" s="111" t="s">
        <v>60</v>
      </c>
      <c r="O27" s="112" t="s">
        <v>60</v>
      </c>
      <c r="P27" s="111" t="s">
        <v>60</v>
      </c>
      <c r="Q27" s="112" t="s">
        <v>60</v>
      </c>
      <c r="R27" s="111" t="s">
        <v>60</v>
      </c>
      <c r="S27" s="112" t="s">
        <v>60</v>
      </c>
      <c r="T27" s="111" t="s">
        <v>60</v>
      </c>
      <c r="U27" s="112" t="s">
        <v>60</v>
      </c>
      <c r="V27" s="111" t="s">
        <v>60</v>
      </c>
      <c r="W27" s="112" t="s">
        <v>60</v>
      </c>
      <c r="X27" s="111" t="s">
        <v>60</v>
      </c>
      <c r="Y27" s="112" t="s">
        <v>60</v>
      </c>
      <c r="Z27" s="111" t="s">
        <v>60</v>
      </c>
      <c r="AA27" s="112" t="s">
        <v>60</v>
      </c>
      <c r="AB27" s="111" t="s">
        <v>60</v>
      </c>
      <c r="AC27" s="112" t="s">
        <v>60</v>
      </c>
      <c r="AD27" s="111" t="s">
        <v>60</v>
      </c>
      <c r="AE27" s="112" t="s">
        <v>60</v>
      </c>
      <c r="AF27" s="111" t="s">
        <v>60</v>
      </c>
      <c r="AG27" s="112" t="s">
        <v>60</v>
      </c>
      <c r="AH27" s="111" t="s">
        <v>60</v>
      </c>
      <c r="AI27" s="112" t="s">
        <v>60</v>
      </c>
      <c r="AJ27" s="107"/>
      <c r="AK27" s="131"/>
      <c r="AL27" s="108"/>
      <c r="AM27" s="132"/>
      <c r="AN27" s="1"/>
    </row>
    <row x14ac:dyDescent="0.25" r="28" customHeight="1" ht="22.899999999999995">
      <c r="A28" s="97"/>
      <c r="B28" s="98"/>
      <c r="C28" s="99"/>
      <c r="D28" s="102"/>
      <c r="E28" s="102"/>
      <c r="F28" s="102"/>
      <c r="G28" s="101"/>
      <c r="H28" s="102"/>
      <c r="I28" s="103"/>
      <c r="J28" s="101"/>
      <c r="K28" s="90" t="s">
        <v>74</v>
      </c>
      <c r="L28" s="113">
        <v>3</v>
      </c>
      <c r="M28" s="114">
        <v>0</v>
      </c>
      <c r="N28" s="114">
        <v>1</v>
      </c>
      <c r="O28" s="115">
        <f>+M28+N28</f>
      </c>
      <c r="P28" s="114">
        <v>0</v>
      </c>
      <c r="Q28" s="115">
        <f>+O28+P28</f>
      </c>
      <c r="R28" s="114">
        <v>0</v>
      </c>
      <c r="S28" s="115">
        <f>+Q28+R28</f>
      </c>
      <c r="T28" s="114">
        <v>1</v>
      </c>
      <c r="U28" s="115">
        <f>+S28+T28</f>
      </c>
      <c r="V28" s="114">
        <v>0</v>
      </c>
      <c r="W28" s="115">
        <f>+U28+V28</f>
      </c>
      <c r="X28" s="114">
        <v>0</v>
      </c>
      <c r="Y28" s="115">
        <f>+W28+X28</f>
      </c>
      <c r="Z28" s="114">
        <v>0</v>
      </c>
      <c r="AA28" s="115">
        <f>+Y28+Z28</f>
      </c>
      <c r="AB28" s="114">
        <v>0</v>
      </c>
      <c r="AC28" s="115">
        <f>+AA28+AB28</f>
      </c>
      <c r="AD28" s="114">
        <v>1</v>
      </c>
      <c r="AE28" s="115">
        <f>+AC28+AD28</f>
      </c>
      <c r="AF28" s="114">
        <v>0</v>
      </c>
      <c r="AG28" s="115">
        <f>+AE28+AF28</f>
      </c>
      <c r="AH28" s="114">
        <v>0</v>
      </c>
      <c r="AI28" s="115">
        <f>+AG28+AH28</f>
      </c>
      <c r="AJ28" s="116">
        <f>AI26/L26</f>
      </c>
      <c r="AK28" s="131"/>
      <c r="AL28" s="108"/>
      <c r="AM28" s="132"/>
      <c r="AN28" s="1"/>
    </row>
    <row x14ac:dyDescent="0.25" r="29" customHeight="1" ht="22.899999999999995">
      <c r="A29" s="97"/>
      <c r="B29" s="98"/>
      <c r="C29" s="99"/>
      <c r="D29" s="102"/>
      <c r="E29" s="102"/>
      <c r="F29" s="102"/>
      <c r="G29" s="101"/>
      <c r="H29" s="102"/>
      <c r="I29" s="103"/>
      <c r="J29" s="101"/>
      <c r="K29" s="130"/>
      <c r="L29" s="111" t="s">
        <v>62</v>
      </c>
      <c r="M29" s="111" t="s">
        <v>62</v>
      </c>
      <c r="N29" s="111" t="s">
        <v>62</v>
      </c>
      <c r="O29" s="112" t="s">
        <v>62</v>
      </c>
      <c r="P29" s="111" t="s">
        <v>62</v>
      </c>
      <c r="Q29" s="112" t="s">
        <v>62</v>
      </c>
      <c r="R29" s="111" t="s">
        <v>62</v>
      </c>
      <c r="S29" s="112" t="s">
        <v>62</v>
      </c>
      <c r="T29" s="111" t="s">
        <v>62</v>
      </c>
      <c r="U29" s="112" t="s">
        <v>62</v>
      </c>
      <c r="V29" s="111" t="s">
        <v>62</v>
      </c>
      <c r="W29" s="112" t="s">
        <v>62</v>
      </c>
      <c r="X29" s="111" t="s">
        <v>62</v>
      </c>
      <c r="Y29" s="112" t="s">
        <v>62</v>
      </c>
      <c r="Z29" s="111" t="s">
        <v>62</v>
      </c>
      <c r="AA29" s="112" t="s">
        <v>62</v>
      </c>
      <c r="AB29" s="111" t="s">
        <v>62</v>
      </c>
      <c r="AC29" s="112" t="s">
        <v>62</v>
      </c>
      <c r="AD29" s="111" t="s">
        <v>62</v>
      </c>
      <c r="AE29" s="112" t="s">
        <v>62</v>
      </c>
      <c r="AF29" s="111" t="s">
        <v>62</v>
      </c>
      <c r="AG29" s="112" t="s">
        <v>62</v>
      </c>
      <c r="AH29" s="111" t="s">
        <v>62</v>
      </c>
      <c r="AI29" s="112" t="s">
        <v>62</v>
      </c>
      <c r="AJ29" s="107"/>
      <c r="AK29" s="131"/>
      <c r="AL29" s="108"/>
      <c r="AM29" s="132"/>
      <c r="AN29" s="1"/>
    </row>
    <row x14ac:dyDescent="0.25" r="30" customHeight="1" ht="22.899999999999995">
      <c r="A30" s="118"/>
      <c r="B30" s="110"/>
      <c r="C30" s="119"/>
      <c r="D30" s="121"/>
      <c r="E30" s="121"/>
      <c r="F30" s="121"/>
      <c r="G30" s="101"/>
      <c r="H30" s="121"/>
      <c r="I30" s="122"/>
      <c r="J30" s="123"/>
      <c r="K30" s="133"/>
      <c r="L30" s="134">
        <v>3</v>
      </c>
      <c r="M30" s="124">
        <v>3</v>
      </c>
      <c r="N30" s="124">
        <v>3</v>
      </c>
      <c r="O30" s="125">
        <v>3</v>
      </c>
      <c r="P30" s="124">
        <v>3</v>
      </c>
      <c r="Q30" s="125">
        <v>3</v>
      </c>
      <c r="R30" s="124">
        <v>3</v>
      </c>
      <c r="S30" s="125">
        <v>3</v>
      </c>
      <c r="T30" s="124">
        <v>3</v>
      </c>
      <c r="U30" s="125">
        <v>3</v>
      </c>
      <c r="V30" s="124">
        <v>3</v>
      </c>
      <c r="W30" s="125">
        <v>3</v>
      </c>
      <c r="X30" s="124">
        <v>3</v>
      </c>
      <c r="Y30" s="125">
        <v>3</v>
      </c>
      <c r="Z30" s="124">
        <v>3</v>
      </c>
      <c r="AA30" s="125">
        <v>3</v>
      </c>
      <c r="AB30" s="124">
        <v>3</v>
      </c>
      <c r="AC30" s="125">
        <v>3</v>
      </c>
      <c r="AD30" s="124">
        <v>3</v>
      </c>
      <c r="AE30" s="125">
        <v>3</v>
      </c>
      <c r="AF30" s="124">
        <v>3</v>
      </c>
      <c r="AG30" s="125">
        <v>3</v>
      </c>
      <c r="AH30" s="124">
        <v>3</v>
      </c>
      <c r="AI30" s="125">
        <v>3</v>
      </c>
      <c r="AJ30" s="126"/>
      <c r="AK30" s="135"/>
      <c r="AL30" s="127"/>
      <c r="AM30" s="136"/>
      <c r="AN30" s="1"/>
    </row>
    <row x14ac:dyDescent="0.25" r="31" customHeight="1" ht="22.899999999999995">
      <c r="A31" s="67" t="s">
        <v>75</v>
      </c>
      <c r="B31" s="137" t="s">
        <v>76</v>
      </c>
      <c r="C31" s="137" t="s">
        <v>77</v>
      </c>
      <c r="D31" s="137" t="s">
        <v>78</v>
      </c>
      <c r="E31" s="96" t="s">
        <v>79</v>
      </c>
      <c r="F31" s="96" t="s">
        <v>80</v>
      </c>
      <c r="G31" s="96" t="s">
        <v>81</v>
      </c>
      <c r="H31" s="96" t="s">
        <v>82</v>
      </c>
      <c r="I31" s="138">
        <f>L32</f>
      </c>
      <c r="J31" s="139">
        <v>0.15</v>
      </c>
      <c r="K31" s="137" t="s">
        <v>83</v>
      </c>
      <c r="L31" s="91" t="s">
        <v>57</v>
      </c>
      <c r="M31" s="91" t="s">
        <v>57</v>
      </c>
      <c r="N31" s="91" t="s">
        <v>57</v>
      </c>
      <c r="O31" s="92" t="s">
        <v>57</v>
      </c>
      <c r="P31" s="91" t="s">
        <v>57</v>
      </c>
      <c r="Q31" s="92" t="s">
        <v>57</v>
      </c>
      <c r="R31" s="91" t="s">
        <v>57</v>
      </c>
      <c r="S31" s="92" t="s">
        <v>57</v>
      </c>
      <c r="T31" s="91" t="s">
        <v>57</v>
      </c>
      <c r="U31" s="92" t="s">
        <v>57</v>
      </c>
      <c r="V31" s="91" t="s">
        <v>57</v>
      </c>
      <c r="W31" s="92" t="s">
        <v>57</v>
      </c>
      <c r="X31" s="91" t="s">
        <v>57</v>
      </c>
      <c r="Y31" s="92" t="s">
        <v>57</v>
      </c>
      <c r="Z31" s="91" t="s">
        <v>57</v>
      </c>
      <c r="AA31" s="92" t="s">
        <v>57</v>
      </c>
      <c r="AB31" s="91" t="s">
        <v>57</v>
      </c>
      <c r="AC31" s="92" t="s">
        <v>57</v>
      </c>
      <c r="AD31" s="91" t="s">
        <v>57</v>
      </c>
      <c r="AE31" s="92" t="s">
        <v>57</v>
      </c>
      <c r="AF31" s="91" t="s">
        <v>57</v>
      </c>
      <c r="AG31" s="92" t="s">
        <v>57</v>
      </c>
      <c r="AH31" s="91" t="s">
        <v>57</v>
      </c>
      <c r="AI31" s="92" t="s">
        <v>57</v>
      </c>
      <c r="AJ31" s="93"/>
      <c r="AK31" s="94" t="s">
        <v>84</v>
      </c>
      <c r="AL31" s="95"/>
      <c r="AM31" s="96" t="s">
        <v>85</v>
      </c>
      <c r="AN31" s="1"/>
    </row>
    <row x14ac:dyDescent="0.25" r="32" customHeight="1" ht="22.899999999999995">
      <c r="A32" s="140"/>
      <c r="B32" s="141"/>
      <c r="C32" s="142"/>
      <c r="D32" s="142"/>
      <c r="E32" s="109"/>
      <c r="F32" s="109"/>
      <c r="G32" s="109"/>
      <c r="H32" s="109"/>
      <c r="I32" s="143"/>
      <c r="J32" s="144"/>
      <c r="K32" s="145"/>
      <c r="L32" s="104">
        <f>IF(L34&lt;&gt;0,+L34/L36,0%)</f>
      </c>
      <c r="M32" s="105">
        <f>IF(M34&lt;&gt;0,+M34/M36,0%)</f>
      </c>
      <c r="N32" s="105">
        <f>IF(N34&lt;&gt;0,+N34/N36,0%)</f>
      </c>
      <c r="O32" s="106">
        <f>IF(O34&lt;&gt;0,+O34/O36,0%)</f>
      </c>
      <c r="P32" s="105">
        <f>IF(P34&lt;&gt;0,+P34/P36,0%)</f>
      </c>
      <c r="Q32" s="106">
        <f>IF(Q34&lt;&gt;0,+Q34/Q36,0%)</f>
      </c>
      <c r="R32" s="105">
        <f>IF(R34&lt;&gt;0,+R34/R36,0%)</f>
      </c>
      <c r="S32" s="106">
        <f>IF(S34&lt;&gt;0,+S34/S36,0%)</f>
      </c>
      <c r="T32" s="105">
        <f>IF(T34&lt;&gt;0,+T34/T36,0%)</f>
      </c>
      <c r="U32" s="106">
        <f>IF(U34&lt;&gt;0,+U34/U36,0%)</f>
      </c>
      <c r="V32" s="105">
        <f>IF(V34&lt;&gt;0,+V34/V36,0%)</f>
      </c>
      <c r="W32" s="106">
        <f>IF(W34&lt;&gt;0,+W34/W36,0%)</f>
      </c>
      <c r="X32" s="105">
        <f>IF(X34&lt;&gt;0,+X34/X36,0%)</f>
      </c>
      <c r="Y32" s="106">
        <f>IF(Y34&lt;&gt;0,+Y34/Y36,0%)</f>
      </c>
      <c r="Z32" s="105">
        <f>IF(Z34&lt;&gt;0,+Z34/Z36,0%)</f>
      </c>
      <c r="AA32" s="106">
        <f>IF(AA34&lt;&gt;0,+AA34/AA36,0%)</f>
      </c>
      <c r="AB32" s="105">
        <f>IF(AB34&lt;&gt;0,+AB34/AB36,0%)</f>
      </c>
      <c r="AC32" s="106">
        <f>IF(AC34&lt;&gt;0,+AC34/AC36,0%)</f>
      </c>
      <c r="AD32" s="105">
        <f>IF(AD34&lt;&gt;0,+AD34/AD36,0%)</f>
      </c>
      <c r="AE32" s="106">
        <f>IF(AE34&lt;&gt;0,+AE34/AE36,0%)</f>
      </c>
      <c r="AF32" s="105">
        <f>IF(AF34&lt;&gt;0,+AF34/AF36,0%)</f>
      </c>
      <c r="AG32" s="106">
        <f>IF(AG34&lt;&gt;0,+AG34/AG36,0%)</f>
      </c>
      <c r="AH32" s="105">
        <f>IF(AH34&lt;&gt;0,+AH34/AH36,0%)</f>
      </c>
      <c r="AI32" s="106">
        <f>IF(AI34&lt;&gt;0,+AI34/AI36,0%)</f>
      </c>
      <c r="AJ32" s="107"/>
      <c r="AK32" s="108"/>
      <c r="AL32" s="108"/>
      <c r="AM32" s="109"/>
      <c r="AN32" s="1"/>
    </row>
    <row x14ac:dyDescent="0.25" r="33" customHeight="1" ht="22.899999999999995">
      <c r="A33" s="140"/>
      <c r="B33" s="141"/>
      <c r="C33" s="142"/>
      <c r="D33" s="142"/>
      <c r="E33" s="109"/>
      <c r="F33" s="109"/>
      <c r="G33" s="109"/>
      <c r="H33" s="109"/>
      <c r="I33" s="143"/>
      <c r="J33" s="144"/>
      <c r="K33" s="146"/>
      <c r="L33" s="111" t="s">
        <v>60</v>
      </c>
      <c r="M33" s="111" t="s">
        <v>60</v>
      </c>
      <c r="N33" s="111" t="s">
        <v>60</v>
      </c>
      <c r="O33" s="112" t="s">
        <v>60</v>
      </c>
      <c r="P33" s="111" t="s">
        <v>60</v>
      </c>
      <c r="Q33" s="112" t="s">
        <v>60</v>
      </c>
      <c r="R33" s="111" t="s">
        <v>60</v>
      </c>
      <c r="S33" s="112" t="s">
        <v>60</v>
      </c>
      <c r="T33" s="111" t="s">
        <v>60</v>
      </c>
      <c r="U33" s="112" t="s">
        <v>60</v>
      </c>
      <c r="V33" s="111" t="s">
        <v>60</v>
      </c>
      <c r="W33" s="112" t="s">
        <v>60</v>
      </c>
      <c r="X33" s="111" t="s">
        <v>60</v>
      </c>
      <c r="Y33" s="112" t="s">
        <v>60</v>
      </c>
      <c r="Z33" s="111" t="s">
        <v>60</v>
      </c>
      <c r="AA33" s="112" t="s">
        <v>60</v>
      </c>
      <c r="AB33" s="111" t="s">
        <v>60</v>
      </c>
      <c r="AC33" s="112" t="s">
        <v>60</v>
      </c>
      <c r="AD33" s="111" t="s">
        <v>60</v>
      </c>
      <c r="AE33" s="112" t="s">
        <v>60</v>
      </c>
      <c r="AF33" s="111" t="s">
        <v>60</v>
      </c>
      <c r="AG33" s="112" t="s">
        <v>60</v>
      </c>
      <c r="AH33" s="111" t="s">
        <v>60</v>
      </c>
      <c r="AI33" s="112" t="s">
        <v>60</v>
      </c>
      <c r="AJ33" s="107"/>
      <c r="AK33" s="108"/>
      <c r="AL33" s="108"/>
      <c r="AM33" s="109"/>
      <c r="AN33" s="1"/>
    </row>
    <row x14ac:dyDescent="0.25" r="34" customHeight="1" ht="22.899999999999995">
      <c r="A34" s="140"/>
      <c r="B34" s="141"/>
      <c r="C34" s="142"/>
      <c r="D34" s="142"/>
      <c r="E34" s="109"/>
      <c r="F34" s="109"/>
      <c r="G34" s="109"/>
      <c r="H34" s="109"/>
      <c r="I34" s="143"/>
      <c r="J34" s="144"/>
      <c r="K34" s="137" t="s">
        <v>86</v>
      </c>
      <c r="L34" s="113">
        <v>3</v>
      </c>
      <c r="M34" s="114">
        <v>0</v>
      </c>
      <c r="N34" s="114">
        <v>0</v>
      </c>
      <c r="O34" s="115">
        <f>+M34+N34</f>
      </c>
      <c r="P34" s="114">
        <v>0</v>
      </c>
      <c r="Q34" s="115">
        <f>+O34+P34</f>
      </c>
      <c r="R34" s="114">
        <v>1</v>
      </c>
      <c r="S34" s="115">
        <f>+Q34+R34</f>
      </c>
      <c r="T34" s="114">
        <v>0</v>
      </c>
      <c r="U34" s="115">
        <f>+S34+T34</f>
      </c>
      <c r="V34" s="114">
        <v>1</v>
      </c>
      <c r="W34" s="115">
        <f>+U34+V34</f>
      </c>
      <c r="X34" s="114">
        <v>0</v>
      </c>
      <c r="Y34" s="115">
        <f>+W34+X34</f>
      </c>
      <c r="Z34" s="114">
        <v>0</v>
      </c>
      <c r="AA34" s="115">
        <f>+Y34+Z34</f>
      </c>
      <c r="AB34" s="114">
        <v>1</v>
      </c>
      <c r="AC34" s="115">
        <f>+AA34+AB34</f>
      </c>
      <c r="AD34" s="114">
        <v>0</v>
      </c>
      <c r="AE34" s="115">
        <f>+AC34+AD34</f>
      </c>
      <c r="AF34" s="114">
        <v>0</v>
      </c>
      <c r="AG34" s="115">
        <f>+AE34+AF34</f>
      </c>
      <c r="AH34" s="114">
        <v>0</v>
      </c>
      <c r="AI34" s="115">
        <f>+AG34+AH34</f>
      </c>
      <c r="AJ34" s="116">
        <f>AI32/L32</f>
      </c>
      <c r="AK34" s="108"/>
      <c r="AL34" s="108"/>
      <c r="AM34" s="109"/>
      <c r="AN34" s="1"/>
    </row>
    <row x14ac:dyDescent="0.25" r="35" customHeight="1" ht="22.899999999999995">
      <c r="A35" s="140"/>
      <c r="B35" s="141"/>
      <c r="C35" s="142"/>
      <c r="D35" s="142"/>
      <c r="E35" s="109"/>
      <c r="F35" s="109"/>
      <c r="G35" s="109"/>
      <c r="H35" s="109"/>
      <c r="I35" s="143"/>
      <c r="J35" s="144"/>
      <c r="K35" s="147"/>
      <c r="L35" s="111" t="s">
        <v>62</v>
      </c>
      <c r="M35" s="111" t="s">
        <v>62</v>
      </c>
      <c r="N35" s="111" t="s">
        <v>62</v>
      </c>
      <c r="O35" s="112" t="s">
        <v>62</v>
      </c>
      <c r="P35" s="111" t="s">
        <v>62</v>
      </c>
      <c r="Q35" s="112" t="s">
        <v>62</v>
      </c>
      <c r="R35" s="111" t="s">
        <v>62</v>
      </c>
      <c r="S35" s="112" t="s">
        <v>62</v>
      </c>
      <c r="T35" s="111" t="s">
        <v>62</v>
      </c>
      <c r="U35" s="112" t="s">
        <v>62</v>
      </c>
      <c r="V35" s="111" t="s">
        <v>62</v>
      </c>
      <c r="W35" s="112" t="s">
        <v>62</v>
      </c>
      <c r="X35" s="111" t="s">
        <v>62</v>
      </c>
      <c r="Y35" s="112" t="s">
        <v>62</v>
      </c>
      <c r="Z35" s="111" t="s">
        <v>62</v>
      </c>
      <c r="AA35" s="112" t="s">
        <v>62</v>
      </c>
      <c r="AB35" s="111" t="s">
        <v>62</v>
      </c>
      <c r="AC35" s="112" t="s">
        <v>62</v>
      </c>
      <c r="AD35" s="111" t="s">
        <v>62</v>
      </c>
      <c r="AE35" s="112" t="s">
        <v>62</v>
      </c>
      <c r="AF35" s="111" t="s">
        <v>62</v>
      </c>
      <c r="AG35" s="112" t="s">
        <v>62</v>
      </c>
      <c r="AH35" s="111" t="s">
        <v>62</v>
      </c>
      <c r="AI35" s="112" t="s">
        <v>62</v>
      </c>
      <c r="AJ35" s="107"/>
      <c r="AK35" s="108"/>
      <c r="AL35" s="108"/>
      <c r="AM35" s="109"/>
      <c r="AN35" s="1"/>
    </row>
    <row x14ac:dyDescent="0.25" r="36" customHeight="1" ht="22.899999999999995">
      <c r="A36" s="74"/>
      <c r="B36" s="148"/>
      <c r="C36" s="149"/>
      <c r="D36" s="149"/>
      <c r="E36" s="128"/>
      <c r="F36" s="128"/>
      <c r="G36" s="128"/>
      <c r="H36" s="128"/>
      <c r="I36" s="150"/>
      <c r="J36" s="151"/>
      <c r="K36" s="152"/>
      <c r="L36" s="134">
        <v>3</v>
      </c>
      <c r="M36" s="124">
        <v>3</v>
      </c>
      <c r="N36" s="124">
        <v>3</v>
      </c>
      <c r="O36" s="125">
        <v>3</v>
      </c>
      <c r="P36" s="124">
        <v>3</v>
      </c>
      <c r="Q36" s="125">
        <v>3</v>
      </c>
      <c r="R36" s="124">
        <v>3</v>
      </c>
      <c r="S36" s="125">
        <v>3</v>
      </c>
      <c r="T36" s="124">
        <v>3</v>
      </c>
      <c r="U36" s="125">
        <v>3</v>
      </c>
      <c r="V36" s="124">
        <v>3</v>
      </c>
      <c r="W36" s="125">
        <v>3</v>
      </c>
      <c r="X36" s="124">
        <v>3</v>
      </c>
      <c r="Y36" s="125">
        <v>3</v>
      </c>
      <c r="Z36" s="124">
        <v>3</v>
      </c>
      <c r="AA36" s="125">
        <v>3</v>
      </c>
      <c r="AB36" s="124">
        <v>3</v>
      </c>
      <c r="AC36" s="125">
        <v>3</v>
      </c>
      <c r="AD36" s="124">
        <v>3</v>
      </c>
      <c r="AE36" s="125">
        <v>3</v>
      </c>
      <c r="AF36" s="124">
        <v>3</v>
      </c>
      <c r="AG36" s="125">
        <v>3</v>
      </c>
      <c r="AH36" s="124">
        <v>3</v>
      </c>
      <c r="AI36" s="125">
        <v>3</v>
      </c>
      <c r="AJ36" s="126"/>
      <c r="AK36" s="127"/>
      <c r="AL36" s="127"/>
      <c r="AM36" s="128"/>
      <c r="AN36" s="1"/>
    </row>
    <row x14ac:dyDescent="0.25" r="37" customHeight="1" ht="22.899999999999995">
      <c r="A37" s="84" t="s">
        <v>87</v>
      </c>
      <c r="B37" s="85" t="s">
        <v>50</v>
      </c>
      <c r="C37" s="86" t="s">
        <v>88</v>
      </c>
      <c r="D37" s="87" t="s">
        <v>89</v>
      </c>
      <c r="E37" s="87" t="s">
        <v>53</v>
      </c>
      <c r="F37" s="87" t="s">
        <v>54</v>
      </c>
      <c r="G37" s="87" t="s">
        <v>55</v>
      </c>
      <c r="H37" s="87" t="s">
        <v>54</v>
      </c>
      <c r="I37" s="88">
        <f>L38</f>
      </c>
      <c r="J37" s="89">
        <v>0.15</v>
      </c>
      <c r="K37" s="90" t="s">
        <v>90</v>
      </c>
      <c r="L37" s="91" t="s">
        <v>57</v>
      </c>
      <c r="M37" s="91" t="s">
        <v>57</v>
      </c>
      <c r="N37" s="91" t="s">
        <v>57</v>
      </c>
      <c r="O37" s="92" t="s">
        <v>57</v>
      </c>
      <c r="P37" s="91" t="s">
        <v>57</v>
      </c>
      <c r="Q37" s="92" t="s">
        <v>57</v>
      </c>
      <c r="R37" s="91" t="s">
        <v>57</v>
      </c>
      <c r="S37" s="92" t="s">
        <v>57</v>
      </c>
      <c r="T37" s="91" t="s">
        <v>57</v>
      </c>
      <c r="U37" s="92" t="s">
        <v>57</v>
      </c>
      <c r="V37" s="91" t="s">
        <v>57</v>
      </c>
      <c r="W37" s="92" t="s">
        <v>57</v>
      </c>
      <c r="X37" s="91" t="s">
        <v>57</v>
      </c>
      <c r="Y37" s="92" t="s">
        <v>57</v>
      </c>
      <c r="Z37" s="91" t="s">
        <v>57</v>
      </c>
      <c r="AA37" s="92" t="s">
        <v>57</v>
      </c>
      <c r="AB37" s="91" t="s">
        <v>57</v>
      </c>
      <c r="AC37" s="92" t="s">
        <v>57</v>
      </c>
      <c r="AD37" s="91" t="s">
        <v>57</v>
      </c>
      <c r="AE37" s="92" t="s">
        <v>57</v>
      </c>
      <c r="AF37" s="91" t="s">
        <v>57</v>
      </c>
      <c r="AG37" s="92" t="s">
        <v>57</v>
      </c>
      <c r="AH37" s="91" t="s">
        <v>57</v>
      </c>
      <c r="AI37" s="92" t="s">
        <v>57</v>
      </c>
      <c r="AJ37" s="93"/>
      <c r="AK37" s="94" t="s">
        <v>91</v>
      </c>
      <c r="AL37" s="95"/>
      <c r="AM37" s="96" t="s">
        <v>59</v>
      </c>
      <c r="AN37" s="1"/>
    </row>
    <row x14ac:dyDescent="0.25" r="38" customHeight="1" ht="22.899999999999995">
      <c r="A38" s="97"/>
      <c r="B38" s="98"/>
      <c r="C38" s="99"/>
      <c r="D38" s="100"/>
      <c r="E38" s="101"/>
      <c r="F38" s="102"/>
      <c r="G38" s="101"/>
      <c r="H38" s="102"/>
      <c r="I38" s="103"/>
      <c r="J38" s="101"/>
      <c r="K38" s="98"/>
      <c r="L38" s="104">
        <f>IF(L40&lt;&gt;0,+L40/L42,0%)</f>
      </c>
      <c r="M38" s="105">
        <f>IF(M40&lt;&gt;0,+M40/M42,0%)</f>
      </c>
      <c r="N38" s="105">
        <f>IF(N40&lt;&gt;0,+N40/N42,0%)</f>
      </c>
      <c r="O38" s="106">
        <f>IF(O40&lt;&gt;0,+O40/O42,0%)</f>
      </c>
      <c r="P38" s="105">
        <f>IF(P40&lt;&gt;0,+P40/P42,0%)</f>
      </c>
      <c r="Q38" s="106">
        <f>IF(Q40&lt;&gt;0,+Q40/Q42,0%)</f>
      </c>
      <c r="R38" s="105">
        <f>IF(R40&lt;&gt;0,+R40/R42,0%)</f>
      </c>
      <c r="S38" s="106">
        <f>IF(S40&lt;&gt;0,+S40/S42,0%)</f>
      </c>
      <c r="T38" s="105">
        <f>IF(T40&lt;&gt;0,+T40/T42,0%)</f>
      </c>
      <c r="U38" s="106">
        <f>IF(U40&lt;&gt;0,+U40/U42,0%)</f>
      </c>
      <c r="V38" s="105">
        <f>IF(V40&lt;&gt;0,+V40/V42,0%)</f>
      </c>
      <c r="W38" s="106">
        <f>IF(W40&lt;&gt;0,+W40/W42,0%)</f>
      </c>
      <c r="X38" s="105">
        <f>IF(X40&lt;&gt;0,+X40/X42,0%)</f>
      </c>
      <c r="Y38" s="106">
        <f>IF(Y40&lt;&gt;0,+Y40/Y42,0%)</f>
      </c>
      <c r="Z38" s="105">
        <f>IF(Z40&lt;&gt;0,+Z40/Z42,0%)</f>
      </c>
      <c r="AA38" s="106">
        <f>IF(AA40&lt;&gt;0,+AA40/AA42,0%)</f>
      </c>
      <c r="AB38" s="105">
        <f>IF(AB40&lt;&gt;0,+AB40/AB42,0%)</f>
      </c>
      <c r="AC38" s="106">
        <f>IF(AC40&lt;&gt;0,+AC40/AC42,0%)</f>
      </c>
      <c r="AD38" s="105">
        <f>IF(AD40&lt;&gt;0,+AD40/AD42,0%)</f>
      </c>
      <c r="AE38" s="106">
        <f>IF(AE40&lt;&gt;0,+AE40/AE42,0%)</f>
      </c>
      <c r="AF38" s="105">
        <f>IF(AF40&lt;&gt;0,+AF40/AF42,0%)</f>
      </c>
      <c r="AG38" s="106">
        <f>IF(AG40&lt;&gt;0,+AG40/AG42,0%)</f>
      </c>
      <c r="AH38" s="105">
        <f>IF(AH40&lt;&gt;0,+AH40/AH42,0%)</f>
      </c>
      <c r="AI38" s="106">
        <f>IF(AI40&lt;&gt;0,+AI40/AI42,0%)</f>
      </c>
      <c r="AJ38" s="107"/>
      <c r="AK38" s="108"/>
      <c r="AL38" s="108"/>
      <c r="AM38" s="109"/>
      <c r="AN38" s="1"/>
    </row>
    <row x14ac:dyDescent="0.25" r="39" customHeight="1" ht="22.899999999999995">
      <c r="A39" s="97"/>
      <c r="B39" s="98"/>
      <c r="C39" s="99"/>
      <c r="D39" s="100"/>
      <c r="E39" s="101"/>
      <c r="F39" s="102"/>
      <c r="G39" s="101"/>
      <c r="H39" s="102"/>
      <c r="I39" s="103"/>
      <c r="J39" s="101"/>
      <c r="K39" s="110"/>
      <c r="L39" s="111" t="s">
        <v>60</v>
      </c>
      <c r="M39" s="111" t="s">
        <v>60</v>
      </c>
      <c r="N39" s="111" t="s">
        <v>60</v>
      </c>
      <c r="O39" s="112" t="s">
        <v>60</v>
      </c>
      <c r="P39" s="111" t="s">
        <v>60</v>
      </c>
      <c r="Q39" s="112" t="s">
        <v>60</v>
      </c>
      <c r="R39" s="111" t="s">
        <v>60</v>
      </c>
      <c r="S39" s="112" t="s">
        <v>60</v>
      </c>
      <c r="T39" s="111" t="s">
        <v>60</v>
      </c>
      <c r="U39" s="112" t="s">
        <v>60</v>
      </c>
      <c r="V39" s="111" t="s">
        <v>60</v>
      </c>
      <c r="W39" s="112" t="s">
        <v>60</v>
      </c>
      <c r="X39" s="111" t="s">
        <v>60</v>
      </c>
      <c r="Y39" s="112" t="s">
        <v>60</v>
      </c>
      <c r="Z39" s="111" t="s">
        <v>60</v>
      </c>
      <c r="AA39" s="112" t="s">
        <v>60</v>
      </c>
      <c r="AB39" s="111" t="s">
        <v>60</v>
      </c>
      <c r="AC39" s="112" t="s">
        <v>60</v>
      </c>
      <c r="AD39" s="111" t="s">
        <v>60</v>
      </c>
      <c r="AE39" s="112" t="s">
        <v>60</v>
      </c>
      <c r="AF39" s="111" t="s">
        <v>60</v>
      </c>
      <c r="AG39" s="112" t="s">
        <v>60</v>
      </c>
      <c r="AH39" s="111" t="s">
        <v>60</v>
      </c>
      <c r="AI39" s="112" t="s">
        <v>60</v>
      </c>
      <c r="AJ39" s="107"/>
      <c r="AK39" s="108"/>
      <c r="AL39" s="108"/>
      <c r="AM39" s="109"/>
      <c r="AN39" s="1"/>
    </row>
    <row x14ac:dyDescent="0.25" r="40" customHeight="1" ht="22.899999999999995">
      <c r="A40" s="97"/>
      <c r="B40" s="98"/>
      <c r="C40" s="99"/>
      <c r="D40" s="100"/>
      <c r="E40" s="101"/>
      <c r="F40" s="102"/>
      <c r="G40" s="101"/>
      <c r="H40" s="102"/>
      <c r="I40" s="103"/>
      <c r="J40" s="101"/>
      <c r="K40" s="85" t="s">
        <v>92</v>
      </c>
      <c r="L40" s="113">
        <v>5</v>
      </c>
      <c r="M40" s="114">
        <v>0</v>
      </c>
      <c r="N40" s="114">
        <v>0</v>
      </c>
      <c r="O40" s="115">
        <f>+M40+N40</f>
      </c>
      <c r="P40" s="114">
        <v>1</v>
      </c>
      <c r="Q40" s="115">
        <f>+O40+P40</f>
      </c>
      <c r="R40" s="114">
        <v>0</v>
      </c>
      <c r="S40" s="115">
        <f>+Q40+R40</f>
      </c>
      <c r="T40" s="114">
        <v>0</v>
      </c>
      <c r="U40" s="115">
        <f>+S40+T40</f>
      </c>
      <c r="V40" s="114">
        <v>1</v>
      </c>
      <c r="W40" s="115">
        <f>+U40+V40</f>
      </c>
      <c r="X40" s="114">
        <v>0</v>
      </c>
      <c r="Y40" s="115">
        <f>+W40+X40</f>
      </c>
      <c r="Z40" s="114">
        <v>0</v>
      </c>
      <c r="AA40" s="115">
        <f>+Y40+Z40</f>
      </c>
      <c r="AB40" s="114">
        <v>1</v>
      </c>
      <c r="AC40" s="115">
        <f>+AA40+AB40</f>
      </c>
      <c r="AD40" s="114">
        <v>0</v>
      </c>
      <c r="AE40" s="115">
        <f>+AC40+AD40</f>
      </c>
      <c r="AF40" s="114">
        <v>2</v>
      </c>
      <c r="AG40" s="115">
        <f>+AE40+AF40</f>
      </c>
      <c r="AH40" s="114">
        <v>0</v>
      </c>
      <c r="AI40" s="115">
        <f>+AG40+AH40</f>
      </c>
      <c r="AJ40" s="116">
        <f>+AI38/L38</f>
      </c>
      <c r="AK40" s="108"/>
      <c r="AL40" s="108"/>
      <c r="AM40" s="109"/>
      <c r="AN40" s="1"/>
    </row>
    <row x14ac:dyDescent="0.25" r="41" customHeight="1" ht="22.899999999999995">
      <c r="A41" s="97"/>
      <c r="B41" s="98"/>
      <c r="C41" s="99"/>
      <c r="D41" s="100"/>
      <c r="E41" s="101"/>
      <c r="F41" s="102"/>
      <c r="G41" s="101"/>
      <c r="H41" s="102"/>
      <c r="I41" s="103"/>
      <c r="J41" s="101"/>
      <c r="K41" s="117"/>
      <c r="L41" s="111" t="s">
        <v>62</v>
      </c>
      <c r="M41" s="111" t="s">
        <v>62</v>
      </c>
      <c r="N41" s="111" t="s">
        <v>62</v>
      </c>
      <c r="O41" s="112" t="s">
        <v>62</v>
      </c>
      <c r="P41" s="111" t="s">
        <v>62</v>
      </c>
      <c r="Q41" s="112" t="s">
        <v>62</v>
      </c>
      <c r="R41" s="111" t="s">
        <v>62</v>
      </c>
      <c r="S41" s="112" t="s">
        <v>62</v>
      </c>
      <c r="T41" s="111" t="s">
        <v>62</v>
      </c>
      <c r="U41" s="112" t="s">
        <v>62</v>
      </c>
      <c r="V41" s="111" t="s">
        <v>62</v>
      </c>
      <c r="W41" s="112" t="s">
        <v>62</v>
      </c>
      <c r="X41" s="111" t="s">
        <v>62</v>
      </c>
      <c r="Y41" s="112" t="s">
        <v>62</v>
      </c>
      <c r="Z41" s="111" t="s">
        <v>62</v>
      </c>
      <c r="AA41" s="112" t="s">
        <v>62</v>
      </c>
      <c r="AB41" s="111" t="s">
        <v>62</v>
      </c>
      <c r="AC41" s="112" t="s">
        <v>62</v>
      </c>
      <c r="AD41" s="111" t="s">
        <v>62</v>
      </c>
      <c r="AE41" s="112" t="s">
        <v>62</v>
      </c>
      <c r="AF41" s="111" t="s">
        <v>62</v>
      </c>
      <c r="AG41" s="112" t="s">
        <v>62</v>
      </c>
      <c r="AH41" s="111" t="s">
        <v>62</v>
      </c>
      <c r="AI41" s="112" t="s">
        <v>62</v>
      </c>
      <c r="AJ41" s="107"/>
      <c r="AK41" s="108"/>
      <c r="AL41" s="108"/>
      <c r="AM41" s="109"/>
      <c r="AN41" s="1"/>
    </row>
    <row x14ac:dyDescent="0.25" r="42" customHeight="1" ht="22.899999999999995">
      <c r="A42" s="118"/>
      <c r="B42" s="110"/>
      <c r="C42" s="119"/>
      <c r="D42" s="120"/>
      <c r="E42" s="101"/>
      <c r="F42" s="121"/>
      <c r="G42" s="101"/>
      <c r="H42" s="121"/>
      <c r="I42" s="122"/>
      <c r="J42" s="123"/>
      <c r="K42" s="110"/>
      <c r="L42" s="113">
        <v>5</v>
      </c>
      <c r="M42" s="124">
        <v>5</v>
      </c>
      <c r="N42" s="124">
        <v>5</v>
      </c>
      <c r="O42" s="125">
        <v>5</v>
      </c>
      <c r="P42" s="124">
        <v>5</v>
      </c>
      <c r="Q42" s="125">
        <v>5</v>
      </c>
      <c r="R42" s="124">
        <v>5</v>
      </c>
      <c r="S42" s="125">
        <v>5</v>
      </c>
      <c r="T42" s="124">
        <v>5</v>
      </c>
      <c r="U42" s="125">
        <v>5</v>
      </c>
      <c r="V42" s="124">
        <v>5</v>
      </c>
      <c r="W42" s="125">
        <v>5</v>
      </c>
      <c r="X42" s="124">
        <v>5</v>
      </c>
      <c r="Y42" s="125">
        <v>5</v>
      </c>
      <c r="Z42" s="124">
        <v>5</v>
      </c>
      <c r="AA42" s="125">
        <v>5</v>
      </c>
      <c r="AB42" s="124">
        <v>5</v>
      </c>
      <c r="AC42" s="125">
        <v>5</v>
      </c>
      <c r="AD42" s="124">
        <v>5</v>
      </c>
      <c r="AE42" s="125">
        <v>5</v>
      </c>
      <c r="AF42" s="124">
        <v>5</v>
      </c>
      <c r="AG42" s="125">
        <v>5</v>
      </c>
      <c r="AH42" s="124">
        <v>5</v>
      </c>
      <c r="AI42" s="125">
        <v>5</v>
      </c>
      <c r="AJ42" s="126"/>
      <c r="AK42" s="127"/>
      <c r="AL42" s="127"/>
      <c r="AM42" s="128"/>
      <c r="AN42" s="1"/>
    </row>
    <row x14ac:dyDescent="0.25" r="43" customHeight="1" ht="22.899999999999995">
      <c r="A43" s="84" t="s">
        <v>93</v>
      </c>
      <c r="B43" s="85" t="s">
        <v>50</v>
      </c>
      <c r="C43" s="86" t="s">
        <v>94</v>
      </c>
      <c r="D43" s="87" t="s">
        <v>95</v>
      </c>
      <c r="E43" s="87" t="s">
        <v>53</v>
      </c>
      <c r="F43" s="87" t="s">
        <v>54</v>
      </c>
      <c r="G43" s="87" t="s">
        <v>55</v>
      </c>
      <c r="H43" s="87" t="s">
        <v>54</v>
      </c>
      <c r="I43" s="88">
        <f>L44</f>
      </c>
      <c r="J43" s="89">
        <v>0.15</v>
      </c>
      <c r="K43" s="90" t="s">
        <v>96</v>
      </c>
      <c r="L43" s="91" t="s">
        <v>57</v>
      </c>
      <c r="M43" s="91" t="s">
        <v>57</v>
      </c>
      <c r="N43" s="91" t="s">
        <v>57</v>
      </c>
      <c r="O43" s="92" t="s">
        <v>57</v>
      </c>
      <c r="P43" s="91" t="s">
        <v>57</v>
      </c>
      <c r="Q43" s="92" t="s">
        <v>57</v>
      </c>
      <c r="R43" s="91" t="s">
        <v>57</v>
      </c>
      <c r="S43" s="92" t="s">
        <v>57</v>
      </c>
      <c r="T43" s="91" t="s">
        <v>57</v>
      </c>
      <c r="U43" s="92" t="s">
        <v>57</v>
      </c>
      <c r="V43" s="91" t="s">
        <v>57</v>
      </c>
      <c r="W43" s="92" t="s">
        <v>57</v>
      </c>
      <c r="X43" s="91" t="s">
        <v>57</v>
      </c>
      <c r="Y43" s="92" t="s">
        <v>57</v>
      </c>
      <c r="Z43" s="91" t="s">
        <v>57</v>
      </c>
      <c r="AA43" s="92" t="s">
        <v>57</v>
      </c>
      <c r="AB43" s="91" t="s">
        <v>57</v>
      </c>
      <c r="AC43" s="92" t="s">
        <v>57</v>
      </c>
      <c r="AD43" s="91" t="s">
        <v>57</v>
      </c>
      <c r="AE43" s="92" t="s">
        <v>57</v>
      </c>
      <c r="AF43" s="91" t="s">
        <v>57</v>
      </c>
      <c r="AG43" s="92" t="s">
        <v>57</v>
      </c>
      <c r="AH43" s="91" t="s">
        <v>57</v>
      </c>
      <c r="AI43" s="92" t="s">
        <v>57</v>
      </c>
      <c r="AJ43" s="93"/>
      <c r="AK43" s="94" t="s">
        <v>97</v>
      </c>
      <c r="AL43" s="95"/>
      <c r="AM43" s="96" t="s">
        <v>59</v>
      </c>
      <c r="AN43" s="1"/>
    </row>
    <row x14ac:dyDescent="0.25" r="44" customHeight="1" ht="22.899999999999995">
      <c r="A44" s="97"/>
      <c r="B44" s="98"/>
      <c r="C44" s="99"/>
      <c r="D44" s="100"/>
      <c r="E44" s="100"/>
      <c r="F44" s="102"/>
      <c r="G44" s="100"/>
      <c r="H44" s="102"/>
      <c r="I44" s="103"/>
      <c r="J44" s="101"/>
      <c r="K44" s="98"/>
      <c r="L44" s="104">
        <f>IF(L46&lt;&gt;0,+L46/L48,0%)</f>
      </c>
      <c r="M44" s="105">
        <f>IF(M46&lt;&gt;0,+M46/M48,0%)</f>
      </c>
      <c r="N44" s="105">
        <f>IF(N46&lt;&gt;0,+N46/N48,0%)</f>
      </c>
      <c r="O44" s="106">
        <f>IF(O46&lt;&gt;0,+O46/O48,0%)</f>
      </c>
      <c r="P44" s="105">
        <f>IF(P46&lt;&gt;0,+P46/P48,0%)</f>
      </c>
      <c r="Q44" s="106">
        <f>IF(Q46&lt;&gt;0,+Q46/Q48,0%)</f>
      </c>
      <c r="R44" s="105">
        <f>IF(R46&lt;&gt;0,+R46/R48,0%)</f>
      </c>
      <c r="S44" s="106">
        <f>IF(S46&lt;&gt;0,+S46/S48,0%)</f>
      </c>
      <c r="T44" s="105">
        <f>IF(T46&lt;&gt;0,+T46/T48,0%)</f>
      </c>
      <c r="U44" s="106">
        <f>IF(U46&lt;&gt;0,+U46/U48,0%)</f>
      </c>
      <c r="V44" s="105">
        <f>IF(V46&lt;&gt;0,+V46/V48,0%)</f>
      </c>
      <c r="W44" s="106">
        <f>IF(W46&lt;&gt;0,+W46/W48,0%)</f>
      </c>
      <c r="X44" s="105">
        <f>IF(X46&lt;&gt;0,+X46/X48,0%)</f>
      </c>
      <c r="Y44" s="106">
        <f>IF(Y46&lt;&gt;0,+Y46/Y48,0%)</f>
      </c>
      <c r="Z44" s="105">
        <f>IF(Z46&lt;&gt;0,+Z46/Z48,0%)</f>
      </c>
      <c r="AA44" s="106">
        <f>IF(AA46&lt;&gt;0,+AA46/AA48,0%)</f>
      </c>
      <c r="AB44" s="105">
        <f>IF(AB46&lt;&gt;0,+AB46/AB48,0%)</f>
      </c>
      <c r="AC44" s="106">
        <f>IF(AC46&lt;&gt;0,+AC46/AC48,0%)</f>
      </c>
      <c r="AD44" s="105">
        <f>IF(AD46&lt;&gt;0,+AD46/AD48,0%)</f>
      </c>
      <c r="AE44" s="106">
        <f>IF(AE46&lt;&gt;0,+AE46/AE48,0%)</f>
      </c>
      <c r="AF44" s="105">
        <f>IF(AF46&lt;&gt;0,+AF46/AF48,0%)</f>
      </c>
      <c r="AG44" s="106">
        <f>IF(AG46&lt;&gt;0,+AG46/AG48,0%)</f>
      </c>
      <c r="AH44" s="105">
        <f>IF(AH46&lt;&gt;0,+AH46/AH48,0%)</f>
      </c>
      <c r="AI44" s="106">
        <f>IF(AI46&lt;&gt;0,+AI46/AI48,0%)</f>
      </c>
      <c r="AJ44" s="107"/>
      <c r="AK44" s="108"/>
      <c r="AL44" s="108"/>
      <c r="AM44" s="109"/>
      <c r="AN44" s="1"/>
    </row>
    <row x14ac:dyDescent="0.25" r="45" customHeight="1" ht="22.899999999999995">
      <c r="A45" s="97"/>
      <c r="B45" s="98"/>
      <c r="C45" s="99"/>
      <c r="D45" s="100"/>
      <c r="E45" s="100"/>
      <c r="F45" s="102"/>
      <c r="G45" s="100"/>
      <c r="H45" s="102"/>
      <c r="I45" s="103"/>
      <c r="J45" s="101"/>
      <c r="K45" s="110"/>
      <c r="L45" s="111" t="s">
        <v>60</v>
      </c>
      <c r="M45" s="111" t="s">
        <v>60</v>
      </c>
      <c r="N45" s="111" t="s">
        <v>60</v>
      </c>
      <c r="O45" s="112" t="s">
        <v>60</v>
      </c>
      <c r="P45" s="111" t="s">
        <v>60</v>
      </c>
      <c r="Q45" s="112" t="s">
        <v>60</v>
      </c>
      <c r="R45" s="111" t="s">
        <v>60</v>
      </c>
      <c r="S45" s="112" t="s">
        <v>60</v>
      </c>
      <c r="T45" s="111" t="s">
        <v>60</v>
      </c>
      <c r="U45" s="112" t="s">
        <v>60</v>
      </c>
      <c r="V45" s="111" t="s">
        <v>60</v>
      </c>
      <c r="W45" s="112" t="s">
        <v>60</v>
      </c>
      <c r="X45" s="111" t="s">
        <v>60</v>
      </c>
      <c r="Y45" s="112" t="s">
        <v>60</v>
      </c>
      <c r="Z45" s="111" t="s">
        <v>60</v>
      </c>
      <c r="AA45" s="112" t="s">
        <v>60</v>
      </c>
      <c r="AB45" s="111" t="s">
        <v>60</v>
      </c>
      <c r="AC45" s="112" t="s">
        <v>60</v>
      </c>
      <c r="AD45" s="111" t="s">
        <v>60</v>
      </c>
      <c r="AE45" s="112" t="s">
        <v>60</v>
      </c>
      <c r="AF45" s="111" t="s">
        <v>60</v>
      </c>
      <c r="AG45" s="112" t="s">
        <v>60</v>
      </c>
      <c r="AH45" s="111" t="s">
        <v>60</v>
      </c>
      <c r="AI45" s="112" t="s">
        <v>60</v>
      </c>
      <c r="AJ45" s="107"/>
      <c r="AK45" s="108"/>
      <c r="AL45" s="108"/>
      <c r="AM45" s="109"/>
      <c r="AN45" s="1"/>
    </row>
    <row x14ac:dyDescent="0.25" r="46" customHeight="1" ht="22.899999999999995">
      <c r="A46" s="97"/>
      <c r="B46" s="98"/>
      <c r="C46" s="99"/>
      <c r="D46" s="100"/>
      <c r="E46" s="100"/>
      <c r="F46" s="102"/>
      <c r="G46" s="100"/>
      <c r="H46" s="102"/>
      <c r="I46" s="103"/>
      <c r="J46" s="101"/>
      <c r="K46" s="85" t="s">
        <v>98</v>
      </c>
      <c r="L46" s="113">
        <v>3</v>
      </c>
      <c r="M46" s="114">
        <v>0</v>
      </c>
      <c r="N46" s="114">
        <v>0</v>
      </c>
      <c r="O46" s="115">
        <f>+M46+N46</f>
      </c>
      <c r="P46" s="114">
        <v>0</v>
      </c>
      <c r="Q46" s="115">
        <f>+O46+P46</f>
      </c>
      <c r="R46" s="114">
        <v>1</v>
      </c>
      <c r="S46" s="115">
        <f>+Q46+R46</f>
      </c>
      <c r="T46" s="114">
        <v>0</v>
      </c>
      <c r="U46" s="115">
        <f>+S46+T46</f>
      </c>
      <c r="V46" s="114">
        <v>0</v>
      </c>
      <c r="W46" s="115">
        <f>+U46+V46</f>
      </c>
      <c r="X46" s="114">
        <v>0</v>
      </c>
      <c r="Y46" s="115">
        <f>+W46+X46</f>
      </c>
      <c r="Z46" s="114">
        <v>1</v>
      </c>
      <c r="AA46" s="115">
        <f>+Y46+Z46</f>
      </c>
      <c r="AB46" s="114">
        <v>0</v>
      </c>
      <c r="AC46" s="115">
        <f>+AA46+AB46</f>
      </c>
      <c r="AD46" s="114">
        <v>0</v>
      </c>
      <c r="AE46" s="115">
        <f>+AC46+AD46</f>
      </c>
      <c r="AF46" s="114">
        <v>0</v>
      </c>
      <c r="AG46" s="115">
        <f>+AE46+AF46</f>
      </c>
      <c r="AH46" s="114">
        <v>1</v>
      </c>
      <c r="AI46" s="115">
        <f>+AG46+AH46</f>
      </c>
      <c r="AJ46" s="116">
        <f>+AI44/L44</f>
      </c>
      <c r="AK46" s="108"/>
      <c r="AL46" s="108"/>
      <c r="AM46" s="109"/>
      <c r="AN46" s="1"/>
    </row>
    <row x14ac:dyDescent="0.25" r="47" customHeight="1" ht="22.899999999999995">
      <c r="A47" s="97"/>
      <c r="B47" s="98"/>
      <c r="C47" s="99"/>
      <c r="D47" s="100"/>
      <c r="E47" s="100"/>
      <c r="F47" s="102"/>
      <c r="G47" s="100"/>
      <c r="H47" s="102"/>
      <c r="I47" s="103"/>
      <c r="J47" s="101"/>
      <c r="K47" s="117"/>
      <c r="L47" s="111" t="s">
        <v>62</v>
      </c>
      <c r="M47" s="111" t="s">
        <v>62</v>
      </c>
      <c r="N47" s="111" t="s">
        <v>62</v>
      </c>
      <c r="O47" s="112" t="s">
        <v>62</v>
      </c>
      <c r="P47" s="111" t="s">
        <v>62</v>
      </c>
      <c r="Q47" s="112" t="s">
        <v>62</v>
      </c>
      <c r="R47" s="111" t="s">
        <v>62</v>
      </c>
      <c r="S47" s="112" t="s">
        <v>62</v>
      </c>
      <c r="T47" s="111" t="s">
        <v>62</v>
      </c>
      <c r="U47" s="112" t="s">
        <v>62</v>
      </c>
      <c r="V47" s="111" t="s">
        <v>62</v>
      </c>
      <c r="W47" s="112" t="s">
        <v>62</v>
      </c>
      <c r="X47" s="111" t="s">
        <v>62</v>
      </c>
      <c r="Y47" s="112" t="s">
        <v>62</v>
      </c>
      <c r="Z47" s="111" t="s">
        <v>62</v>
      </c>
      <c r="AA47" s="112" t="s">
        <v>62</v>
      </c>
      <c r="AB47" s="111" t="s">
        <v>62</v>
      </c>
      <c r="AC47" s="112" t="s">
        <v>62</v>
      </c>
      <c r="AD47" s="111" t="s">
        <v>62</v>
      </c>
      <c r="AE47" s="112" t="s">
        <v>62</v>
      </c>
      <c r="AF47" s="111" t="s">
        <v>62</v>
      </c>
      <c r="AG47" s="112" t="s">
        <v>62</v>
      </c>
      <c r="AH47" s="111" t="s">
        <v>62</v>
      </c>
      <c r="AI47" s="112" t="s">
        <v>62</v>
      </c>
      <c r="AJ47" s="107"/>
      <c r="AK47" s="108"/>
      <c r="AL47" s="108"/>
      <c r="AM47" s="109"/>
      <c r="AN47" s="1"/>
    </row>
    <row x14ac:dyDescent="0.25" r="48" customHeight="1" ht="22.899999999999995">
      <c r="A48" s="118"/>
      <c r="B48" s="110"/>
      <c r="C48" s="119"/>
      <c r="D48" s="120"/>
      <c r="E48" s="120"/>
      <c r="F48" s="121"/>
      <c r="G48" s="120"/>
      <c r="H48" s="121"/>
      <c r="I48" s="122"/>
      <c r="J48" s="123"/>
      <c r="K48" s="110"/>
      <c r="L48" s="153">
        <v>3</v>
      </c>
      <c r="M48" s="124">
        <v>3</v>
      </c>
      <c r="N48" s="124">
        <v>3</v>
      </c>
      <c r="O48" s="125">
        <v>3</v>
      </c>
      <c r="P48" s="124">
        <v>3</v>
      </c>
      <c r="Q48" s="125">
        <v>3</v>
      </c>
      <c r="R48" s="124">
        <v>3</v>
      </c>
      <c r="S48" s="125">
        <v>3</v>
      </c>
      <c r="T48" s="124">
        <v>3</v>
      </c>
      <c r="U48" s="125">
        <v>3</v>
      </c>
      <c r="V48" s="124">
        <v>3</v>
      </c>
      <c r="W48" s="125">
        <v>3</v>
      </c>
      <c r="X48" s="124">
        <v>3</v>
      </c>
      <c r="Y48" s="125">
        <v>3</v>
      </c>
      <c r="Z48" s="124">
        <v>3</v>
      </c>
      <c r="AA48" s="125">
        <v>3</v>
      </c>
      <c r="AB48" s="124">
        <v>3</v>
      </c>
      <c r="AC48" s="125">
        <v>3</v>
      </c>
      <c r="AD48" s="124">
        <v>3</v>
      </c>
      <c r="AE48" s="125">
        <v>3</v>
      </c>
      <c r="AF48" s="124">
        <v>3</v>
      </c>
      <c r="AG48" s="125">
        <v>3</v>
      </c>
      <c r="AH48" s="124">
        <v>3</v>
      </c>
      <c r="AI48" s="125">
        <v>3</v>
      </c>
      <c r="AJ48" s="126"/>
      <c r="AK48" s="127"/>
      <c r="AL48" s="127"/>
      <c r="AM48" s="128"/>
      <c r="AN48" s="1"/>
    </row>
    <row x14ac:dyDescent="0.25" r="49" customHeight="1" ht="22.899999999999995">
      <c r="A49" s="84" t="s">
        <v>99</v>
      </c>
      <c r="B49" s="85" t="s">
        <v>50</v>
      </c>
      <c r="C49" s="86" t="s">
        <v>100</v>
      </c>
      <c r="D49" s="87" t="s">
        <v>101</v>
      </c>
      <c r="E49" s="87" t="s">
        <v>53</v>
      </c>
      <c r="F49" s="87" t="s">
        <v>54</v>
      </c>
      <c r="G49" s="87" t="s">
        <v>55</v>
      </c>
      <c r="H49" s="87" t="s">
        <v>54</v>
      </c>
      <c r="I49" s="88">
        <f>L50</f>
      </c>
      <c r="J49" s="89">
        <v>0.1</v>
      </c>
      <c r="K49" s="85" t="s">
        <v>102</v>
      </c>
      <c r="L49" s="91" t="s">
        <v>57</v>
      </c>
      <c r="M49" s="91" t="s">
        <v>57</v>
      </c>
      <c r="N49" s="91" t="s">
        <v>57</v>
      </c>
      <c r="O49" s="92" t="s">
        <v>57</v>
      </c>
      <c r="P49" s="91" t="s">
        <v>57</v>
      </c>
      <c r="Q49" s="92" t="s">
        <v>57</v>
      </c>
      <c r="R49" s="91" t="s">
        <v>57</v>
      </c>
      <c r="S49" s="92" t="s">
        <v>57</v>
      </c>
      <c r="T49" s="91" t="s">
        <v>57</v>
      </c>
      <c r="U49" s="92" t="s">
        <v>57</v>
      </c>
      <c r="V49" s="91" t="s">
        <v>57</v>
      </c>
      <c r="W49" s="92" t="s">
        <v>57</v>
      </c>
      <c r="X49" s="91" t="s">
        <v>57</v>
      </c>
      <c r="Y49" s="92" t="s">
        <v>57</v>
      </c>
      <c r="Z49" s="91" t="s">
        <v>57</v>
      </c>
      <c r="AA49" s="92" t="s">
        <v>57</v>
      </c>
      <c r="AB49" s="91" t="s">
        <v>57</v>
      </c>
      <c r="AC49" s="92" t="s">
        <v>57</v>
      </c>
      <c r="AD49" s="91" t="s">
        <v>57</v>
      </c>
      <c r="AE49" s="92" t="s">
        <v>57</v>
      </c>
      <c r="AF49" s="91" t="s">
        <v>57</v>
      </c>
      <c r="AG49" s="92" t="s">
        <v>57</v>
      </c>
      <c r="AH49" s="91" t="s">
        <v>57</v>
      </c>
      <c r="AI49" s="92" t="s">
        <v>57</v>
      </c>
      <c r="AJ49" s="93"/>
      <c r="AK49" s="94" t="s">
        <v>103</v>
      </c>
      <c r="AL49" s="95"/>
      <c r="AM49" s="96" t="s">
        <v>59</v>
      </c>
      <c r="AN49" s="1"/>
    </row>
    <row x14ac:dyDescent="0.25" r="50" customHeight="1" ht="22.899999999999995">
      <c r="A50" s="154"/>
      <c r="B50" s="98"/>
      <c r="C50" s="99"/>
      <c r="D50" s="102"/>
      <c r="E50" s="102"/>
      <c r="F50" s="102"/>
      <c r="G50" s="102"/>
      <c r="H50" s="102"/>
      <c r="I50" s="103"/>
      <c r="J50" s="101"/>
      <c r="K50" s="117"/>
      <c r="L50" s="104">
        <f>IF(L52&lt;&gt;0,+L52/L54,0%)</f>
      </c>
      <c r="M50" s="105">
        <f>IF(M52&lt;&gt;0,+M52/M54,0%)</f>
      </c>
      <c r="N50" s="105">
        <f>IF(N52&lt;&gt;0,+N52/N54,0%)</f>
      </c>
      <c r="O50" s="106">
        <f>IF(O52&lt;&gt;0,+O52/O54,0%)</f>
      </c>
      <c r="P50" s="105">
        <f>IF(P52&lt;&gt;0,+P52/P54,0%)</f>
      </c>
      <c r="Q50" s="106">
        <f>IF(Q52&lt;&gt;0,+Q52/Q54,0%)</f>
      </c>
      <c r="R50" s="105">
        <f>IF(R52&lt;&gt;0,+R52/R54,0%)</f>
      </c>
      <c r="S50" s="106">
        <f>IF(S52&lt;&gt;0,+S52/S54,0%)</f>
      </c>
      <c r="T50" s="105">
        <f>IF(T52&lt;&gt;0,+T52/T54,0%)</f>
      </c>
      <c r="U50" s="106">
        <f>IF(U52&lt;&gt;0,+U52/U54,0%)</f>
      </c>
      <c r="V50" s="105">
        <f>IF(V52&lt;&gt;0,+V52/V54,0%)</f>
      </c>
      <c r="W50" s="106">
        <f>IF(W52&lt;&gt;0,+W52/W54,0%)</f>
      </c>
      <c r="X50" s="105">
        <f>IF(X52&lt;&gt;0,+X52/X54,0%)</f>
      </c>
      <c r="Y50" s="106">
        <f>IF(Y52&lt;&gt;0,+Y52/Y54,0%)</f>
      </c>
      <c r="Z50" s="105">
        <f>IF(Z52&lt;&gt;0,+Z52/Z54,0%)</f>
      </c>
      <c r="AA50" s="106">
        <f>IF(AA52&lt;&gt;0,+AA52/AA54,0%)</f>
      </c>
      <c r="AB50" s="105">
        <f>IF(AB52&lt;&gt;0,+AB52/AB54,0%)</f>
      </c>
      <c r="AC50" s="106">
        <f>IF(AC52&lt;&gt;0,+AC52/AC54,0%)</f>
      </c>
      <c r="AD50" s="105">
        <f>IF(AD52&lt;&gt;0,+AD52/AD54,0%)</f>
      </c>
      <c r="AE50" s="106">
        <f>IF(AE52&lt;&gt;0,+AE52/AE54,0%)</f>
      </c>
      <c r="AF50" s="105">
        <f>IF(AF52&lt;&gt;0,+AF52/AF54,0%)</f>
      </c>
      <c r="AG50" s="106">
        <f>IF(AG52&lt;&gt;0,+AG52/AG54,0%)</f>
      </c>
      <c r="AH50" s="105">
        <f>IF(AH52&lt;&gt;0,+AH52/AH54,0%)</f>
      </c>
      <c r="AI50" s="106">
        <f>IF(AI52&lt;&gt;0,+AI52/AI54,0%)</f>
      </c>
      <c r="AJ50" s="107"/>
      <c r="AK50" s="108"/>
      <c r="AL50" s="108"/>
      <c r="AM50" s="109"/>
      <c r="AN50" s="1"/>
    </row>
    <row x14ac:dyDescent="0.25" r="51" customHeight="1" ht="22.899999999999995">
      <c r="A51" s="154"/>
      <c r="B51" s="98"/>
      <c r="C51" s="99"/>
      <c r="D51" s="102"/>
      <c r="E51" s="102"/>
      <c r="F51" s="102"/>
      <c r="G51" s="102"/>
      <c r="H51" s="102"/>
      <c r="I51" s="103"/>
      <c r="J51" s="101"/>
      <c r="K51" s="129"/>
      <c r="L51" s="111" t="s">
        <v>60</v>
      </c>
      <c r="M51" s="111" t="s">
        <v>60</v>
      </c>
      <c r="N51" s="111" t="s">
        <v>60</v>
      </c>
      <c r="O51" s="112" t="s">
        <v>60</v>
      </c>
      <c r="P51" s="111" t="s">
        <v>60</v>
      </c>
      <c r="Q51" s="112" t="s">
        <v>60</v>
      </c>
      <c r="R51" s="111" t="s">
        <v>60</v>
      </c>
      <c r="S51" s="112" t="s">
        <v>60</v>
      </c>
      <c r="T51" s="111" t="s">
        <v>60</v>
      </c>
      <c r="U51" s="112" t="s">
        <v>60</v>
      </c>
      <c r="V51" s="111" t="s">
        <v>60</v>
      </c>
      <c r="W51" s="112" t="s">
        <v>60</v>
      </c>
      <c r="X51" s="111" t="s">
        <v>60</v>
      </c>
      <c r="Y51" s="112" t="s">
        <v>60</v>
      </c>
      <c r="Z51" s="111" t="s">
        <v>60</v>
      </c>
      <c r="AA51" s="112" t="s">
        <v>60</v>
      </c>
      <c r="AB51" s="111" t="s">
        <v>60</v>
      </c>
      <c r="AC51" s="112" t="s">
        <v>60</v>
      </c>
      <c r="AD51" s="111" t="s">
        <v>60</v>
      </c>
      <c r="AE51" s="112" t="s">
        <v>60</v>
      </c>
      <c r="AF51" s="111" t="s">
        <v>60</v>
      </c>
      <c r="AG51" s="112" t="s">
        <v>60</v>
      </c>
      <c r="AH51" s="111" t="s">
        <v>60</v>
      </c>
      <c r="AI51" s="112" t="s">
        <v>60</v>
      </c>
      <c r="AJ51" s="107"/>
      <c r="AK51" s="108"/>
      <c r="AL51" s="108"/>
      <c r="AM51" s="109"/>
      <c r="AN51" s="1"/>
    </row>
    <row x14ac:dyDescent="0.25" r="52" customHeight="1" ht="22.899999999999995">
      <c r="A52" s="154"/>
      <c r="B52" s="98"/>
      <c r="C52" s="99"/>
      <c r="D52" s="102"/>
      <c r="E52" s="102"/>
      <c r="F52" s="102"/>
      <c r="G52" s="102"/>
      <c r="H52" s="102"/>
      <c r="I52" s="103"/>
      <c r="J52" s="101"/>
      <c r="K52" s="85" t="s">
        <v>104</v>
      </c>
      <c r="L52" s="113">
        <v>3</v>
      </c>
      <c r="M52" s="114">
        <v>0</v>
      </c>
      <c r="N52" s="114">
        <v>0</v>
      </c>
      <c r="O52" s="115">
        <f>+M52+N52</f>
      </c>
      <c r="P52" s="114">
        <v>0</v>
      </c>
      <c r="Q52" s="115">
        <f>+O52+P52</f>
      </c>
      <c r="R52" s="114">
        <v>1</v>
      </c>
      <c r="S52" s="115">
        <f>+Q52+R52</f>
      </c>
      <c r="T52" s="114">
        <v>0</v>
      </c>
      <c r="U52" s="115">
        <f>+S52+T52</f>
      </c>
      <c r="V52" s="114">
        <v>0</v>
      </c>
      <c r="W52" s="115">
        <f>+U52+V52</f>
      </c>
      <c r="X52" s="114">
        <v>1</v>
      </c>
      <c r="Y52" s="115">
        <f>+W52+X52</f>
      </c>
      <c r="Z52" s="114">
        <v>0</v>
      </c>
      <c r="AA52" s="115">
        <f>+Y52+Z52</f>
      </c>
      <c r="AB52" s="114">
        <v>0</v>
      </c>
      <c r="AC52" s="115">
        <f>+AA52+AB52</f>
      </c>
      <c r="AD52" s="114">
        <v>0</v>
      </c>
      <c r="AE52" s="115">
        <f>+AC52+AD52</f>
      </c>
      <c r="AF52" s="114">
        <v>1</v>
      </c>
      <c r="AG52" s="115">
        <f>+AE52+AF52</f>
      </c>
      <c r="AH52" s="114">
        <v>0</v>
      </c>
      <c r="AI52" s="115">
        <f>+AG52+AH52</f>
      </c>
      <c r="AJ52" s="116">
        <f>+AI50/L50</f>
      </c>
      <c r="AK52" s="108"/>
      <c r="AL52" s="108"/>
      <c r="AM52" s="109"/>
      <c r="AN52" s="1"/>
    </row>
    <row x14ac:dyDescent="0.25" r="53" customHeight="1" ht="22.899999999999995">
      <c r="A53" s="154"/>
      <c r="B53" s="98"/>
      <c r="C53" s="99"/>
      <c r="D53" s="102"/>
      <c r="E53" s="102"/>
      <c r="F53" s="102"/>
      <c r="G53" s="102"/>
      <c r="H53" s="102"/>
      <c r="I53" s="103"/>
      <c r="J53" s="101"/>
      <c r="K53" s="117"/>
      <c r="L53" s="111" t="s">
        <v>62</v>
      </c>
      <c r="M53" s="111" t="s">
        <v>62</v>
      </c>
      <c r="N53" s="111" t="s">
        <v>62</v>
      </c>
      <c r="O53" s="112" t="s">
        <v>62</v>
      </c>
      <c r="P53" s="111" t="s">
        <v>62</v>
      </c>
      <c r="Q53" s="112" t="s">
        <v>62</v>
      </c>
      <c r="R53" s="111" t="s">
        <v>62</v>
      </c>
      <c r="S53" s="112" t="s">
        <v>62</v>
      </c>
      <c r="T53" s="111" t="s">
        <v>62</v>
      </c>
      <c r="U53" s="112" t="s">
        <v>62</v>
      </c>
      <c r="V53" s="111" t="s">
        <v>62</v>
      </c>
      <c r="W53" s="112" t="s">
        <v>62</v>
      </c>
      <c r="X53" s="111" t="s">
        <v>62</v>
      </c>
      <c r="Y53" s="112" t="s">
        <v>62</v>
      </c>
      <c r="Z53" s="111" t="s">
        <v>62</v>
      </c>
      <c r="AA53" s="112" t="s">
        <v>62</v>
      </c>
      <c r="AB53" s="111" t="s">
        <v>62</v>
      </c>
      <c r="AC53" s="112" t="s">
        <v>62</v>
      </c>
      <c r="AD53" s="111" t="s">
        <v>62</v>
      </c>
      <c r="AE53" s="112" t="s">
        <v>62</v>
      </c>
      <c r="AF53" s="111" t="s">
        <v>62</v>
      </c>
      <c r="AG53" s="112" t="s">
        <v>62</v>
      </c>
      <c r="AH53" s="111" t="s">
        <v>62</v>
      </c>
      <c r="AI53" s="112" t="s">
        <v>62</v>
      </c>
      <c r="AJ53" s="107"/>
      <c r="AK53" s="108"/>
      <c r="AL53" s="108"/>
      <c r="AM53" s="109"/>
      <c r="AN53" s="1"/>
    </row>
    <row x14ac:dyDescent="0.25" r="54" customHeight="1" ht="22.899999999999995">
      <c r="A54" s="155"/>
      <c r="B54" s="110"/>
      <c r="C54" s="119"/>
      <c r="D54" s="121"/>
      <c r="E54" s="121"/>
      <c r="F54" s="121"/>
      <c r="G54" s="121"/>
      <c r="H54" s="121"/>
      <c r="I54" s="122"/>
      <c r="J54" s="123"/>
      <c r="K54" s="129"/>
      <c r="L54" s="153">
        <v>3</v>
      </c>
      <c r="M54" s="124">
        <v>3</v>
      </c>
      <c r="N54" s="124">
        <v>3</v>
      </c>
      <c r="O54" s="125">
        <v>3</v>
      </c>
      <c r="P54" s="124">
        <v>3</v>
      </c>
      <c r="Q54" s="125">
        <v>3</v>
      </c>
      <c r="R54" s="124">
        <v>3</v>
      </c>
      <c r="S54" s="125">
        <v>3</v>
      </c>
      <c r="T54" s="124">
        <v>3</v>
      </c>
      <c r="U54" s="125">
        <v>3</v>
      </c>
      <c r="V54" s="124">
        <v>3</v>
      </c>
      <c r="W54" s="125">
        <v>3</v>
      </c>
      <c r="X54" s="124">
        <v>3</v>
      </c>
      <c r="Y54" s="125">
        <v>3</v>
      </c>
      <c r="Z54" s="124">
        <v>3</v>
      </c>
      <c r="AA54" s="125">
        <v>3</v>
      </c>
      <c r="AB54" s="124">
        <v>3</v>
      </c>
      <c r="AC54" s="125">
        <v>3</v>
      </c>
      <c r="AD54" s="124">
        <v>3</v>
      </c>
      <c r="AE54" s="125">
        <v>3</v>
      </c>
      <c r="AF54" s="124">
        <v>3</v>
      </c>
      <c r="AG54" s="125">
        <v>3</v>
      </c>
      <c r="AH54" s="124">
        <v>3</v>
      </c>
      <c r="AI54" s="125">
        <v>3</v>
      </c>
      <c r="AJ54" s="126"/>
      <c r="AK54" s="127"/>
      <c r="AL54" s="127"/>
      <c r="AM54" s="128"/>
      <c r="AN54" s="1"/>
    </row>
    <row x14ac:dyDescent="0.25" r="55" customHeight="1" ht="18.75">
      <c r="A55" s="1"/>
      <c r="B55" s="1"/>
      <c r="C55" s="1"/>
      <c r="D55" s="1"/>
      <c r="E55" s="1"/>
      <c r="F55" s="57"/>
      <c r="G55" s="1"/>
      <c r="H55" s="57"/>
      <c r="I55" s="58"/>
      <c r="J55" s="156">
        <f>SUM(J13:J54)</f>
      </c>
      <c r="K55" s="57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5"/>
      <c r="AK55" s="1"/>
      <c r="AL55" s="1"/>
      <c r="AM55" s="1"/>
      <c r="AN55" s="1"/>
    </row>
    <row x14ac:dyDescent="0.25" r="56" customHeight="1" ht="18.75">
      <c r="A56" s="1"/>
      <c r="B56" s="1"/>
      <c r="C56" s="1"/>
      <c r="D56" s="1"/>
      <c r="E56" s="1"/>
      <c r="F56" s="57"/>
      <c r="G56" s="1"/>
      <c r="H56" s="57"/>
      <c r="I56" s="58"/>
      <c r="J56" s="59"/>
      <c r="K56" s="57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5"/>
      <c r="AK56" s="1"/>
      <c r="AL56" s="1"/>
      <c r="AM56" s="1"/>
      <c r="AN56" s="1"/>
    </row>
    <row x14ac:dyDescent="0.25" r="57" customHeight="1" ht="18.75">
      <c r="A57" s="1"/>
      <c r="B57" s="1"/>
      <c r="C57" s="1"/>
      <c r="D57" s="1"/>
      <c r="E57" s="1"/>
      <c r="F57" s="57"/>
      <c r="G57" s="1"/>
      <c r="H57" s="57"/>
      <c r="I57" s="58"/>
      <c r="J57" s="59"/>
      <c r="K57" s="57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5"/>
      <c r="AK57" s="1"/>
      <c r="AL57" s="1"/>
      <c r="AM57" s="1"/>
      <c r="AN57" s="1"/>
    </row>
    <row x14ac:dyDescent="0.25" r="58" customHeight="1" ht="18.75">
      <c r="A58" s="1"/>
      <c r="B58" s="1"/>
      <c r="C58" s="1"/>
      <c r="D58" s="1"/>
      <c r="E58" s="1"/>
      <c r="F58" s="57"/>
      <c r="G58" s="1"/>
      <c r="H58" s="57"/>
      <c r="I58" s="58"/>
      <c r="J58" s="59"/>
      <c r="K58" s="57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5"/>
      <c r="AK58" s="1"/>
      <c r="AL58" s="1"/>
      <c r="AM58" s="1"/>
      <c r="AN58" s="1"/>
    </row>
    <row x14ac:dyDescent="0.25" r="59" customHeight="1" ht="18.75">
      <c r="A59" s="1"/>
      <c r="B59" s="1"/>
      <c r="C59" s="1"/>
      <c r="D59" s="1"/>
      <c r="E59" s="1"/>
      <c r="F59" s="57"/>
      <c r="G59" s="1"/>
      <c r="H59" s="57"/>
      <c r="I59" s="58"/>
      <c r="J59" s="59"/>
      <c r="K59" s="57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5"/>
      <c r="AK59" s="1"/>
      <c r="AL59" s="1"/>
      <c r="AM59" s="1"/>
      <c r="AN59" s="1"/>
    </row>
    <row x14ac:dyDescent="0.25" r="60" customHeight="1" ht="18.75">
      <c r="A60" s="1"/>
      <c r="B60" s="1"/>
      <c r="C60" s="1"/>
      <c r="D60" s="1"/>
      <c r="E60" s="1"/>
      <c r="F60" s="57"/>
      <c r="G60" s="1"/>
      <c r="H60" s="57"/>
      <c r="I60" s="58"/>
      <c r="J60" s="59"/>
      <c r="K60" s="57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5"/>
      <c r="AK60" s="1"/>
      <c r="AL60" s="1"/>
      <c r="AM60" s="1"/>
      <c r="AN60" s="1"/>
    </row>
    <row x14ac:dyDescent="0.25" r="61" customHeight="1" ht="18.75">
      <c r="A61" s="1"/>
      <c r="B61" s="1"/>
      <c r="C61" s="1"/>
      <c r="D61" s="1"/>
      <c r="E61" s="1"/>
      <c r="F61" s="57"/>
      <c r="G61" s="1"/>
      <c r="H61" s="57"/>
      <c r="I61" s="58"/>
      <c r="J61" s="59"/>
      <c r="K61" s="57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5"/>
      <c r="AK61" s="1"/>
      <c r="AL61" s="1"/>
      <c r="AM61" s="1"/>
      <c r="AN61" s="1"/>
    </row>
    <row x14ac:dyDescent="0.25" r="62" customHeight="1" ht="18.75">
      <c r="A62" s="1"/>
      <c r="B62" s="1"/>
      <c r="C62" s="1"/>
      <c r="D62" s="1"/>
      <c r="E62" s="1"/>
      <c r="F62" s="57"/>
      <c r="G62" s="1"/>
      <c r="H62" s="57"/>
      <c r="I62" s="58"/>
      <c r="J62" s="59"/>
      <c r="K62" s="57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5"/>
      <c r="AK62" s="1"/>
      <c r="AL62" s="1"/>
      <c r="AM62" s="1"/>
      <c r="AN62" s="1"/>
    </row>
    <row x14ac:dyDescent="0.25" r="63" customHeight="1" ht="18.75">
      <c r="A63" s="1"/>
      <c r="B63" s="1"/>
      <c r="C63" s="1"/>
      <c r="D63" s="1"/>
      <c r="E63" s="1"/>
      <c r="F63" s="57"/>
      <c r="G63" s="1"/>
      <c r="H63" s="57"/>
      <c r="I63" s="58"/>
      <c r="J63" s="59"/>
      <c r="K63" s="57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5"/>
      <c r="AK63" s="1"/>
      <c r="AL63" s="1"/>
      <c r="AM63" s="1"/>
      <c r="AN63" s="1"/>
    </row>
    <row x14ac:dyDescent="0.25" r="64" customHeight="1" ht="18.75">
      <c r="A64" s="1"/>
      <c r="B64" s="1"/>
      <c r="C64" s="1"/>
      <c r="D64" s="1"/>
      <c r="E64" s="1"/>
      <c r="F64" s="57"/>
      <c r="G64" s="1"/>
      <c r="H64" s="57"/>
      <c r="I64" s="58"/>
      <c r="J64" s="59"/>
      <c r="K64" s="57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5"/>
      <c r="AK64" s="1"/>
      <c r="AL64" s="1"/>
      <c r="AM64" s="1"/>
      <c r="AN64" s="1"/>
    </row>
    <row x14ac:dyDescent="0.25" r="65" customHeight="1" ht="18.75">
      <c r="A65" s="1"/>
      <c r="B65" s="1"/>
      <c r="C65" s="1"/>
      <c r="D65" s="1"/>
      <c r="E65" s="1"/>
      <c r="F65" s="57"/>
      <c r="G65" s="1"/>
      <c r="H65" s="57"/>
      <c r="I65" s="58"/>
      <c r="J65" s="59"/>
      <c r="K65" s="57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5"/>
      <c r="AK65" s="1"/>
      <c r="AL65" s="1"/>
      <c r="AM65" s="1"/>
      <c r="AN65" s="1"/>
    </row>
    <row x14ac:dyDescent="0.25" r="66" customHeight="1" ht="18.75">
      <c r="A66" s="1"/>
      <c r="B66" s="1"/>
      <c r="C66" s="1"/>
      <c r="D66" s="1"/>
      <c r="E66" s="1"/>
      <c r="F66" s="57"/>
      <c r="G66" s="1"/>
      <c r="H66" s="57"/>
      <c r="I66" s="58"/>
      <c r="J66" s="59"/>
      <c r="K66" s="57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5"/>
      <c r="AK66" s="1"/>
      <c r="AL66" s="1"/>
      <c r="AM66" s="1"/>
      <c r="AN66" s="1"/>
    </row>
    <row x14ac:dyDescent="0.25" r="67" customHeight="1" ht="18.75">
      <c r="A67" s="1"/>
      <c r="B67" s="1"/>
      <c r="C67" s="1"/>
      <c r="D67" s="1"/>
      <c r="E67" s="1"/>
      <c r="F67" s="57"/>
      <c r="G67" s="1"/>
      <c r="H67" s="57"/>
      <c r="I67" s="58"/>
      <c r="J67" s="59"/>
      <c r="K67" s="57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5"/>
      <c r="AK67" s="1"/>
      <c r="AL67" s="1"/>
      <c r="AM67" s="1"/>
      <c r="AN67" s="1"/>
    </row>
    <row x14ac:dyDescent="0.25" r="68" customHeight="1" ht="18.75">
      <c r="A68" s="1"/>
      <c r="B68" s="1"/>
      <c r="C68" s="1"/>
      <c r="D68" s="1"/>
      <c r="E68" s="1"/>
      <c r="F68" s="57"/>
      <c r="G68" s="1"/>
      <c r="H68" s="57"/>
      <c r="I68" s="58"/>
      <c r="J68" s="59"/>
      <c r="K68" s="57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5"/>
      <c r="AK68" s="1"/>
      <c r="AL68" s="1"/>
      <c r="AM68" s="1"/>
      <c r="AN68" s="1"/>
    </row>
    <row x14ac:dyDescent="0.25" r="69" customHeight="1" ht="18.75">
      <c r="A69" s="1"/>
      <c r="B69" s="1"/>
      <c r="C69" s="1"/>
      <c r="D69" s="1"/>
      <c r="E69" s="1"/>
      <c r="F69" s="57"/>
      <c r="G69" s="1"/>
      <c r="H69" s="57"/>
      <c r="I69" s="58"/>
      <c r="J69" s="59"/>
      <c r="K69" s="57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5"/>
      <c r="AK69" s="1"/>
      <c r="AL69" s="1"/>
      <c r="AM69" s="1"/>
      <c r="AN69" s="1"/>
    </row>
    <row x14ac:dyDescent="0.25" r="70" customHeight="1" ht="18.75">
      <c r="A70" s="1"/>
      <c r="B70" s="1"/>
      <c r="C70" s="1"/>
      <c r="D70" s="1"/>
      <c r="E70" s="1"/>
      <c r="F70" s="57"/>
      <c r="G70" s="1"/>
      <c r="H70" s="57"/>
      <c r="I70" s="58"/>
      <c r="J70" s="59"/>
      <c r="K70" s="57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5"/>
      <c r="AK70" s="1"/>
      <c r="AL70" s="1"/>
      <c r="AM70" s="1"/>
      <c r="AN70" s="1"/>
    </row>
    <row x14ac:dyDescent="0.25" r="71" customHeight="1" ht="18.75">
      <c r="A71" s="1"/>
      <c r="B71" s="1"/>
      <c r="C71" s="1"/>
      <c r="D71" s="1"/>
      <c r="E71" s="1"/>
      <c r="F71" s="57"/>
      <c r="G71" s="1"/>
      <c r="H71" s="57"/>
      <c r="I71" s="58"/>
      <c r="J71" s="59"/>
      <c r="K71" s="57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5"/>
      <c r="AK71" s="1"/>
      <c r="AL71" s="1"/>
      <c r="AM71" s="1"/>
      <c r="AN71" s="1"/>
    </row>
    <row x14ac:dyDescent="0.25" r="72" customHeight="1" ht="18.75">
      <c r="A72" s="1"/>
      <c r="B72" s="1"/>
      <c r="C72" s="1"/>
      <c r="D72" s="1"/>
      <c r="E72" s="1"/>
      <c r="F72" s="57"/>
      <c r="G72" s="1"/>
      <c r="H72" s="57"/>
      <c r="I72" s="58"/>
      <c r="J72" s="59"/>
      <c r="K72" s="57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5"/>
      <c r="AK72" s="1"/>
      <c r="AL72" s="1"/>
      <c r="AM72" s="1"/>
      <c r="AN72" s="1"/>
    </row>
    <row x14ac:dyDescent="0.25" r="73" customHeight="1" ht="18.75">
      <c r="A73" s="1"/>
      <c r="B73" s="1"/>
      <c r="C73" s="1"/>
      <c r="D73" s="1"/>
      <c r="E73" s="1"/>
      <c r="F73" s="57"/>
      <c r="G73" s="1"/>
      <c r="H73" s="57"/>
      <c r="I73" s="58"/>
      <c r="J73" s="59"/>
      <c r="K73" s="57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5"/>
      <c r="AK73" s="1"/>
      <c r="AL73" s="1"/>
      <c r="AM73" s="1"/>
      <c r="AN73" s="1"/>
    </row>
    <row x14ac:dyDescent="0.25" r="74" customHeight="1" ht="18.75">
      <c r="A74" s="1"/>
      <c r="B74" s="1"/>
      <c r="C74" s="1"/>
      <c r="D74" s="1"/>
      <c r="E74" s="1"/>
      <c r="F74" s="57"/>
      <c r="G74" s="1"/>
      <c r="H74" s="57"/>
      <c r="I74" s="58"/>
      <c r="J74" s="59"/>
      <c r="K74" s="57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5"/>
      <c r="AK74" s="1"/>
      <c r="AL74" s="1"/>
      <c r="AM74" s="1"/>
      <c r="AN74" s="1"/>
    </row>
    <row x14ac:dyDescent="0.25" r="75" customHeight="1" ht="18.75">
      <c r="A75" s="1"/>
      <c r="B75" s="1"/>
      <c r="C75" s="1"/>
      <c r="D75" s="1"/>
      <c r="E75" s="1"/>
      <c r="F75" s="57"/>
      <c r="G75" s="1"/>
      <c r="H75" s="57"/>
      <c r="I75" s="58"/>
      <c r="J75" s="59"/>
      <c r="K75" s="57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5"/>
      <c r="AK75" s="1"/>
      <c r="AL75" s="1"/>
      <c r="AM75" s="1"/>
      <c r="AN75" s="1"/>
    </row>
    <row x14ac:dyDescent="0.25" r="76" customHeight="1" ht="18.75">
      <c r="A76" s="1"/>
      <c r="B76" s="1"/>
      <c r="C76" s="1"/>
      <c r="D76" s="1"/>
      <c r="E76" s="1"/>
      <c r="F76" s="57"/>
      <c r="G76" s="1"/>
      <c r="H76" s="57"/>
      <c r="I76" s="58"/>
      <c r="J76" s="59"/>
      <c r="K76" s="57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5"/>
      <c r="AK76" s="1"/>
      <c r="AL76" s="1"/>
      <c r="AM76" s="1"/>
      <c r="AN76" s="1"/>
    </row>
    <row x14ac:dyDescent="0.25" r="77" customHeight="1" ht="18.75">
      <c r="A77" s="1"/>
      <c r="B77" s="1"/>
      <c r="C77" s="1"/>
      <c r="D77" s="1"/>
      <c r="E77" s="1"/>
      <c r="F77" s="57"/>
      <c r="G77" s="1"/>
      <c r="H77" s="57"/>
      <c r="I77" s="58"/>
      <c r="J77" s="59"/>
      <c r="K77" s="57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5"/>
      <c r="AK77" s="1"/>
      <c r="AL77" s="1"/>
      <c r="AM77" s="1"/>
      <c r="AN77" s="1"/>
    </row>
    <row x14ac:dyDescent="0.25" r="78" customHeight="1" ht="18.75">
      <c r="A78" s="1"/>
      <c r="B78" s="1"/>
      <c r="C78" s="1"/>
      <c r="D78" s="1"/>
      <c r="E78" s="1"/>
      <c r="F78" s="57"/>
      <c r="G78" s="1"/>
      <c r="H78" s="57"/>
      <c r="I78" s="58"/>
      <c r="J78" s="59"/>
      <c r="K78" s="57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5"/>
      <c r="AK78" s="1"/>
      <c r="AL78" s="1"/>
      <c r="AM78" s="1"/>
      <c r="AN78" s="1"/>
    </row>
    <row x14ac:dyDescent="0.25" r="79" customHeight="1" ht="18.75">
      <c r="A79" s="1"/>
      <c r="B79" s="1"/>
      <c r="C79" s="1"/>
      <c r="D79" s="1"/>
      <c r="E79" s="1"/>
      <c r="F79" s="57"/>
      <c r="G79" s="1"/>
      <c r="H79" s="57"/>
      <c r="I79" s="58"/>
      <c r="J79" s="59"/>
      <c r="K79" s="57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5"/>
      <c r="AK79" s="1"/>
      <c r="AL79" s="1"/>
      <c r="AM79" s="1"/>
      <c r="AN79" s="1"/>
    </row>
    <row x14ac:dyDescent="0.25" r="80" customHeight="1" ht="18.75">
      <c r="A80" s="1"/>
      <c r="B80" s="1"/>
      <c r="C80" s="1"/>
      <c r="D80" s="1"/>
      <c r="E80" s="1"/>
      <c r="F80" s="57"/>
      <c r="G80" s="1"/>
      <c r="H80" s="57"/>
      <c r="I80" s="58"/>
      <c r="J80" s="59"/>
      <c r="K80" s="57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5"/>
      <c r="AK80" s="1"/>
      <c r="AL80" s="1"/>
      <c r="AM80" s="1"/>
      <c r="AN80" s="1"/>
    </row>
    <row x14ac:dyDescent="0.25" r="81" customHeight="1" ht="18.75">
      <c r="A81" s="1"/>
      <c r="B81" s="1"/>
      <c r="C81" s="1"/>
      <c r="D81" s="1"/>
      <c r="E81" s="1"/>
      <c r="F81" s="57"/>
      <c r="G81" s="1"/>
      <c r="H81" s="57"/>
      <c r="I81" s="58"/>
      <c r="J81" s="59"/>
      <c r="K81" s="57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5"/>
      <c r="AK81" s="1"/>
      <c r="AL81" s="1"/>
      <c r="AM81" s="1"/>
      <c r="AN81" s="1"/>
    </row>
    <row x14ac:dyDescent="0.25" r="82" customHeight="1" ht="18.75">
      <c r="A82" s="1"/>
      <c r="B82" s="1"/>
      <c r="C82" s="1"/>
      <c r="D82" s="1"/>
      <c r="E82" s="1"/>
      <c r="F82" s="57"/>
      <c r="G82" s="1"/>
      <c r="H82" s="57"/>
      <c r="I82" s="58"/>
      <c r="J82" s="59"/>
      <c r="K82" s="57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5"/>
      <c r="AK82" s="1"/>
      <c r="AL82" s="1"/>
      <c r="AM82" s="1"/>
      <c r="AN82" s="1"/>
    </row>
    <row x14ac:dyDescent="0.25" r="83" customHeight="1" ht="18.75">
      <c r="A83" s="1"/>
      <c r="B83" s="1"/>
      <c r="C83" s="1"/>
      <c r="D83" s="1"/>
      <c r="E83" s="1"/>
      <c r="F83" s="57"/>
      <c r="G83" s="1"/>
      <c r="H83" s="57"/>
      <c r="I83" s="58"/>
      <c r="J83" s="59"/>
      <c r="K83" s="57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5"/>
      <c r="AK83" s="1"/>
      <c r="AL83" s="1"/>
      <c r="AM83" s="1"/>
      <c r="AN83" s="1"/>
    </row>
    <row x14ac:dyDescent="0.25" r="84" customHeight="1" ht="18.75">
      <c r="A84" s="1"/>
      <c r="B84" s="1"/>
      <c r="C84" s="1"/>
      <c r="D84" s="1"/>
      <c r="E84" s="1"/>
      <c r="F84" s="57"/>
      <c r="G84" s="1"/>
      <c r="H84" s="57"/>
      <c r="I84" s="58"/>
      <c r="J84" s="59"/>
      <c r="K84" s="57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5"/>
      <c r="AK84" s="1"/>
      <c r="AL84" s="1"/>
      <c r="AM84" s="1"/>
      <c r="AN84" s="1"/>
    </row>
    <row x14ac:dyDescent="0.25" r="85" customHeight="1" ht="18.75">
      <c r="A85" s="1"/>
      <c r="B85" s="1"/>
      <c r="C85" s="1"/>
      <c r="D85" s="1"/>
      <c r="E85" s="1"/>
      <c r="F85" s="57"/>
      <c r="G85" s="1"/>
      <c r="H85" s="57"/>
      <c r="I85" s="58"/>
      <c r="J85" s="59"/>
      <c r="K85" s="57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5"/>
      <c r="AK85" s="1"/>
      <c r="AL85" s="1"/>
      <c r="AM85" s="1"/>
      <c r="AN85" s="1"/>
    </row>
    <row x14ac:dyDescent="0.25" r="86" customHeight="1" ht="18.75">
      <c r="A86" s="1"/>
      <c r="B86" s="1"/>
      <c r="C86" s="1"/>
      <c r="D86" s="1"/>
      <c r="E86" s="1"/>
      <c r="F86" s="57"/>
      <c r="G86" s="1"/>
      <c r="H86" s="57"/>
      <c r="I86" s="58"/>
      <c r="J86" s="59"/>
      <c r="K86" s="57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5"/>
      <c r="AK86" s="1"/>
      <c r="AL86" s="1"/>
      <c r="AM86" s="1"/>
      <c r="AN86" s="1"/>
    </row>
    <row x14ac:dyDescent="0.25" r="87" customHeight="1" ht="18.75">
      <c r="A87" s="1"/>
      <c r="B87" s="1"/>
      <c r="C87" s="1"/>
      <c r="D87" s="1"/>
      <c r="E87" s="1"/>
      <c r="F87" s="57"/>
      <c r="G87" s="1"/>
      <c r="H87" s="57"/>
      <c r="I87" s="58"/>
      <c r="J87" s="59"/>
      <c r="K87" s="57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5"/>
      <c r="AK87" s="1"/>
      <c r="AL87" s="1"/>
      <c r="AM87" s="1"/>
      <c r="AN87" s="1"/>
    </row>
    <row x14ac:dyDescent="0.25" r="88" customHeight="1" ht="18.75">
      <c r="A88" s="1"/>
      <c r="B88" s="1"/>
      <c r="C88" s="1"/>
      <c r="D88" s="1"/>
      <c r="E88" s="1"/>
      <c r="F88" s="57"/>
      <c r="G88" s="1"/>
      <c r="H88" s="57"/>
      <c r="I88" s="58"/>
      <c r="J88" s="59"/>
      <c r="K88" s="57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5"/>
      <c r="AK88" s="1"/>
      <c r="AL88" s="1"/>
      <c r="AM88" s="1"/>
      <c r="AN88" s="1"/>
    </row>
    <row x14ac:dyDescent="0.25" r="89" customHeight="1" ht="18.75">
      <c r="A89" s="1"/>
      <c r="B89" s="1"/>
      <c r="C89" s="1"/>
      <c r="D89" s="1"/>
      <c r="E89" s="1"/>
      <c r="F89" s="57"/>
      <c r="G89" s="1"/>
      <c r="H89" s="57"/>
      <c r="I89" s="58"/>
      <c r="J89" s="59"/>
      <c r="K89" s="57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5"/>
      <c r="AK89" s="1"/>
      <c r="AL89" s="1"/>
      <c r="AM89" s="1"/>
      <c r="AN89" s="1"/>
    </row>
    <row x14ac:dyDescent="0.25" r="90" customHeight="1" ht="18.75">
      <c r="A90" s="1"/>
      <c r="B90" s="1"/>
      <c r="C90" s="1"/>
      <c r="D90" s="1"/>
      <c r="E90" s="1"/>
      <c r="F90" s="57"/>
      <c r="G90" s="1"/>
      <c r="H90" s="57"/>
      <c r="I90" s="58"/>
      <c r="J90" s="59"/>
      <c r="K90" s="57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5"/>
      <c r="AK90" s="1"/>
      <c r="AL90" s="1"/>
      <c r="AM90" s="1"/>
      <c r="AN90" s="1"/>
    </row>
    <row x14ac:dyDescent="0.25" r="91" customHeight="1" ht="18.75">
      <c r="A91" s="1"/>
      <c r="B91" s="1"/>
      <c r="C91" s="1"/>
      <c r="D91" s="1"/>
      <c r="E91" s="1"/>
      <c r="F91" s="57"/>
      <c r="G91" s="1"/>
      <c r="H91" s="57"/>
      <c r="I91" s="58"/>
      <c r="J91" s="59"/>
      <c r="K91" s="57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5"/>
      <c r="AK91" s="1"/>
      <c r="AL91" s="1"/>
      <c r="AM91" s="1"/>
      <c r="AN91" s="1"/>
    </row>
    <row x14ac:dyDescent="0.25" r="92" customHeight="1" ht="18.75">
      <c r="A92" s="1"/>
      <c r="B92" s="1"/>
      <c r="C92" s="1"/>
      <c r="D92" s="1"/>
      <c r="E92" s="1"/>
      <c r="F92" s="57"/>
      <c r="G92" s="1"/>
      <c r="H92" s="57"/>
      <c r="I92" s="58"/>
      <c r="J92" s="59"/>
      <c r="K92" s="57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5"/>
      <c r="AK92" s="1"/>
      <c r="AL92" s="1"/>
      <c r="AM92" s="1"/>
      <c r="AN92" s="1"/>
    </row>
    <row x14ac:dyDescent="0.25" r="93" customHeight="1" ht="18.75">
      <c r="A93" s="1"/>
      <c r="B93" s="1"/>
      <c r="C93" s="1"/>
      <c r="D93" s="1"/>
      <c r="E93" s="1"/>
      <c r="F93" s="57"/>
      <c r="G93" s="1"/>
      <c r="H93" s="57"/>
      <c r="I93" s="58"/>
      <c r="J93" s="59"/>
      <c r="K93" s="57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5"/>
      <c r="AK93" s="1"/>
      <c r="AL93" s="1"/>
      <c r="AM93" s="1"/>
      <c r="AN93" s="1"/>
    </row>
    <row x14ac:dyDescent="0.25" r="94" customHeight="1" ht="18.75">
      <c r="A94" s="1"/>
      <c r="B94" s="1"/>
      <c r="C94" s="1"/>
      <c r="D94" s="1"/>
      <c r="E94" s="1"/>
      <c r="F94" s="57"/>
      <c r="G94" s="1"/>
      <c r="H94" s="57"/>
      <c r="I94" s="58"/>
      <c r="J94" s="59"/>
      <c r="K94" s="57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5"/>
      <c r="AK94" s="1"/>
      <c r="AL94" s="1"/>
      <c r="AM94" s="1"/>
      <c r="AN94" s="1"/>
    </row>
    <row x14ac:dyDescent="0.25" r="95" customHeight="1" ht="18.75">
      <c r="A95" s="1"/>
      <c r="B95" s="1"/>
      <c r="C95" s="1"/>
      <c r="D95" s="1"/>
      <c r="E95" s="1"/>
      <c r="F95" s="57"/>
      <c r="G95" s="1"/>
      <c r="H95" s="57"/>
      <c r="I95" s="58"/>
      <c r="J95" s="59"/>
      <c r="K95" s="57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5"/>
      <c r="AK95" s="1"/>
      <c r="AL95" s="1"/>
      <c r="AM95" s="1"/>
      <c r="AN95" s="1"/>
    </row>
    <row x14ac:dyDescent="0.25" r="96" customHeight="1" ht="18.75">
      <c r="A96" s="1"/>
      <c r="B96" s="1"/>
      <c r="C96" s="1"/>
      <c r="D96" s="1"/>
      <c r="E96" s="1"/>
      <c r="F96" s="57"/>
      <c r="G96" s="1"/>
      <c r="H96" s="57"/>
      <c r="I96" s="58"/>
      <c r="J96" s="59"/>
      <c r="K96" s="57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5"/>
      <c r="AK96" s="1"/>
      <c r="AL96" s="1"/>
      <c r="AM96" s="1"/>
      <c r="AN96" s="1"/>
    </row>
    <row x14ac:dyDescent="0.25" r="97" customHeight="1" ht="18.75">
      <c r="A97" s="1"/>
      <c r="B97" s="1"/>
      <c r="C97" s="1"/>
      <c r="D97" s="1"/>
      <c r="E97" s="1"/>
      <c r="F97" s="57"/>
      <c r="G97" s="1"/>
      <c r="H97" s="57"/>
      <c r="I97" s="58"/>
      <c r="J97" s="59"/>
      <c r="K97" s="57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5"/>
      <c r="AK97" s="1"/>
      <c r="AL97" s="1"/>
      <c r="AM97" s="1"/>
      <c r="AN97" s="1"/>
    </row>
    <row x14ac:dyDescent="0.25" r="98" customHeight="1" ht="18.75">
      <c r="A98" s="1"/>
      <c r="B98" s="1"/>
      <c r="C98" s="1"/>
      <c r="D98" s="1"/>
      <c r="E98" s="1"/>
      <c r="F98" s="57"/>
      <c r="G98" s="1"/>
      <c r="H98" s="57"/>
      <c r="I98" s="58"/>
      <c r="J98" s="59"/>
      <c r="K98" s="57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5"/>
      <c r="AK98" s="1"/>
      <c r="AL98" s="1"/>
      <c r="AM98" s="1"/>
      <c r="AN98" s="1"/>
    </row>
    <row x14ac:dyDescent="0.25" r="99" customHeight="1" ht="18.75">
      <c r="A99" s="1"/>
      <c r="B99" s="1"/>
      <c r="C99" s="1"/>
      <c r="D99" s="1"/>
      <c r="E99" s="1"/>
      <c r="F99" s="57"/>
      <c r="G99" s="1"/>
      <c r="H99" s="57"/>
      <c r="I99" s="58"/>
      <c r="J99" s="59"/>
      <c r="K99" s="57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5"/>
      <c r="AK99" s="1"/>
      <c r="AL99" s="1"/>
      <c r="AM99" s="1"/>
      <c r="AN99" s="1"/>
    </row>
    <row x14ac:dyDescent="0.25" r="100" customHeight="1" ht="18.75">
      <c r="A100" s="1"/>
      <c r="B100" s="1"/>
      <c r="C100" s="1"/>
      <c r="D100" s="1"/>
      <c r="E100" s="1"/>
      <c r="F100" s="57"/>
      <c r="G100" s="1"/>
      <c r="H100" s="57"/>
      <c r="I100" s="58"/>
      <c r="J100" s="59"/>
      <c r="K100" s="57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5"/>
      <c r="AK100" s="1"/>
      <c r="AL100" s="1"/>
      <c r="AM100" s="1"/>
      <c r="AN100" s="1"/>
    </row>
    <row x14ac:dyDescent="0.25" r="101" customHeight="1" ht="18.75">
      <c r="A101" s="1"/>
      <c r="B101" s="1"/>
      <c r="C101" s="1"/>
      <c r="D101" s="1"/>
      <c r="E101" s="1"/>
      <c r="F101" s="57"/>
      <c r="G101" s="1"/>
      <c r="H101" s="57"/>
      <c r="I101" s="58"/>
      <c r="J101" s="59"/>
      <c r="K101" s="57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5"/>
      <c r="AK101" s="1"/>
      <c r="AL101" s="1"/>
      <c r="AM101" s="1"/>
      <c r="AN101" s="1"/>
    </row>
    <row x14ac:dyDescent="0.25" r="102" customHeight="1" ht="18.75">
      <c r="A102" s="1"/>
      <c r="B102" s="1"/>
      <c r="C102" s="1"/>
      <c r="D102" s="1"/>
      <c r="E102" s="1"/>
      <c r="F102" s="57"/>
      <c r="G102" s="1"/>
      <c r="H102" s="57"/>
      <c r="I102" s="58"/>
      <c r="J102" s="59"/>
      <c r="K102" s="57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5"/>
      <c r="AK102" s="1"/>
      <c r="AL102" s="1"/>
      <c r="AM102" s="1"/>
      <c r="AN102" s="1"/>
    </row>
    <row x14ac:dyDescent="0.25" r="103" customHeight="1" ht="18.75">
      <c r="A103" s="1"/>
      <c r="B103" s="1"/>
      <c r="C103" s="1"/>
      <c r="D103" s="1"/>
      <c r="E103" s="1"/>
      <c r="F103" s="57"/>
      <c r="G103" s="1"/>
      <c r="H103" s="57"/>
      <c r="I103" s="58"/>
      <c r="J103" s="59"/>
      <c r="K103" s="57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5"/>
      <c r="AK103" s="1"/>
      <c r="AL103" s="1"/>
      <c r="AM103" s="1"/>
      <c r="AN103" s="1"/>
    </row>
    <row x14ac:dyDescent="0.25" r="104" customHeight="1" ht="18.75">
      <c r="A104" s="1"/>
      <c r="B104" s="1"/>
      <c r="C104" s="1"/>
      <c r="D104" s="1"/>
      <c r="E104" s="1"/>
      <c r="F104" s="57"/>
      <c r="G104" s="1"/>
      <c r="H104" s="57"/>
      <c r="I104" s="58"/>
      <c r="J104" s="59"/>
      <c r="K104" s="57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5"/>
      <c r="AK104" s="1"/>
      <c r="AL104" s="1"/>
      <c r="AM104" s="1"/>
      <c r="AN104" s="1"/>
    </row>
    <row x14ac:dyDescent="0.25" r="105" customHeight="1" ht="18.75">
      <c r="A105" s="1"/>
      <c r="B105" s="1"/>
      <c r="C105" s="1"/>
      <c r="D105" s="1"/>
      <c r="E105" s="1"/>
      <c r="F105" s="57"/>
      <c r="G105" s="1"/>
      <c r="H105" s="57"/>
      <c r="I105" s="58"/>
      <c r="J105" s="59"/>
      <c r="K105" s="57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5"/>
      <c r="AK105" s="1"/>
      <c r="AL105" s="1"/>
      <c r="AM105" s="1"/>
      <c r="AN105" s="1"/>
    </row>
    <row x14ac:dyDescent="0.25" r="106" customHeight="1" ht="18.75">
      <c r="A106" s="1"/>
      <c r="B106" s="1"/>
      <c r="C106" s="1"/>
      <c r="D106" s="1"/>
      <c r="E106" s="1"/>
      <c r="F106" s="57"/>
      <c r="G106" s="1"/>
      <c r="H106" s="57"/>
      <c r="I106" s="58"/>
      <c r="J106" s="59"/>
      <c r="K106" s="57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5"/>
      <c r="AK106" s="1"/>
      <c r="AL106" s="1"/>
      <c r="AM106" s="1"/>
      <c r="AN106" s="1"/>
    </row>
    <row x14ac:dyDescent="0.25" r="107" customHeight="1" ht="18.75">
      <c r="A107" s="1"/>
      <c r="B107" s="1"/>
      <c r="C107" s="1"/>
      <c r="D107" s="1"/>
      <c r="E107" s="1"/>
      <c r="F107" s="57"/>
      <c r="G107" s="1"/>
      <c r="H107" s="57"/>
      <c r="I107" s="58"/>
      <c r="J107" s="59"/>
      <c r="K107" s="57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5"/>
      <c r="AK107" s="1"/>
      <c r="AL107" s="1"/>
      <c r="AM107" s="1"/>
      <c r="AN107" s="1"/>
    </row>
    <row x14ac:dyDescent="0.25" r="108" customHeight="1" ht="18.75">
      <c r="A108" s="1"/>
      <c r="B108" s="1"/>
      <c r="C108" s="1"/>
      <c r="D108" s="1"/>
      <c r="E108" s="1"/>
      <c r="F108" s="57"/>
      <c r="G108" s="1"/>
      <c r="H108" s="57"/>
      <c r="I108" s="58"/>
      <c r="J108" s="59"/>
      <c r="K108" s="57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5"/>
      <c r="AK108" s="1"/>
      <c r="AL108" s="1"/>
      <c r="AM108" s="1"/>
      <c r="AN108" s="1"/>
    </row>
    <row x14ac:dyDescent="0.25" r="109" customHeight="1" ht="18.75">
      <c r="A109" s="1"/>
      <c r="B109" s="1"/>
      <c r="C109" s="1"/>
      <c r="D109" s="1"/>
      <c r="E109" s="1"/>
      <c r="F109" s="57"/>
      <c r="G109" s="1"/>
      <c r="H109" s="57"/>
      <c r="I109" s="58"/>
      <c r="J109" s="59"/>
      <c r="K109" s="57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5"/>
      <c r="AK109" s="1"/>
      <c r="AL109" s="1"/>
      <c r="AM109" s="1"/>
      <c r="AN109" s="1"/>
    </row>
    <row x14ac:dyDescent="0.25" r="110" customHeight="1" ht="18.75">
      <c r="A110" s="1"/>
      <c r="B110" s="1"/>
      <c r="C110" s="1"/>
      <c r="D110" s="1"/>
      <c r="E110" s="1"/>
      <c r="F110" s="57"/>
      <c r="G110" s="1"/>
      <c r="H110" s="57"/>
      <c r="I110" s="58"/>
      <c r="J110" s="59"/>
      <c r="K110" s="57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5"/>
      <c r="AK110" s="1"/>
      <c r="AL110" s="1"/>
      <c r="AM110" s="1"/>
      <c r="AN110" s="1"/>
    </row>
    <row x14ac:dyDescent="0.25" r="111" customHeight="1" ht="18.75">
      <c r="A111" s="1"/>
      <c r="B111" s="1"/>
      <c r="C111" s="1"/>
      <c r="D111" s="1"/>
      <c r="E111" s="1"/>
      <c r="F111" s="57"/>
      <c r="G111" s="1"/>
      <c r="H111" s="57"/>
      <c r="I111" s="58"/>
      <c r="J111" s="59"/>
      <c r="K111" s="57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5"/>
      <c r="AK111" s="1"/>
      <c r="AL111" s="1"/>
      <c r="AM111" s="1"/>
      <c r="AN111" s="1"/>
    </row>
    <row x14ac:dyDescent="0.25" r="112" customHeight="1" ht="18.75">
      <c r="A112" s="1"/>
      <c r="B112" s="1"/>
      <c r="C112" s="1"/>
      <c r="D112" s="1"/>
      <c r="E112" s="1"/>
      <c r="F112" s="57"/>
      <c r="G112" s="1"/>
      <c r="H112" s="57"/>
      <c r="I112" s="58"/>
      <c r="J112" s="59"/>
      <c r="K112" s="57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5"/>
      <c r="AK112" s="1"/>
      <c r="AL112" s="1"/>
      <c r="AM112" s="1"/>
      <c r="AN112" s="1"/>
    </row>
    <row x14ac:dyDescent="0.25" r="113" customHeight="1" ht="18.75">
      <c r="A113" s="1"/>
      <c r="B113" s="1"/>
      <c r="C113" s="1"/>
      <c r="D113" s="1"/>
      <c r="E113" s="1"/>
      <c r="F113" s="57"/>
      <c r="G113" s="1"/>
      <c r="H113" s="57"/>
      <c r="I113" s="58"/>
      <c r="J113" s="59"/>
      <c r="K113" s="57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5"/>
      <c r="AK113" s="1"/>
      <c r="AL113" s="1"/>
      <c r="AM113" s="1"/>
      <c r="AN113" s="1"/>
    </row>
    <row x14ac:dyDescent="0.25" r="114" customHeight="1" ht="18.75">
      <c r="A114" s="1"/>
      <c r="B114" s="1"/>
      <c r="C114" s="1"/>
      <c r="D114" s="1"/>
      <c r="E114" s="1"/>
      <c r="F114" s="57"/>
      <c r="G114" s="1"/>
      <c r="H114" s="57"/>
      <c r="I114" s="58"/>
      <c r="J114" s="59"/>
      <c r="K114" s="57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5"/>
      <c r="AK114" s="1"/>
      <c r="AL114" s="1"/>
      <c r="AM114" s="1"/>
      <c r="AN114" s="1"/>
    </row>
    <row x14ac:dyDescent="0.25" r="115" customHeight="1" ht="18.75">
      <c r="A115" s="1"/>
      <c r="B115" s="1"/>
      <c r="C115" s="1"/>
      <c r="D115" s="1"/>
      <c r="E115" s="1"/>
      <c r="F115" s="57"/>
      <c r="G115" s="1"/>
      <c r="H115" s="57"/>
      <c r="I115" s="58"/>
      <c r="J115" s="59"/>
      <c r="K115" s="57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5"/>
      <c r="AK115" s="1"/>
      <c r="AL115" s="1"/>
      <c r="AM115" s="1"/>
      <c r="AN115" s="1"/>
    </row>
    <row x14ac:dyDescent="0.25" r="116" customHeight="1" ht="18.75">
      <c r="A116" s="1"/>
      <c r="B116" s="1"/>
      <c r="C116" s="1"/>
      <c r="D116" s="1"/>
      <c r="E116" s="1"/>
      <c r="F116" s="57"/>
      <c r="G116" s="1"/>
      <c r="H116" s="57"/>
      <c r="I116" s="58"/>
      <c r="J116" s="59"/>
      <c r="K116" s="57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5"/>
      <c r="AK116" s="1"/>
      <c r="AL116" s="1"/>
      <c r="AM116" s="1"/>
      <c r="AN116" s="1"/>
    </row>
    <row x14ac:dyDescent="0.25" r="117" customHeight="1" ht="18.75">
      <c r="A117" s="1"/>
      <c r="B117" s="1"/>
      <c r="C117" s="1"/>
      <c r="D117" s="1"/>
      <c r="E117" s="1"/>
      <c r="F117" s="57"/>
      <c r="G117" s="1"/>
      <c r="H117" s="57"/>
      <c r="I117" s="58"/>
      <c r="J117" s="59"/>
      <c r="K117" s="57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5"/>
      <c r="AK117" s="1"/>
      <c r="AL117" s="1"/>
      <c r="AM117" s="1"/>
      <c r="AN117" s="1"/>
    </row>
    <row x14ac:dyDescent="0.25" r="118" customHeight="1" ht="18.75">
      <c r="A118" s="1"/>
      <c r="B118" s="1"/>
      <c r="C118" s="1"/>
      <c r="D118" s="1"/>
      <c r="E118" s="1"/>
      <c r="F118" s="57"/>
      <c r="G118" s="1"/>
      <c r="H118" s="57"/>
      <c r="I118" s="58"/>
      <c r="J118" s="59"/>
      <c r="K118" s="57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5"/>
      <c r="AK118" s="1"/>
      <c r="AL118" s="1"/>
      <c r="AM118" s="1"/>
      <c r="AN118" s="1"/>
    </row>
    <row x14ac:dyDescent="0.25" r="119" customHeight="1" ht="18.75">
      <c r="A119" s="1"/>
      <c r="B119" s="1"/>
      <c r="C119" s="1"/>
      <c r="D119" s="1"/>
      <c r="E119" s="1"/>
      <c r="F119" s="57"/>
      <c r="G119" s="1"/>
      <c r="H119" s="57"/>
      <c r="I119" s="58"/>
      <c r="J119" s="59"/>
      <c r="K119" s="57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5"/>
      <c r="AK119" s="1"/>
      <c r="AL119" s="1"/>
      <c r="AM119" s="1"/>
      <c r="AN119" s="1"/>
    </row>
    <row x14ac:dyDescent="0.25" r="120" customHeight="1" ht="18.75">
      <c r="A120" s="1"/>
      <c r="B120" s="1"/>
      <c r="C120" s="1"/>
      <c r="D120" s="1"/>
      <c r="E120" s="1"/>
      <c r="F120" s="57"/>
      <c r="G120" s="1"/>
      <c r="H120" s="57"/>
      <c r="I120" s="58"/>
      <c r="J120" s="59"/>
      <c r="K120" s="57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5"/>
      <c r="AK120" s="1"/>
      <c r="AL120" s="1"/>
      <c r="AM120" s="1"/>
      <c r="AN120" s="1"/>
    </row>
    <row x14ac:dyDescent="0.25" r="121" customHeight="1" ht="18.75">
      <c r="A121" s="1"/>
      <c r="B121" s="1"/>
      <c r="C121" s="1"/>
      <c r="D121" s="1"/>
      <c r="E121" s="1"/>
      <c r="F121" s="57"/>
      <c r="G121" s="1"/>
      <c r="H121" s="57"/>
      <c r="I121" s="58"/>
      <c r="J121" s="59"/>
      <c r="K121" s="57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5"/>
      <c r="AK121" s="1"/>
      <c r="AL121" s="1"/>
      <c r="AM121" s="1"/>
      <c r="AN121" s="1"/>
    </row>
    <row x14ac:dyDescent="0.25" r="122" customHeight="1" ht="18.75">
      <c r="A122" s="1"/>
      <c r="B122" s="1"/>
      <c r="C122" s="1"/>
      <c r="D122" s="1"/>
      <c r="E122" s="1"/>
      <c r="F122" s="57"/>
      <c r="G122" s="1"/>
      <c r="H122" s="57"/>
      <c r="I122" s="58"/>
      <c r="J122" s="59"/>
      <c r="K122" s="57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5"/>
      <c r="AK122" s="1"/>
      <c r="AL122" s="1"/>
      <c r="AM122" s="1"/>
      <c r="AN122" s="1"/>
    </row>
    <row x14ac:dyDescent="0.25" r="123" customHeight="1" ht="18.75">
      <c r="A123" s="1"/>
      <c r="B123" s="1"/>
      <c r="C123" s="1"/>
      <c r="D123" s="1"/>
      <c r="E123" s="1"/>
      <c r="F123" s="57"/>
      <c r="G123" s="1"/>
      <c r="H123" s="57"/>
      <c r="I123" s="58"/>
      <c r="J123" s="59"/>
      <c r="K123" s="57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5"/>
      <c r="AK123" s="1"/>
      <c r="AL123" s="1"/>
      <c r="AM123" s="1"/>
      <c r="AN123" s="1"/>
    </row>
    <row x14ac:dyDescent="0.25" r="124" customHeight="1" ht="18.75">
      <c r="A124" s="1"/>
      <c r="B124" s="1"/>
      <c r="C124" s="1"/>
      <c r="D124" s="1"/>
      <c r="E124" s="1"/>
      <c r="F124" s="57"/>
      <c r="G124" s="1"/>
      <c r="H124" s="57"/>
      <c r="I124" s="58"/>
      <c r="J124" s="59"/>
      <c r="K124" s="57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5"/>
      <c r="AK124" s="1"/>
      <c r="AL124" s="1"/>
      <c r="AM124" s="1"/>
      <c r="AN124" s="1"/>
    </row>
    <row x14ac:dyDescent="0.25" r="125" customHeight="1" ht="18.75">
      <c r="A125" s="1"/>
      <c r="B125" s="1"/>
      <c r="C125" s="1"/>
      <c r="D125" s="1"/>
      <c r="E125" s="1"/>
      <c r="F125" s="57"/>
      <c r="G125" s="1"/>
      <c r="H125" s="57"/>
      <c r="I125" s="58"/>
      <c r="J125" s="59"/>
      <c r="K125" s="57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5"/>
      <c r="AK125" s="1"/>
      <c r="AL125" s="1"/>
      <c r="AM125" s="1"/>
      <c r="AN125" s="1"/>
    </row>
    <row x14ac:dyDescent="0.25" r="126" customHeight="1" ht="18.75">
      <c r="A126" s="1"/>
      <c r="B126" s="1"/>
      <c r="C126" s="1"/>
      <c r="D126" s="1"/>
      <c r="E126" s="1"/>
      <c r="F126" s="57"/>
      <c r="G126" s="1"/>
      <c r="H126" s="57"/>
      <c r="I126" s="58"/>
      <c r="J126" s="59"/>
      <c r="K126" s="57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5"/>
      <c r="AK126" s="1"/>
      <c r="AL126" s="1"/>
      <c r="AM126" s="1"/>
      <c r="AN126" s="1"/>
    </row>
    <row x14ac:dyDescent="0.25" r="127" customHeight="1" ht="18.75">
      <c r="A127" s="1"/>
      <c r="B127" s="1"/>
      <c r="C127" s="1"/>
      <c r="D127" s="1"/>
      <c r="E127" s="1"/>
      <c r="F127" s="57"/>
      <c r="G127" s="1"/>
      <c r="H127" s="57"/>
      <c r="I127" s="58"/>
      <c r="J127" s="59"/>
      <c r="K127" s="57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5"/>
      <c r="AK127" s="1"/>
      <c r="AL127" s="1"/>
      <c r="AM127" s="1"/>
      <c r="AN127" s="1"/>
    </row>
    <row x14ac:dyDescent="0.25" r="128" customHeight="1" ht="18.75">
      <c r="A128" s="1"/>
      <c r="B128" s="1"/>
      <c r="C128" s="1"/>
      <c r="D128" s="1"/>
      <c r="E128" s="1"/>
      <c r="F128" s="57"/>
      <c r="G128" s="1"/>
      <c r="H128" s="57"/>
      <c r="I128" s="58"/>
      <c r="J128" s="59"/>
      <c r="K128" s="57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5"/>
      <c r="AK128" s="1"/>
      <c r="AL128" s="1"/>
      <c r="AM128" s="1"/>
      <c r="AN128" s="1"/>
    </row>
    <row x14ac:dyDescent="0.25" r="129" customHeight="1" ht="18.75">
      <c r="A129" s="1"/>
      <c r="B129" s="1"/>
      <c r="C129" s="1"/>
      <c r="D129" s="1"/>
      <c r="E129" s="1"/>
      <c r="F129" s="57"/>
      <c r="G129" s="1"/>
      <c r="H129" s="57"/>
      <c r="I129" s="58"/>
      <c r="J129" s="59"/>
      <c r="K129" s="57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5"/>
      <c r="AK129" s="1"/>
      <c r="AL129" s="1"/>
      <c r="AM129" s="1"/>
      <c r="AN129" s="1"/>
    </row>
    <row x14ac:dyDescent="0.25" r="130" customHeight="1" ht="18.75">
      <c r="A130" s="1"/>
      <c r="B130" s="1"/>
      <c r="C130" s="1"/>
      <c r="D130" s="1"/>
      <c r="E130" s="1"/>
      <c r="F130" s="57"/>
      <c r="G130" s="1"/>
      <c r="H130" s="57"/>
      <c r="I130" s="58"/>
      <c r="J130" s="59"/>
      <c r="K130" s="57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5"/>
      <c r="AK130" s="1"/>
      <c r="AL130" s="1"/>
      <c r="AM130" s="1"/>
      <c r="AN130" s="1"/>
    </row>
    <row x14ac:dyDescent="0.25" r="131" customHeight="1" ht="18.75">
      <c r="A131" s="1"/>
      <c r="B131" s="1"/>
      <c r="C131" s="1"/>
      <c r="D131" s="1"/>
      <c r="E131" s="1"/>
      <c r="F131" s="57"/>
      <c r="G131" s="1"/>
      <c r="H131" s="57"/>
      <c r="I131" s="58"/>
      <c r="J131" s="59"/>
      <c r="K131" s="57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5"/>
      <c r="AK131" s="1"/>
      <c r="AL131" s="1"/>
      <c r="AM131" s="1"/>
      <c r="AN131" s="1"/>
    </row>
    <row x14ac:dyDescent="0.25" r="132" customHeight="1" ht="18.75">
      <c r="A132" s="1"/>
      <c r="B132" s="1"/>
      <c r="C132" s="1"/>
      <c r="D132" s="1"/>
      <c r="E132" s="1"/>
      <c r="F132" s="57"/>
      <c r="G132" s="1"/>
      <c r="H132" s="57"/>
      <c r="I132" s="58"/>
      <c r="J132" s="59"/>
      <c r="K132" s="57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5"/>
      <c r="AK132" s="1"/>
      <c r="AL132" s="1"/>
      <c r="AM132" s="1"/>
      <c r="AN132" s="1"/>
    </row>
    <row x14ac:dyDescent="0.25" r="133" customHeight="1" ht="18.75">
      <c r="A133" s="1"/>
      <c r="B133" s="1"/>
      <c r="C133" s="1"/>
      <c r="D133" s="1"/>
      <c r="E133" s="1"/>
      <c r="F133" s="57"/>
      <c r="G133" s="1"/>
      <c r="H133" s="57"/>
      <c r="I133" s="58"/>
      <c r="J133" s="59"/>
      <c r="K133" s="57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5"/>
      <c r="AK133" s="1"/>
      <c r="AL133" s="1"/>
      <c r="AM133" s="1"/>
      <c r="AN133" s="1"/>
    </row>
    <row x14ac:dyDescent="0.25" r="134" customHeight="1" ht="18.75">
      <c r="A134" s="1"/>
      <c r="B134" s="1"/>
      <c r="C134" s="1"/>
      <c r="D134" s="1"/>
      <c r="E134" s="1"/>
      <c r="F134" s="57"/>
      <c r="G134" s="1"/>
      <c r="H134" s="57"/>
      <c r="I134" s="58"/>
      <c r="J134" s="59"/>
      <c r="K134" s="57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5"/>
      <c r="AK134" s="1"/>
      <c r="AL134" s="1"/>
      <c r="AM134" s="1"/>
      <c r="AN134" s="1"/>
    </row>
    <row x14ac:dyDescent="0.25" r="135" customHeight="1" ht="18.75">
      <c r="A135" s="1"/>
      <c r="B135" s="1"/>
      <c r="C135" s="1"/>
      <c r="D135" s="1"/>
      <c r="E135" s="1"/>
      <c r="F135" s="57"/>
      <c r="G135" s="1"/>
      <c r="H135" s="57"/>
      <c r="I135" s="58"/>
      <c r="J135" s="59"/>
      <c r="K135" s="57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5"/>
      <c r="AK135" s="1"/>
      <c r="AL135" s="1"/>
      <c r="AM135" s="1"/>
      <c r="AN135" s="1"/>
    </row>
    <row x14ac:dyDescent="0.25" r="136" customHeight="1" ht="18.75">
      <c r="A136" s="1"/>
      <c r="B136" s="1"/>
      <c r="C136" s="1"/>
      <c r="D136" s="1"/>
      <c r="E136" s="1"/>
      <c r="F136" s="57"/>
      <c r="G136" s="1"/>
      <c r="H136" s="57"/>
      <c r="I136" s="58"/>
      <c r="J136" s="59"/>
      <c r="K136" s="57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5"/>
      <c r="AK136" s="1"/>
      <c r="AL136" s="1"/>
      <c r="AM136" s="1"/>
      <c r="AN136" s="1"/>
    </row>
    <row x14ac:dyDescent="0.25" r="137" customHeight="1" ht="18.75">
      <c r="A137" s="1"/>
      <c r="B137" s="1"/>
      <c r="C137" s="1"/>
      <c r="D137" s="1"/>
      <c r="E137" s="1"/>
      <c r="F137" s="57"/>
      <c r="G137" s="1"/>
      <c r="H137" s="57"/>
      <c r="I137" s="58"/>
      <c r="J137" s="59"/>
      <c r="K137" s="57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5"/>
      <c r="AK137" s="1"/>
      <c r="AL137" s="1"/>
      <c r="AM137" s="1"/>
      <c r="AN137" s="1"/>
    </row>
    <row x14ac:dyDescent="0.25" r="138" customHeight="1" ht="18.75">
      <c r="A138" s="1"/>
      <c r="B138" s="1"/>
      <c r="C138" s="1"/>
      <c r="D138" s="1"/>
      <c r="E138" s="1"/>
      <c r="F138" s="57"/>
      <c r="G138" s="1"/>
      <c r="H138" s="57"/>
      <c r="I138" s="58"/>
      <c r="J138" s="59"/>
      <c r="K138" s="57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5"/>
      <c r="AK138" s="1"/>
      <c r="AL138" s="1"/>
      <c r="AM138" s="1"/>
      <c r="AN138" s="1"/>
    </row>
    <row x14ac:dyDescent="0.25" r="139" customHeight="1" ht="18.75">
      <c r="A139" s="1"/>
      <c r="B139" s="1"/>
      <c r="C139" s="1"/>
      <c r="D139" s="1"/>
      <c r="E139" s="1"/>
      <c r="F139" s="57"/>
      <c r="G139" s="1"/>
      <c r="H139" s="57"/>
      <c r="I139" s="58"/>
      <c r="J139" s="59"/>
      <c r="K139" s="57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5"/>
      <c r="AK139" s="1"/>
      <c r="AL139" s="1"/>
      <c r="AM139" s="1"/>
      <c r="AN139" s="1"/>
    </row>
    <row x14ac:dyDescent="0.25" r="140" customHeight="1" ht="18.75">
      <c r="A140" s="1"/>
      <c r="B140" s="1"/>
      <c r="C140" s="1"/>
      <c r="D140" s="1"/>
      <c r="E140" s="1"/>
      <c r="F140" s="57"/>
      <c r="G140" s="1"/>
      <c r="H140" s="57"/>
      <c r="I140" s="58"/>
      <c r="J140" s="59"/>
      <c r="K140" s="57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5"/>
      <c r="AK140" s="1"/>
      <c r="AL140" s="1"/>
      <c r="AM140" s="1"/>
      <c r="AN140" s="1"/>
    </row>
    <row x14ac:dyDescent="0.25" r="141" customHeight="1" ht="18.75">
      <c r="A141" s="1"/>
      <c r="B141" s="1"/>
      <c r="C141" s="1"/>
      <c r="D141" s="1"/>
      <c r="E141" s="1"/>
      <c r="F141" s="57"/>
      <c r="G141" s="1"/>
      <c r="H141" s="57"/>
      <c r="I141" s="58"/>
      <c r="J141" s="59"/>
      <c r="K141" s="57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5"/>
      <c r="AK141" s="1"/>
      <c r="AL141" s="1"/>
      <c r="AM141" s="1"/>
      <c r="AN141" s="1"/>
    </row>
    <row x14ac:dyDescent="0.25" r="142" customHeight="1" ht="18.75">
      <c r="A142" s="1"/>
      <c r="B142" s="1"/>
      <c r="C142" s="1"/>
      <c r="D142" s="1"/>
      <c r="E142" s="1"/>
      <c r="F142" s="57"/>
      <c r="G142" s="1"/>
      <c r="H142" s="57"/>
      <c r="I142" s="58"/>
      <c r="J142" s="59"/>
      <c r="K142" s="57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5"/>
      <c r="AK142" s="1"/>
      <c r="AL142" s="1"/>
      <c r="AM142" s="1"/>
      <c r="AN142" s="1"/>
    </row>
    <row x14ac:dyDescent="0.25" r="143" customHeight="1" ht="18.75">
      <c r="A143" s="1"/>
      <c r="B143" s="1"/>
      <c r="C143" s="1"/>
      <c r="D143" s="1"/>
      <c r="E143" s="1"/>
      <c r="F143" s="57"/>
      <c r="G143" s="1"/>
      <c r="H143" s="57"/>
      <c r="I143" s="58"/>
      <c r="J143" s="59"/>
      <c r="K143" s="57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5"/>
      <c r="AK143" s="1"/>
      <c r="AL143" s="1"/>
      <c r="AM143" s="1"/>
      <c r="AN143" s="1"/>
    </row>
    <row x14ac:dyDescent="0.25" r="144" customHeight="1" ht="18.75">
      <c r="A144" s="1"/>
      <c r="B144" s="1"/>
      <c r="C144" s="1"/>
      <c r="D144" s="1"/>
      <c r="E144" s="1"/>
      <c r="F144" s="57"/>
      <c r="G144" s="1"/>
      <c r="H144" s="57"/>
      <c r="I144" s="58"/>
      <c r="J144" s="59"/>
      <c r="K144" s="57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5"/>
      <c r="AK144" s="1"/>
      <c r="AL144" s="1"/>
      <c r="AM144" s="1"/>
      <c r="AN144" s="1"/>
    </row>
    <row x14ac:dyDescent="0.25" r="145" customHeight="1" ht="18.75">
      <c r="A145" s="1"/>
      <c r="B145" s="1"/>
      <c r="C145" s="1"/>
      <c r="D145" s="1"/>
      <c r="E145" s="1"/>
      <c r="F145" s="57"/>
      <c r="G145" s="1"/>
      <c r="H145" s="57"/>
      <c r="I145" s="58"/>
      <c r="J145" s="59"/>
      <c r="K145" s="57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5"/>
      <c r="AK145" s="1"/>
      <c r="AL145" s="1"/>
      <c r="AM145" s="1"/>
      <c r="AN145" s="1"/>
    </row>
    <row x14ac:dyDescent="0.25" r="146" customHeight="1" ht="18.75">
      <c r="A146" s="1"/>
      <c r="B146" s="1"/>
      <c r="C146" s="1"/>
      <c r="D146" s="1"/>
      <c r="E146" s="1"/>
      <c r="F146" s="57"/>
      <c r="G146" s="1"/>
      <c r="H146" s="57"/>
      <c r="I146" s="58"/>
      <c r="J146" s="59"/>
      <c r="K146" s="57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5"/>
      <c r="AK146" s="1"/>
      <c r="AL146" s="1"/>
      <c r="AM146" s="1"/>
      <c r="AN146" s="1"/>
    </row>
    <row x14ac:dyDescent="0.25" r="147" customHeight="1" ht="18.75">
      <c r="A147" s="1"/>
      <c r="B147" s="1"/>
      <c r="C147" s="1"/>
      <c r="D147" s="1"/>
      <c r="E147" s="1"/>
      <c r="F147" s="57"/>
      <c r="G147" s="1"/>
      <c r="H147" s="57"/>
      <c r="I147" s="58"/>
      <c r="J147" s="59"/>
      <c r="K147" s="57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5"/>
      <c r="AK147" s="1"/>
      <c r="AL147" s="1"/>
      <c r="AM147" s="1"/>
      <c r="AN147" s="1"/>
    </row>
    <row x14ac:dyDescent="0.25" r="148" customHeight="1" ht="18.75">
      <c r="A148" s="1"/>
      <c r="B148" s="1"/>
      <c r="C148" s="1"/>
      <c r="D148" s="1"/>
      <c r="E148" s="1"/>
      <c r="F148" s="57"/>
      <c r="G148" s="1"/>
      <c r="H148" s="57"/>
      <c r="I148" s="58"/>
      <c r="J148" s="59"/>
      <c r="K148" s="57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5"/>
      <c r="AK148" s="1"/>
      <c r="AL148" s="1"/>
      <c r="AM148" s="1"/>
      <c r="AN148" s="1"/>
    </row>
    <row x14ac:dyDescent="0.25" r="149" customHeight="1" ht="18.75">
      <c r="A149" s="1"/>
      <c r="B149" s="1"/>
      <c r="C149" s="1"/>
      <c r="D149" s="1"/>
      <c r="E149" s="1"/>
      <c r="F149" s="57"/>
      <c r="G149" s="1"/>
      <c r="H149" s="57"/>
      <c r="I149" s="58"/>
      <c r="J149" s="59"/>
      <c r="K149" s="57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5"/>
      <c r="AK149" s="1"/>
      <c r="AL149" s="1"/>
      <c r="AM149" s="1"/>
      <c r="AN149" s="1"/>
    </row>
    <row x14ac:dyDescent="0.25" r="150" customHeight="1" ht="18.75">
      <c r="A150" s="1"/>
      <c r="B150" s="1"/>
      <c r="C150" s="1"/>
      <c r="D150" s="1"/>
      <c r="E150" s="1"/>
      <c r="F150" s="57"/>
      <c r="G150" s="1"/>
      <c r="H150" s="57"/>
      <c r="I150" s="58"/>
      <c r="J150" s="59"/>
      <c r="K150" s="57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5"/>
      <c r="AK150" s="1"/>
      <c r="AL150" s="1"/>
      <c r="AM150" s="1"/>
      <c r="AN150" s="1"/>
    </row>
    <row x14ac:dyDescent="0.25" r="151" customHeight="1" ht="18.75">
      <c r="A151" s="1"/>
      <c r="B151" s="1"/>
      <c r="C151" s="1"/>
      <c r="D151" s="1"/>
      <c r="E151" s="1"/>
      <c r="F151" s="57"/>
      <c r="G151" s="1"/>
      <c r="H151" s="57"/>
      <c r="I151" s="58"/>
      <c r="J151" s="59"/>
      <c r="K151" s="57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5"/>
      <c r="AK151" s="1"/>
      <c r="AL151" s="1"/>
      <c r="AM151" s="1"/>
      <c r="AN151" s="1"/>
    </row>
    <row x14ac:dyDescent="0.25" r="152" customHeight="1" ht="18.75">
      <c r="A152" s="1"/>
      <c r="B152" s="1"/>
      <c r="C152" s="1"/>
      <c r="D152" s="1"/>
      <c r="E152" s="1"/>
      <c r="F152" s="57"/>
      <c r="G152" s="1"/>
      <c r="H152" s="57"/>
      <c r="I152" s="58"/>
      <c r="J152" s="59"/>
      <c r="K152" s="57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5"/>
      <c r="AK152" s="1"/>
      <c r="AL152" s="1"/>
      <c r="AM152" s="1"/>
      <c r="AN152" s="1"/>
    </row>
    <row x14ac:dyDescent="0.25" r="153" customHeight="1" ht="18.75">
      <c r="A153" s="1"/>
      <c r="B153" s="1"/>
      <c r="C153" s="1"/>
      <c r="D153" s="1"/>
      <c r="E153" s="1"/>
      <c r="F153" s="57"/>
      <c r="G153" s="1"/>
      <c r="H153" s="57"/>
      <c r="I153" s="58"/>
      <c r="J153" s="59"/>
      <c r="K153" s="57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5"/>
      <c r="AK153" s="1"/>
      <c r="AL153" s="1"/>
      <c r="AM153" s="1"/>
      <c r="AN153" s="1"/>
    </row>
    <row x14ac:dyDescent="0.25" r="154" customHeight="1" ht="18.75">
      <c r="A154" s="1"/>
      <c r="B154" s="1"/>
      <c r="C154" s="1"/>
      <c r="D154" s="1"/>
      <c r="E154" s="1"/>
      <c r="F154" s="57"/>
      <c r="G154" s="1"/>
      <c r="H154" s="57"/>
      <c r="I154" s="58"/>
      <c r="J154" s="59"/>
      <c r="K154" s="57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5"/>
      <c r="AK154" s="1"/>
      <c r="AL154" s="1"/>
      <c r="AM154" s="1"/>
      <c r="AN154" s="1"/>
    </row>
    <row x14ac:dyDescent="0.25" r="155" customHeight="1" ht="18.75">
      <c r="A155" s="1"/>
      <c r="B155" s="1"/>
      <c r="C155" s="1"/>
      <c r="D155" s="1"/>
      <c r="E155" s="1"/>
      <c r="F155" s="57"/>
      <c r="G155" s="1"/>
      <c r="H155" s="57"/>
      <c r="I155" s="58"/>
      <c r="J155" s="59"/>
      <c r="K155" s="57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5"/>
      <c r="AK155" s="1"/>
      <c r="AL155" s="1"/>
      <c r="AM155" s="1"/>
      <c r="AN155" s="1"/>
    </row>
    <row x14ac:dyDescent="0.25" r="156" customHeight="1" ht="18.75">
      <c r="A156" s="1"/>
      <c r="B156" s="1"/>
      <c r="C156" s="1"/>
      <c r="D156" s="1"/>
      <c r="E156" s="1"/>
      <c r="F156" s="57"/>
      <c r="G156" s="1"/>
      <c r="H156" s="57"/>
      <c r="I156" s="58"/>
      <c r="J156" s="59"/>
      <c r="K156" s="57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5"/>
      <c r="AK156" s="1"/>
      <c r="AL156" s="1"/>
      <c r="AM156" s="1"/>
      <c r="AN156" s="1"/>
    </row>
    <row x14ac:dyDescent="0.25" r="157" customHeight="1" ht="18.75">
      <c r="A157" s="1"/>
      <c r="B157" s="1"/>
      <c r="C157" s="1"/>
      <c r="D157" s="1"/>
      <c r="E157" s="1"/>
      <c r="F157" s="57"/>
      <c r="G157" s="1"/>
      <c r="H157" s="57"/>
      <c r="I157" s="58"/>
      <c r="J157" s="59"/>
      <c r="K157" s="57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5"/>
      <c r="AK157" s="1"/>
      <c r="AL157" s="1"/>
      <c r="AM157" s="1"/>
      <c r="AN157" s="1"/>
    </row>
    <row x14ac:dyDescent="0.25" r="158" customHeight="1" ht="18.75">
      <c r="A158" s="1"/>
      <c r="B158" s="1"/>
      <c r="C158" s="1"/>
      <c r="D158" s="1"/>
      <c r="E158" s="1"/>
      <c r="F158" s="57"/>
      <c r="G158" s="1"/>
      <c r="H158" s="57"/>
      <c r="I158" s="58"/>
      <c r="J158" s="59"/>
      <c r="K158" s="57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5"/>
      <c r="AK158" s="1"/>
      <c r="AL158" s="1"/>
      <c r="AM158" s="1"/>
      <c r="AN158" s="1"/>
    </row>
    <row x14ac:dyDescent="0.25" r="159" customHeight="1" ht="18.75">
      <c r="A159" s="1"/>
      <c r="B159" s="1"/>
      <c r="C159" s="1"/>
      <c r="D159" s="1"/>
      <c r="E159" s="1"/>
      <c r="F159" s="57"/>
      <c r="G159" s="1"/>
      <c r="H159" s="57"/>
      <c r="I159" s="58"/>
      <c r="J159" s="59"/>
      <c r="K159" s="57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5"/>
      <c r="AK159" s="1"/>
      <c r="AL159" s="1"/>
      <c r="AM159" s="1"/>
      <c r="AN159" s="1"/>
    </row>
    <row x14ac:dyDescent="0.25" r="160" customHeight="1" ht="18.75">
      <c r="A160" s="1"/>
      <c r="B160" s="1"/>
      <c r="C160" s="1"/>
      <c r="D160" s="1"/>
      <c r="E160" s="1"/>
      <c r="F160" s="57"/>
      <c r="G160" s="1"/>
      <c r="H160" s="57"/>
      <c r="I160" s="58"/>
      <c r="J160" s="59"/>
      <c r="K160" s="57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5"/>
      <c r="AK160" s="1"/>
      <c r="AL160" s="1"/>
      <c r="AM160" s="1"/>
      <c r="AN160" s="1"/>
    </row>
    <row x14ac:dyDescent="0.25" r="161" customHeight="1" ht="18.75">
      <c r="A161" s="1"/>
      <c r="B161" s="1"/>
      <c r="C161" s="1"/>
      <c r="D161" s="1"/>
      <c r="E161" s="1"/>
      <c r="F161" s="57"/>
      <c r="G161" s="1"/>
      <c r="H161" s="57"/>
      <c r="I161" s="58"/>
      <c r="J161" s="59"/>
      <c r="K161" s="57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5"/>
      <c r="AK161" s="1"/>
      <c r="AL161" s="1"/>
      <c r="AM161" s="1"/>
      <c r="AN161" s="1"/>
    </row>
    <row x14ac:dyDescent="0.25" r="162" customHeight="1" ht="18.75">
      <c r="A162" s="1"/>
      <c r="B162" s="1"/>
      <c r="C162" s="1"/>
      <c r="D162" s="1"/>
      <c r="E162" s="1"/>
      <c r="F162" s="57"/>
      <c r="G162" s="1"/>
      <c r="H162" s="57"/>
      <c r="I162" s="58"/>
      <c r="J162" s="59"/>
      <c r="K162" s="57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5"/>
      <c r="AK162" s="1"/>
      <c r="AL162" s="1"/>
      <c r="AM162" s="1"/>
      <c r="AN162" s="1"/>
    </row>
    <row x14ac:dyDescent="0.25" r="163" customHeight="1" ht="18.75">
      <c r="A163" s="1"/>
      <c r="B163" s="1"/>
      <c r="C163" s="1"/>
      <c r="D163" s="1"/>
      <c r="E163" s="1"/>
      <c r="F163" s="57"/>
      <c r="G163" s="1"/>
      <c r="H163" s="57"/>
      <c r="I163" s="58"/>
      <c r="J163" s="59"/>
      <c r="K163" s="57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5"/>
      <c r="AK163" s="1"/>
      <c r="AL163" s="1"/>
      <c r="AM163" s="1"/>
      <c r="AN163" s="1"/>
    </row>
    <row x14ac:dyDescent="0.25" r="164" customHeight="1" ht="18.75">
      <c r="A164" s="1"/>
      <c r="B164" s="1"/>
      <c r="C164" s="1"/>
      <c r="D164" s="1"/>
      <c r="E164" s="1"/>
      <c r="F164" s="57"/>
      <c r="G164" s="1"/>
      <c r="H164" s="57"/>
      <c r="I164" s="58"/>
      <c r="J164" s="59"/>
      <c r="K164" s="57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5"/>
      <c r="AK164" s="1"/>
      <c r="AL164" s="1"/>
      <c r="AM164" s="1"/>
      <c r="AN164" s="1"/>
    </row>
    <row x14ac:dyDescent="0.25" r="165" customHeight="1" ht="18.75">
      <c r="A165" s="1"/>
      <c r="B165" s="1"/>
      <c r="C165" s="1"/>
      <c r="D165" s="1"/>
      <c r="E165" s="1"/>
      <c r="F165" s="57"/>
      <c r="G165" s="1"/>
      <c r="H165" s="57"/>
      <c r="I165" s="58"/>
      <c r="J165" s="59"/>
      <c r="K165" s="57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5"/>
      <c r="AK165" s="1"/>
      <c r="AL165" s="1"/>
      <c r="AM165" s="1"/>
      <c r="AN165" s="1"/>
    </row>
    <row x14ac:dyDescent="0.25" r="166" customHeight="1" ht="18.75">
      <c r="A166" s="1"/>
      <c r="B166" s="1"/>
      <c r="C166" s="1"/>
      <c r="D166" s="1"/>
      <c r="E166" s="1"/>
      <c r="F166" s="57"/>
      <c r="G166" s="1"/>
      <c r="H166" s="57"/>
      <c r="I166" s="58"/>
      <c r="J166" s="59"/>
      <c r="K166" s="57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5"/>
      <c r="AK166" s="1"/>
      <c r="AL166" s="1"/>
      <c r="AM166" s="1"/>
      <c r="AN166" s="1"/>
    </row>
    <row x14ac:dyDescent="0.25" r="167" customHeight="1" ht="18.75">
      <c r="A167" s="1"/>
      <c r="B167" s="1"/>
      <c r="C167" s="1"/>
      <c r="D167" s="1"/>
      <c r="E167" s="1"/>
      <c r="F167" s="57"/>
      <c r="G167" s="1"/>
      <c r="H167" s="57"/>
      <c r="I167" s="58"/>
      <c r="J167" s="59"/>
      <c r="K167" s="57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5"/>
      <c r="AK167" s="1"/>
      <c r="AL167" s="1"/>
      <c r="AM167" s="1"/>
      <c r="AN167" s="1"/>
    </row>
    <row x14ac:dyDescent="0.25" r="168" customHeight="1" ht="18.75">
      <c r="A168" s="1"/>
      <c r="B168" s="1"/>
      <c r="C168" s="1"/>
      <c r="D168" s="1"/>
      <c r="E168" s="1"/>
      <c r="F168" s="57"/>
      <c r="G168" s="1"/>
      <c r="H168" s="57"/>
      <c r="I168" s="58"/>
      <c r="J168" s="59"/>
      <c r="K168" s="57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5"/>
      <c r="AK168" s="1"/>
      <c r="AL168" s="1"/>
      <c r="AM168" s="1"/>
      <c r="AN168" s="1"/>
    </row>
    <row x14ac:dyDescent="0.25" r="169" customHeight="1" ht="18.75">
      <c r="A169" s="1"/>
      <c r="B169" s="1"/>
      <c r="C169" s="1"/>
      <c r="D169" s="1"/>
      <c r="E169" s="1"/>
      <c r="F169" s="57"/>
      <c r="G169" s="1"/>
      <c r="H169" s="57"/>
      <c r="I169" s="58"/>
      <c r="J169" s="59"/>
      <c r="K169" s="57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5"/>
      <c r="AK169" s="1"/>
      <c r="AL169" s="1"/>
      <c r="AM169" s="1"/>
      <c r="AN169" s="1"/>
    </row>
    <row x14ac:dyDescent="0.25" r="170" customHeight="1" ht="18.75">
      <c r="A170" s="1"/>
      <c r="B170" s="1"/>
      <c r="C170" s="1"/>
      <c r="D170" s="1"/>
      <c r="E170" s="1"/>
      <c r="F170" s="57"/>
      <c r="G170" s="1"/>
      <c r="H170" s="57"/>
      <c r="I170" s="58"/>
      <c r="J170" s="59"/>
      <c r="K170" s="57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5"/>
      <c r="AK170" s="1"/>
      <c r="AL170" s="1"/>
      <c r="AM170" s="1"/>
      <c r="AN170" s="1"/>
    </row>
    <row x14ac:dyDescent="0.25" r="171" customHeight="1" ht="18.75">
      <c r="A171" s="1"/>
      <c r="B171" s="1"/>
      <c r="C171" s="1"/>
      <c r="D171" s="1"/>
      <c r="E171" s="1"/>
      <c r="F171" s="57"/>
      <c r="G171" s="1"/>
      <c r="H171" s="57"/>
      <c r="I171" s="58"/>
      <c r="J171" s="59"/>
      <c r="K171" s="57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5"/>
      <c r="AK171" s="1"/>
      <c r="AL171" s="1"/>
      <c r="AM171" s="1"/>
      <c r="AN171" s="1"/>
    </row>
    <row x14ac:dyDescent="0.25" r="172" customHeight="1" ht="18.75">
      <c r="A172" s="1"/>
      <c r="B172" s="1"/>
      <c r="C172" s="1"/>
      <c r="D172" s="1"/>
      <c r="E172" s="1"/>
      <c r="F172" s="57"/>
      <c r="G172" s="1"/>
      <c r="H172" s="57"/>
      <c r="I172" s="58"/>
      <c r="J172" s="59"/>
      <c r="K172" s="57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5"/>
      <c r="AK172" s="1"/>
      <c r="AL172" s="1"/>
      <c r="AM172" s="1"/>
      <c r="AN172" s="1"/>
    </row>
    <row x14ac:dyDescent="0.25" r="173" customHeight="1" ht="18.75">
      <c r="A173" s="1"/>
      <c r="B173" s="1"/>
      <c r="C173" s="1"/>
      <c r="D173" s="1"/>
      <c r="E173" s="1"/>
      <c r="F173" s="57"/>
      <c r="G173" s="1"/>
      <c r="H173" s="57"/>
      <c r="I173" s="58"/>
      <c r="J173" s="59"/>
      <c r="K173" s="57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5"/>
      <c r="AK173" s="1"/>
      <c r="AL173" s="1"/>
      <c r="AM173" s="1"/>
      <c r="AN173" s="1"/>
    </row>
    <row x14ac:dyDescent="0.25" r="174" customHeight="1" ht="18.75">
      <c r="A174" s="1"/>
      <c r="B174" s="1"/>
      <c r="C174" s="1"/>
      <c r="D174" s="1"/>
      <c r="E174" s="1"/>
      <c r="F174" s="57"/>
      <c r="G174" s="1"/>
      <c r="H174" s="57"/>
      <c r="I174" s="58"/>
      <c r="J174" s="59"/>
      <c r="K174" s="57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5"/>
      <c r="AK174" s="1"/>
      <c r="AL174" s="1"/>
      <c r="AM174" s="1"/>
      <c r="AN174" s="1"/>
    </row>
    <row x14ac:dyDescent="0.25" r="175" customHeight="1" ht="18.75">
      <c r="A175" s="1"/>
      <c r="B175" s="1"/>
      <c r="C175" s="1"/>
      <c r="D175" s="1"/>
      <c r="E175" s="1"/>
      <c r="F175" s="57"/>
      <c r="G175" s="1"/>
      <c r="H175" s="57"/>
      <c r="I175" s="58"/>
      <c r="J175" s="59"/>
      <c r="K175" s="57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5"/>
      <c r="AK175" s="1"/>
      <c r="AL175" s="1"/>
      <c r="AM175" s="1"/>
      <c r="AN175" s="1"/>
    </row>
    <row x14ac:dyDescent="0.25" r="176" customHeight="1" ht="18.75">
      <c r="A176" s="1"/>
      <c r="B176" s="1"/>
      <c r="C176" s="1"/>
      <c r="D176" s="1"/>
      <c r="E176" s="1"/>
      <c r="F176" s="57"/>
      <c r="G176" s="1"/>
      <c r="H176" s="57"/>
      <c r="I176" s="58"/>
      <c r="J176" s="59"/>
      <c r="K176" s="57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5"/>
      <c r="AK176" s="1"/>
      <c r="AL176" s="1"/>
      <c r="AM176" s="1"/>
      <c r="AN176" s="1"/>
    </row>
    <row x14ac:dyDescent="0.25" r="177" customHeight="1" ht="18.75">
      <c r="A177" s="1"/>
      <c r="B177" s="1"/>
      <c r="C177" s="1"/>
      <c r="D177" s="1"/>
      <c r="E177" s="1"/>
      <c r="F177" s="57"/>
      <c r="G177" s="1"/>
      <c r="H177" s="57"/>
      <c r="I177" s="58"/>
      <c r="J177" s="59"/>
      <c r="K177" s="57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5"/>
      <c r="AK177" s="1"/>
      <c r="AL177" s="1"/>
      <c r="AM177" s="1"/>
      <c r="AN177" s="1"/>
    </row>
    <row x14ac:dyDescent="0.25" r="178" customHeight="1" ht="18.75">
      <c r="A178" s="1"/>
      <c r="B178" s="1"/>
      <c r="C178" s="1"/>
      <c r="D178" s="1"/>
      <c r="E178" s="1"/>
      <c r="F178" s="57"/>
      <c r="G178" s="1"/>
      <c r="H178" s="57"/>
      <c r="I178" s="58"/>
      <c r="J178" s="59"/>
      <c r="K178" s="57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5"/>
      <c r="AK178" s="1"/>
      <c r="AL178" s="1"/>
      <c r="AM178" s="1"/>
      <c r="AN178" s="1"/>
    </row>
    <row x14ac:dyDescent="0.25" r="179" customHeight="1" ht="18.75">
      <c r="A179" s="1"/>
      <c r="B179" s="1"/>
      <c r="C179" s="1"/>
      <c r="D179" s="1"/>
      <c r="E179" s="1"/>
      <c r="F179" s="57"/>
      <c r="G179" s="1"/>
      <c r="H179" s="57"/>
      <c r="I179" s="58"/>
      <c r="J179" s="59"/>
      <c r="K179" s="57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5"/>
      <c r="AK179" s="1"/>
      <c r="AL179" s="1"/>
      <c r="AM179" s="1"/>
      <c r="AN179" s="1"/>
    </row>
    <row x14ac:dyDescent="0.25" r="180" customHeight="1" ht="18.75">
      <c r="A180" s="1"/>
      <c r="B180" s="1"/>
      <c r="C180" s="1"/>
      <c r="D180" s="1"/>
      <c r="E180" s="1"/>
      <c r="F180" s="57"/>
      <c r="G180" s="1"/>
      <c r="H180" s="57"/>
      <c r="I180" s="58"/>
      <c r="J180" s="59"/>
      <c r="K180" s="57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5"/>
      <c r="AK180" s="1"/>
      <c r="AL180" s="1"/>
      <c r="AM180" s="1"/>
      <c r="AN180" s="1"/>
    </row>
    <row x14ac:dyDescent="0.25" r="181" customHeight="1" ht="18.75">
      <c r="A181" s="1"/>
      <c r="B181" s="1"/>
      <c r="C181" s="1"/>
      <c r="D181" s="1"/>
      <c r="E181" s="1"/>
      <c r="F181" s="57"/>
      <c r="G181" s="1"/>
      <c r="H181" s="57"/>
      <c r="I181" s="58"/>
      <c r="J181" s="59"/>
      <c r="K181" s="57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5"/>
      <c r="AK181" s="1"/>
      <c r="AL181" s="1"/>
      <c r="AM181" s="1"/>
      <c r="AN181" s="1"/>
    </row>
    <row x14ac:dyDescent="0.25" r="182" customHeight="1" ht="18.75">
      <c r="A182" s="1"/>
      <c r="B182" s="1"/>
      <c r="C182" s="1"/>
      <c r="D182" s="1"/>
      <c r="E182" s="1"/>
      <c r="F182" s="57"/>
      <c r="G182" s="1"/>
      <c r="H182" s="57"/>
      <c r="I182" s="58"/>
      <c r="J182" s="59"/>
      <c r="K182" s="57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5"/>
      <c r="AK182" s="1"/>
      <c r="AL182" s="1"/>
      <c r="AM182" s="1"/>
      <c r="AN182" s="1"/>
    </row>
    <row x14ac:dyDescent="0.25" r="183" customHeight="1" ht="18.75">
      <c r="A183" s="1"/>
      <c r="B183" s="1"/>
      <c r="C183" s="1"/>
      <c r="D183" s="1"/>
      <c r="E183" s="1"/>
      <c r="F183" s="57"/>
      <c r="G183" s="1"/>
      <c r="H183" s="57"/>
      <c r="I183" s="58"/>
      <c r="J183" s="59"/>
      <c r="K183" s="57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5"/>
      <c r="AK183" s="1"/>
      <c r="AL183" s="1"/>
      <c r="AM183" s="1"/>
      <c r="AN183" s="1"/>
    </row>
    <row x14ac:dyDescent="0.25" r="184" customHeight="1" ht="18.75">
      <c r="A184" s="1"/>
      <c r="B184" s="1"/>
      <c r="C184" s="1"/>
      <c r="D184" s="1"/>
      <c r="E184" s="1"/>
      <c r="F184" s="57"/>
      <c r="G184" s="1"/>
      <c r="H184" s="57"/>
      <c r="I184" s="58"/>
      <c r="J184" s="59"/>
      <c r="K184" s="57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5"/>
      <c r="AK184" s="1"/>
      <c r="AL184" s="1"/>
      <c r="AM184" s="1"/>
      <c r="AN184" s="1"/>
    </row>
    <row x14ac:dyDescent="0.25" r="185" customHeight="1" ht="18.75">
      <c r="A185" s="1"/>
      <c r="B185" s="1"/>
      <c r="C185" s="1"/>
      <c r="D185" s="1"/>
      <c r="E185" s="1"/>
      <c r="F185" s="57"/>
      <c r="G185" s="1"/>
      <c r="H185" s="57"/>
      <c r="I185" s="58"/>
      <c r="J185" s="59"/>
      <c r="K185" s="57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5"/>
      <c r="AK185" s="1"/>
      <c r="AL185" s="1"/>
      <c r="AM185" s="1"/>
      <c r="AN185" s="1"/>
    </row>
    <row x14ac:dyDescent="0.25" r="186" customHeight="1" ht="18.75">
      <c r="A186" s="1"/>
      <c r="B186" s="1"/>
      <c r="C186" s="1"/>
      <c r="D186" s="1"/>
      <c r="E186" s="1"/>
      <c r="F186" s="57"/>
      <c r="G186" s="1"/>
      <c r="H186" s="57"/>
      <c r="I186" s="58"/>
      <c r="J186" s="59"/>
      <c r="K186" s="57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5"/>
      <c r="AK186" s="1"/>
      <c r="AL186" s="1"/>
      <c r="AM186" s="1"/>
      <c r="AN186" s="1"/>
    </row>
    <row x14ac:dyDescent="0.25" r="187" customHeight="1" ht="18.75">
      <c r="A187" s="1"/>
      <c r="B187" s="1"/>
      <c r="C187" s="1"/>
      <c r="D187" s="1"/>
      <c r="E187" s="1"/>
      <c r="F187" s="57"/>
      <c r="G187" s="1"/>
      <c r="H187" s="57"/>
      <c r="I187" s="58"/>
      <c r="J187" s="59"/>
      <c r="K187" s="57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5"/>
      <c r="AK187" s="1"/>
      <c r="AL187" s="1"/>
      <c r="AM187" s="1"/>
      <c r="AN187" s="1"/>
    </row>
    <row x14ac:dyDescent="0.25" r="188" customHeight="1" ht="18.75">
      <c r="A188" s="1"/>
      <c r="B188" s="1"/>
      <c r="C188" s="1"/>
      <c r="D188" s="1"/>
      <c r="E188" s="1"/>
      <c r="F188" s="57"/>
      <c r="G188" s="1"/>
      <c r="H188" s="57"/>
      <c r="I188" s="58"/>
      <c r="J188" s="59"/>
      <c r="K188" s="57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5"/>
      <c r="AK188" s="1"/>
      <c r="AL188" s="1"/>
      <c r="AM188" s="1"/>
      <c r="AN188" s="1"/>
    </row>
    <row x14ac:dyDescent="0.25" r="189" customHeight="1" ht="18.75">
      <c r="A189" s="1"/>
      <c r="B189" s="1"/>
      <c r="C189" s="1"/>
      <c r="D189" s="1"/>
      <c r="E189" s="1"/>
      <c r="F189" s="57"/>
      <c r="G189" s="1"/>
      <c r="H189" s="57"/>
      <c r="I189" s="58"/>
      <c r="J189" s="59"/>
      <c r="K189" s="57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5"/>
      <c r="AK189" s="1"/>
      <c r="AL189" s="1"/>
      <c r="AM189" s="1"/>
      <c r="AN189" s="1"/>
    </row>
    <row x14ac:dyDescent="0.25" r="190" customHeight="1" ht="18.75">
      <c r="A190" s="1"/>
      <c r="B190" s="1"/>
      <c r="C190" s="1"/>
      <c r="D190" s="1"/>
      <c r="E190" s="1"/>
      <c r="F190" s="57"/>
      <c r="G190" s="1"/>
      <c r="H190" s="57"/>
      <c r="I190" s="58"/>
      <c r="J190" s="59"/>
      <c r="K190" s="57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5"/>
      <c r="AK190" s="1"/>
      <c r="AL190" s="1"/>
      <c r="AM190" s="1"/>
      <c r="AN190" s="1"/>
    </row>
    <row x14ac:dyDescent="0.25" r="191" customHeight="1" ht="18.75">
      <c r="A191" s="1"/>
      <c r="B191" s="1"/>
      <c r="C191" s="1"/>
      <c r="D191" s="1"/>
      <c r="E191" s="1"/>
      <c r="F191" s="57"/>
      <c r="G191" s="1"/>
      <c r="H191" s="57"/>
      <c r="I191" s="58"/>
      <c r="J191" s="59"/>
      <c r="K191" s="57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5"/>
      <c r="AK191" s="1"/>
      <c r="AL191" s="1"/>
      <c r="AM191" s="1"/>
      <c r="AN191" s="1"/>
    </row>
    <row x14ac:dyDescent="0.25" r="192" customHeight="1" ht="18.75">
      <c r="A192" s="1"/>
      <c r="B192" s="1"/>
      <c r="C192" s="1"/>
      <c r="D192" s="1"/>
      <c r="E192" s="1"/>
      <c r="F192" s="57"/>
      <c r="G192" s="1"/>
      <c r="H192" s="57"/>
      <c r="I192" s="58"/>
      <c r="J192" s="59"/>
      <c r="K192" s="57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5"/>
      <c r="AK192" s="1"/>
      <c r="AL192" s="1"/>
      <c r="AM192" s="1"/>
      <c r="AN192" s="1"/>
    </row>
    <row x14ac:dyDescent="0.25" r="193" customHeight="1" ht="18.75">
      <c r="A193" s="1"/>
      <c r="B193" s="1"/>
      <c r="C193" s="1"/>
      <c r="D193" s="1"/>
      <c r="E193" s="1"/>
      <c r="F193" s="57"/>
      <c r="G193" s="1"/>
      <c r="H193" s="57"/>
      <c r="I193" s="58"/>
      <c r="J193" s="59"/>
      <c r="K193" s="57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5"/>
      <c r="AK193" s="1"/>
      <c r="AL193" s="1"/>
      <c r="AM193" s="1"/>
      <c r="AN193" s="1"/>
    </row>
    <row x14ac:dyDescent="0.25" r="194" customHeight="1" ht="18.75">
      <c r="A194" s="1"/>
      <c r="B194" s="1"/>
      <c r="C194" s="1"/>
      <c r="D194" s="1"/>
      <c r="E194" s="1"/>
      <c r="F194" s="57"/>
      <c r="G194" s="1"/>
      <c r="H194" s="57"/>
      <c r="I194" s="58"/>
      <c r="J194" s="59"/>
      <c r="K194" s="57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5"/>
      <c r="AK194" s="1"/>
      <c r="AL194" s="1"/>
      <c r="AM194" s="1"/>
      <c r="AN194" s="1"/>
    </row>
    <row x14ac:dyDescent="0.25" r="195" customHeight="1" ht="18.75">
      <c r="A195" s="1"/>
      <c r="B195" s="1"/>
      <c r="C195" s="1"/>
      <c r="D195" s="1"/>
      <c r="E195" s="1"/>
      <c r="F195" s="57"/>
      <c r="G195" s="1"/>
      <c r="H195" s="57"/>
      <c r="I195" s="58"/>
      <c r="J195" s="59"/>
      <c r="K195" s="57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5"/>
      <c r="AK195" s="1"/>
      <c r="AL195" s="1"/>
      <c r="AM195" s="1"/>
      <c r="AN195" s="1"/>
    </row>
    <row x14ac:dyDescent="0.25" r="196" customHeight="1" ht="18.75">
      <c r="A196" s="1"/>
      <c r="B196" s="1"/>
      <c r="C196" s="1"/>
      <c r="D196" s="1"/>
      <c r="E196" s="1"/>
      <c r="F196" s="57"/>
      <c r="G196" s="1"/>
      <c r="H196" s="57"/>
      <c r="I196" s="58"/>
      <c r="J196" s="59"/>
      <c r="K196" s="57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5"/>
      <c r="AK196" s="1"/>
      <c r="AL196" s="1"/>
      <c r="AM196" s="1"/>
      <c r="AN196" s="1"/>
    </row>
    <row x14ac:dyDescent="0.25" r="197" customHeight="1" ht="18.75">
      <c r="A197" s="1"/>
      <c r="B197" s="1"/>
      <c r="C197" s="1"/>
      <c r="D197" s="1"/>
      <c r="E197" s="1"/>
      <c r="F197" s="57"/>
      <c r="G197" s="1"/>
      <c r="H197" s="57"/>
      <c r="I197" s="58"/>
      <c r="J197" s="59"/>
      <c r="K197" s="57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5"/>
      <c r="AK197" s="1"/>
      <c r="AL197" s="1"/>
      <c r="AM197" s="1"/>
      <c r="AN197" s="1"/>
    </row>
    <row x14ac:dyDescent="0.25" r="198" customHeight="1" ht="18.75">
      <c r="A198" s="1"/>
      <c r="B198" s="1"/>
      <c r="C198" s="1"/>
      <c r="D198" s="1"/>
      <c r="E198" s="1"/>
      <c r="F198" s="57"/>
      <c r="G198" s="1"/>
      <c r="H198" s="57"/>
      <c r="I198" s="58"/>
      <c r="J198" s="59"/>
      <c r="K198" s="57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5"/>
      <c r="AK198" s="1"/>
      <c r="AL198" s="1"/>
      <c r="AM198" s="1"/>
      <c r="AN198" s="1"/>
    </row>
    <row x14ac:dyDescent="0.25" r="199" customHeight="1" ht="18.75">
      <c r="A199" s="1"/>
      <c r="B199" s="1"/>
      <c r="C199" s="1"/>
      <c r="D199" s="1"/>
      <c r="E199" s="1"/>
      <c r="F199" s="57"/>
      <c r="G199" s="1"/>
      <c r="H199" s="57"/>
      <c r="I199" s="58"/>
      <c r="J199" s="59"/>
      <c r="K199" s="57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5"/>
      <c r="AK199" s="1"/>
      <c r="AL199" s="1"/>
      <c r="AM199" s="1"/>
      <c r="AN199" s="1"/>
    </row>
    <row x14ac:dyDescent="0.25" r="200" customHeight="1" ht="18.75">
      <c r="A200" s="1"/>
      <c r="B200" s="1"/>
      <c r="C200" s="1"/>
      <c r="D200" s="1"/>
      <c r="E200" s="1"/>
      <c r="F200" s="57"/>
      <c r="G200" s="1"/>
      <c r="H200" s="57"/>
      <c r="I200" s="58"/>
      <c r="J200" s="59"/>
      <c r="K200" s="57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5"/>
      <c r="AK200" s="1"/>
      <c r="AL200" s="1"/>
      <c r="AM200" s="1"/>
      <c r="AN200" s="1"/>
    </row>
    <row x14ac:dyDescent="0.25" r="201" customHeight="1" ht="18.75">
      <c r="A201" s="1"/>
      <c r="B201" s="1"/>
      <c r="C201" s="1"/>
      <c r="D201" s="1"/>
      <c r="E201" s="1"/>
      <c r="F201" s="57"/>
      <c r="G201" s="1"/>
      <c r="H201" s="57"/>
      <c r="I201" s="58"/>
      <c r="J201" s="59"/>
      <c r="K201" s="57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5"/>
      <c r="AK201" s="1"/>
      <c r="AL201" s="1"/>
      <c r="AM201" s="1"/>
      <c r="AN201" s="1"/>
    </row>
    <row x14ac:dyDescent="0.25" r="202" customHeight="1" ht="18.75">
      <c r="A202" s="1"/>
      <c r="B202" s="1"/>
      <c r="C202" s="1"/>
      <c r="D202" s="1"/>
      <c r="E202" s="1"/>
      <c r="F202" s="57"/>
      <c r="G202" s="1"/>
      <c r="H202" s="57"/>
      <c r="I202" s="58"/>
      <c r="J202" s="59"/>
      <c r="K202" s="57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5"/>
      <c r="AK202" s="1"/>
      <c r="AL202" s="1"/>
      <c r="AM202" s="1"/>
      <c r="AN202" s="1"/>
    </row>
    <row x14ac:dyDescent="0.25" r="203" customHeight="1" ht="18.75">
      <c r="A203" s="1"/>
      <c r="B203" s="1"/>
      <c r="C203" s="1"/>
      <c r="D203" s="1"/>
      <c r="E203" s="1"/>
      <c r="F203" s="57"/>
      <c r="G203" s="1"/>
      <c r="H203" s="57"/>
      <c r="I203" s="58"/>
      <c r="J203" s="59"/>
      <c r="K203" s="57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5"/>
      <c r="AK203" s="1"/>
      <c r="AL203" s="1"/>
      <c r="AM203" s="1"/>
      <c r="AN203" s="1"/>
    </row>
    <row x14ac:dyDescent="0.25" r="204" customHeight="1" ht="18.75">
      <c r="A204" s="1"/>
      <c r="B204" s="1"/>
      <c r="C204" s="1"/>
      <c r="D204" s="1"/>
      <c r="E204" s="1"/>
      <c r="F204" s="57"/>
      <c r="G204" s="1"/>
      <c r="H204" s="57"/>
      <c r="I204" s="58"/>
      <c r="J204" s="59"/>
      <c r="K204" s="57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5"/>
      <c r="AK204" s="1"/>
      <c r="AL204" s="1"/>
      <c r="AM204" s="1"/>
      <c r="AN204" s="1"/>
    </row>
    <row x14ac:dyDescent="0.25" r="205" customHeight="1" ht="18.75">
      <c r="A205" s="1"/>
      <c r="B205" s="1"/>
      <c r="C205" s="1"/>
      <c r="D205" s="1"/>
      <c r="E205" s="1"/>
      <c r="F205" s="57"/>
      <c r="G205" s="1"/>
      <c r="H205" s="57"/>
      <c r="I205" s="58"/>
      <c r="J205" s="59"/>
      <c r="K205" s="57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5"/>
      <c r="AK205" s="1"/>
      <c r="AL205" s="1"/>
      <c r="AM205" s="1"/>
      <c r="AN205" s="1"/>
    </row>
    <row x14ac:dyDescent="0.25" r="206" customHeight="1" ht="18.75">
      <c r="A206" s="1"/>
      <c r="B206" s="1"/>
      <c r="C206" s="1"/>
      <c r="D206" s="1"/>
      <c r="E206" s="1"/>
      <c r="F206" s="57"/>
      <c r="G206" s="1"/>
      <c r="H206" s="57"/>
      <c r="I206" s="58"/>
      <c r="J206" s="59"/>
      <c r="K206" s="57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5"/>
      <c r="AK206" s="1"/>
      <c r="AL206" s="1"/>
      <c r="AM206" s="1"/>
      <c r="AN206" s="1"/>
    </row>
    <row x14ac:dyDescent="0.25" r="207" customHeight="1" ht="18.75">
      <c r="A207" s="1"/>
      <c r="B207" s="1"/>
      <c r="C207" s="1"/>
      <c r="D207" s="1"/>
      <c r="E207" s="1"/>
      <c r="F207" s="57"/>
      <c r="G207" s="1"/>
      <c r="H207" s="57"/>
      <c r="I207" s="58"/>
      <c r="J207" s="59"/>
      <c r="K207" s="57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5"/>
      <c r="AK207" s="1"/>
      <c r="AL207" s="1"/>
      <c r="AM207" s="1"/>
      <c r="AN207" s="1"/>
    </row>
    <row x14ac:dyDescent="0.25" r="208" customHeight="1" ht="18.75">
      <c r="A208" s="1"/>
      <c r="B208" s="1"/>
      <c r="C208" s="1"/>
      <c r="D208" s="1"/>
      <c r="E208" s="1"/>
      <c r="F208" s="57"/>
      <c r="G208" s="1"/>
      <c r="H208" s="57"/>
      <c r="I208" s="58"/>
      <c r="J208" s="59"/>
      <c r="K208" s="57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5"/>
      <c r="AK208" s="1"/>
      <c r="AL208" s="1"/>
      <c r="AM208" s="1"/>
      <c r="AN208" s="1"/>
    </row>
    <row x14ac:dyDescent="0.25" r="209" customHeight="1" ht="18.75">
      <c r="A209" s="1"/>
      <c r="B209" s="1"/>
      <c r="C209" s="1"/>
      <c r="D209" s="1"/>
      <c r="E209" s="1"/>
      <c r="F209" s="57"/>
      <c r="G209" s="1"/>
      <c r="H209" s="57"/>
      <c r="I209" s="58"/>
      <c r="J209" s="59"/>
      <c r="K209" s="57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5"/>
      <c r="AK209" s="1"/>
      <c r="AL209" s="1"/>
      <c r="AM209" s="1"/>
      <c r="AN209" s="1"/>
    </row>
    <row x14ac:dyDescent="0.25" r="210" customHeight="1" ht="18.75">
      <c r="A210" s="1"/>
      <c r="B210" s="1"/>
      <c r="C210" s="1"/>
      <c r="D210" s="1"/>
      <c r="E210" s="1"/>
      <c r="F210" s="57"/>
      <c r="G210" s="1"/>
      <c r="H210" s="57"/>
      <c r="I210" s="58"/>
      <c r="J210" s="59"/>
      <c r="K210" s="57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5"/>
      <c r="AK210" s="1"/>
      <c r="AL210" s="1"/>
      <c r="AM210" s="1"/>
      <c r="AN210" s="1"/>
    </row>
    <row x14ac:dyDescent="0.25" r="211" customHeight="1" ht="18.75">
      <c r="A211" s="1"/>
      <c r="B211" s="1"/>
      <c r="C211" s="1"/>
      <c r="D211" s="1"/>
      <c r="E211" s="1"/>
      <c r="F211" s="57"/>
      <c r="G211" s="1"/>
      <c r="H211" s="57"/>
      <c r="I211" s="58"/>
      <c r="J211" s="59"/>
      <c r="K211" s="57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5"/>
      <c r="AK211" s="1"/>
      <c r="AL211" s="1"/>
      <c r="AM211" s="1"/>
      <c r="AN211" s="1"/>
    </row>
    <row x14ac:dyDescent="0.25" r="212" customHeight="1" ht="18.75">
      <c r="A212" s="1"/>
      <c r="B212" s="1"/>
      <c r="C212" s="1"/>
      <c r="D212" s="1"/>
      <c r="E212" s="1"/>
      <c r="F212" s="57"/>
      <c r="G212" s="1"/>
      <c r="H212" s="57"/>
      <c r="I212" s="58"/>
      <c r="J212" s="59"/>
      <c r="K212" s="57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5"/>
      <c r="AK212" s="1"/>
      <c r="AL212" s="1"/>
      <c r="AM212" s="1"/>
      <c r="AN212" s="1"/>
    </row>
    <row x14ac:dyDescent="0.25" r="213" customHeight="1" ht="18.75">
      <c r="A213" s="1"/>
      <c r="B213" s="1"/>
      <c r="C213" s="1"/>
      <c r="D213" s="1"/>
      <c r="E213" s="1"/>
      <c r="F213" s="57"/>
      <c r="G213" s="1"/>
      <c r="H213" s="57"/>
      <c r="I213" s="58"/>
      <c r="J213" s="59"/>
      <c r="K213" s="57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5"/>
      <c r="AK213" s="1"/>
      <c r="AL213" s="1"/>
      <c r="AM213" s="1"/>
      <c r="AN213" s="1"/>
    </row>
    <row x14ac:dyDescent="0.25" r="214" customHeight="1" ht="18.75">
      <c r="A214" s="1"/>
      <c r="B214" s="1"/>
      <c r="C214" s="1"/>
      <c r="D214" s="1"/>
      <c r="E214" s="1"/>
      <c r="F214" s="57"/>
      <c r="G214" s="1"/>
      <c r="H214" s="57"/>
      <c r="I214" s="58"/>
      <c r="J214" s="59"/>
      <c r="K214" s="57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5"/>
      <c r="AK214" s="1"/>
      <c r="AL214" s="1"/>
      <c r="AM214" s="1"/>
      <c r="AN214" s="1"/>
    </row>
    <row x14ac:dyDescent="0.25" r="215" customHeight="1" ht="18.75">
      <c r="A215" s="1"/>
      <c r="B215" s="1"/>
      <c r="C215" s="1"/>
      <c r="D215" s="1"/>
      <c r="E215" s="1"/>
      <c r="F215" s="57"/>
      <c r="G215" s="1"/>
      <c r="H215" s="57"/>
      <c r="I215" s="58"/>
      <c r="J215" s="59"/>
      <c r="K215" s="57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5"/>
      <c r="AK215" s="1"/>
      <c r="AL215" s="1"/>
      <c r="AM215" s="1"/>
      <c r="AN215" s="1"/>
    </row>
    <row x14ac:dyDescent="0.25" r="216" customHeight="1" ht="18.75">
      <c r="A216" s="1"/>
      <c r="B216" s="1"/>
      <c r="C216" s="1"/>
      <c r="D216" s="1"/>
      <c r="E216" s="1"/>
      <c r="F216" s="57"/>
      <c r="G216" s="1"/>
      <c r="H216" s="57"/>
      <c r="I216" s="58"/>
      <c r="J216" s="59"/>
      <c r="K216" s="57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5"/>
      <c r="AK216" s="1"/>
      <c r="AL216" s="1"/>
      <c r="AM216" s="1"/>
      <c r="AN216" s="1"/>
    </row>
    <row x14ac:dyDescent="0.25" r="217" customHeight="1" ht="18.75">
      <c r="A217" s="1"/>
      <c r="B217" s="1"/>
      <c r="C217" s="1"/>
      <c r="D217" s="1"/>
      <c r="E217" s="1"/>
      <c r="F217" s="57"/>
      <c r="G217" s="1"/>
      <c r="H217" s="57"/>
      <c r="I217" s="58"/>
      <c r="J217" s="59"/>
      <c r="K217" s="57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5"/>
      <c r="AK217" s="1"/>
      <c r="AL217" s="1"/>
      <c r="AM217" s="1"/>
      <c r="AN217" s="1"/>
    </row>
    <row x14ac:dyDescent="0.25" r="218" customHeight="1" ht="18.75">
      <c r="A218" s="1"/>
      <c r="B218" s="1"/>
      <c r="C218" s="1"/>
      <c r="D218" s="1"/>
      <c r="E218" s="1"/>
      <c r="F218" s="57"/>
      <c r="G218" s="1"/>
      <c r="H218" s="57"/>
      <c r="I218" s="58"/>
      <c r="J218" s="59"/>
      <c r="K218" s="57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5"/>
      <c r="AK218" s="1"/>
      <c r="AL218" s="1"/>
      <c r="AM218" s="1"/>
      <c r="AN218" s="1"/>
    </row>
    <row x14ac:dyDescent="0.25" r="219" customHeight="1" ht="18.75">
      <c r="A219" s="1"/>
      <c r="B219" s="1"/>
      <c r="C219" s="1"/>
      <c r="D219" s="1"/>
      <c r="E219" s="1"/>
      <c r="F219" s="57"/>
      <c r="G219" s="1"/>
      <c r="H219" s="57"/>
      <c r="I219" s="58"/>
      <c r="J219" s="59"/>
      <c r="K219" s="57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5"/>
      <c r="AK219" s="1"/>
      <c r="AL219" s="1"/>
      <c r="AM219" s="1"/>
      <c r="AN219" s="1"/>
    </row>
    <row x14ac:dyDescent="0.25" r="220" customHeight="1" ht="18.75">
      <c r="A220" s="1"/>
      <c r="B220" s="1"/>
      <c r="C220" s="1"/>
      <c r="D220" s="1"/>
      <c r="E220" s="1"/>
      <c r="F220" s="57"/>
      <c r="G220" s="1"/>
      <c r="H220" s="57"/>
      <c r="I220" s="58"/>
      <c r="J220" s="59"/>
      <c r="K220" s="57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5"/>
      <c r="AK220" s="1"/>
      <c r="AL220" s="1"/>
      <c r="AM220" s="1"/>
      <c r="AN220" s="1"/>
    </row>
    <row x14ac:dyDescent="0.25" r="221" customHeight="1" ht="18.75">
      <c r="A221" s="1"/>
      <c r="B221" s="1"/>
      <c r="C221" s="1"/>
      <c r="D221" s="1"/>
      <c r="E221" s="1"/>
      <c r="F221" s="57"/>
      <c r="G221" s="1"/>
      <c r="H221" s="57"/>
      <c r="I221" s="58"/>
      <c r="J221" s="59"/>
      <c r="K221" s="57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5"/>
      <c r="AK221" s="1"/>
      <c r="AL221" s="1"/>
      <c r="AM221" s="1"/>
      <c r="AN221" s="1"/>
    </row>
    <row x14ac:dyDescent="0.25" r="222" customHeight="1" ht="18.75">
      <c r="A222" s="1"/>
      <c r="B222" s="1"/>
      <c r="C222" s="1"/>
      <c r="D222" s="1"/>
      <c r="E222" s="1"/>
      <c r="F222" s="57"/>
      <c r="G222" s="1"/>
      <c r="H222" s="57"/>
      <c r="I222" s="58"/>
      <c r="J222" s="59"/>
      <c r="K222" s="57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5"/>
      <c r="AK222" s="1"/>
      <c r="AL222" s="1"/>
      <c r="AM222" s="1"/>
      <c r="AN222" s="1"/>
    </row>
    <row x14ac:dyDescent="0.25" r="223" customHeight="1" ht="18.75">
      <c r="A223" s="1"/>
      <c r="B223" s="1"/>
      <c r="C223" s="1"/>
      <c r="D223" s="1"/>
      <c r="E223" s="1"/>
      <c r="F223" s="57"/>
      <c r="G223" s="1"/>
      <c r="H223" s="57"/>
      <c r="I223" s="58"/>
      <c r="J223" s="59"/>
      <c r="K223" s="57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5"/>
      <c r="AK223" s="1"/>
      <c r="AL223" s="1"/>
      <c r="AM223" s="1"/>
      <c r="AN223" s="1"/>
    </row>
    <row x14ac:dyDescent="0.25" r="224" customHeight="1" ht="18.75">
      <c r="A224" s="1"/>
      <c r="B224" s="1"/>
      <c r="C224" s="1"/>
      <c r="D224" s="1"/>
      <c r="E224" s="1"/>
      <c r="F224" s="57"/>
      <c r="G224" s="1"/>
      <c r="H224" s="57"/>
      <c r="I224" s="58"/>
      <c r="J224" s="59"/>
      <c r="K224" s="57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5"/>
      <c r="AK224" s="1"/>
      <c r="AL224" s="1"/>
      <c r="AM224" s="1"/>
      <c r="AN224" s="1"/>
    </row>
    <row x14ac:dyDescent="0.25" r="225" customHeight="1" ht="18.75">
      <c r="A225" s="1"/>
      <c r="B225" s="1"/>
      <c r="C225" s="1"/>
      <c r="D225" s="1"/>
      <c r="E225" s="1"/>
      <c r="F225" s="57"/>
      <c r="G225" s="1"/>
      <c r="H225" s="57"/>
      <c r="I225" s="58"/>
      <c r="J225" s="59"/>
      <c r="K225" s="57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5"/>
      <c r="AK225" s="1"/>
      <c r="AL225" s="1"/>
      <c r="AM225" s="1"/>
      <c r="AN225" s="1"/>
    </row>
    <row x14ac:dyDescent="0.25" r="226" customHeight="1" ht="18.75">
      <c r="A226" s="1"/>
      <c r="B226" s="1"/>
      <c r="C226" s="1"/>
      <c r="D226" s="1"/>
      <c r="E226" s="1"/>
      <c r="F226" s="57"/>
      <c r="G226" s="1"/>
      <c r="H226" s="57"/>
      <c r="I226" s="58"/>
      <c r="J226" s="59"/>
      <c r="K226" s="57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5"/>
      <c r="AK226" s="1"/>
      <c r="AL226" s="1"/>
      <c r="AM226" s="1"/>
      <c r="AN226" s="1"/>
    </row>
    <row x14ac:dyDescent="0.25" r="227" customHeight="1" ht="18.75">
      <c r="A227" s="1"/>
      <c r="B227" s="1"/>
      <c r="C227" s="1"/>
      <c r="D227" s="1"/>
      <c r="E227" s="1"/>
      <c r="F227" s="57"/>
      <c r="G227" s="1"/>
      <c r="H227" s="57"/>
      <c r="I227" s="58"/>
      <c r="J227" s="59"/>
      <c r="K227" s="57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5"/>
      <c r="AK227" s="1"/>
      <c r="AL227" s="1"/>
      <c r="AM227" s="1"/>
      <c r="AN227" s="1"/>
    </row>
    <row x14ac:dyDescent="0.25" r="228" customHeight="1" ht="18.75">
      <c r="A228" s="1"/>
      <c r="B228" s="1"/>
      <c r="C228" s="1"/>
      <c r="D228" s="1"/>
      <c r="E228" s="1"/>
      <c r="F228" s="57"/>
      <c r="G228" s="1"/>
      <c r="H228" s="57"/>
      <c r="I228" s="58"/>
      <c r="J228" s="59"/>
      <c r="K228" s="57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5"/>
      <c r="AK228" s="1"/>
      <c r="AL228" s="1"/>
      <c r="AM228" s="1"/>
      <c r="AN228" s="1"/>
    </row>
    <row x14ac:dyDescent="0.25" r="229" customHeight="1" ht="18.75">
      <c r="A229" s="1"/>
      <c r="B229" s="1"/>
      <c r="C229" s="1"/>
      <c r="D229" s="1"/>
      <c r="E229" s="1"/>
      <c r="F229" s="57"/>
      <c r="G229" s="1"/>
      <c r="H229" s="57"/>
      <c r="I229" s="58"/>
      <c r="J229" s="59"/>
      <c r="K229" s="57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5"/>
      <c r="AK229" s="1"/>
      <c r="AL229" s="1"/>
      <c r="AM229" s="1"/>
      <c r="AN229" s="1"/>
    </row>
    <row x14ac:dyDescent="0.25" r="230" customHeight="1" ht="18.75">
      <c r="A230" s="1"/>
      <c r="B230" s="1"/>
      <c r="C230" s="1"/>
      <c r="D230" s="1"/>
      <c r="E230" s="1"/>
      <c r="F230" s="57"/>
      <c r="G230" s="1"/>
      <c r="H230" s="57"/>
      <c r="I230" s="58"/>
      <c r="J230" s="59"/>
      <c r="K230" s="57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5"/>
      <c r="AK230" s="1"/>
      <c r="AL230" s="1"/>
      <c r="AM230" s="1"/>
      <c r="AN230" s="1"/>
    </row>
    <row x14ac:dyDescent="0.25" r="231" customHeight="1" ht="18.75">
      <c r="A231" s="1"/>
      <c r="B231" s="1"/>
      <c r="C231" s="1"/>
      <c r="D231" s="1"/>
      <c r="E231" s="1"/>
      <c r="F231" s="57"/>
      <c r="G231" s="1"/>
      <c r="H231" s="57"/>
      <c r="I231" s="58"/>
      <c r="J231" s="59"/>
      <c r="K231" s="57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5"/>
      <c r="AK231" s="1"/>
      <c r="AL231" s="1"/>
      <c r="AM231" s="1"/>
      <c r="AN231" s="1"/>
    </row>
    <row x14ac:dyDescent="0.25" r="232" customHeight="1" ht="18.75">
      <c r="A232" s="1"/>
      <c r="B232" s="1"/>
      <c r="C232" s="1"/>
      <c r="D232" s="1"/>
      <c r="E232" s="1"/>
      <c r="F232" s="57"/>
      <c r="G232" s="1"/>
      <c r="H232" s="57"/>
      <c r="I232" s="58"/>
      <c r="J232" s="59"/>
      <c r="K232" s="57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5"/>
      <c r="AK232" s="1"/>
      <c r="AL232" s="1"/>
      <c r="AM232" s="1"/>
      <c r="AN232" s="1"/>
    </row>
    <row x14ac:dyDescent="0.25" r="233" customHeight="1" ht="18.75">
      <c r="A233" s="1"/>
      <c r="B233" s="1"/>
      <c r="C233" s="1"/>
      <c r="D233" s="1"/>
      <c r="E233" s="1"/>
      <c r="F233" s="57"/>
      <c r="G233" s="1"/>
      <c r="H233" s="57"/>
      <c r="I233" s="58"/>
      <c r="J233" s="59"/>
      <c r="K233" s="57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5"/>
      <c r="AK233" s="1"/>
      <c r="AL233" s="1"/>
      <c r="AM233" s="1"/>
      <c r="AN233" s="1"/>
    </row>
    <row x14ac:dyDescent="0.25" r="234" customHeight="1" ht="18.75">
      <c r="A234" s="1"/>
      <c r="B234" s="1"/>
      <c r="C234" s="1"/>
      <c r="D234" s="1"/>
      <c r="E234" s="1"/>
      <c r="F234" s="57"/>
      <c r="G234" s="1"/>
      <c r="H234" s="57"/>
      <c r="I234" s="58"/>
      <c r="J234" s="59"/>
      <c r="K234" s="57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5"/>
      <c r="AK234" s="1"/>
      <c r="AL234" s="1"/>
      <c r="AM234" s="1"/>
      <c r="AN234" s="1"/>
    </row>
    <row x14ac:dyDescent="0.25" r="235" customHeight="1" ht="18.75">
      <c r="A235" s="1"/>
      <c r="B235" s="1"/>
      <c r="C235" s="1"/>
      <c r="D235" s="1"/>
      <c r="E235" s="1"/>
      <c r="F235" s="57"/>
      <c r="G235" s="1"/>
      <c r="H235" s="57"/>
      <c r="I235" s="58"/>
      <c r="J235" s="59"/>
      <c r="K235" s="57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5"/>
      <c r="AK235" s="1"/>
      <c r="AL235" s="1"/>
      <c r="AM235" s="1"/>
      <c r="AN235" s="1"/>
    </row>
    <row x14ac:dyDescent="0.25" r="236" customHeight="1" ht="18.75">
      <c r="A236" s="1"/>
      <c r="B236" s="1"/>
      <c r="C236" s="1"/>
      <c r="D236" s="1"/>
      <c r="E236" s="1"/>
      <c r="F236" s="57"/>
      <c r="G236" s="1"/>
      <c r="H236" s="57"/>
      <c r="I236" s="58"/>
      <c r="J236" s="59"/>
      <c r="K236" s="57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5"/>
      <c r="AK236" s="1"/>
      <c r="AL236" s="1"/>
      <c r="AM236" s="1"/>
      <c r="AN236" s="1"/>
    </row>
    <row x14ac:dyDescent="0.25" r="237" customHeight="1" ht="18.75">
      <c r="A237" s="1"/>
      <c r="B237" s="1"/>
      <c r="C237" s="1"/>
      <c r="D237" s="1"/>
      <c r="E237" s="1"/>
      <c r="F237" s="57"/>
      <c r="G237" s="1"/>
      <c r="H237" s="57"/>
      <c r="I237" s="58"/>
      <c r="J237" s="59"/>
      <c r="K237" s="57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5"/>
      <c r="AK237" s="1"/>
      <c r="AL237" s="1"/>
      <c r="AM237" s="1"/>
      <c r="AN237" s="1"/>
    </row>
    <row x14ac:dyDescent="0.25" r="238" customHeight="1" ht="18.75">
      <c r="A238" s="1"/>
      <c r="B238" s="1"/>
      <c r="C238" s="1"/>
      <c r="D238" s="1"/>
      <c r="E238" s="1"/>
      <c r="F238" s="57"/>
      <c r="G238" s="1"/>
      <c r="H238" s="57"/>
      <c r="I238" s="58"/>
      <c r="J238" s="59"/>
      <c r="K238" s="57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5"/>
      <c r="AK238" s="1"/>
      <c r="AL238" s="1"/>
      <c r="AM238" s="1"/>
      <c r="AN238" s="1"/>
    </row>
    <row x14ac:dyDescent="0.25" r="239" customHeight="1" ht="18.75">
      <c r="A239" s="1"/>
      <c r="B239" s="1"/>
      <c r="C239" s="1"/>
      <c r="D239" s="1"/>
      <c r="E239" s="1"/>
      <c r="F239" s="57"/>
      <c r="G239" s="1"/>
      <c r="H239" s="57"/>
      <c r="I239" s="58"/>
      <c r="J239" s="59"/>
      <c r="K239" s="57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5"/>
      <c r="AK239" s="1"/>
      <c r="AL239" s="1"/>
      <c r="AM239" s="1"/>
      <c r="AN239" s="1"/>
    </row>
    <row x14ac:dyDescent="0.25" r="240" customHeight="1" ht="18.75">
      <c r="A240" s="1"/>
      <c r="B240" s="1"/>
      <c r="C240" s="1"/>
      <c r="D240" s="1"/>
      <c r="E240" s="1"/>
      <c r="F240" s="57"/>
      <c r="G240" s="1"/>
      <c r="H240" s="57"/>
      <c r="I240" s="58"/>
      <c r="J240" s="59"/>
      <c r="K240" s="57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5"/>
      <c r="AK240" s="1"/>
      <c r="AL240" s="1"/>
      <c r="AM240" s="1"/>
      <c r="AN240" s="1"/>
    </row>
    <row x14ac:dyDescent="0.25" r="241" customHeight="1" ht="18.75">
      <c r="A241" s="1"/>
      <c r="B241" s="1"/>
      <c r="C241" s="1"/>
      <c r="D241" s="1"/>
      <c r="E241" s="1"/>
      <c r="F241" s="57"/>
      <c r="G241" s="1"/>
      <c r="H241" s="57"/>
      <c r="I241" s="58"/>
      <c r="J241" s="59"/>
      <c r="K241" s="57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5"/>
      <c r="AK241" s="1"/>
      <c r="AL241" s="1"/>
      <c r="AM241" s="1"/>
      <c r="AN241" s="1"/>
    </row>
    <row x14ac:dyDescent="0.25" r="242" customHeight="1" ht="18.75">
      <c r="A242" s="1"/>
      <c r="B242" s="1"/>
      <c r="C242" s="1"/>
      <c r="D242" s="1"/>
      <c r="E242" s="1"/>
      <c r="F242" s="57"/>
      <c r="G242" s="1"/>
      <c r="H242" s="57"/>
      <c r="I242" s="58"/>
      <c r="J242" s="59"/>
      <c r="K242" s="57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5"/>
      <c r="AK242" s="1"/>
      <c r="AL242" s="1"/>
      <c r="AM242" s="1"/>
      <c r="AN242" s="1"/>
    </row>
    <row x14ac:dyDescent="0.25" r="243" customHeight="1" ht="18.75">
      <c r="A243" s="1"/>
      <c r="B243" s="1"/>
      <c r="C243" s="1"/>
      <c r="D243" s="1"/>
      <c r="E243" s="1"/>
      <c r="F243" s="57"/>
      <c r="G243" s="1"/>
      <c r="H243" s="57"/>
      <c r="I243" s="58"/>
      <c r="J243" s="59"/>
      <c r="K243" s="57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5"/>
      <c r="AK243" s="1"/>
      <c r="AL243" s="1"/>
      <c r="AM243" s="1"/>
      <c r="AN243" s="1"/>
    </row>
    <row x14ac:dyDescent="0.25" r="244" customHeight="1" ht="18.75">
      <c r="A244" s="1"/>
      <c r="B244" s="1"/>
      <c r="C244" s="1"/>
      <c r="D244" s="1"/>
      <c r="E244" s="1"/>
      <c r="F244" s="57"/>
      <c r="G244" s="1"/>
      <c r="H244" s="57"/>
      <c r="I244" s="58"/>
      <c r="J244" s="59"/>
      <c r="K244" s="57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5"/>
      <c r="AK244" s="1"/>
      <c r="AL244" s="1"/>
      <c r="AM244" s="1"/>
      <c r="AN244" s="1"/>
    </row>
    <row x14ac:dyDescent="0.25" r="245" customHeight="1" ht="18.75">
      <c r="A245" s="1"/>
      <c r="B245" s="1"/>
      <c r="C245" s="1"/>
      <c r="D245" s="1"/>
      <c r="E245" s="1"/>
      <c r="F245" s="57"/>
      <c r="G245" s="1"/>
      <c r="H245" s="57"/>
      <c r="I245" s="58"/>
      <c r="J245" s="59"/>
      <c r="K245" s="57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5"/>
      <c r="AK245" s="1"/>
      <c r="AL245" s="1"/>
      <c r="AM245" s="1"/>
      <c r="AN245" s="1"/>
    </row>
    <row x14ac:dyDescent="0.25" r="246" customHeight="1" ht="18.75">
      <c r="A246" s="1"/>
      <c r="B246" s="1"/>
      <c r="C246" s="1"/>
      <c r="D246" s="1"/>
      <c r="E246" s="1"/>
      <c r="F246" s="57"/>
      <c r="G246" s="1"/>
      <c r="H246" s="57"/>
      <c r="I246" s="58"/>
      <c r="J246" s="59"/>
      <c r="K246" s="57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5"/>
      <c r="AK246" s="1"/>
      <c r="AL246" s="1"/>
      <c r="AM246" s="1"/>
      <c r="AN246" s="1"/>
    </row>
    <row x14ac:dyDescent="0.25" r="247" customHeight="1" ht="18.75">
      <c r="A247" s="1"/>
      <c r="B247" s="1"/>
      <c r="C247" s="1"/>
      <c r="D247" s="1"/>
      <c r="E247" s="1"/>
      <c r="F247" s="57"/>
      <c r="G247" s="1"/>
      <c r="H247" s="57"/>
      <c r="I247" s="58"/>
      <c r="J247" s="59"/>
      <c r="K247" s="57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5"/>
      <c r="AK247" s="1"/>
      <c r="AL247" s="1"/>
      <c r="AM247" s="1"/>
      <c r="AN247" s="1"/>
    </row>
    <row x14ac:dyDescent="0.25" r="248" customHeight="1" ht="18.75">
      <c r="A248" s="1"/>
      <c r="B248" s="1"/>
      <c r="C248" s="1"/>
      <c r="D248" s="1"/>
      <c r="E248" s="1"/>
      <c r="F248" s="57"/>
      <c r="G248" s="1"/>
      <c r="H248" s="57"/>
      <c r="I248" s="58"/>
      <c r="J248" s="59"/>
      <c r="K248" s="57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5"/>
      <c r="AK248" s="1"/>
      <c r="AL248" s="1"/>
      <c r="AM248" s="1"/>
      <c r="AN248" s="1"/>
    </row>
    <row x14ac:dyDescent="0.25" r="249" customHeight="1" ht="18.75">
      <c r="A249" s="1"/>
      <c r="B249" s="1"/>
      <c r="C249" s="1"/>
      <c r="D249" s="1"/>
      <c r="E249" s="1"/>
      <c r="F249" s="57"/>
      <c r="G249" s="1"/>
      <c r="H249" s="57"/>
      <c r="I249" s="58"/>
      <c r="J249" s="59"/>
      <c r="K249" s="57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5"/>
      <c r="AK249" s="1"/>
      <c r="AL249" s="1"/>
      <c r="AM249" s="1"/>
      <c r="AN249" s="1"/>
    </row>
    <row x14ac:dyDescent="0.25" r="250" customHeight="1" ht="18.75">
      <c r="A250" s="1"/>
      <c r="B250" s="1"/>
      <c r="C250" s="1"/>
      <c r="D250" s="1"/>
      <c r="E250" s="1"/>
      <c r="F250" s="57"/>
      <c r="G250" s="1"/>
      <c r="H250" s="57"/>
      <c r="I250" s="58"/>
      <c r="J250" s="59"/>
      <c r="K250" s="57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5"/>
      <c r="AK250" s="1"/>
      <c r="AL250" s="1"/>
      <c r="AM250" s="1"/>
      <c r="AN250" s="1"/>
    </row>
    <row x14ac:dyDescent="0.25" r="251" customHeight="1" ht="18.75">
      <c r="A251" s="1"/>
      <c r="B251" s="1"/>
      <c r="C251" s="1"/>
      <c r="D251" s="1"/>
      <c r="E251" s="1"/>
      <c r="F251" s="57"/>
      <c r="G251" s="1"/>
      <c r="H251" s="57"/>
      <c r="I251" s="58"/>
      <c r="J251" s="59"/>
      <c r="K251" s="57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5"/>
      <c r="AK251" s="1"/>
      <c r="AL251" s="1"/>
      <c r="AM251" s="1"/>
      <c r="AN251" s="1"/>
    </row>
    <row x14ac:dyDescent="0.25" r="252" customHeight="1" ht="18.75">
      <c r="A252" s="1"/>
      <c r="B252" s="1"/>
      <c r="C252" s="1"/>
      <c r="D252" s="1"/>
      <c r="E252" s="1"/>
      <c r="F252" s="57"/>
      <c r="G252" s="1"/>
      <c r="H252" s="57"/>
      <c r="I252" s="58"/>
      <c r="J252" s="59"/>
      <c r="K252" s="57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5"/>
      <c r="AK252" s="1"/>
      <c r="AL252" s="1"/>
      <c r="AM252" s="1"/>
      <c r="AN252" s="1"/>
    </row>
    <row x14ac:dyDescent="0.25" r="253" customHeight="1" ht="18.75">
      <c r="A253" s="1"/>
      <c r="B253" s="1"/>
      <c r="C253" s="1"/>
      <c r="D253" s="1"/>
      <c r="E253" s="1"/>
      <c r="F253" s="57"/>
      <c r="G253" s="1"/>
      <c r="H253" s="57"/>
      <c r="I253" s="58"/>
      <c r="J253" s="59"/>
      <c r="K253" s="57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5"/>
      <c r="AK253" s="1"/>
      <c r="AL253" s="1"/>
      <c r="AM253" s="1"/>
      <c r="AN253" s="1"/>
    </row>
    <row x14ac:dyDescent="0.25" r="254" customHeight="1" ht="18.75">
      <c r="A254" s="1"/>
      <c r="B254" s="1"/>
      <c r="C254" s="1"/>
      <c r="D254" s="1"/>
      <c r="E254" s="1"/>
      <c r="F254" s="57"/>
      <c r="G254" s="1"/>
      <c r="H254" s="57"/>
      <c r="I254" s="58"/>
      <c r="J254" s="59"/>
      <c r="K254" s="57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5"/>
      <c r="AK254" s="1"/>
      <c r="AL254" s="1"/>
      <c r="AM254" s="1"/>
      <c r="AN254" s="1"/>
    </row>
    <row x14ac:dyDescent="0.25" r="255" customHeight="1" ht="18.75">
      <c r="A255" s="1"/>
      <c r="B255" s="1"/>
      <c r="C255" s="1"/>
      <c r="D255" s="1"/>
      <c r="E255" s="1"/>
      <c r="F255" s="57"/>
      <c r="G255" s="1"/>
      <c r="H255" s="57"/>
      <c r="I255" s="58"/>
      <c r="J255" s="59"/>
      <c r="K255" s="57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5"/>
      <c r="AK255" s="1"/>
      <c r="AL255" s="1"/>
      <c r="AM255" s="1"/>
      <c r="AN255" s="1"/>
    </row>
    <row x14ac:dyDescent="0.25" r="256" customHeight="1" ht="18.75">
      <c r="A256" s="1"/>
      <c r="B256" s="1"/>
      <c r="C256" s="1"/>
      <c r="D256" s="1"/>
      <c r="E256" s="1"/>
      <c r="F256" s="57"/>
      <c r="G256" s="1"/>
      <c r="H256" s="57"/>
      <c r="I256" s="58"/>
      <c r="J256" s="59"/>
      <c r="K256" s="57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5"/>
      <c r="AK256" s="1"/>
      <c r="AL256" s="1"/>
      <c r="AM256" s="1"/>
      <c r="AN256" s="1"/>
    </row>
    <row x14ac:dyDescent="0.25" r="257" customHeight="1" ht="18.75">
      <c r="A257" s="1"/>
      <c r="B257" s="1"/>
      <c r="C257" s="1"/>
      <c r="D257" s="1"/>
      <c r="E257" s="1"/>
      <c r="F257" s="57"/>
      <c r="G257" s="1"/>
      <c r="H257" s="57"/>
      <c r="I257" s="58"/>
      <c r="J257" s="59"/>
      <c r="K257" s="57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5"/>
      <c r="AK257" s="1"/>
      <c r="AL257" s="1"/>
      <c r="AM257" s="1"/>
      <c r="AN257" s="1"/>
    </row>
    <row x14ac:dyDescent="0.25" r="258" customHeight="1" ht="18.75">
      <c r="A258" s="1"/>
      <c r="B258" s="1"/>
      <c r="C258" s="1"/>
      <c r="D258" s="1"/>
      <c r="E258" s="1"/>
      <c r="F258" s="57"/>
      <c r="G258" s="1"/>
      <c r="H258" s="57"/>
      <c r="I258" s="58"/>
      <c r="J258" s="59"/>
      <c r="K258" s="57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5"/>
      <c r="AK258" s="1"/>
      <c r="AL258" s="1"/>
      <c r="AM258" s="1"/>
      <c r="AN258" s="1"/>
    </row>
    <row x14ac:dyDescent="0.25" r="259" customHeight="1" ht="18.75">
      <c r="A259" s="1"/>
      <c r="B259" s="1"/>
      <c r="C259" s="1"/>
      <c r="D259" s="1"/>
      <c r="E259" s="1"/>
      <c r="F259" s="57"/>
      <c r="G259" s="1"/>
      <c r="H259" s="57"/>
      <c r="I259" s="58"/>
      <c r="J259" s="59"/>
      <c r="K259" s="57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5"/>
      <c r="AK259" s="1"/>
      <c r="AL259" s="1"/>
      <c r="AM259" s="1"/>
      <c r="AN259" s="1"/>
    </row>
    <row x14ac:dyDescent="0.25" r="260" customHeight="1" ht="18.75">
      <c r="A260" s="1"/>
      <c r="B260" s="1"/>
      <c r="C260" s="1"/>
      <c r="D260" s="1"/>
      <c r="E260" s="1"/>
      <c r="F260" s="57"/>
      <c r="G260" s="1"/>
      <c r="H260" s="57"/>
      <c r="I260" s="58"/>
      <c r="J260" s="59"/>
      <c r="K260" s="57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5"/>
      <c r="AK260" s="1"/>
      <c r="AL260" s="1"/>
      <c r="AM260" s="1"/>
      <c r="AN260" s="1"/>
    </row>
    <row x14ac:dyDescent="0.25" r="261" customHeight="1" ht="18.75">
      <c r="A261" s="1"/>
      <c r="B261" s="1"/>
      <c r="C261" s="1"/>
      <c r="D261" s="1"/>
      <c r="E261" s="1"/>
      <c r="F261" s="57"/>
      <c r="G261" s="1"/>
      <c r="H261" s="57"/>
      <c r="I261" s="58"/>
      <c r="J261" s="59"/>
      <c r="K261" s="57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5"/>
      <c r="AK261" s="1"/>
      <c r="AL261" s="1"/>
      <c r="AM261" s="1"/>
      <c r="AN261" s="1"/>
    </row>
    <row x14ac:dyDescent="0.25" r="262" customHeight="1" ht="18.75">
      <c r="A262" s="1"/>
      <c r="B262" s="1"/>
      <c r="C262" s="1"/>
      <c r="D262" s="1"/>
      <c r="E262" s="1"/>
      <c r="F262" s="57"/>
      <c r="G262" s="1"/>
      <c r="H262" s="57"/>
      <c r="I262" s="58"/>
      <c r="J262" s="59"/>
      <c r="K262" s="57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5"/>
      <c r="AK262" s="1"/>
      <c r="AL262" s="1"/>
      <c r="AM262" s="1"/>
      <c r="AN262" s="1"/>
    </row>
    <row x14ac:dyDescent="0.25" r="263" customHeight="1" ht="18.75">
      <c r="A263" s="1"/>
      <c r="B263" s="1"/>
      <c r="C263" s="1"/>
      <c r="D263" s="1"/>
      <c r="E263" s="1"/>
      <c r="F263" s="57"/>
      <c r="G263" s="1"/>
      <c r="H263" s="57"/>
      <c r="I263" s="58"/>
      <c r="J263" s="59"/>
      <c r="K263" s="57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5"/>
      <c r="AK263" s="1"/>
      <c r="AL263" s="1"/>
      <c r="AM263" s="1"/>
      <c r="AN263" s="1"/>
    </row>
    <row x14ac:dyDescent="0.25" r="264" customHeight="1" ht="18.75">
      <c r="A264" s="1"/>
      <c r="B264" s="1"/>
      <c r="C264" s="1"/>
      <c r="D264" s="1"/>
      <c r="E264" s="1"/>
      <c r="F264" s="57"/>
      <c r="G264" s="1"/>
      <c r="H264" s="57"/>
      <c r="I264" s="58"/>
      <c r="J264" s="59"/>
      <c r="K264" s="57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5"/>
      <c r="AK264" s="1"/>
      <c r="AL264" s="1"/>
      <c r="AM264" s="1"/>
      <c r="AN264" s="1"/>
    </row>
    <row x14ac:dyDescent="0.25" r="265" customHeight="1" ht="18.75">
      <c r="A265" s="1"/>
      <c r="B265" s="1"/>
      <c r="C265" s="1"/>
      <c r="D265" s="1"/>
      <c r="E265" s="1"/>
      <c r="F265" s="57"/>
      <c r="G265" s="1"/>
      <c r="H265" s="57"/>
      <c r="I265" s="58"/>
      <c r="J265" s="59"/>
      <c r="K265" s="57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5"/>
      <c r="AK265" s="1"/>
      <c r="AL265" s="1"/>
      <c r="AM265" s="1"/>
      <c r="AN265" s="1"/>
    </row>
    <row x14ac:dyDescent="0.25" r="266" customHeight="1" ht="18.75">
      <c r="A266" s="1"/>
      <c r="B266" s="1"/>
      <c r="C266" s="1"/>
      <c r="D266" s="1"/>
      <c r="E266" s="1"/>
      <c r="F266" s="57"/>
      <c r="G266" s="1"/>
      <c r="H266" s="57"/>
      <c r="I266" s="58"/>
      <c r="J266" s="59"/>
      <c r="K266" s="57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5"/>
      <c r="AK266" s="1"/>
      <c r="AL266" s="1"/>
      <c r="AM266" s="1"/>
      <c r="AN266" s="1"/>
    </row>
    <row x14ac:dyDescent="0.25" r="267" customHeight="1" ht="18.75">
      <c r="A267" s="1"/>
      <c r="B267" s="1"/>
      <c r="C267" s="1"/>
      <c r="D267" s="1"/>
      <c r="E267" s="1"/>
      <c r="F267" s="57"/>
      <c r="G267" s="1"/>
      <c r="H267" s="57"/>
      <c r="I267" s="58"/>
      <c r="J267" s="59"/>
      <c r="K267" s="57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5"/>
      <c r="AK267" s="1"/>
      <c r="AL267" s="1"/>
      <c r="AM267" s="1"/>
      <c r="AN267" s="1"/>
    </row>
    <row x14ac:dyDescent="0.25" r="268" customHeight="1" ht="18.75">
      <c r="A268" s="1"/>
      <c r="B268" s="1"/>
      <c r="C268" s="1"/>
      <c r="D268" s="1"/>
      <c r="E268" s="1"/>
      <c r="F268" s="57"/>
      <c r="G268" s="1"/>
      <c r="H268" s="57"/>
      <c r="I268" s="58"/>
      <c r="J268" s="59"/>
      <c r="K268" s="57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5"/>
      <c r="AK268" s="1"/>
      <c r="AL268" s="1"/>
      <c r="AM268" s="1"/>
      <c r="AN268" s="1"/>
    </row>
    <row x14ac:dyDescent="0.25" r="269" customHeight="1" ht="18.75">
      <c r="A269" s="1"/>
      <c r="B269" s="1"/>
      <c r="C269" s="1"/>
      <c r="D269" s="1"/>
      <c r="E269" s="1"/>
      <c r="F269" s="57"/>
      <c r="G269" s="1"/>
      <c r="H269" s="57"/>
      <c r="I269" s="58"/>
      <c r="J269" s="59"/>
      <c r="K269" s="57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5"/>
      <c r="AK269" s="1"/>
      <c r="AL269" s="1"/>
      <c r="AM269" s="1"/>
      <c r="AN269" s="1"/>
    </row>
    <row x14ac:dyDescent="0.25" r="270" customHeight="1" ht="18.75">
      <c r="A270" s="1"/>
      <c r="B270" s="1"/>
      <c r="C270" s="1"/>
      <c r="D270" s="1"/>
      <c r="E270" s="1"/>
      <c r="F270" s="57"/>
      <c r="G270" s="1"/>
      <c r="H270" s="57"/>
      <c r="I270" s="58"/>
      <c r="J270" s="59"/>
      <c r="K270" s="57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5"/>
      <c r="AK270" s="1"/>
      <c r="AL270" s="1"/>
      <c r="AM270" s="1"/>
      <c r="AN270" s="1"/>
    </row>
    <row x14ac:dyDescent="0.25" r="271" customHeight="1" ht="18.75">
      <c r="A271" s="1"/>
      <c r="B271" s="1"/>
      <c r="C271" s="1"/>
      <c r="D271" s="1"/>
      <c r="E271" s="1"/>
      <c r="F271" s="57"/>
      <c r="G271" s="1"/>
      <c r="H271" s="57"/>
      <c r="I271" s="58"/>
      <c r="J271" s="59"/>
      <c r="K271" s="57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5"/>
      <c r="AK271" s="1"/>
      <c r="AL271" s="1"/>
      <c r="AM271" s="1"/>
      <c r="AN271" s="1"/>
    </row>
    <row x14ac:dyDescent="0.25" r="272" customHeight="1" ht="18.75">
      <c r="A272" s="1"/>
      <c r="B272" s="1"/>
      <c r="C272" s="1"/>
      <c r="D272" s="1"/>
      <c r="E272" s="1"/>
      <c r="F272" s="57"/>
      <c r="G272" s="1"/>
      <c r="H272" s="57"/>
      <c r="I272" s="58"/>
      <c r="J272" s="59"/>
      <c r="K272" s="57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5"/>
      <c r="AK272" s="1"/>
      <c r="AL272" s="1"/>
      <c r="AM272" s="1"/>
      <c r="AN272" s="1"/>
    </row>
    <row x14ac:dyDescent="0.25" r="273" customHeight="1" ht="18.75">
      <c r="A273" s="1"/>
      <c r="B273" s="1"/>
      <c r="C273" s="1"/>
      <c r="D273" s="1"/>
      <c r="E273" s="1"/>
      <c r="F273" s="57"/>
      <c r="G273" s="1"/>
      <c r="H273" s="57"/>
      <c r="I273" s="58"/>
      <c r="J273" s="59"/>
      <c r="K273" s="57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5"/>
      <c r="AK273" s="1"/>
      <c r="AL273" s="1"/>
      <c r="AM273" s="1"/>
      <c r="AN273" s="1"/>
    </row>
    <row x14ac:dyDescent="0.25" r="274" customHeight="1" ht="18.75">
      <c r="A274" s="1"/>
      <c r="B274" s="1"/>
      <c r="C274" s="1"/>
      <c r="D274" s="1"/>
      <c r="E274" s="1"/>
      <c r="F274" s="57"/>
      <c r="G274" s="1"/>
      <c r="H274" s="57"/>
      <c r="I274" s="58"/>
      <c r="J274" s="59"/>
      <c r="K274" s="57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5"/>
      <c r="AK274" s="1"/>
      <c r="AL274" s="1"/>
      <c r="AM274" s="1"/>
      <c r="AN274" s="1"/>
    </row>
    <row x14ac:dyDescent="0.25" r="275" customHeight="1" ht="18.75">
      <c r="A275" s="1"/>
      <c r="B275" s="1"/>
      <c r="C275" s="1"/>
      <c r="D275" s="1"/>
      <c r="E275" s="1"/>
      <c r="F275" s="57"/>
      <c r="G275" s="1"/>
      <c r="H275" s="57"/>
      <c r="I275" s="58"/>
      <c r="J275" s="59"/>
      <c r="K275" s="57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5"/>
      <c r="AK275" s="1"/>
      <c r="AL275" s="1"/>
      <c r="AM275" s="1"/>
      <c r="AN275" s="1"/>
    </row>
    <row x14ac:dyDescent="0.25" r="276" customHeight="1" ht="18.75">
      <c r="A276" s="1"/>
      <c r="B276" s="1"/>
      <c r="C276" s="1"/>
      <c r="D276" s="1"/>
      <c r="E276" s="1"/>
      <c r="F276" s="57"/>
      <c r="G276" s="1"/>
      <c r="H276" s="57"/>
      <c r="I276" s="58"/>
      <c r="J276" s="59"/>
      <c r="K276" s="57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5"/>
      <c r="AK276" s="1"/>
      <c r="AL276" s="1"/>
      <c r="AM276" s="1"/>
      <c r="AN276" s="1"/>
    </row>
    <row x14ac:dyDescent="0.25" r="277" customHeight="1" ht="18.75">
      <c r="A277" s="1"/>
      <c r="B277" s="1"/>
      <c r="C277" s="1"/>
      <c r="D277" s="1"/>
      <c r="E277" s="1"/>
      <c r="F277" s="57"/>
      <c r="G277" s="1"/>
      <c r="H277" s="57"/>
      <c r="I277" s="58"/>
      <c r="J277" s="59"/>
      <c r="K277" s="57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5"/>
      <c r="AK277" s="1"/>
      <c r="AL277" s="1"/>
      <c r="AM277" s="1"/>
      <c r="AN277" s="1"/>
    </row>
    <row x14ac:dyDescent="0.25" r="278" customHeight="1" ht="18.75">
      <c r="A278" s="1"/>
      <c r="B278" s="1"/>
      <c r="C278" s="1"/>
      <c r="D278" s="1"/>
      <c r="E278" s="1"/>
      <c r="F278" s="57"/>
      <c r="G278" s="1"/>
      <c r="H278" s="57"/>
      <c r="I278" s="58"/>
      <c r="J278" s="59"/>
      <c r="K278" s="57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5"/>
      <c r="AK278" s="1"/>
      <c r="AL278" s="1"/>
      <c r="AM278" s="1"/>
      <c r="AN278" s="1"/>
    </row>
    <row x14ac:dyDescent="0.25" r="279" customHeight="1" ht="18.75">
      <c r="A279" s="1"/>
      <c r="B279" s="1"/>
      <c r="C279" s="1"/>
      <c r="D279" s="1"/>
      <c r="E279" s="1"/>
      <c r="F279" s="57"/>
      <c r="G279" s="1"/>
      <c r="H279" s="57"/>
      <c r="I279" s="58"/>
      <c r="J279" s="59"/>
      <c r="K279" s="57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5"/>
      <c r="AK279" s="1"/>
      <c r="AL279" s="1"/>
      <c r="AM279" s="1"/>
      <c r="AN279" s="1"/>
    </row>
    <row x14ac:dyDescent="0.25" r="280" customHeight="1" ht="18.75">
      <c r="A280" s="1"/>
      <c r="B280" s="1"/>
      <c r="C280" s="1"/>
      <c r="D280" s="1"/>
      <c r="E280" s="1"/>
      <c r="F280" s="57"/>
      <c r="G280" s="1"/>
      <c r="H280" s="57"/>
      <c r="I280" s="58"/>
      <c r="J280" s="59"/>
      <c r="K280" s="57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5"/>
      <c r="AK280" s="1"/>
      <c r="AL280" s="1"/>
      <c r="AM280" s="1"/>
      <c r="AN280" s="1"/>
    </row>
    <row x14ac:dyDescent="0.25" r="281" customHeight="1" ht="18.75">
      <c r="A281" s="1"/>
      <c r="B281" s="1"/>
      <c r="C281" s="1"/>
      <c r="D281" s="1"/>
      <c r="E281" s="1"/>
      <c r="F281" s="57"/>
      <c r="G281" s="1"/>
      <c r="H281" s="57"/>
      <c r="I281" s="58"/>
      <c r="J281" s="59"/>
      <c r="K281" s="57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5"/>
      <c r="AK281" s="1"/>
      <c r="AL281" s="1"/>
      <c r="AM281" s="1"/>
      <c r="AN281" s="1"/>
    </row>
    <row x14ac:dyDescent="0.25" r="282" customHeight="1" ht="18.75">
      <c r="A282" s="1"/>
      <c r="B282" s="1"/>
      <c r="C282" s="1"/>
      <c r="D282" s="1"/>
      <c r="E282" s="1"/>
      <c r="F282" s="57"/>
      <c r="G282" s="1"/>
      <c r="H282" s="57"/>
      <c r="I282" s="58"/>
      <c r="J282" s="59"/>
      <c r="K282" s="57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5"/>
      <c r="AK282" s="1"/>
      <c r="AL282" s="1"/>
      <c r="AM282" s="1"/>
      <c r="AN282" s="1"/>
    </row>
    <row x14ac:dyDescent="0.25" r="283" customHeight="1" ht="18.75">
      <c r="A283" s="1"/>
      <c r="B283" s="1"/>
      <c r="C283" s="1"/>
      <c r="D283" s="1"/>
      <c r="E283" s="1"/>
      <c r="F283" s="57"/>
      <c r="G283" s="1"/>
      <c r="H283" s="57"/>
      <c r="I283" s="58"/>
      <c r="J283" s="59"/>
      <c r="K283" s="57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5"/>
      <c r="AK283" s="1"/>
      <c r="AL283" s="1"/>
      <c r="AM283" s="1"/>
      <c r="AN283" s="1"/>
    </row>
    <row x14ac:dyDescent="0.25" r="284" customHeight="1" ht="18.75">
      <c r="A284" s="1"/>
      <c r="B284" s="1"/>
      <c r="C284" s="1"/>
      <c r="D284" s="1"/>
      <c r="E284" s="1"/>
      <c r="F284" s="57"/>
      <c r="G284" s="1"/>
      <c r="H284" s="57"/>
      <c r="I284" s="58"/>
      <c r="J284" s="59"/>
      <c r="K284" s="57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5"/>
      <c r="AK284" s="1"/>
      <c r="AL284" s="1"/>
      <c r="AM284" s="1"/>
      <c r="AN284" s="1"/>
    </row>
    <row x14ac:dyDescent="0.25" r="285" customHeight="1" ht="18.75">
      <c r="A285" s="1"/>
      <c r="B285" s="1"/>
      <c r="C285" s="1"/>
      <c r="D285" s="1"/>
      <c r="E285" s="1"/>
      <c r="F285" s="57"/>
      <c r="G285" s="1"/>
      <c r="H285" s="57"/>
      <c r="I285" s="58"/>
      <c r="J285" s="59"/>
      <c r="K285" s="57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5"/>
      <c r="AK285" s="1"/>
      <c r="AL285" s="1"/>
      <c r="AM285" s="1"/>
      <c r="AN285" s="1"/>
    </row>
    <row x14ac:dyDescent="0.25" r="286" customHeight="1" ht="18.75">
      <c r="A286" s="1"/>
      <c r="B286" s="1"/>
      <c r="C286" s="1"/>
      <c r="D286" s="1"/>
      <c r="E286" s="1"/>
      <c r="F286" s="57"/>
      <c r="G286" s="1"/>
      <c r="H286" s="57"/>
      <c r="I286" s="58"/>
      <c r="J286" s="59"/>
      <c r="K286" s="57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5"/>
      <c r="AK286" s="1"/>
      <c r="AL286" s="1"/>
      <c r="AM286" s="1"/>
      <c r="AN286" s="1"/>
    </row>
    <row x14ac:dyDescent="0.25" r="287" customHeight="1" ht="18.75">
      <c r="A287" s="1"/>
      <c r="B287" s="1"/>
      <c r="C287" s="1"/>
      <c r="D287" s="1"/>
      <c r="E287" s="1"/>
      <c r="F287" s="57"/>
      <c r="G287" s="1"/>
      <c r="H287" s="57"/>
      <c r="I287" s="58"/>
      <c r="J287" s="59"/>
      <c r="K287" s="57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5"/>
      <c r="AK287" s="1"/>
      <c r="AL287" s="1"/>
      <c r="AM287" s="1"/>
      <c r="AN287" s="1"/>
    </row>
    <row x14ac:dyDescent="0.25" r="288" customHeight="1" ht="18.75">
      <c r="A288" s="1"/>
      <c r="B288" s="1"/>
      <c r="C288" s="1"/>
      <c r="D288" s="1"/>
      <c r="E288" s="1"/>
      <c r="F288" s="57"/>
      <c r="G288" s="1"/>
      <c r="H288" s="57"/>
      <c r="I288" s="58"/>
      <c r="J288" s="59"/>
      <c r="K288" s="57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5"/>
      <c r="AK288" s="1"/>
      <c r="AL288" s="1"/>
      <c r="AM288" s="1"/>
      <c r="AN288" s="1"/>
    </row>
    <row x14ac:dyDescent="0.25" r="289" customHeight="1" ht="18.75">
      <c r="A289" s="1"/>
      <c r="B289" s="1"/>
      <c r="C289" s="1"/>
      <c r="D289" s="1"/>
      <c r="E289" s="1"/>
      <c r="F289" s="57"/>
      <c r="G289" s="1"/>
      <c r="H289" s="57"/>
      <c r="I289" s="58"/>
      <c r="J289" s="59"/>
      <c r="K289" s="57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5"/>
      <c r="AK289" s="1"/>
      <c r="AL289" s="1"/>
      <c r="AM289" s="1"/>
      <c r="AN289" s="1"/>
    </row>
    <row x14ac:dyDescent="0.25" r="290" customHeight="1" ht="18.75">
      <c r="A290" s="1"/>
      <c r="B290" s="1"/>
      <c r="C290" s="1"/>
      <c r="D290" s="1"/>
      <c r="E290" s="1"/>
      <c r="F290" s="57"/>
      <c r="G290" s="1"/>
      <c r="H290" s="57"/>
      <c r="I290" s="58"/>
      <c r="J290" s="59"/>
      <c r="K290" s="57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5"/>
      <c r="AK290" s="1"/>
      <c r="AL290" s="1"/>
      <c r="AM290" s="1"/>
      <c r="AN290" s="1"/>
    </row>
    <row x14ac:dyDescent="0.25" r="291" customHeight="1" ht="18.75">
      <c r="A291" s="1"/>
      <c r="B291" s="1"/>
      <c r="C291" s="1"/>
      <c r="D291" s="1"/>
      <c r="E291" s="1"/>
      <c r="F291" s="57"/>
      <c r="G291" s="1"/>
      <c r="H291" s="57"/>
      <c r="I291" s="58"/>
      <c r="J291" s="59"/>
      <c r="K291" s="57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5"/>
      <c r="AK291" s="1"/>
      <c r="AL291" s="1"/>
      <c r="AM291" s="1"/>
      <c r="AN291" s="1"/>
    </row>
    <row x14ac:dyDescent="0.25" r="292" customHeight="1" ht="18.75">
      <c r="A292" s="1"/>
      <c r="B292" s="1"/>
      <c r="C292" s="1"/>
      <c r="D292" s="1"/>
      <c r="E292" s="1"/>
      <c r="F292" s="57"/>
      <c r="G292" s="1"/>
      <c r="H292" s="57"/>
      <c r="I292" s="58"/>
      <c r="J292" s="59"/>
      <c r="K292" s="57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5"/>
      <c r="AK292" s="1"/>
      <c r="AL292" s="1"/>
      <c r="AM292" s="1"/>
      <c r="AN292" s="1"/>
    </row>
    <row x14ac:dyDescent="0.25" r="293" customHeight="1" ht="18.75">
      <c r="A293" s="1"/>
      <c r="B293" s="1"/>
      <c r="C293" s="1"/>
      <c r="D293" s="1"/>
      <c r="E293" s="1"/>
      <c r="F293" s="57"/>
      <c r="G293" s="1"/>
      <c r="H293" s="57"/>
      <c r="I293" s="58"/>
      <c r="J293" s="59"/>
      <c r="K293" s="57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5"/>
      <c r="AK293" s="1"/>
      <c r="AL293" s="1"/>
      <c r="AM293" s="1"/>
      <c r="AN293" s="1"/>
    </row>
    <row x14ac:dyDescent="0.25" r="294" customHeight="1" ht="18.75">
      <c r="A294" s="1"/>
      <c r="B294" s="1"/>
      <c r="C294" s="1"/>
      <c r="D294" s="1"/>
      <c r="E294" s="1"/>
      <c r="F294" s="57"/>
      <c r="G294" s="1"/>
      <c r="H294" s="57"/>
      <c r="I294" s="58"/>
      <c r="J294" s="59"/>
      <c r="K294" s="57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5"/>
      <c r="AK294" s="1"/>
      <c r="AL294" s="1"/>
      <c r="AM294" s="1"/>
      <c r="AN294" s="1"/>
    </row>
    <row x14ac:dyDescent="0.25" r="295" customHeight="1" ht="18.75">
      <c r="A295" s="1"/>
      <c r="B295" s="1"/>
      <c r="C295" s="1"/>
      <c r="D295" s="1"/>
      <c r="E295" s="1"/>
      <c r="F295" s="57"/>
      <c r="G295" s="1"/>
      <c r="H295" s="57"/>
      <c r="I295" s="58"/>
      <c r="J295" s="59"/>
      <c r="K295" s="57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5"/>
      <c r="AK295" s="1"/>
      <c r="AL295" s="1"/>
      <c r="AM295" s="1"/>
      <c r="AN295" s="1"/>
    </row>
    <row x14ac:dyDescent="0.25" r="296" customHeight="1" ht="18.75">
      <c r="A296" s="1"/>
      <c r="B296" s="1"/>
      <c r="C296" s="1"/>
      <c r="D296" s="1"/>
      <c r="E296" s="1"/>
      <c r="F296" s="57"/>
      <c r="G296" s="1"/>
      <c r="H296" s="57"/>
      <c r="I296" s="58"/>
      <c r="J296" s="59"/>
      <c r="K296" s="57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5"/>
      <c r="AK296" s="1"/>
      <c r="AL296" s="1"/>
      <c r="AM296" s="1"/>
      <c r="AN296" s="1"/>
    </row>
    <row x14ac:dyDescent="0.25" r="297" customHeight="1" ht="18.75">
      <c r="A297" s="1"/>
      <c r="B297" s="1"/>
      <c r="C297" s="1"/>
      <c r="D297" s="1"/>
      <c r="E297" s="1"/>
      <c r="F297" s="57"/>
      <c r="G297" s="1"/>
      <c r="H297" s="57"/>
      <c r="I297" s="58"/>
      <c r="J297" s="59"/>
      <c r="K297" s="57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5"/>
      <c r="AK297" s="1"/>
      <c r="AL297" s="1"/>
      <c r="AM297" s="1"/>
      <c r="AN297" s="1"/>
    </row>
    <row x14ac:dyDescent="0.25" r="298" customHeight="1" ht="18.75">
      <c r="A298" s="1"/>
      <c r="B298" s="1"/>
      <c r="C298" s="1"/>
      <c r="D298" s="1"/>
      <c r="E298" s="1"/>
      <c r="F298" s="57"/>
      <c r="G298" s="1"/>
      <c r="H298" s="57"/>
      <c r="I298" s="58"/>
      <c r="J298" s="59"/>
      <c r="K298" s="57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5"/>
      <c r="AK298" s="1"/>
      <c r="AL298" s="1"/>
      <c r="AM298" s="1"/>
      <c r="AN298" s="1"/>
    </row>
    <row x14ac:dyDescent="0.25" r="299" customHeight="1" ht="18.75">
      <c r="A299" s="1"/>
      <c r="B299" s="1"/>
      <c r="C299" s="1"/>
      <c r="D299" s="1"/>
      <c r="E299" s="1"/>
      <c r="F299" s="57"/>
      <c r="G299" s="1"/>
      <c r="H299" s="57"/>
      <c r="I299" s="58"/>
      <c r="J299" s="59"/>
      <c r="K299" s="57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5"/>
      <c r="AK299" s="1"/>
      <c r="AL299" s="1"/>
      <c r="AM299" s="1"/>
      <c r="AN299" s="1"/>
    </row>
    <row x14ac:dyDescent="0.25" r="300" customHeight="1" ht="18.75">
      <c r="A300" s="1"/>
      <c r="B300" s="1"/>
      <c r="C300" s="1"/>
      <c r="D300" s="1"/>
      <c r="E300" s="1"/>
      <c r="F300" s="57"/>
      <c r="G300" s="1"/>
      <c r="H300" s="57"/>
      <c r="I300" s="58"/>
      <c r="J300" s="59"/>
      <c r="K300" s="57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5"/>
      <c r="AK300" s="1"/>
      <c r="AL300" s="1"/>
      <c r="AM300" s="1"/>
      <c r="AN300" s="1"/>
    </row>
    <row x14ac:dyDescent="0.25" r="301" customHeight="1" ht="18.75">
      <c r="A301" s="1"/>
      <c r="B301" s="1"/>
      <c r="C301" s="1"/>
      <c r="D301" s="1"/>
      <c r="E301" s="1"/>
      <c r="F301" s="57"/>
      <c r="G301" s="1"/>
      <c r="H301" s="57"/>
      <c r="I301" s="58"/>
      <c r="J301" s="59"/>
      <c r="K301" s="57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5"/>
      <c r="AK301" s="1"/>
      <c r="AL301" s="1"/>
      <c r="AM301" s="1"/>
      <c r="AN301" s="1"/>
    </row>
    <row x14ac:dyDescent="0.25" r="302" customHeight="1" ht="18.75">
      <c r="A302" s="1"/>
      <c r="B302" s="1"/>
      <c r="C302" s="1"/>
      <c r="D302" s="1"/>
      <c r="E302" s="1"/>
      <c r="F302" s="57"/>
      <c r="G302" s="1"/>
      <c r="H302" s="57"/>
      <c r="I302" s="58"/>
      <c r="J302" s="59"/>
      <c r="K302" s="57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5"/>
      <c r="AK302" s="1"/>
      <c r="AL302" s="1"/>
      <c r="AM302" s="1"/>
      <c r="AN302" s="1"/>
    </row>
    <row x14ac:dyDescent="0.25" r="303" customHeight="1" ht="18.75">
      <c r="A303" s="1"/>
      <c r="B303" s="1"/>
      <c r="C303" s="1"/>
      <c r="D303" s="1"/>
      <c r="E303" s="1"/>
      <c r="F303" s="57"/>
      <c r="G303" s="1"/>
      <c r="H303" s="57"/>
      <c r="I303" s="58"/>
      <c r="J303" s="59"/>
      <c r="K303" s="57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5"/>
      <c r="AK303" s="1"/>
      <c r="AL303" s="1"/>
      <c r="AM303" s="1"/>
      <c r="AN303" s="1"/>
    </row>
    <row x14ac:dyDescent="0.25" r="304" customHeight="1" ht="18.75">
      <c r="A304" s="1"/>
      <c r="B304" s="1"/>
      <c r="C304" s="1"/>
      <c r="D304" s="1"/>
      <c r="E304" s="1"/>
      <c r="F304" s="57"/>
      <c r="G304" s="1"/>
      <c r="H304" s="57"/>
      <c r="I304" s="58"/>
      <c r="J304" s="59"/>
      <c r="K304" s="57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5"/>
      <c r="AK304" s="1"/>
      <c r="AL304" s="1"/>
      <c r="AM304" s="1"/>
      <c r="AN304" s="1"/>
    </row>
    <row x14ac:dyDescent="0.25" r="305" customHeight="1" ht="18.75">
      <c r="A305" s="1"/>
      <c r="B305" s="1"/>
      <c r="C305" s="1"/>
      <c r="D305" s="1"/>
      <c r="E305" s="1"/>
      <c r="F305" s="57"/>
      <c r="G305" s="1"/>
      <c r="H305" s="57"/>
      <c r="I305" s="58"/>
      <c r="J305" s="59"/>
      <c r="K305" s="57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5"/>
      <c r="AK305" s="1"/>
      <c r="AL305" s="1"/>
      <c r="AM305" s="1"/>
      <c r="AN305" s="1"/>
    </row>
    <row x14ac:dyDescent="0.25" r="306" customHeight="1" ht="18.75">
      <c r="A306" s="1"/>
      <c r="B306" s="1"/>
      <c r="C306" s="1"/>
      <c r="D306" s="1"/>
      <c r="E306" s="1"/>
      <c r="F306" s="57"/>
      <c r="G306" s="1"/>
      <c r="H306" s="57"/>
      <c r="I306" s="58"/>
      <c r="J306" s="59"/>
      <c r="K306" s="57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5"/>
      <c r="AK306" s="1"/>
      <c r="AL306" s="1"/>
      <c r="AM306" s="1"/>
      <c r="AN306" s="1"/>
    </row>
    <row x14ac:dyDescent="0.25" r="307" customHeight="1" ht="18.75">
      <c r="A307" s="1"/>
      <c r="B307" s="1"/>
      <c r="C307" s="1"/>
      <c r="D307" s="1"/>
      <c r="E307" s="1"/>
      <c r="F307" s="57"/>
      <c r="G307" s="1"/>
      <c r="H307" s="57"/>
      <c r="I307" s="58"/>
      <c r="J307" s="59"/>
      <c r="K307" s="57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5"/>
      <c r="AK307" s="1"/>
      <c r="AL307" s="1"/>
      <c r="AM307" s="1"/>
      <c r="AN307" s="1"/>
    </row>
    <row x14ac:dyDescent="0.25" r="308" customHeight="1" ht="18.75">
      <c r="A308" s="1"/>
      <c r="B308" s="1"/>
      <c r="C308" s="1"/>
      <c r="D308" s="1"/>
      <c r="E308" s="1"/>
      <c r="F308" s="57"/>
      <c r="G308" s="1"/>
      <c r="H308" s="57"/>
      <c r="I308" s="58"/>
      <c r="J308" s="59"/>
      <c r="K308" s="57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5"/>
      <c r="AK308" s="1"/>
      <c r="AL308" s="1"/>
      <c r="AM308" s="1"/>
      <c r="AN308" s="1"/>
    </row>
    <row x14ac:dyDescent="0.25" r="309" customHeight="1" ht="18.75">
      <c r="A309" s="1"/>
      <c r="B309" s="1"/>
      <c r="C309" s="1"/>
      <c r="D309" s="1"/>
      <c r="E309" s="1"/>
      <c r="F309" s="57"/>
      <c r="G309" s="1"/>
      <c r="H309" s="57"/>
      <c r="I309" s="58"/>
      <c r="J309" s="59"/>
      <c r="K309" s="57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5"/>
      <c r="AK309" s="1"/>
      <c r="AL309" s="1"/>
      <c r="AM309" s="1"/>
      <c r="AN309" s="1"/>
    </row>
    <row x14ac:dyDescent="0.25" r="310" customHeight="1" ht="18.75">
      <c r="A310" s="1"/>
      <c r="B310" s="1"/>
      <c r="C310" s="1"/>
      <c r="D310" s="1"/>
      <c r="E310" s="1"/>
      <c r="F310" s="57"/>
      <c r="G310" s="1"/>
      <c r="H310" s="57"/>
      <c r="I310" s="58"/>
      <c r="J310" s="59"/>
      <c r="K310" s="57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5"/>
      <c r="AK310" s="1"/>
      <c r="AL310" s="1"/>
      <c r="AM310" s="1"/>
      <c r="AN310" s="1"/>
    </row>
    <row x14ac:dyDescent="0.25" r="311" customHeight="1" ht="18.75">
      <c r="A311" s="1"/>
      <c r="B311" s="1"/>
      <c r="C311" s="1"/>
      <c r="D311" s="1"/>
      <c r="E311" s="1"/>
      <c r="F311" s="57"/>
      <c r="G311" s="1"/>
      <c r="H311" s="57"/>
      <c r="I311" s="58"/>
      <c r="J311" s="59"/>
      <c r="K311" s="57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5"/>
      <c r="AK311" s="1"/>
      <c r="AL311" s="1"/>
      <c r="AM311" s="1"/>
      <c r="AN311" s="1"/>
    </row>
    <row x14ac:dyDescent="0.25" r="312" customHeight="1" ht="18.75">
      <c r="A312" s="1"/>
      <c r="B312" s="1"/>
      <c r="C312" s="1"/>
      <c r="D312" s="1"/>
      <c r="E312" s="1"/>
      <c r="F312" s="57"/>
      <c r="G312" s="1"/>
      <c r="H312" s="57"/>
      <c r="I312" s="58"/>
      <c r="J312" s="59"/>
      <c r="K312" s="57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5"/>
      <c r="AK312" s="1"/>
      <c r="AL312" s="1"/>
      <c r="AM312" s="1"/>
      <c r="AN312" s="1"/>
    </row>
    <row x14ac:dyDescent="0.25" r="313" customHeight="1" ht="18.75">
      <c r="A313" s="1"/>
      <c r="B313" s="1"/>
      <c r="C313" s="1"/>
      <c r="D313" s="1"/>
      <c r="E313" s="1"/>
      <c r="F313" s="57"/>
      <c r="G313" s="1"/>
      <c r="H313" s="57"/>
      <c r="I313" s="58"/>
      <c r="J313" s="59"/>
      <c r="K313" s="57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5"/>
      <c r="AK313" s="1"/>
      <c r="AL313" s="1"/>
      <c r="AM313" s="1"/>
      <c r="AN313" s="1"/>
    </row>
    <row x14ac:dyDescent="0.25" r="314" customHeight="1" ht="18.75">
      <c r="A314" s="1"/>
      <c r="B314" s="1"/>
      <c r="C314" s="1"/>
      <c r="D314" s="1"/>
      <c r="E314" s="1"/>
      <c r="F314" s="57"/>
      <c r="G314" s="1"/>
      <c r="H314" s="57"/>
      <c r="I314" s="58"/>
      <c r="J314" s="59"/>
      <c r="K314" s="57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5"/>
      <c r="AK314" s="1"/>
      <c r="AL314" s="1"/>
      <c r="AM314" s="1"/>
      <c r="AN314" s="1"/>
    </row>
    <row x14ac:dyDescent="0.25" r="315" customHeight="1" ht="18.75">
      <c r="A315" s="1"/>
      <c r="B315" s="1"/>
      <c r="C315" s="1"/>
      <c r="D315" s="1"/>
      <c r="E315" s="1"/>
      <c r="F315" s="57"/>
      <c r="G315" s="1"/>
      <c r="H315" s="57"/>
      <c r="I315" s="58"/>
      <c r="J315" s="59"/>
      <c r="K315" s="57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5"/>
      <c r="AK315" s="1"/>
      <c r="AL315" s="1"/>
      <c r="AM315" s="1"/>
      <c r="AN315" s="1"/>
    </row>
    <row x14ac:dyDescent="0.25" r="316" customHeight="1" ht="18.75">
      <c r="A316" s="1"/>
      <c r="B316" s="1"/>
      <c r="C316" s="1"/>
      <c r="D316" s="1"/>
      <c r="E316" s="1"/>
      <c r="F316" s="57"/>
      <c r="G316" s="1"/>
      <c r="H316" s="57"/>
      <c r="I316" s="58"/>
      <c r="J316" s="59"/>
      <c r="K316" s="57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5"/>
      <c r="AK316" s="1"/>
      <c r="AL316" s="1"/>
      <c r="AM316" s="1"/>
      <c r="AN316" s="1"/>
    </row>
    <row x14ac:dyDescent="0.25" r="317" customHeight="1" ht="18.75">
      <c r="A317" s="1"/>
      <c r="B317" s="1"/>
      <c r="C317" s="1"/>
      <c r="D317" s="1"/>
      <c r="E317" s="1"/>
      <c r="F317" s="57"/>
      <c r="G317" s="1"/>
      <c r="H317" s="57"/>
      <c r="I317" s="58"/>
      <c r="J317" s="59"/>
      <c r="K317" s="57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5"/>
      <c r="AK317" s="1"/>
      <c r="AL317" s="1"/>
      <c r="AM317" s="1"/>
      <c r="AN317" s="1"/>
    </row>
    <row x14ac:dyDescent="0.25" r="318" customHeight="1" ht="18.75">
      <c r="A318" s="1"/>
      <c r="B318" s="1"/>
      <c r="C318" s="1"/>
      <c r="D318" s="1"/>
      <c r="E318" s="1"/>
      <c r="F318" s="57"/>
      <c r="G318" s="1"/>
      <c r="H318" s="57"/>
      <c r="I318" s="58"/>
      <c r="J318" s="59"/>
      <c r="K318" s="57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5"/>
      <c r="AK318" s="1"/>
      <c r="AL318" s="1"/>
      <c r="AM318" s="1"/>
      <c r="AN318" s="1"/>
    </row>
    <row x14ac:dyDescent="0.25" r="319" customHeight="1" ht="18.75">
      <c r="A319" s="1"/>
      <c r="B319" s="1"/>
      <c r="C319" s="1"/>
      <c r="D319" s="1"/>
      <c r="E319" s="1"/>
      <c r="F319" s="57"/>
      <c r="G319" s="1"/>
      <c r="H319" s="57"/>
      <c r="I319" s="58"/>
      <c r="J319" s="59"/>
      <c r="K319" s="57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5"/>
      <c r="AK319" s="1"/>
      <c r="AL319" s="1"/>
      <c r="AM319" s="1"/>
      <c r="AN319" s="1"/>
    </row>
    <row x14ac:dyDescent="0.25" r="320" customHeight="1" ht="18.75">
      <c r="A320" s="1"/>
      <c r="B320" s="1"/>
      <c r="C320" s="1"/>
      <c r="D320" s="1"/>
      <c r="E320" s="1"/>
      <c r="F320" s="57"/>
      <c r="G320" s="1"/>
      <c r="H320" s="57"/>
      <c r="I320" s="58"/>
      <c r="J320" s="59"/>
      <c r="K320" s="57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5"/>
      <c r="AK320" s="1"/>
      <c r="AL320" s="1"/>
      <c r="AM320" s="1"/>
      <c r="AN320" s="1"/>
    </row>
    <row x14ac:dyDescent="0.25" r="321" customHeight="1" ht="18.75">
      <c r="A321" s="1"/>
      <c r="B321" s="1"/>
      <c r="C321" s="1"/>
      <c r="D321" s="1"/>
      <c r="E321" s="1"/>
      <c r="F321" s="57"/>
      <c r="G321" s="1"/>
      <c r="H321" s="57"/>
      <c r="I321" s="58"/>
      <c r="J321" s="59"/>
      <c r="K321" s="57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5"/>
      <c r="AK321" s="1"/>
      <c r="AL321" s="1"/>
      <c r="AM321" s="1"/>
      <c r="AN321" s="1"/>
    </row>
    <row x14ac:dyDescent="0.25" r="322" customHeight="1" ht="18.75">
      <c r="A322" s="1"/>
      <c r="B322" s="1"/>
      <c r="C322" s="1"/>
      <c r="D322" s="1"/>
      <c r="E322" s="1"/>
      <c r="F322" s="57"/>
      <c r="G322" s="1"/>
      <c r="H322" s="57"/>
      <c r="I322" s="58"/>
      <c r="J322" s="59"/>
      <c r="K322" s="57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5"/>
      <c r="AK322" s="1"/>
      <c r="AL322" s="1"/>
      <c r="AM322" s="1"/>
      <c r="AN322" s="1"/>
    </row>
    <row x14ac:dyDescent="0.25" r="323" customHeight="1" ht="18.75">
      <c r="A323" s="1"/>
      <c r="B323" s="1"/>
      <c r="C323" s="1"/>
      <c r="D323" s="1"/>
      <c r="E323" s="1"/>
      <c r="F323" s="57"/>
      <c r="G323" s="1"/>
      <c r="H323" s="57"/>
      <c r="I323" s="58"/>
      <c r="J323" s="59"/>
      <c r="K323" s="57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5"/>
      <c r="AK323" s="1"/>
      <c r="AL323" s="1"/>
      <c r="AM323" s="1"/>
      <c r="AN323" s="1"/>
    </row>
    <row x14ac:dyDescent="0.25" r="324" customHeight="1" ht="18.75">
      <c r="A324" s="1"/>
      <c r="B324" s="1"/>
      <c r="C324" s="1"/>
      <c r="D324" s="1"/>
      <c r="E324" s="1"/>
      <c r="F324" s="57"/>
      <c r="G324" s="1"/>
      <c r="H324" s="57"/>
      <c r="I324" s="58"/>
      <c r="J324" s="59"/>
      <c r="K324" s="57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5"/>
      <c r="AK324" s="1"/>
      <c r="AL324" s="1"/>
      <c r="AM324" s="1"/>
      <c r="AN324" s="1"/>
    </row>
    <row x14ac:dyDescent="0.25" r="325" customHeight="1" ht="18.75">
      <c r="A325" s="1"/>
      <c r="B325" s="1"/>
      <c r="C325" s="1"/>
      <c r="D325" s="1"/>
      <c r="E325" s="1"/>
      <c r="F325" s="57"/>
      <c r="G325" s="1"/>
      <c r="H325" s="57"/>
      <c r="I325" s="58"/>
      <c r="J325" s="59"/>
      <c r="K325" s="57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5"/>
      <c r="AK325" s="1"/>
      <c r="AL325" s="1"/>
      <c r="AM325" s="1"/>
      <c r="AN325" s="1"/>
    </row>
    <row x14ac:dyDescent="0.25" r="326" customHeight="1" ht="18.75">
      <c r="A326" s="1"/>
      <c r="B326" s="1"/>
      <c r="C326" s="1"/>
      <c r="D326" s="1"/>
      <c r="E326" s="1"/>
      <c r="F326" s="57"/>
      <c r="G326" s="1"/>
      <c r="H326" s="57"/>
      <c r="I326" s="58"/>
      <c r="J326" s="59"/>
      <c r="K326" s="57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5"/>
      <c r="AK326" s="1"/>
      <c r="AL326" s="1"/>
      <c r="AM326" s="1"/>
      <c r="AN326" s="1"/>
    </row>
    <row x14ac:dyDescent="0.25" r="327" customHeight="1" ht="18.75">
      <c r="A327" s="1"/>
      <c r="B327" s="1"/>
      <c r="C327" s="1"/>
      <c r="D327" s="1"/>
      <c r="E327" s="1"/>
      <c r="F327" s="57"/>
      <c r="G327" s="1"/>
      <c r="H327" s="57"/>
      <c r="I327" s="58"/>
      <c r="J327" s="59"/>
      <c r="K327" s="57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5"/>
      <c r="AK327" s="1"/>
      <c r="AL327" s="1"/>
      <c r="AM327" s="1"/>
      <c r="AN327" s="1"/>
    </row>
    <row x14ac:dyDescent="0.25" r="328" customHeight="1" ht="18.75">
      <c r="A328" s="1"/>
      <c r="B328" s="1"/>
      <c r="C328" s="1"/>
      <c r="D328" s="1"/>
      <c r="E328" s="1"/>
      <c r="F328" s="57"/>
      <c r="G328" s="1"/>
      <c r="H328" s="57"/>
      <c r="I328" s="58"/>
      <c r="J328" s="59"/>
      <c r="K328" s="57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5"/>
      <c r="AK328" s="1"/>
      <c r="AL328" s="1"/>
      <c r="AM328" s="1"/>
      <c r="AN328" s="1"/>
    </row>
    <row x14ac:dyDescent="0.25" r="329" customHeight="1" ht="18.75">
      <c r="A329" s="1"/>
      <c r="B329" s="1"/>
      <c r="C329" s="1"/>
      <c r="D329" s="1"/>
      <c r="E329" s="1"/>
      <c r="F329" s="57"/>
      <c r="G329" s="1"/>
      <c r="H329" s="57"/>
      <c r="I329" s="58"/>
      <c r="J329" s="59"/>
      <c r="K329" s="57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5"/>
      <c r="AK329" s="1"/>
      <c r="AL329" s="1"/>
      <c r="AM329" s="1"/>
      <c r="AN329" s="1"/>
    </row>
    <row x14ac:dyDescent="0.25" r="330" customHeight="1" ht="18.75">
      <c r="A330" s="1"/>
      <c r="B330" s="1"/>
      <c r="C330" s="1"/>
      <c r="D330" s="1"/>
      <c r="E330" s="1"/>
      <c r="F330" s="57"/>
      <c r="G330" s="1"/>
      <c r="H330" s="57"/>
      <c r="I330" s="58"/>
      <c r="J330" s="59"/>
      <c r="K330" s="57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5"/>
      <c r="AK330" s="1"/>
      <c r="AL330" s="1"/>
      <c r="AM330" s="1"/>
      <c r="AN330" s="1"/>
    </row>
    <row x14ac:dyDescent="0.25" r="331" customHeight="1" ht="18.75">
      <c r="A331" s="1"/>
      <c r="B331" s="1"/>
      <c r="C331" s="1"/>
      <c r="D331" s="1"/>
      <c r="E331" s="1"/>
      <c r="F331" s="57"/>
      <c r="G331" s="1"/>
      <c r="H331" s="57"/>
      <c r="I331" s="58"/>
      <c r="J331" s="59"/>
      <c r="K331" s="57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5"/>
      <c r="AK331" s="1"/>
      <c r="AL331" s="1"/>
      <c r="AM331" s="1"/>
      <c r="AN331" s="1"/>
    </row>
    <row x14ac:dyDescent="0.25" r="332" customHeight="1" ht="18.75">
      <c r="A332" s="1"/>
      <c r="B332" s="1"/>
      <c r="C332" s="1"/>
      <c r="D332" s="1"/>
      <c r="E332" s="1"/>
      <c r="F332" s="57"/>
      <c r="G332" s="1"/>
      <c r="H332" s="57"/>
      <c r="I332" s="58"/>
      <c r="J332" s="59"/>
      <c r="K332" s="57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5"/>
      <c r="AK332" s="1"/>
      <c r="AL332" s="1"/>
      <c r="AM332" s="1"/>
      <c r="AN332" s="1"/>
    </row>
    <row x14ac:dyDescent="0.25" r="333" customHeight="1" ht="18.75">
      <c r="A333" s="1"/>
      <c r="B333" s="1"/>
      <c r="C333" s="1"/>
      <c r="D333" s="1"/>
      <c r="E333" s="1"/>
      <c r="F333" s="57"/>
      <c r="G333" s="1"/>
      <c r="H333" s="57"/>
      <c r="I333" s="58"/>
      <c r="J333" s="59"/>
      <c r="K333" s="57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5"/>
      <c r="AK333" s="1"/>
      <c r="AL333" s="1"/>
      <c r="AM333" s="1"/>
      <c r="AN333" s="1"/>
    </row>
    <row x14ac:dyDescent="0.25" r="334" customHeight="1" ht="18.75">
      <c r="A334" s="1"/>
      <c r="B334" s="1"/>
      <c r="C334" s="1"/>
      <c r="D334" s="1"/>
      <c r="E334" s="1"/>
      <c r="F334" s="57"/>
      <c r="G334" s="1"/>
      <c r="H334" s="57"/>
      <c r="I334" s="58"/>
      <c r="J334" s="59"/>
      <c r="K334" s="57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5"/>
      <c r="AK334" s="1"/>
      <c r="AL334" s="1"/>
      <c r="AM334" s="1"/>
      <c r="AN334" s="1"/>
    </row>
    <row x14ac:dyDescent="0.25" r="335" customHeight="1" ht="18.75">
      <c r="A335" s="1"/>
      <c r="B335" s="1"/>
      <c r="C335" s="1"/>
      <c r="D335" s="1"/>
      <c r="E335" s="1"/>
      <c r="F335" s="57"/>
      <c r="G335" s="1"/>
      <c r="H335" s="57"/>
      <c r="I335" s="58"/>
      <c r="J335" s="59"/>
      <c r="K335" s="57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5"/>
      <c r="AK335" s="1"/>
      <c r="AL335" s="1"/>
      <c r="AM335" s="1"/>
      <c r="AN335" s="1"/>
    </row>
    <row x14ac:dyDescent="0.25" r="336" customHeight="1" ht="18.75">
      <c r="A336" s="1"/>
      <c r="B336" s="1"/>
      <c r="C336" s="1"/>
      <c r="D336" s="1"/>
      <c r="E336" s="1"/>
      <c r="F336" s="57"/>
      <c r="G336" s="1"/>
      <c r="H336" s="57"/>
      <c r="I336" s="58"/>
      <c r="J336" s="59"/>
      <c r="K336" s="57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5"/>
      <c r="AK336" s="1"/>
      <c r="AL336" s="1"/>
      <c r="AM336" s="1"/>
      <c r="AN336" s="1"/>
    </row>
    <row x14ac:dyDescent="0.25" r="337" customHeight="1" ht="18.75">
      <c r="A337" s="1"/>
      <c r="B337" s="1"/>
      <c r="C337" s="1"/>
      <c r="D337" s="1"/>
      <c r="E337" s="1"/>
      <c r="F337" s="57"/>
      <c r="G337" s="1"/>
      <c r="H337" s="57"/>
      <c r="I337" s="58"/>
      <c r="J337" s="59"/>
      <c r="K337" s="57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5"/>
      <c r="AK337" s="1"/>
      <c r="AL337" s="1"/>
      <c r="AM337" s="1"/>
      <c r="AN337" s="1"/>
    </row>
    <row x14ac:dyDescent="0.25" r="338" customHeight="1" ht="18.75">
      <c r="A338" s="1"/>
      <c r="B338" s="1"/>
      <c r="C338" s="1"/>
      <c r="D338" s="1"/>
      <c r="E338" s="1"/>
      <c r="F338" s="57"/>
      <c r="G338" s="1"/>
      <c r="H338" s="57"/>
      <c r="I338" s="58"/>
      <c r="J338" s="59"/>
      <c r="K338" s="57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5"/>
      <c r="AK338" s="1"/>
      <c r="AL338" s="1"/>
      <c r="AM338" s="1"/>
      <c r="AN338" s="1"/>
    </row>
    <row x14ac:dyDescent="0.25" r="339" customHeight="1" ht="18.75">
      <c r="A339" s="1"/>
      <c r="B339" s="1"/>
      <c r="C339" s="1"/>
      <c r="D339" s="1"/>
      <c r="E339" s="1"/>
      <c r="F339" s="57"/>
      <c r="G339" s="1"/>
      <c r="H339" s="57"/>
      <c r="I339" s="58"/>
      <c r="J339" s="59"/>
      <c r="K339" s="57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5"/>
      <c r="AK339" s="1"/>
      <c r="AL339" s="1"/>
      <c r="AM339" s="1"/>
      <c r="AN339" s="1"/>
    </row>
    <row x14ac:dyDescent="0.25" r="340" customHeight="1" ht="18.75">
      <c r="A340" s="1"/>
      <c r="B340" s="1"/>
      <c r="C340" s="1"/>
      <c r="D340" s="1"/>
      <c r="E340" s="157" t="s">
        <v>105</v>
      </c>
      <c r="F340" s="57"/>
      <c r="G340" s="1"/>
      <c r="H340" s="57"/>
      <c r="I340" s="58"/>
      <c r="J340" s="59"/>
      <c r="K340" s="57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5"/>
      <c r="AK340" s="1"/>
      <c r="AL340" s="1"/>
      <c r="AM340" s="1"/>
      <c r="AN340" s="1"/>
    </row>
  </sheetData>
  <mergeCells count="153">
    <mergeCell ref="B1:D5"/>
    <mergeCell ref="E1:N5"/>
    <mergeCell ref="O1:R1"/>
    <mergeCell ref="O2:R2"/>
    <mergeCell ref="O3:R3"/>
    <mergeCell ref="O5:R5"/>
    <mergeCell ref="B6:D6"/>
    <mergeCell ref="E6:N6"/>
    <mergeCell ref="O6:R6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A13:A18"/>
    <mergeCell ref="B13:B18"/>
    <mergeCell ref="C13:C18"/>
    <mergeCell ref="D13:D18"/>
    <mergeCell ref="E13:E18"/>
    <mergeCell ref="F13:F18"/>
    <mergeCell ref="G13:G18"/>
    <mergeCell ref="H13:H18"/>
    <mergeCell ref="I13:I18"/>
    <mergeCell ref="J13:J18"/>
    <mergeCell ref="K13:K15"/>
    <mergeCell ref="AK13:AK18"/>
    <mergeCell ref="AL13:AL18"/>
    <mergeCell ref="AM13:AM18"/>
    <mergeCell ref="K16:K18"/>
    <mergeCell ref="A19:A24"/>
    <mergeCell ref="B19:B24"/>
    <mergeCell ref="C19:C24"/>
    <mergeCell ref="D19:D24"/>
    <mergeCell ref="E19:E24"/>
    <mergeCell ref="F19:F24"/>
    <mergeCell ref="G19:G24"/>
    <mergeCell ref="H19:H24"/>
    <mergeCell ref="I19:I24"/>
    <mergeCell ref="J19:J24"/>
    <mergeCell ref="K19:K21"/>
    <mergeCell ref="AK19:AK24"/>
    <mergeCell ref="AL19:AL24"/>
    <mergeCell ref="AM19:AM24"/>
    <mergeCell ref="K22:K24"/>
    <mergeCell ref="A25:A30"/>
    <mergeCell ref="B25:B30"/>
    <mergeCell ref="C25:C30"/>
    <mergeCell ref="D25:D30"/>
    <mergeCell ref="E25:E30"/>
    <mergeCell ref="F25:F30"/>
    <mergeCell ref="G25:G30"/>
    <mergeCell ref="H25:H30"/>
    <mergeCell ref="I25:I30"/>
    <mergeCell ref="J25:J30"/>
    <mergeCell ref="K25:K27"/>
    <mergeCell ref="AK25:AK30"/>
    <mergeCell ref="AL25:AL30"/>
    <mergeCell ref="AM25:AM30"/>
    <mergeCell ref="K28:K30"/>
    <mergeCell ref="A31:A36"/>
    <mergeCell ref="B31:B36"/>
    <mergeCell ref="C31:C36"/>
    <mergeCell ref="D31:D36"/>
    <mergeCell ref="E31:E36"/>
    <mergeCell ref="F31:F36"/>
    <mergeCell ref="G31:G36"/>
    <mergeCell ref="H31:H36"/>
    <mergeCell ref="I31:I36"/>
    <mergeCell ref="J31:J36"/>
    <mergeCell ref="K31:K33"/>
    <mergeCell ref="AK31:AK36"/>
    <mergeCell ref="AL31:AL36"/>
    <mergeCell ref="AM31:AM36"/>
    <mergeCell ref="K34:K36"/>
    <mergeCell ref="A37:A42"/>
    <mergeCell ref="B37:B42"/>
    <mergeCell ref="C37:C42"/>
    <mergeCell ref="D37:D42"/>
    <mergeCell ref="E37:E42"/>
    <mergeCell ref="F37:F42"/>
    <mergeCell ref="G37:G42"/>
    <mergeCell ref="H37:H42"/>
    <mergeCell ref="I37:I42"/>
    <mergeCell ref="J37:J42"/>
    <mergeCell ref="K37:K39"/>
    <mergeCell ref="AK37:AK42"/>
    <mergeCell ref="AL37:AL42"/>
    <mergeCell ref="AM37:AM42"/>
    <mergeCell ref="K40:K42"/>
    <mergeCell ref="A43:A48"/>
    <mergeCell ref="B43:B48"/>
    <mergeCell ref="C43:C48"/>
    <mergeCell ref="D43:D48"/>
    <mergeCell ref="E43:E48"/>
    <mergeCell ref="F43:F48"/>
    <mergeCell ref="G43:G48"/>
    <mergeCell ref="H43:H48"/>
    <mergeCell ref="I43:I48"/>
    <mergeCell ref="J43:J48"/>
    <mergeCell ref="K43:K45"/>
    <mergeCell ref="AK43:AK48"/>
    <mergeCell ref="AL43:AL48"/>
    <mergeCell ref="AM43:AM48"/>
    <mergeCell ref="K46:K48"/>
    <mergeCell ref="A49:A54"/>
    <mergeCell ref="B49:B54"/>
    <mergeCell ref="C49:C54"/>
    <mergeCell ref="D49:D54"/>
    <mergeCell ref="E49:E54"/>
    <mergeCell ref="F49:F54"/>
    <mergeCell ref="G49:G54"/>
    <mergeCell ref="H49:H54"/>
    <mergeCell ref="I49:I54"/>
    <mergeCell ref="J49:J54"/>
    <mergeCell ref="K49:K51"/>
    <mergeCell ref="AK49:AK54"/>
    <mergeCell ref="AL49:AL54"/>
    <mergeCell ref="AM49:AM54"/>
    <mergeCell ref="K52:K5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CDC 2026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2026-02-12T22:24:58.355Z</dcterms:created>
  <dcterms:modified xsi:type="dcterms:W3CDTF">2026-02-12T22:24:58.355Z</dcterms:modified>
</cp:coreProperties>
</file>