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5/CDC (Proyecciones)/Inicial/"/>
    </mc:Choice>
  </mc:AlternateContent>
  <xr:revisionPtr revIDLastSave="452" documentId="13_ncr:1_{3012F3E0-0B37-4672-B279-0A3CF96CA009}" xr6:coauthVersionLast="47" xr6:coauthVersionMax="47" xr10:uidLastSave="{B436472C-39C1-4AF0-8911-A59A3E91C7B3}"/>
  <bookViews>
    <workbookView xWindow="-120" yWindow="-120" windowWidth="20730" windowHeight="11160" tabRatio="660" activeTab="1" xr2:uid="{00000000-000D-0000-FFFF-FFFF00000000}"/>
  </bookViews>
  <sheets>
    <sheet name="CDC 2025" sheetId="1" r:id="rId1"/>
    <sheet name="ind 14 dias desagr por sexo CDC" sheetId="8" r:id="rId2"/>
    <sheet name="Formulario H" sheetId="2" r:id="rId3"/>
    <sheet name="ind cargas fam desagr por sexo" sheetId="7" r:id="rId4"/>
    <sheet name="ind 14 dias desagr por sexo" sheetId="6" r:id="rId5"/>
    <sheet name="ind PGU desagr por sexo" sheetId="5" r:id="rId6"/>
  </sheets>
  <definedNames>
    <definedName name="_xlnm.Print_Area" localSheetId="0">'CDC 2025'!$B$1:$AL$24</definedName>
    <definedName name="_xlnm.Print_Titles" localSheetId="0">'CDC 2025'!$1:$12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6" l="1"/>
  <c r="K24" i="6"/>
  <c r="K18" i="6"/>
  <c r="K16" i="6"/>
  <c r="K18" i="8" l="1"/>
  <c r="K16" i="8"/>
  <c r="J50" i="1"/>
  <c r="L20" i="1"/>
  <c r="O36" i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O34" i="1"/>
  <c r="Q34" i="1" s="1"/>
  <c r="AH32" i="1"/>
  <c r="AF32" i="1"/>
  <c r="AD32" i="1"/>
  <c r="AB32" i="1"/>
  <c r="Z32" i="1"/>
  <c r="X32" i="1"/>
  <c r="V32" i="1"/>
  <c r="T32" i="1"/>
  <c r="R32" i="1"/>
  <c r="P32" i="1"/>
  <c r="O32" i="1"/>
  <c r="N32" i="1"/>
  <c r="M32" i="1"/>
  <c r="L32" i="1"/>
  <c r="I31" i="1" s="1"/>
  <c r="P38" i="8"/>
  <c r="R38" i="8" s="1"/>
  <c r="T38" i="8" s="1"/>
  <c r="V38" i="8" s="1"/>
  <c r="X38" i="8" s="1"/>
  <c r="Z38" i="8" s="1"/>
  <c r="AB38" i="8" s="1"/>
  <c r="AD38" i="8" s="1"/>
  <c r="AF38" i="8" s="1"/>
  <c r="AH38" i="8" s="1"/>
  <c r="N38" i="8"/>
  <c r="N36" i="8"/>
  <c r="N34" i="8" s="1"/>
  <c r="AG34" i="8"/>
  <c r="AE34" i="8"/>
  <c r="AC34" i="8"/>
  <c r="AA34" i="8"/>
  <c r="Y34" i="8"/>
  <c r="W34" i="8"/>
  <c r="U34" i="8"/>
  <c r="S34" i="8"/>
  <c r="Q34" i="8"/>
  <c r="O34" i="8"/>
  <c r="M34" i="8"/>
  <c r="L34" i="8"/>
  <c r="K34" i="8"/>
  <c r="I33" i="8" s="1"/>
  <c r="P28" i="8"/>
  <c r="R28" i="8" s="1"/>
  <c r="T28" i="8" s="1"/>
  <c r="V28" i="8" s="1"/>
  <c r="X28" i="8" s="1"/>
  <c r="Z28" i="8" s="1"/>
  <c r="AB28" i="8" s="1"/>
  <c r="AD28" i="8" s="1"/>
  <c r="AF28" i="8" s="1"/>
  <c r="AH28" i="8" s="1"/>
  <c r="N28" i="8"/>
  <c r="N26" i="8"/>
  <c r="N24" i="8" s="1"/>
  <c r="AG24" i="8"/>
  <c r="AE24" i="8"/>
  <c r="AC24" i="8"/>
  <c r="AA24" i="8"/>
  <c r="Y24" i="8"/>
  <c r="W24" i="8"/>
  <c r="U24" i="8"/>
  <c r="S24" i="8"/>
  <c r="Q24" i="8"/>
  <c r="O24" i="8"/>
  <c r="M24" i="8"/>
  <c r="L24" i="8"/>
  <c r="K24" i="8"/>
  <c r="I23" i="8" s="1"/>
  <c r="AG18" i="8"/>
  <c r="AE18" i="8"/>
  <c r="AC18" i="8"/>
  <c r="AA18" i="8"/>
  <c r="Y18" i="8"/>
  <c r="W18" i="8"/>
  <c r="U18" i="8"/>
  <c r="S18" i="8"/>
  <c r="Q18" i="8"/>
  <c r="O18" i="8"/>
  <c r="M18" i="8"/>
  <c r="L18" i="8"/>
  <c r="N18" i="8" s="1"/>
  <c r="P18" i="8" s="1"/>
  <c r="R18" i="8" s="1"/>
  <c r="T18" i="8" s="1"/>
  <c r="V18" i="8" s="1"/>
  <c r="X18" i="8" s="1"/>
  <c r="Z18" i="8" s="1"/>
  <c r="AB18" i="8" s="1"/>
  <c r="AD18" i="8" s="1"/>
  <c r="AF18" i="8" s="1"/>
  <c r="AH18" i="8" s="1"/>
  <c r="AG16" i="8"/>
  <c r="AE16" i="8"/>
  <c r="AC16" i="8"/>
  <c r="AA16" i="8"/>
  <c r="Y16" i="8"/>
  <c r="W16" i="8"/>
  <c r="U16" i="8"/>
  <c r="S16" i="8"/>
  <c r="Q16" i="8"/>
  <c r="O16" i="8"/>
  <c r="M16" i="8"/>
  <c r="L16" i="8"/>
  <c r="N16" i="8" s="1"/>
  <c r="AG14" i="8"/>
  <c r="AE14" i="8"/>
  <c r="AC14" i="8"/>
  <c r="AA14" i="8"/>
  <c r="Y14" i="8"/>
  <c r="W14" i="8"/>
  <c r="U14" i="8"/>
  <c r="S14" i="8"/>
  <c r="Q14" i="8"/>
  <c r="O14" i="8"/>
  <c r="M14" i="8"/>
  <c r="L14" i="8"/>
  <c r="K32" i="2"/>
  <c r="I31" i="2" s="1"/>
  <c r="P38" i="7"/>
  <c r="R38" i="7" s="1"/>
  <c r="T38" i="7" s="1"/>
  <c r="V38" i="7" s="1"/>
  <c r="X38" i="7" s="1"/>
  <c r="Z38" i="7" s="1"/>
  <c r="AB38" i="7" s="1"/>
  <c r="AD38" i="7" s="1"/>
  <c r="AF38" i="7" s="1"/>
  <c r="AH38" i="7" s="1"/>
  <c r="N38" i="7"/>
  <c r="N36" i="7"/>
  <c r="N34" i="7" s="1"/>
  <c r="AG34" i="7"/>
  <c r="AE34" i="7"/>
  <c r="AC34" i="7"/>
  <c r="AA34" i="7"/>
  <c r="Y34" i="7"/>
  <c r="W34" i="7"/>
  <c r="U34" i="7"/>
  <c r="S34" i="7"/>
  <c r="Q34" i="7"/>
  <c r="O34" i="7"/>
  <c r="M34" i="7"/>
  <c r="L34" i="7"/>
  <c r="K34" i="7"/>
  <c r="I33" i="7" s="1"/>
  <c r="P28" i="7"/>
  <c r="R28" i="7" s="1"/>
  <c r="T28" i="7" s="1"/>
  <c r="V28" i="7" s="1"/>
  <c r="X28" i="7" s="1"/>
  <c r="Z28" i="7" s="1"/>
  <c r="AB28" i="7" s="1"/>
  <c r="AD28" i="7" s="1"/>
  <c r="AF28" i="7" s="1"/>
  <c r="AH28" i="7" s="1"/>
  <c r="N28" i="7"/>
  <c r="N26" i="7"/>
  <c r="N24" i="7" s="1"/>
  <c r="AG24" i="7"/>
  <c r="AE24" i="7"/>
  <c r="AC24" i="7"/>
  <c r="AA24" i="7"/>
  <c r="Y24" i="7"/>
  <c r="W24" i="7"/>
  <c r="U24" i="7"/>
  <c r="S24" i="7"/>
  <c r="Q24" i="7"/>
  <c r="O24" i="7"/>
  <c r="M24" i="7"/>
  <c r="L24" i="7"/>
  <c r="K24" i="7"/>
  <c r="I23" i="7" s="1"/>
  <c r="AG18" i="7"/>
  <c r="AE18" i="7"/>
  <c r="AC18" i="7"/>
  <c r="AA18" i="7"/>
  <c r="Y18" i="7"/>
  <c r="W18" i="7"/>
  <c r="U18" i="7"/>
  <c r="S18" i="7"/>
  <c r="Q18" i="7"/>
  <c r="O18" i="7"/>
  <c r="M18" i="7"/>
  <c r="L18" i="7"/>
  <c r="N18" i="7" s="1"/>
  <c r="P18" i="7" s="1"/>
  <c r="R18" i="7" s="1"/>
  <c r="T18" i="7" s="1"/>
  <c r="V18" i="7" s="1"/>
  <c r="X18" i="7" s="1"/>
  <c r="Z18" i="7" s="1"/>
  <c r="AB18" i="7" s="1"/>
  <c r="AD18" i="7" s="1"/>
  <c r="AF18" i="7" s="1"/>
  <c r="AH18" i="7" s="1"/>
  <c r="AG16" i="7"/>
  <c r="AE16" i="7"/>
  <c r="AC16" i="7"/>
  <c r="AA16" i="7"/>
  <c r="Y16" i="7"/>
  <c r="W16" i="7"/>
  <c r="U16" i="7"/>
  <c r="S16" i="7"/>
  <c r="S14" i="7" s="1"/>
  <c r="Q16" i="7"/>
  <c r="O16" i="7"/>
  <c r="M16" i="7"/>
  <c r="N16" i="7" s="1"/>
  <c r="L16" i="7"/>
  <c r="K14" i="7"/>
  <c r="I13" i="7" s="1"/>
  <c r="AG14" i="7"/>
  <c r="AE14" i="7"/>
  <c r="AC14" i="7"/>
  <c r="AA14" i="7"/>
  <c r="Y14" i="7"/>
  <c r="W14" i="7"/>
  <c r="U14" i="7"/>
  <c r="Q14" i="7"/>
  <c r="O14" i="7"/>
  <c r="M14" i="7"/>
  <c r="L14" i="7"/>
  <c r="N38" i="6"/>
  <c r="P38" i="6" s="1"/>
  <c r="R38" i="6" s="1"/>
  <c r="T38" i="6" s="1"/>
  <c r="V38" i="6" s="1"/>
  <c r="X38" i="6" s="1"/>
  <c r="Z38" i="6" s="1"/>
  <c r="AB38" i="6" s="1"/>
  <c r="AD38" i="6" s="1"/>
  <c r="AF38" i="6" s="1"/>
  <c r="AH38" i="6" s="1"/>
  <c r="N36" i="6"/>
  <c r="N34" i="6" s="1"/>
  <c r="AG34" i="6"/>
  <c r="AE34" i="6"/>
  <c r="AC34" i="6"/>
  <c r="AA34" i="6"/>
  <c r="Y34" i="6"/>
  <c r="W34" i="6"/>
  <c r="U34" i="6"/>
  <c r="S34" i="6"/>
  <c r="Q34" i="6"/>
  <c r="O34" i="6"/>
  <c r="M34" i="6"/>
  <c r="L34" i="6"/>
  <c r="I33" i="6"/>
  <c r="N28" i="6"/>
  <c r="P28" i="6" s="1"/>
  <c r="R28" i="6" s="1"/>
  <c r="T28" i="6" s="1"/>
  <c r="V28" i="6" s="1"/>
  <c r="X28" i="6" s="1"/>
  <c r="Z28" i="6" s="1"/>
  <c r="AB28" i="6" s="1"/>
  <c r="AD28" i="6" s="1"/>
  <c r="AF28" i="6" s="1"/>
  <c r="AH28" i="6" s="1"/>
  <c r="N26" i="6"/>
  <c r="N24" i="6" s="1"/>
  <c r="AG24" i="6"/>
  <c r="AE24" i="6"/>
  <c r="AC24" i="6"/>
  <c r="AA24" i="6"/>
  <c r="Y24" i="6"/>
  <c r="W24" i="6"/>
  <c r="U24" i="6"/>
  <c r="S24" i="6"/>
  <c r="Q24" i="6"/>
  <c r="O24" i="6"/>
  <c r="M24" i="6"/>
  <c r="L24" i="6"/>
  <c r="I23" i="6"/>
  <c r="AG18" i="6"/>
  <c r="AE18" i="6"/>
  <c r="AC18" i="6"/>
  <c r="AA18" i="6"/>
  <c r="Y18" i="6"/>
  <c r="W18" i="6"/>
  <c r="U18" i="6"/>
  <c r="S18" i="6"/>
  <c r="Q18" i="6"/>
  <c r="O18" i="6"/>
  <c r="M18" i="6"/>
  <c r="L18" i="6"/>
  <c r="N18" i="6" s="1"/>
  <c r="P18" i="6" s="1"/>
  <c r="R18" i="6" s="1"/>
  <c r="T18" i="6" s="1"/>
  <c r="V18" i="6" s="1"/>
  <c r="X18" i="6" s="1"/>
  <c r="Z18" i="6" s="1"/>
  <c r="AB18" i="6" s="1"/>
  <c r="AD18" i="6" s="1"/>
  <c r="AF18" i="6" s="1"/>
  <c r="AH18" i="6" s="1"/>
  <c r="AG16" i="6"/>
  <c r="AE16" i="6"/>
  <c r="AC16" i="6"/>
  <c r="AC14" i="6" s="1"/>
  <c r="AA16" i="6"/>
  <c r="Y16" i="6"/>
  <c r="W16" i="6"/>
  <c r="U16" i="6"/>
  <c r="U14" i="6" s="1"/>
  <c r="S16" i="6"/>
  <c r="Q16" i="6"/>
  <c r="O16" i="6"/>
  <c r="M16" i="6"/>
  <c r="M14" i="6" s="1"/>
  <c r="L16" i="6"/>
  <c r="L14" i="6" s="1"/>
  <c r="AG14" i="6"/>
  <c r="AE14" i="6"/>
  <c r="AA14" i="6"/>
  <c r="Y14" i="6"/>
  <c r="W14" i="6"/>
  <c r="S14" i="6"/>
  <c r="Q14" i="6"/>
  <c r="O14" i="6"/>
  <c r="N38" i="5"/>
  <c r="P38" i="5" s="1"/>
  <c r="R38" i="5" s="1"/>
  <c r="T38" i="5" s="1"/>
  <c r="V38" i="5" s="1"/>
  <c r="X38" i="5" s="1"/>
  <c r="Z38" i="5" s="1"/>
  <c r="AB38" i="5" s="1"/>
  <c r="AD38" i="5" s="1"/>
  <c r="AF38" i="5" s="1"/>
  <c r="AH38" i="5" s="1"/>
  <c r="R36" i="5"/>
  <c r="T36" i="5" s="1"/>
  <c r="P36" i="5"/>
  <c r="P34" i="5" s="1"/>
  <c r="N36" i="5"/>
  <c r="AG34" i="5"/>
  <c r="AE34" i="5"/>
  <c r="AC34" i="5"/>
  <c r="AA34" i="5"/>
  <c r="Y34" i="5"/>
  <c r="W34" i="5"/>
  <c r="U34" i="5"/>
  <c r="S34" i="5"/>
  <c r="Q34" i="5"/>
  <c r="O34" i="5"/>
  <c r="N34" i="5"/>
  <c r="M34" i="5"/>
  <c r="L34" i="5"/>
  <c r="K34" i="5"/>
  <c r="I33" i="5" s="1"/>
  <c r="N28" i="5"/>
  <c r="P28" i="5" s="1"/>
  <c r="R28" i="5" s="1"/>
  <c r="T28" i="5" s="1"/>
  <c r="V28" i="5" s="1"/>
  <c r="X28" i="5" s="1"/>
  <c r="Z28" i="5" s="1"/>
  <c r="AB28" i="5" s="1"/>
  <c r="AD28" i="5" s="1"/>
  <c r="AF28" i="5" s="1"/>
  <c r="AH28" i="5" s="1"/>
  <c r="R26" i="5"/>
  <c r="T26" i="5" s="1"/>
  <c r="P26" i="5"/>
  <c r="P24" i="5" s="1"/>
  <c r="N26" i="5"/>
  <c r="AG24" i="5"/>
  <c r="AE24" i="5"/>
  <c r="AC24" i="5"/>
  <c r="AA24" i="5"/>
  <c r="Y24" i="5"/>
  <c r="W24" i="5"/>
  <c r="U24" i="5"/>
  <c r="S24" i="5"/>
  <c r="Q24" i="5"/>
  <c r="O24" i="5"/>
  <c r="N24" i="5"/>
  <c r="M24" i="5"/>
  <c r="L24" i="5"/>
  <c r="K24" i="5"/>
  <c r="I23" i="5" s="1"/>
  <c r="AG18" i="5"/>
  <c r="AE18" i="5"/>
  <c r="AC18" i="5"/>
  <c r="AA18" i="5"/>
  <c r="Y18" i="5"/>
  <c r="W18" i="5"/>
  <c r="U18" i="5"/>
  <c r="S18" i="5"/>
  <c r="Q18" i="5"/>
  <c r="O18" i="5"/>
  <c r="M18" i="5"/>
  <c r="N18" i="5" s="1"/>
  <c r="P18" i="5" s="1"/>
  <c r="R18" i="5" s="1"/>
  <c r="T18" i="5" s="1"/>
  <c r="V18" i="5" s="1"/>
  <c r="X18" i="5" s="1"/>
  <c r="Z18" i="5" s="1"/>
  <c r="AB18" i="5" s="1"/>
  <c r="AD18" i="5" s="1"/>
  <c r="AF18" i="5" s="1"/>
  <c r="AH18" i="5" s="1"/>
  <c r="L18" i="5"/>
  <c r="AG16" i="5"/>
  <c r="AG14" i="5" s="1"/>
  <c r="AE16" i="5"/>
  <c r="AE14" i="5" s="1"/>
  <c r="AC16" i="5"/>
  <c r="AA16" i="5"/>
  <c r="AA14" i="5" s="1"/>
  <c r="Y16" i="5"/>
  <c r="Y14" i="5" s="1"/>
  <c r="W16" i="5"/>
  <c r="W14" i="5" s="1"/>
  <c r="U16" i="5"/>
  <c r="U14" i="5" s="1"/>
  <c r="S16" i="5"/>
  <c r="S14" i="5" s="1"/>
  <c r="Q16" i="5"/>
  <c r="Q14" i="5" s="1"/>
  <c r="O16" i="5"/>
  <c r="O14" i="5" s="1"/>
  <c r="M16" i="5"/>
  <c r="N16" i="5" s="1"/>
  <c r="L16" i="5"/>
  <c r="AC14" i="5"/>
  <c r="L14" i="5"/>
  <c r="K14" i="5"/>
  <c r="I13" i="5" s="1"/>
  <c r="O46" i="1"/>
  <c r="Q46" i="1" s="1"/>
  <c r="AH44" i="1"/>
  <c r="AF44" i="1"/>
  <c r="AD44" i="1"/>
  <c r="AB44" i="1"/>
  <c r="Z44" i="1"/>
  <c r="X44" i="1"/>
  <c r="V44" i="1"/>
  <c r="T44" i="1"/>
  <c r="R44" i="1"/>
  <c r="P44" i="1"/>
  <c r="N44" i="1"/>
  <c r="M44" i="1"/>
  <c r="L44" i="1"/>
  <c r="I43" i="1" s="1"/>
  <c r="L32" i="2"/>
  <c r="O32" i="2"/>
  <c r="Q32" i="2"/>
  <c r="W32" i="2"/>
  <c r="Y32" i="2"/>
  <c r="AE32" i="2"/>
  <c r="AG32" i="2"/>
  <c r="L34" i="2"/>
  <c r="N34" i="2" s="1"/>
  <c r="M34" i="2"/>
  <c r="M32" i="2" s="1"/>
  <c r="O34" i="2"/>
  <c r="Q34" i="2"/>
  <c r="S34" i="2"/>
  <c r="S32" i="2" s="1"/>
  <c r="U34" i="2"/>
  <c r="U32" i="2" s="1"/>
  <c r="W34" i="2"/>
  <c r="Y34" i="2"/>
  <c r="AA34" i="2"/>
  <c r="AA32" i="2" s="1"/>
  <c r="AC34" i="2"/>
  <c r="AC32" i="2" s="1"/>
  <c r="AE34" i="2"/>
  <c r="AG34" i="2"/>
  <c r="L36" i="2"/>
  <c r="N36" i="2" s="1"/>
  <c r="P36" i="2" s="1"/>
  <c r="R36" i="2" s="1"/>
  <c r="T36" i="2" s="1"/>
  <c r="V36" i="2" s="1"/>
  <c r="X36" i="2" s="1"/>
  <c r="Z36" i="2" s="1"/>
  <c r="AB36" i="2" s="1"/>
  <c r="AD36" i="2" s="1"/>
  <c r="AF36" i="2" s="1"/>
  <c r="AH36" i="2" s="1"/>
  <c r="M36" i="2"/>
  <c r="O36" i="2"/>
  <c r="Q36" i="2"/>
  <c r="S36" i="2"/>
  <c r="U36" i="2"/>
  <c r="W36" i="2"/>
  <c r="Y36" i="2"/>
  <c r="AA36" i="2"/>
  <c r="AC36" i="2"/>
  <c r="AE36" i="2"/>
  <c r="AG36" i="2"/>
  <c r="K14" i="8" l="1"/>
  <c r="I13" i="8" s="1"/>
  <c r="S34" i="1"/>
  <c r="Q32" i="1"/>
  <c r="O44" i="1"/>
  <c r="P16" i="8"/>
  <c r="N14" i="8"/>
  <c r="P26" i="8"/>
  <c r="P36" i="8"/>
  <c r="P16" i="7"/>
  <c r="N14" i="7"/>
  <c r="P26" i="7"/>
  <c r="P36" i="7"/>
  <c r="K14" i="6"/>
  <c r="I13" i="6" s="1"/>
  <c r="N16" i="6"/>
  <c r="P26" i="6"/>
  <c r="P36" i="6"/>
  <c r="N14" i="5"/>
  <c r="P16" i="5"/>
  <c r="V26" i="5"/>
  <c r="T24" i="5"/>
  <c r="V36" i="5"/>
  <c r="T34" i="5"/>
  <c r="R24" i="5"/>
  <c r="R34" i="5"/>
  <c r="M14" i="5"/>
  <c r="S46" i="1"/>
  <c r="Q44" i="1"/>
  <c r="P34" i="2"/>
  <c r="N32" i="2"/>
  <c r="U34" i="1" l="1"/>
  <c r="S32" i="1"/>
  <c r="P34" i="8"/>
  <c r="R36" i="8"/>
  <c r="P24" i="8"/>
  <c r="R26" i="8"/>
  <c r="R16" i="8"/>
  <c r="P14" i="8"/>
  <c r="R36" i="7"/>
  <c r="P34" i="7"/>
  <c r="R26" i="7"/>
  <c r="P24" i="7"/>
  <c r="P14" i="7"/>
  <c r="R16" i="7"/>
  <c r="P16" i="6"/>
  <c r="N14" i="6"/>
  <c r="P24" i="6"/>
  <c r="R26" i="6"/>
  <c r="P34" i="6"/>
  <c r="R36" i="6"/>
  <c r="X36" i="5"/>
  <c r="V34" i="5"/>
  <c r="X26" i="5"/>
  <c r="V24" i="5"/>
  <c r="R16" i="5"/>
  <c r="P14" i="5"/>
  <c r="U46" i="1"/>
  <c r="S44" i="1"/>
  <c r="P32" i="2"/>
  <c r="R34" i="2"/>
  <c r="U32" i="1" l="1"/>
  <c r="W34" i="1"/>
  <c r="R14" i="8"/>
  <c r="T16" i="8"/>
  <c r="T26" i="8"/>
  <c r="R24" i="8"/>
  <c r="T36" i="8"/>
  <c r="R34" i="8"/>
  <c r="R14" i="7"/>
  <c r="T16" i="7"/>
  <c r="T26" i="7"/>
  <c r="R24" i="7"/>
  <c r="T36" i="7"/>
  <c r="R34" i="7"/>
  <c r="P14" i="6"/>
  <c r="R16" i="6"/>
  <c r="T36" i="6"/>
  <c r="R34" i="6"/>
  <c r="T26" i="6"/>
  <c r="R24" i="6"/>
  <c r="T16" i="5"/>
  <c r="R14" i="5"/>
  <c r="Z26" i="5"/>
  <c r="X24" i="5"/>
  <c r="Z36" i="5"/>
  <c r="X34" i="5"/>
  <c r="U44" i="1"/>
  <c r="W46" i="1"/>
  <c r="R32" i="2"/>
  <c r="T34" i="2"/>
  <c r="W32" i="1" l="1"/>
  <c r="Y34" i="1"/>
  <c r="V36" i="8"/>
  <c r="T34" i="8"/>
  <c r="V26" i="8"/>
  <c r="T24" i="8"/>
  <c r="T14" i="8"/>
  <c r="V16" i="8"/>
  <c r="V36" i="7"/>
  <c r="T34" i="7"/>
  <c r="V26" i="7"/>
  <c r="T24" i="7"/>
  <c r="V16" i="7"/>
  <c r="T14" i="7"/>
  <c r="V26" i="6"/>
  <c r="T24" i="6"/>
  <c r="V36" i="6"/>
  <c r="T34" i="6"/>
  <c r="R14" i="6"/>
  <c r="T16" i="6"/>
  <c r="AB36" i="5"/>
  <c r="Z34" i="5"/>
  <c r="AB26" i="5"/>
  <c r="Z24" i="5"/>
  <c r="V16" i="5"/>
  <c r="T14" i="5"/>
  <c r="W44" i="1"/>
  <c r="Y46" i="1"/>
  <c r="T32" i="2"/>
  <c r="V34" i="2"/>
  <c r="AA34" i="1" l="1"/>
  <c r="Y32" i="1"/>
  <c r="X36" i="8"/>
  <c r="V34" i="8"/>
  <c r="X16" i="8"/>
  <c r="V14" i="8"/>
  <c r="X26" i="8"/>
  <c r="V24" i="8"/>
  <c r="X16" i="7"/>
  <c r="V14" i="7"/>
  <c r="V24" i="7"/>
  <c r="X26" i="7"/>
  <c r="V34" i="7"/>
  <c r="X36" i="7"/>
  <c r="X26" i="6"/>
  <c r="V24" i="6"/>
  <c r="V16" i="6"/>
  <c r="T14" i="6"/>
  <c r="X36" i="6"/>
  <c r="V34" i="6"/>
  <c r="AB34" i="5"/>
  <c r="AD36" i="5"/>
  <c r="X16" i="5"/>
  <c r="V14" i="5"/>
  <c r="AB24" i="5"/>
  <c r="AD26" i="5"/>
  <c r="AA46" i="1"/>
  <c r="Y44" i="1"/>
  <c r="V32" i="2"/>
  <c r="X34" i="2"/>
  <c r="AC34" i="1" l="1"/>
  <c r="AA32" i="1"/>
  <c r="Z36" i="8"/>
  <c r="X34" i="8"/>
  <c r="Z26" i="8"/>
  <c r="X24" i="8"/>
  <c r="Z16" i="8"/>
  <c r="X14" i="8"/>
  <c r="X34" i="7"/>
  <c r="Z36" i="7"/>
  <c r="Z26" i="7"/>
  <c r="X24" i="7"/>
  <c r="X14" i="7"/>
  <c r="Z16" i="7"/>
  <c r="Z36" i="6"/>
  <c r="X34" i="6"/>
  <c r="X16" i="6"/>
  <c r="V14" i="6"/>
  <c r="Z26" i="6"/>
  <c r="X24" i="6"/>
  <c r="AD24" i="5"/>
  <c r="AF26" i="5"/>
  <c r="Z16" i="5"/>
  <c r="X14" i="5"/>
  <c r="AD34" i="5"/>
  <c r="AF36" i="5"/>
  <c r="AC46" i="1"/>
  <c r="AA44" i="1"/>
  <c r="Z34" i="2"/>
  <c r="X32" i="2"/>
  <c r="AC32" i="1" l="1"/>
  <c r="AE34" i="1"/>
  <c r="Z14" i="8"/>
  <c r="AB16" i="8"/>
  <c r="Z24" i="8"/>
  <c r="AB26" i="8"/>
  <c r="Z34" i="8"/>
  <c r="AB36" i="8"/>
  <c r="AB16" i="7"/>
  <c r="Z14" i="7"/>
  <c r="AB26" i="7"/>
  <c r="Z24" i="7"/>
  <c r="AB36" i="7"/>
  <c r="Z34" i="7"/>
  <c r="AB36" i="6"/>
  <c r="Z34" i="6"/>
  <c r="AB26" i="6"/>
  <c r="Z24" i="6"/>
  <c r="Z16" i="6"/>
  <c r="X14" i="6"/>
  <c r="AH36" i="5"/>
  <c r="AH34" i="5" s="1"/>
  <c r="AI36" i="5" s="1"/>
  <c r="AF34" i="5"/>
  <c r="AB16" i="5"/>
  <c r="Z14" i="5"/>
  <c r="AF24" i="5"/>
  <c r="AH26" i="5"/>
  <c r="AH24" i="5" s="1"/>
  <c r="AI26" i="5" s="1"/>
  <c r="AC44" i="1"/>
  <c r="AE46" i="1"/>
  <c r="Z32" i="2"/>
  <c r="AB34" i="2"/>
  <c r="AE32" i="1" l="1"/>
  <c r="AG34" i="1"/>
  <c r="AD36" i="8"/>
  <c r="AB34" i="8"/>
  <c r="AD26" i="8"/>
  <c r="AB24" i="8"/>
  <c r="AB14" i="8"/>
  <c r="AD16" i="8"/>
  <c r="AB34" i="7"/>
  <c r="AD36" i="7"/>
  <c r="AB24" i="7"/>
  <c r="AD26" i="7"/>
  <c r="AD16" i="7"/>
  <c r="AB14" i="7"/>
  <c r="AB34" i="6"/>
  <c r="AD36" i="6"/>
  <c r="Z14" i="6"/>
  <c r="AB16" i="6"/>
  <c r="AD26" i="6"/>
  <c r="AB24" i="6"/>
  <c r="AD16" i="5"/>
  <c r="AB14" i="5"/>
  <c r="AE44" i="1"/>
  <c r="AG46" i="1"/>
  <c r="AB32" i="2"/>
  <c r="AD34" i="2"/>
  <c r="AI34" i="1" l="1"/>
  <c r="AI32" i="1" s="1"/>
  <c r="AJ34" i="1" s="1"/>
  <c r="AG32" i="1"/>
  <c r="AF16" i="8"/>
  <c r="AD14" i="8"/>
  <c r="AD24" i="8"/>
  <c r="AF26" i="8"/>
  <c r="AD34" i="8"/>
  <c r="AF36" i="8"/>
  <c r="AF16" i="7"/>
  <c r="AD14" i="7"/>
  <c r="AD34" i="7"/>
  <c r="AF36" i="7"/>
  <c r="AD24" i="7"/>
  <c r="AF26" i="7"/>
  <c r="AD34" i="6"/>
  <c r="AF36" i="6"/>
  <c r="AD24" i="6"/>
  <c r="AF26" i="6"/>
  <c r="AB14" i="6"/>
  <c r="AD16" i="6"/>
  <c r="AF16" i="5"/>
  <c r="AD14" i="5"/>
  <c r="AI46" i="1"/>
  <c r="AI44" i="1" s="1"/>
  <c r="AJ46" i="1" s="1"/>
  <c r="AG44" i="1"/>
  <c r="AF34" i="2"/>
  <c r="AD32" i="2"/>
  <c r="AF34" i="8" l="1"/>
  <c r="AH36" i="8"/>
  <c r="AH34" i="8" s="1"/>
  <c r="AI36" i="8" s="1"/>
  <c r="AF24" i="8"/>
  <c r="AH26" i="8"/>
  <c r="AH24" i="8" s="1"/>
  <c r="AI26" i="8" s="1"/>
  <c r="AH16" i="8"/>
  <c r="AH14" i="8" s="1"/>
  <c r="AI16" i="8" s="1"/>
  <c r="AF14" i="8"/>
  <c r="AF24" i="7"/>
  <c r="AH26" i="7"/>
  <c r="AH24" i="7" s="1"/>
  <c r="AI26" i="7" s="1"/>
  <c r="AF34" i="7"/>
  <c r="AH36" i="7"/>
  <c r="AH34" i="7" s="1"/>
  <c r="AI36" i="7" s="1"/>
  <c r="AF14" i="7"/>
  <c r="AH16" i="7"/>
  <c r="AH14" i="7" s="1"/>
  <c r="AI16" i="7" s="1"/>
  <c r="AF34" i="6"/>
  <c r="AH36" i="6"/>
  <c r="AH34" i="6" s="1"/>
  <c r="AI36" i="6" s="1"/>
  <c r="AF16" i="6"/>
  <c r="AD14" i="6"/>
  <c r="AF24" i="6"/>
  <c r="AH26" i="6"/>
  <c r="AH24" i="6" s="1"/>
  <c r="AI26" i="6" s="1"/>
  <c r="AH16" i="5"/>
  <c r="AH14" i="5" s="1"/>
  <c r="AI16" i="5" s="1"/>
  <c r="AF14" i="5"/>
  <c r="AF32" i="2"/>
  <c r="AH34" i="2"/>
  <c r="AH32" i="2" s="1"/>
  <c r="AI34" i="2" s="1"/>
  <c r="AH16" i="6" l="1"/>
  <c r="AH14" i="6" s="1"/>
  <c r="AI16" i="6" s="1"/>
  <c r="AF14" i="6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O14" i="1" s="1"/>
  <c r="AH14" i="1"/>
  <c r="AF14" i="1"/>
  <c r="AD14" i="1"/>
  <c r="AB14" i="1"/>
  <c r="Z14" i="1"/>
  <c r="X14" i="1"/>
  <c r="V14" i="1"/>
  <c r="T14" i="1"/>
  <c r="R14" i="1"/>
  <c r="P14" i="1"/>
  <c r="N14" i="1"/>
  <c r="M14" i="1"/>
  <c r="L14" i="1"/>
  <c r="I13" i="1" s="1"/>
  <c r="O40" i="1"/>
  <c r="O38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Q16" i="1" l="1"/>
  <c r="Q40" i="1"/>
  <c r="Q14" i="1" l="1"/>
  <c r="S16" i="1"/>
  <c r="Q38" i="1"/>
  <c r="S40" i="1"/>
  <c r="U16" i="1" l="1"/>
  <c r="S14" i="1"/>
  <c r="U40" i="1"/>
  <c r="S38" i="1"/>
  <c r="W16" i="1" l="1"/>
  <c r="U14" i="1"/>
  <c r="U38" i="1"/>
  <c r="W40" i="1"/>
  <c r="Y16" i="1" l="1"/>
  <c r="W14" i="1"/>
  <c r="W38" i="1"/>
  <c r="Y40" i="1"/>
  <c r="AA16" i="1" l="1"/>
  <c r="Y14" i="1"/>
  <c r="Y38" i="1"/>
  <c r="AA40" i="1"/>
  <c r="AC16" i="1" l="1"/>
  <c r="AA14" i="1"/>
  <c r="AC40" i="1"/>
  <c r="AA38" i="1"/>
  <c r="AE16" i="1" l="1"/>
  <c r="AC14" i="1"/>
  <c r="AC38" i="1"/>
  <c r="AE40" i="1"/>
  <c r="AE14" i="1" l="1"/>
  <c r="AG16" i="1"/>
  <c r="AE38" i="1"/>
  <c r="AG40" i="1"/>
  <c r="AI16" i="1" l="1"/>
  <c r="AI14" i="1" s="1"/>
  <c r="AJ16" i="1" s="1"/>
  <c r="AG14" i="1"/>
  <c r="AI40" i="1"/>
  <c r="AI38" i="1" s="1"/>
  <c r="AJ40" i="1" s="1"/>
  <c r="AG38" i="1"/>
  <c r="K26" i="2" l="1"/>
  <c r="K20" i="2"/>
  <c r="L26" i="1"/>
  <c r="AH20" i="2"/>
  <c r="N30" i="2" l="1"/>
  <c r="P30" i="2" s="1"/>
  <c r="R30" i="2" s="1"/>
  <c r="T30" i="2" s="1"/>
  <c r="V30" i="2" s="1"/>
  <c r="X30" i="2" s="1"/>
  <c r="Z30" i="2" s="1"/>
  <c r="AB30" i="2" s="1"/>
  <c r="AD30" i="2" s="1"/>
  <c r="AF30" i="2" s="1"/>
  <c r="AH30" i="2" s="1"/>
  <c r="N28" i="2"/>
  <c r="N26" i="2" s="1"/>
  <c r="AG26" i="2"/>
  <c r="AE26" i="2"/>
  <c r="AC26" i="2"/>
  <c r="AA26" i="2"/>
  <c r="Y26" i="2"/>
  <c r="W26" i="2"/>
  <c r="U26" i="2"/>
  <c r="S26" i="2"/>
  <c r="Q26" i="2"/>
  <c r="O26" i="2"/>
  <c r="M26" i="2"/>
  <c r="L26" i="2"/>
  <c r="I25" i="2"/>
  <c r="N24" i="2"/>
  <c r="P24" i="2" s="1"/>
  <c r="R24" i="2" s="1"/>
  <c r="T24" i="2" s="1"/>
  <c r="V24" i="2" s="1"/>
  <c r="X24" i="2" s="1"/>
  <c r="Z24" i="2" s="1"/>
  <c r="AB24" i="2" s="1"/>
  <c r="AD24" i="2" s="1"/>
  <c r="AF24" i="2" s="1"/>
  <c r="AH24" i="2" s="1"/>
  <c r="N22" i="2"/>
  <c r="P22" i="2" s="1"/>
  <c r="R22" i="2" s="1"/>
  <c r="AG20" i="2"/>
  <c r="AE20" i="2"/>
  <c r="AC20" i="2"/>
  <c r="AA20" i="2"/>
  <c r="Y20" i="2"/>
  <c r="W20" i="2"/>
  <c r="U20" i="2"/>
  <c r="S20" i="2"/>
  <c r="Q20" i="2"/>
  <c r="O20" i="2"/>
  <c r="N20" i="2"/>
  <c r="M20" i="2"/>
  <c r="L20" i="2"/>
  <c r="AI22" i="2"/>
  <c r="N18" i="2"/>
  <c r="P18" i="2" s="1"/>
  <c r="R18" i="2" s="1"/>
  <c r="T18" i="2" s="1"/>
  <c r="V18" i="2" s="1"/>
  <c r="X18" i="2" s="1"/>
  <c r="Z18" i="2" s="1"/>
  <c r="AB18" i="2" s="1"/>
  <c r="AD18" i="2" s="1"/>
  <c r="AF18" i="2" s="1"/>
  <c r="AH18" i="2" s="1"/>
  <c r="N16" i="2"/>
  <c r="P16" i="2" s="1"/>
  <c r="AG14" i="2"/>
  <c r="AE14" i="2"/>
  <c r="AC14" i="2"/>
  <c r="AA14" i="2"/>
  <c r="Y14" i="2"/>
  <c r="W14" i="2"/>
  <c r="U14" i="2"/>
  <c r="S14" i="2"/>
  <c r="Q14" i="2"/>
  <c r="O14" i="2"/>
  <c r="N14" i="2"/>
  <c r="M14" i="2"/>
  <c r="L14" i="2"/>
  <c r="K14" i="2"/>
  <c r="I13" i="2" s="1"/>
  <c r="P28" i="2" l="1"/>
  <c r="R16" i="2"/>
  <c r="P14" i="2"/>
  <c r="T22" i="2"/>
  <c r="R20" i="2"/>
  <c r="P20" i="2"/>
  <c r="I19" i="2"/>
  <c r="R28" i="2" l="1"/>
  <c r="P26" i="2"/>
  <c r="T20" i="2"/>
  <c r="V22" i="2"/>
  <c r="T16" i="2"/>
  <c r="R14" i="2"/>
  <c r="T28" i="2" l="1"/>
  <c r="R26" i="2"/>
  <c r="T14" i="2"/>
  <c r="V16" i="2"/>
  <c r="V20" i="2"/>
  <c r="X22" i="2"/>
  <c r="T26" i="2" l="1"/>
  <c r="V28" i="2"/>
  <c r="Z22" i="2"/>
  <c r="X20" i="2"/>
  <c r="V14" i="2"/>
  <c r="X16" i="2"/>
  <c r="V26" i="2" l="1"/>
  <c r="X28" i="2"/>
  <c r="Z20" i="2"/>
  <c r="AB22" i="2"/>
  <c r="Z16" i="2"/>
  <c r="X14" i="2"/>
  <c r="X26" i="2" l="1"/>
  <c r="Z28" i="2"/>
  <c r="AB16" i="2"/>
  <c r="Z14" i="2"/>
  <c r="AB20" i="2"/>
  <c r="AD22" i="2"/>
  <c r="AB28" i="2" l="1"/>
  <c r="Z26" i="2"/>
  <c r="AF22" i="2"/>
  <c r="AD20" i="2"/>
  <c r="AB14" i="2"/>
  <c r="AD16" i="2"/>
  <c r="O30" i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O28" i="1"/>
  <c r="Q28" i="1" s="1"/>
  <c r="Q26" i="1" s="1"/>
  <c r="O24" i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AH26" i="1"/>
  <c r="AH20" i="1"/>
  <c r="AF26" i="1"/>
  <c r="AF20" i="1"/>
  <c r="AD26" i="1"/>
  <c r="AD20" i="1"/>
  <c r="AB26" i="1"/>
  <c r="AB20" i="1"/>
  <c r="Z26" i="1"/>
  <c r="Z20" i="1"/>
  <c r="X26" i="1"/>
  <c r="X20" i="1"/>
  <c r="V26" i="1"/>
  <c r="V20" i="1"/>
  <c r="T26" i="1"/>
  <c r="T20" i="1"/>
  <c r="R26" i="1"/>
  <c r="R20" i="1"/>
  <c r="P26" i="1"/>
  <c r="P20" i="1"/>
  <c r="N26" i="1"/>
  <c r="N20" i="1"/>
  <c r="M20" i="1"/>
  <c r="M26" i="1"/>
  <c r="I25" i="1"/>
  <c r="I19" i="1"/>
  <c r="O20" i="1"/>
  <c r="Q22" i="1"/>
  <c r="S28" i="1" l="1"/>
  <c r="U28" i="1" s="1"/>
  <c r="U26" i="1" s="1"/>
  <c r="AB26" i="2"/>
  <c r="AD28" i="2"/>
  <c r="AH22" i="2"/>
  <c r="AF20" i="2"/>
  <c r="AF16" i="2"/>
  <c r="AD14" i="2"/>
  <c r="S22" i="1"/>
  <c r="Q20" i="1"/>
  <c r="W28" i="1" l="1"/>
  <c r="S26" i="1"/>
  <c r="AF28" i="2"/>
  <c r="AD26" i="2"/>
  <c r="AH16" i="2"/>
  <c r="AH14" i="2" s="1"/>
  <c r="AI16" i="2" s="1"/>
  <c r="AF14" i="2"/>
  <c r="U22" i="1"/>
  <c r="S20" i="1"/>
  <c r="Y28" i="1"/>
  <c r="W26" i="1"/>
  <c r="AH28" i="2" l="1"/>
  <c r="AH26" i="2" s="1"/>
  <c r="AI28" i="2" s="1"/>
  <c r="AF26" i="2"/>
  <c r="AA28" i="1"/>
  <c r="Y26" i="1"/>
  <c r="W22" i="1"/>
  <c r="U20" i="1"/>
  <c r="AA26" i="1" l="1"/>
  <c r="AC28" i="1"/>
  <c r="W20" i="1"/>
  <c r="Y22" i="1"/>
  <c r="AA22" i="1" l="1"/>
  <c r="Y20" i="1"/>
  <c r="AE28" i="1"/>
  <c r="AC26" i="1"/>
  <c r="AG28" i="1" l="1"/>
  <c r="AE26" i="1"/>
  <c r="AC22" i="1"/>
  <c r="AA20" i="1"/>
  <c r="AE22" i="1" l="1"/>
  <c r="AC20" i="1"/>
  <c r="AI28" i="1"/>
  <c r="AI26" i="1" s="1"/>
  <c r="AJ28" i="1" s="1"/>
  <c r="AG26" i="1"/>
  <c r="AE20" i="1" l="1"/>
  <c r="AG22" i="1"/>
  <c r="AG20" i="1" l="1"/>
  <c r="AI22" i="1"/>
  <c r="AI20" i="1" s="1"/>
  <c r="AJ22" i="1" s="1"/>
</calcChain>
</file>

<file path=xl/sharedStrings.xml><?xml version="1.0" encoding="utf-8"?>
<sst xmlns="http://schemas.openxmlformats.org/spreadsheetml/2006/main" count="2446" uniqueCount="139">
  <si>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</si>
  <si>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</si>
  <si>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</si>
  <si>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</si>
  <si>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</si>
  <si>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</si>
  <si>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</si>
  <si>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</si>
  <si>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</si>
  <si>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</si>
  <si>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</si>
  <si>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</si>
  <si>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</si>
  <si>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</si>
  <si>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</si>
  <si>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</si>
  <si>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</si>
  <si>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</si>
  <si>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</si>
  <si>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</si>
  <si>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</si>
  <si>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</si>
  <si>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</si>
  <si>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</si>
  <si>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</si>
  <si>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</si>
  <si>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</si>
  <si>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</si>
  <si>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</si>
  <si>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</si>
  <si>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</si>
  <si>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</si>
  <si>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</si>
  <si>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</si>
  <si>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 xml:space="preserve">Fecha: </t>
  </si>
  <si>
    <t xml:space="preserve">Aprobado por: </t>
  </si>
  <si>
    <t>Revisado por:</t>
  </si>
  <si>
    <t>PRODUCTO O PROCESO ESPECÍFICO</t>
  </si>
  <si>
    <t>DIVISIÓN PLANIFICACIÓN</t>
  </si>
  <si>
    <t>Y DESARROLLO</t>
  </si>
  <si>
    <t>RESPONSABLE CENTRO DE RESPONSABILIDAD</t>
  </si>
  <si>
    <t>SUPERVISORES</t>
  </si>
  <si>
    <t>N° Total de Beneficios Previsionales de las áreas Particulares, Públicos y SSS que se finiquitan en el año t)*100</t>
  </si>
  <si>
    <t xml:space="preserve">Valor indicador=   </t>
  </si>
  <si>
    <t xml:space="preserve">Operando 1=   </t>
  </si>
  <si>
    <t xml:space="preserve">Operando 2=    </t>
  </si>
  <si>
    <t xml:space="preserve">(Sumatoria de Beneficios de Asignaciones Familiares finiquitados  en un plazo máximo de 5 días hábiles en el año t </t>
  </si>
  <si>
    <t>N° total de Beneficios de Asignaciones Familiares finiquitados en el año t)*100</t>
  </si>
  <si>
    <t>Carlos Rodriguez Retamal</t>
  </si>
  <si>
    <t>CENTRO DE RESPONSABILIDAD: DIVISIÓN BENEFICIOS</t>
  </si>
  <si>
    <t>División Beneficios</t>
  </si>
  <si>
    <t>NÚMERO</t>
  </si>
  <si>
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</si>
  <si>
    <t xml:space="preserve">3.-Concesión, pago y mantención de Beneficios Previsionales, Complementarios y Regímenes Especiales
3.3.-Subsidios Previsionales Complementarios
3.3.1.-Bonificación por hijo nacido vivo (art. 74, Ley Nº 20.255) 
</t>
  </si>
  <si>
    <t>2.4.1.1</t>
  </si>
  <si>
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</si>
  <si>
    <t>Armando Calfin Trango</t>
  </si>
  <si>
    <t>Formulario H</t>
  </si>
  <si>
    <t>CDC: Div. Beneficio</t>
  </si>
  <si>
    <t>Instrumentos de Gestión Asociados</t>
  </si>
  <si>
    <t>Control de Cambios</t>
  </si>
  <si>
    <t>División Beneficios - Departamento Gestión de Beneficios.</t>
  </si>
  <si>
    <t>(Sumatoria de Beneficios Previsionales de las áreas Particulares, Públicos y SSS que se finiquitan en un plazo máximo interno de 14 días en el año t</t>
  </si>
  <si>
    <t>Ponderador</t>
  </si>
  <si>
    <t>(Sumatoria de Beneficios de Asignaciones Familiares finiquitados  en un plazo máximo de 5 días corridos en el año t / N° total de Beneficios de Asignaciones Familiares finiquitados en el año t)*100</t>
  </si>
  <si>
    <t>(Sumatoria de Beneficios Previsionales de las áreas Particulares, Públicos y SSS que se finiquitan en un plazo máximo de 14 días en el año t / N° Total de Beneficios Previsionales de las áreas Particulares, Públicos y SSS que se finiquitan en el año t)*100</t>
  </si>
  <si>
    <t xml:space="preserve">Subdirección Sistemas de Información y Administración
Departamento Secretaria General y Transparencia </t>
  </si>
  <si>
    <t>Julio Santistevan Jimenez</t>
  </si>
  <si>
    <t xml:space="preserve">Fernando Arias Contreras  </t>
  </si>
  <si>
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</si>
  <si>
    <t>Formularios/Fichas 
-	Registro Plantilla SIG.
Reportes/Informes 
-	Reporte Tiempo promedio de tramitación.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</si>
  <si>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Bonificación por Hijo Nacido Vivo</t>
    </r>
  </si>
  <si>
    <t>(Sumatoria de días de trámites de Bonificación por Hijo Nacido Vivo solicitados por los usuarios finalizados en el año t / Número total de trámites de Bonificación por Hijo Nacido Vivo solicitados por los usuarios finalizados en el año t)</t>
  </si>
  <si>
    <t>Sumatoria de días de trámites de Bonificación por Hijo Nacido Vivo solicitados por los usuarios finalizados en el año t</t>
  </si>
  <si>
    <t>Número total de trámites de Bonificación por Hijo Nacido Vivo solicitados por los usuarios finalizados en el año t</t>
  </si>
  <si>
    <t xml:space="preserve">Formularios/Fichas 
-	Registro Plantilla SIG.
Reportes/Informes 
-	Reporte Sistema Pilar Solidario.
-	Informe final indicador Tiempo promedio de tramitación   de solicitudes de Bonificación por Hijo Nacido Vivo </t>
  </si>
  <si>
    <t>5.- Proceso de Apoyo
 5.1.- Administración y Finanzas
 5.1.3.- Programación y Control Presupuestario</t>
  </si>
  <si>
    <t>3.3.1.7</t>
  </si>
  <si>
    <t>Formulario H
CDC: Div. Beneficio, Subd. Servicio al Cliente, Div Informática,  Div Jurídica, Depto Comunicaciones, Direcciones Regionales</t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</si>
  <si>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</si>
  <si>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Manuel Aguila Castillo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</si>
  <si>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Porcentaje de beneficios de Asignación Familiar finiquitados  en un plazo máximo de 5 días corridos en el año t.</t>
    </r>
    <r>
      <rPr>
        <b/>
        <u/>
        <sz val="8"/>
        <rFont val="Arial Narrow"/>
        <family val="2"/>
      </rPr>
      <t xml:space="preserve">
</t>
    </r>
  </si>
  <si>
    <r>
      <rPr>
        <b/>
        <sz val="8"/>
        <rFont val="Arial Narrow"/>
        <family val="2"/>
      </rPr>
      <t>5)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
(División Beneficios)</t>
    </r>
  </si>
  <si>
    <t>División Planificación y Desarrollo</t>
  </si>
  <si>
    <t>Yuri Alberto Grlica Fernandez</t>
  </si>
  <si>
    <t>Margarita Luna Ibarra</t>
  </si>
  <si>
    <t>5.1.3.40</t>
  </si>
  <si>
    <t>Reportes/Informes
-	 Informe final indicador “Porcentaje de personas atendidas con tiempo de espera menor a 25 minutos en el año t”.
-	Reporte Tiempo Espera.</t>
  </si>
  <si>
    <t>Mujeres</t>
  </si>
  <si>
    <t>Hombres</t>
  </si>
  <si>
    <t>INDICADOR NUEVO</t>
  </si>
  <si>
    <t>Sumatoria de hitos de control cumplidos de ejecución presupuestaria a nivel de los Subtítulos 22 y 29, dentro de los plazos establecidos</t>
  </si>
  <si>
    <t>Reportes/Informes
- Informe de ejecución presupuestaria emitido por el Subdepartamento de Presupuesto del Departamento de Finanzas.</t>
  </si>
  <si>
    <t xml:space="preserve">
CDC: Div. Beneficio,Subdirección Clientes, División Informática, Subdirección Sistema de información y Administración, División Planificación y Desarrollo, Departamento Comunicaciones, </t>
  </si>
  <si>
    <t>N° total de hitos de control definidos de ejecución presupuestaria a nivel de los Subtítulos 22 y 29</t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</si>
  <si>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</si>
  <si>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</si>
  <si>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</si>
  <si>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</si>
  <si>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</si>
  <si>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Reportes/Informes
-  Reporte sistema de reparto (Tipo PMG).</t>
  </si>
  <si>
    <t>Reportes/Informes
- Reporte de tiempo de respuesta Base de Datos Sistema de Asignación Familiar (Tipo PMG).</t>
  </si>
  <si>
    <t>Reportes/Informes
- Reporte Sistema Pilar Solidario (Tipo PMG).</t>
  </si>
  <si>
    <t>Meta 2024</t>
  </si>
  <si>
    <t>Cumplimiento
Proyectado
2024</t>
  </si>
  <si>
    <t xml:space="preserve">5.-Proceso de Apoyo
5.4.-Planificación y Control de Gestión 
5.4.1.-Control de Gestión Institucional
</t>
  </si>
  <si>
    <t>5.4.-Planificación y Control de Gestión</t>
  </si>
  <si>
    <t>5.4.1.-Control de Gestión Institucional</t>
  </si>
  <si>
    <t>3.10.1.1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</si>
  <si>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beneficios de la Pensión Garantizada Universal (PGU)</t>
    </r>
  </si>
  <si>
    <t xml:space="preserve"> 3.- Concesión, pago y mantención de beneficios previsionales, beneficios complementarios y regímenes especiales
3.10.- Pensión Garantizada Universal (PGU)
3.10.1.- Pensión Garantizada Universal (PGU)</t>
  </si>
  <si>
    <t>Sumatoria de días de trámites de beneficios de la Pensión Garantizada Universal finalizados en el año t</t>
  </si>
  <si>
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</si>
  <si>
    <t>3.5.1.26</t>
  </si>
  <si>
    <t>Sumatoria de cargas de asignación familiar reconocidas y con pago emitido en un plazo máximo de 90 días en el año t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</si>
  <si>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Bonificación por Hijo Nacido Vivo (CDC)</t>
    </r>
  </si>
  <si>
    <t>3.5.1.24</t>
  </si>
  <si>
    <r>
      <t xml:space="preserve">1) </t>
    </r>
    <r>
      <rPr>
        <b/>
        <u/>
        <sz val="8"/>
        <rFont val="Arial Narrow"/>
        <family val="2"/>
      </rPr>
      <t>Calidad/Producto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>Porcentaje de Beneficios Previsionales de las áreas Particulares, Públicos y SSS que se finiquitan en un plazo máximo interno de 14 días en el año t (Hombre - Mujer)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
</t>
    </r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</si>
  <si>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(Hombre - Mujer) (CDC)</t>
    </r>
  </si>
  <si>
    <r>
      <rPr>
        <b/>
        <u/>
        <sz val="8"/>
        <color theme="1"/>
        <rFont val="Arial Narrow"/>
        <family val="2"/>
      </rPr>
      <t>4)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cargas de asignación familiar reconocidas con derecho y pago emitido en un plazo máximo de 90 días en el año t</t>
    </r>
  </si>
  <si>
    <t>N° cargas de asignación familiar reconocidas con derecho y pago emitido en el año t</t>
  </si>
  <si>
    <t>(Sumatoria de cargas de asignación familiar reconocidas y con pago emitido en un plazo máximo de 90 días en el año t / N° cargas de asignación familiar reconocidas con derecho y pago emitido en el año t)*100</t>
  </si>
  <si>
    <t>Número total de trámites en el año t</t>
  </si>
  <si>
    <t>(Sumatoria de días de trámites de beneficios de la Pensión Garantizada Universal finalizados en el año t / Número total de trámites en el año t)*100</t>
  </si>
  <si>
    <t>3.5.1.27</t>
  </si>
  <si>
    <t>3.3.1.8</t>
  </si>
  <si>
    <r>
      <rPr>
        <b/>
        <sz val="8"/>
        <rFont val="Arial Narrow"/>
        <family val="2"/>
      </rPr>
      <t xml:space="preserve">4) </t>
    </r>
    <r>
      <rPr>
        <b/>
        <u/>
        <sz val="8"/>
        <rFont val="Arial Narrow"/>
        <family val="2"/>
      </rPr>
      <t xml:space="preserve">Calidad/Producto
</t>
    </r>
    <r>
      <rPr>
        <sz val="8"/>
        <rFont val="Arial Narrow"/>
        <family val="2"/>
      </rPr>
      <t>Tiempo promedio de tramitación de solicitudes de beneficios de la Pensión Garantizada Universal (PGU)</t>
    </r>
  </si>
  <si>
    <r>
      <rPr>
        <b/>
        <u/>
        <sz val="8"/>
        <rFont val="Arial Narrow"/>
        <family val="2"/>
      </rPr>
      <t xml:space="preserve">6) Eficacia/Proceso
</t>
    </r>
    <r>
      <rPr>
        <sz val="8"/>
        <rFont val="Arial Narrow"/>
        <family val="2"/>
      </rPr>
      <t>Porcentaje de Reportes Trimestrales de riesgos enviados oportunamente al Depto. Gestión Integral de Riesgos en el año t (División Beneficios)</t>
    </r>
  </si>
  <si>
    <t>5.4.1.83</t>
  </si>
  <si>
    <t>CONVENIO DE DESEMPEÑO COLECTIVO 2025</t>
  </si>
  <si>
    <t>Reportes/Informes 
-  Reporte tiempo promedio de tramitación PGU</t>
  </si>
  <si>
    <t>Reportes/Informes
-  Correo electrónico dirigido al Depto. de Gestión Integral de Riesgos en que envía el reporte trimestral comprometido.
-  Reporte trimestral de riesgos.</t>
  </si>
  <si>
    <t>Juan Daza Lizana (S)</t>
  </si>
  <si>
    <t>Fernando Arias Contreras (S)</t>
  </si>
  <si>
    <t>CDC: Div. Beneficio, Subd. Servicio al Cliente, Div Informática, Subd Sistema de Información y Administración, Div Jurídica, Direcciones Regionales.</t>
  </si>
  <si>
    <t>PMG - FORMULARIO H 2025</t>
  </si>
  <si>
    <t>Meta 2025</t>
  </si>
  <si>
    <t>Proyectado 2025</t>
  </si>
  <si>
    <t>Cumplimiento
Proyectado
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</si>
</sst>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#,##0.0"/>
    <numFmt numFmtId="168" formatCode="_-* #,##0.00_-;\-* #,##0.00_-;_-* &quot;-&quot;_-;_-@_-"/>
    <numFmt numFmtId="169" formatCode="#,##0_ ;[Red]\-#,##0\ "/>
    <numFmt numFmtId="170" formatCode="#,##0.00_ ;\-#,##0.00\ "/>
  </numFmts>
  <fonts count="19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sz val="16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4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01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9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0" xfId="0" applyFont="1"/>
    <xf numFmtId="3" fontId="9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0" fontId="9" fillId="0" borderId="5" xfId="0" applyFont="1" applyBorder="1" applyAlignment="1">
      <alignment horizontal="center"/>
    </xf>
    <xf numFmtId="3" fontId="9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9" fontId="4" fillId="0" borderId="6" xfId="6" applyFont="1" applyFill="1" applyBorder="1" applyAlignment="1">
      <alignment vertical="center"/>
    </xf>
    <xf numFmtId="10" fontId="4" fillId="3" borderId="7" xfId="6" applyNumberFormat="1" applyFont="1" applyFill="1" applyBorder="1" applyAlignment="1" applyProtection="1">
      <alignment horizontal="right" vertical="center"/>
    </xf>
    <xf numFmtId="9" fontId="4" fillId="0" borderId="7" xfId="6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10" fontId="4" fillId="0" borderId="7" xfId="6" applyNumberFormat="1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9" fontId="4" fillId="0" borderId="8" xfId="6" applyFont="1" applyFill="1" applyBorder="1" applyAlignment="1">
      <alignment vertical="center"/>
    </xf>
    <xf numFmtId="0" fontId="4" fillId="2" borderId="10" xfId="0" applyFont="1" applyFill="1" applyBorder="1" applyAlignment="1">
      <alignment horizontal="left" vertical="center" wrapText="1"/>
    </xf>
    <xf numFmtId="9" fontId="4" fillId="0" borderId="6" xfId="6" applyFont="1" applyBorder="1" applyAlignment="1">
      <alignment vertical="center"/>
    </xf>
    <xf numFmtId="9" fontId="4" fillId="0" borderId="7" xfId="6" applyFont="1" applyBorder="1" applyAlignment="1">
      <alignment vertical="center"/>
    </xf>
    <xf numFmtId="0" fontId="4" fillId="2" borderId="11" xfId="0" applyFont="1" applyFill="1" applyBorder="1" applyAlignment="1">
      <alignment horizontal="left" vertical="center" wrapText="1"/>
    </xf>
    <xf numFmtId="10" fontId="4" fillId="0" borderId="7" xfId="6" applyNumberFormat="1" applyFont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left" vertical="center" wrapText="1"/>
    </xf>
    <xf numFmtId="9" fontId="4" fillId="0" borderId="8" xfId="6" applyFont="1" applyBorder="1" applyAlignment="1">
      <alignment vertical="center"/>
    </xf>
    <xf numFmtId="10" fontId="3" fillId="4" borderId="7" xfId="6" applyNumberFormat="1" applyFont="1" applyFill="1" applyBorder="1" applyAlignment="1" applyProtection="1">
      <alignment horizontal="right" vertical="center"/>
    </xf>
    <xf numFmtId="3" fontId="4" fillId="5" borderId="7" xfId="0" applyNumberFormat="1" applyFont="1" applyFill="1" applyBorder="1" applyAlignment="1">
      <alignment horizontal="righ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10" fontId="4" fillId="2" borderId="11" xfId="6" applyNumberFormat="1" applyFont="1" applyFill="1" applyBorder="1" applyAlignment="1" applyProtection="1">
      <alignment vertical="center"/>
    </xf>
    <xf numFmtId="3" fontId="4" fillId="3" borderId="7" xfId="0" applyNumberFormat="1" applyFont="1" applyFill="1" applyBorder="1" applyAlignment="1" applyProtection="1">
      <alignment horizontal="right" vertical="center" wrapText="1"/>
      <protection locked="0"/>
    </xf>
    <xf numFmtId="0" fontId="12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/>
    <xf numFmtId="0" fontId="4" fillId="6" borderId="6" xfId="4" applyFont="1" applyFill="1" applyBorder="1" applyAlignment="1">
      <alignment horizontal="center" vertical="center" wrapText="1"/>
    </xf>
    <xf numFmtId="0" fontId="4" fillId="6" borderId="7" xfId="4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6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0" fontId="16" fillId="0" borderId="6" xfId="6" applyNumberFormat="1" applyFont="1" applyBorder="1" applyAlignment="1">
      <alignment vertical="center"/>
    </xf>
    <xf numFmtId="10" fontId="15" fillId="4" borderId="7" xfId="6" applyNumberFormat="1" applyFont="1" applyFill="1" applyBorder="1" applyAlignment="1" applyProtection="1">
      <alignment horizontal="right" vertical="center"/>
    </xf>
    <xf numFmtId="10" fontId="4" fillId="8" borderId="7" xfId="6" applyNumberFormat="1" applyFont="1" applyFill="1" applyBorder="1" applyAlignment="1" applyProtection="1">
      <alignment horizontal="right" vertical="center"/>
    </xf>
    <xf numFmtId="10" fontId="4" fillId="2" borderId="7" xfId="6" applyNumberFormat="1" applyFont="1" applyFill="1" applyBorder="1" applyAlignment="1">
      <alignment vertical="center"/>
    </xf>
    <xf numFmtId="10" fontId="4" fillId="8" borderId="7" xfId="6" applyNumberFormat="1" applyFont="1" applyFill="1" applyBorder="1" applyAlignment="1">
      <alignment vertical="center"/>
    </xf>
    <xf numFmtId="10" fontId="4" fillId="9" borderId="7" xfId="6" applyNumberFormat="1" applyFont="1" applyFill="1" applyBorder="1" applyAlignment="1">
      <alignment vertical="center"/>
    </xf>
    <xf numFmtId="10" fontId="16" fillId="0" borderId="7" xfId="6" applyNumberFormat="1" applyFont="1" applyBorder="1" applyAlignment="1">
      <alignment vertical="center"/>
    </xf>
    <xf numFmtId="10" fontId="16" fillId="0" borderId="0" xfId="0" applyNumberFormat="1" applyFont="1"/>
    <xf numFmtId="0" fontId="16" fillId="0" borderId="7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16" fillId="5" borderId="0" xfId="0" applyNumberFormat="1" applyFont="1" applyFill="1" applyAlignment="1">
      <alignment vertical="center" wrapText="1"/>
    </xf>
    <xf numFmtId="3" fontId="4" fillId="8" borderId="7" xfId="0" applyNumberFormat="1" applyFont="1" applyFill="1" applyBorder="1" applyAlignment="1">
      <alignment horizontal="right" vertical="center" wrapText="1"/>
    </xf>
    <xf numFmtId="10" fontId="16" fillId="0" borderId="7" xfId="6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left" vertical="center" wrapText="1"/>
    </xf>
    <xf numFmtId="3" fontId="16" fillId="5" borderId="8" xfId="0" applyNumberFormat="1" applyFont="1" applyFill="1" applyBorder="1" applyAlignment="1">
      <alignment horizontal="right" vertical="center" wrapText="1"/>
    </xf>
    <xf numFmtId="3" fontId="4" fillId="8" borderId="8" xfId="0" applyNumberFormat="1" applyFont="1" applyFill="1" applyBorder="1" applyAlignment="1">
      <alignment horizontal="right" vertical="center" wrapText="1"/>
    </xf>
    <xf numFmtId="10" fontId="16" fillId="0" borderId="8" xfId="6" applyNumberFormat="1" applyFont="1" applyBorder="1" applyAlignment="1">
      <alignment vertical="center"/>
    </xf>
    <xf numFmtId="0" fontId="18" fillId="0" borderId="0" xfId="0" applyFont="1" applyAlignment="1">
      <alignment horizontal="center"/>
    </xf>
    <xf numFmtId="169" fontId="16" fillId="0" borderId="0" xfId="0" applyNumberFormat="1" applyFont="1"/>
    <xf numFmtId="170" fontId="3" fillId="4" borderId="7" xfId="1" applyNumberFormat="1" applyFont="1" applyFill="1" applyBorder="1" applyAlignment="1" applyProtection="1">
      <alignment horizontal="right" vertical="center"/>
    </xf>
    <xf numFmtId="170" fontId="4" fillId="3" borderId="7" xfId="1" applyNumberFormat="1" applyFont="1" applyFill="1" applyBorder="1" applyAlignment="1" applyProtection="1">
      <alignment horizontal="right" vertical="center"/>
    </xf>
    <xf numFmtId="170" fontId="4" fillId="8" borderId="7" xfId="1" applyNumberFormat="1" applyFont="1" applyFill="1" applyBorder="1" applyAlignment="1" applyProtection="1">
      <alignment horizontal="right" vertical="center"/>
    </xf>
    <xf numFmtId="170" fontId="4" fillId="2" borderId="11" xfId="1" applyNumberFormat="1" applyFont="1" applyFill="1" applyBorder="1" applyAlignment="1" applyProtection="1">
      <alignment vertical="center"/>
    </xf>
    <xf numFmtId="170" fontId="4" fillId="2" borderId="7" xfId="1" applyNumberFormat="1" applyFont="1" applyFill="1" applyBorder="1" applyAlignment="1">
      <alignment vertical="center"/>
    </xf>
    <xf numFmtId="170" fontId="4" fillId="8" borderId="7" xfId="1" applyNumberFormat="1" applyFont="1" applyFill="1" applyBorder="1" applyAlignment="1">
      <alignment vertical="center"/>
    </xf>
    <xf numFmtId="170" fontId="4" fillId="9" borderId="7" xfId="1" applyNumberFormat="1" applyFont="1" applyFill="1" applyBorder="1" applyAlignment="1">
      <alignment vertical="center"/>
    </xf>
    <xf numFmtId="0" fontId="16" fillId="2" borderId="10" xfId="0" applyFont="1" applyFill="1" applyBorder="1" applyAlignment="1">
      <alignment horizontal="left" vertical="center" wrapText="1"/>
    </xf>
    <xf numFmtId="9" fontId="16" fillId="0" borderId="6" xfId="6" applyFont="1" applyBorder="1" applyAlignment="1">
      <alignment vertical="center"/>
    </xf>
    <xf numFmtId="10" fontId="16" fillId="8" borderId="7" xfId="6" applyNumberFormat="1" applyFont="1" applyFill="1" applyBorder="1" applyAlignment="1" applyProtection="1">
      <alignment horizontal="right" vertical="center"/>
    </xf>
    <xf numFmtId="10" fontId="16" fillId="2" borderId="11" xfId="6" applyNumberFormat="1" applyFont="1" applyFill="1" applyBorder="1" applyAlignment="1" applyProtection="1">
      <alignment vertical="center"/>
    </xf>
    <xf numFmtId="9" fontId="16" fillId="0" borderId="7" xfId="6" applyFont="1" applyBorder="1" applyAlignment="1">
      <alignment vertical="center"/>
    </xf>
    <xf numFmtId="0" fontId="16" fillId="2" borderId="11" xfId="0" applyFont="1" applyFill="1" applyBorder="1" applyAlignment="1">
      <alignment horizontal="left" vertical="center" wrapText="1"/>
    </xf>
    <xf numFmtId="3" fontId="16" fillId="5" borderId="7" xfId="0" applyNumberFormat="1" applyFont="1" applyFill="1" applyBorder="1" applyAlignment="1">
      <alignment horizontal="right" vertical="center" wrapText="1"/>
    </xf>
    <xf numFmtId="3" fontId="16" fillId="8" borderId="7" xfId="0" applyNumberFormat="1" applyFont="1" applyFill="1" applyBorder="1" applyAlignment="1">
      <alignment horizontal="right" vertical="center" wrapText="1"/>
    </xf>
    <xf numFmtId="3" fontId="16" fillId="2" borderId="7" xfId="0" applyNumberFormat="1" applyFont="1" applyFill="1" applyBorder="1" applyAlignment="1">
      <alignment horizontal="right" vertical="center" wrapText="1"/>
    </xf>
    <xf numFmtId="167" fontId="16" fillId="8" borderId="7" xfId="0" applyNumberFormat="1" applyFont="1" applyFill="1" applyBorder="1" applyAlignment="1">
      <alignment horizontal="right" vertical="center" wrapText="1"/>
    </xf>
    <xf numFmtId="167" fontId="16" fillId="2" borderId="7" xfId="0" applyNumberFormat="1" applyFont="1" applyFill="1" applyBorder="1" applyAlignment="1">
      <alignment horizontal="right" vertical="center" wrapText="1"/>
    </xf>
    <xf numFmtId="3" fontId="16" fillId="0" borderId="7" xfId="0" applyNumberFormat="1" applyFont="1" applyBorder="1" applyAlignment="1">
      <alignment horizontal="left" vertical="center" wrapText="1"/>
    </xf>
    <xf numFmtId="3" fontId="16" fillId="2" borderId="11" xfId="0" applyNumberFormat="1" applyFont="1" applyFill="1" applyBorder="1" applyAlignment="1">
      <alignment horizontal="left" vertical="center" wrapText="1"/>
    </xf>
    <xf numFmtId="3" fontId="16" fillId="8" borderId="8" xfId="0" applyNumberFormat="1" applyFont="1" applyFill="1" applyBorder="1" applyAlignment="1">
      <alignment horizontal="right" vertical="center" wrapText="1"/>
    </xf>
    <xf numFmtId="9" fontId="16" fillId="0" borderId="8" xfId="6" applyFont="1" applyBorder="1" applyAlignment="1">
      <alignment vertical="center"/>
    </xf>
    <xf numFmtId="0" fontId="16" fillId="0" borderId="0" xfId="0" applyFont="1" applyProtection="1">
      <protection locked="0"/>
    </xf>
    <xf numFmtId="2" fontId="4" fillId="3" borderId="7" xfId="6" applyNumberFormat="1" applyFont="1" applyFill="1" applyBorder="1" applyAlignment="1" applyProtection="1">
      <alignment horizontal="right" vertical="center"/>
    </xf>
    <xf numFmtId="2" fontId="4" fillId="8" borderId="7" xfId="6" applyNumberFormat="1" applyFont="1" applyFill="1" applyBorder="1" applyAlignment="1" applyProtection="1">
      <alignment horizontal="right" vertical="center"/>
    </xf>
    <xf numFmtId="2" fontId="4" fillId="2" borderId="11" xfId="6" applyNumberFormat="1" applyFont="1" applyFill="1" applyBorder="1" applyAlignment="1" applyProtection="1">
      <alignment vertical="center"/>
    </xf>
    <xf numFmtId="2" fontId="4" fillId="2" borderId="7" xfId="6" applyNumberFormat="1" applyFont="1" applyFill="1" applyBorder="1" applyAlignment="1">
      <alignment vertical="center"/>
    </xf>
    <xf numFmtId="2" fontId="4" fillId="8" borderId="7" xfId="6" applyNumberFormat="1" applyFont="1" applyFill="1" applyBorder="1" applyAlignment="1">
      <alignment vertical="center"/>
    </xf>
    <xf numFmtId="2" fontId="4" fillId="9" borderId="7" xfId="6" applyNumberFormat="1" applyFont="1" applyFill="1" applyBorder="1" applyAlignment="1">
      <alignment vertical="center"/>
    </xf>
    <xf numFmtId="2" fontId="15" fillId="4" borderId="7" xfId="6" applyNumberFormat="1" applyFont="1" applyFill="1" applyBorder="1" applyAlignment="1" applyProtection="1">
      <alignment horizontal="right" vertical="center"/>
    </xf>
    <xf numFmtId="166" fontId="4" fillId="0" borderId="6" xfId="6" applyNumberFormat="1" applyFont="1" applyFill="1" applyBorder="1" applyAlignment="1">
      <alignment horizontal="left" vertical="center" wrapText="1"/>
    </xf>
    <xf numFmtId="166" fontId="4" fillId="0" borderId="7" xfId="6" applyNumberFormat="1" applyFont="1" applyFill="1" applyBorder="1" applyAlignment="1">
      <alignment horizontal="left" vertical="center" wrapText="1"/>
    </xf>
    <xf numFmtId="166" fontId="4" fillId="0" borderId="8" xfId="6" applyNumberFormat="1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4" fillId="6" borderId="6" xfId="4" applyFont="1" applyFill="1" applyBorder="1" applyAlignment="1">
      <alignment horizontal="left" vertical="center" wrapText="1"/>
    </xf>
    <xf numFmtId="0" fontId="4" fillId="6" borderId="7" xfId="4" applyFont="1" applyFill="1" applyBorder="1" applyAlignment="1">
      <alignment horizontal="left" vertical="center" wrapText="1"/>
    </xf>
    <xf numFmtId="0" fontId="4" fillId="6" borderId="8" xfId="4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horizontal="left" vertical="top"/>
    </xf>
    <xf numFmtId="0" fontId="4" fillId="6" borderId="8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/>
    </xf>
    <xf numFmtId="0" fontId="4" fillId="6" borderId="8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16" fillId="6" borderId="6" xfId="5" applyFont="1" applyFill="1" applyBorder="1" applyAlignment="1">
      <alignment horizontal="center" vertical="center" wrapText="1"/>
    </xf>
    <xf numFmtId="0" fontId="16" fillId="6" borderId="7" xfId="5" applyFont="1" applyFill="1" applyBorder="1"/>
    <xf numFmtId="0" fontId="16" fillId="6" borderId="8" xfId="5" applyFont="1" applyFill="1" applyBorder="1"/>
    <xf numFmtId="0" fontId="4" fillId="7" borderId="6" xfId="5" applyFont="1" applyFill="1" applyBorder="1" applyAlignment="1">
      <alignment horizontal="left" vertical="center" wrapText="1"/>
    </xf>
    <xf numFmtId="0" fontId="4" fillId="7" borderId="7" xfId="5" applyFont="1" applyFill="1" applyBorder="1" applyAlignment="1">
      <alignment horizontal="left" vertical="center" wrapText="1"/>
    </xf>
    <xf numFmtId="0" fontId="4" fillId="7" borderId="8" xfId="5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top" wrapText="1"/>
    </xf>
    <xf numFmtId="0" fontId="4" fillId="7" borderId="7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/>
    </xf>
    <xf numFmtId="0" fontId="16" fillId="7" borderId="8" xfId="0" applyFont="1" applyFill="1" applyBorder="1" applyAlignment="1">
      <alignment horizontal="left" vertical="center"/>
    </xf>
    <xf numFmtId="9" fontId="16" fillId="7" borderId="6" xfId="0" applyNumberFormat="1" applyFont="1" applyFill="1" applyBorder="1" applyAlignment="1">
      <alignment horizontal="center" vertical="center" wrapText="1"/>
    </xf>
    <xf numFmtId="9" fontId="16" fillId="7" borderId="7" xfId="0" applyNumberFormat="1" applyFont="1" applyFill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7" xfId="0" applyFont="1" applyFill="1" applyBorder="1"/>
    <xf numFmtId="0" fontId="4" fillId="7" borderId="8" xfId="0" applyFont="1" applyFill="1" applyBorder="1"/>
    <xf numFmtId="9" fontId="4" fillId="7" borderId="6" xfId="0" applyNumberFormat="1" applyFont="1" applyFill="1" applyBorder="1" applyAlignment="1">
      <alignment horizontal="center" vertical="center" wrapText="1"/>
    </xf>
    <xf numFmtId="9" fontId="4" fillId="7" borderId="7" xfId="0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top" wrapText="1"/>
    </xf>
    <xf numFmtId="0" fontId="4" fillId="7" borderId="8" xfId="0" applyFont="1" applyFill="1" applyBorder="1" applyAlignment="1">
      <alignment horizontal="left" vertical="top" wrapText="1"/>
    </xf>
    <xf numFmtId="0" fontId="16" fillId="7" borderId="7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/>
    </xf>
    <xf numFmtId="0" fontId="16" fillId="7" borderId="8" xfId="0" applyFont="1" applyFill="1" applyBorder="1" applyAlignment="1">
      <alignment horizontal="left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/>
    <xf numFmtId="0" fontId="16" fillId="7" borderId="8" xfId="0" applyFont="1" applyFill="1" applyBorder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2" borderId="6" xfId="4" applyFont="1" applyFill="1" applyBorder="1" applyAlignment="1">
      <alignment horizontal="center" vertical="center" wrapText="1"/>
    </xf>
    <xf numFmtId="0" fontId="3" fillId="2" borderId="8" xfId="4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2" fillId="0" borderId="1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17" xfId="0" applyFont="1" applyBorder="1" applyAlignment="1">
      <alignment wrapText="1"/>
    </xf>
    <xf numFmtId="2" fontId="4" fillId="7" borderId="6" xfId="6" applyNumberFormat="1" applyFont="1" applyFill="1" applyBorder="1" applyAlignment="1">
      <alignment horizontal="center" vertical="center" wrapText="1"/>
    </xf>
    <xf numFmtId="2" fontId="4" fillId="7" borderId="7" xfId="6" applyNumberFormat="1" applyFont="1" applyFill="1" applyBorder="1" applyAlignment="1">
      <alignment horizontal="center" vertical="center" wrapText="1"/>
    </xf>
    <xf numFmtId="2" fontId="4" fillId="7" borderId="8" xfId="6" applyNumberFormat="1" applyFont="1" applyFill="1" applyBorder="1" applyAlignment="1">
      <alignment horizontal="center" vertical="center" wrapText="1"/>
    </xf>
    <xf numFmtId="9" fontId="4" fillId="7" borderId="6" xfId="6" applyFont="1" applyFill="1" applyBorder="1" applyAlignment="1">
      <alignment horizontal="center" vertical="center" wrapText="1"/>
    </xf>
    <xf numFmtId="9" fontId="4" fillId="7" borderId="7" xfId="6" applyFont="1" applyFill="1" applyBorder="1" applyAlignment="1">
      <alignment horizontal="center" vertical="center" wrapText="1"/>
    </xf>
    <xf numFmtId="9" fontId="4" fillId="7" borderId="8" xfId="6" applyFont="1" applyFill="1" applyBorder="1" applyAlignment="1">
      <alignment horizontal="center" vertical="center" wrapText="1"/>
    </xf>
    <xf numFmtId="10" fontId="16" fillId="7" borderId="6" xfId="6" applyNumberFormat="1" applyFont="1" applyFill="1" applyBorder="1" applyAlignment="1">
      <alignment horizontal="center" vertical="center" wrapText="1"/>
    </xf>
    <xf numFmtId="10" fontId="16" fillId="7" borderId="7" xfId="6" applyNumberFormat="1" applyFont="1" applyFill="1" applyBorder="1" applyAlignment="1">
      <alignment horizontal="center" vertical="center" wrapText="1"/>
    </xf>
    <xf numFmtId="10" fontId="16" fillId="7" borderId="8" xfId="6" applyNumberFormat="1" applyFont="1" applyFill="1" applyBorder="1" applyAlignment="1">
      <alignment horizontal="center" vertical="center" wrapText="1"/>
    </xf>
    <xf numFmtId="9" fontId="4" fillId="6" borderId="6" xfId="0" applyNumberFormat="1" applyFont="1" applyFill="1" applyBorder="1" applyAlignment="1">
      <alignment horizontal="left" vertical="center" wrapText="1"/>
    </xf>
    <xf numFmtId="9" fontId="4" fillId="6" borderId="7" xfId="0" applyNumberFormat="1" applyFont="1" applyFill="1" applyBorder="1" applyAlignment="1">
      <alignment horizontal="left" vertical="center" wrapText="1"/>
    </xf>
    <xf numFmtId="9" fontId="4" fillId="6" borderId="8" xfId="0" applyNumberFormat="1" applyFont="1" applyFill="1" applyBorder="1" applyAlignment="1">
      <alignment horizontal="left" vertical="center" wrapText="1"/>
    </xf>
    <xf numFmtId="1" fontId="4" fillId="7" borderId="6" xfId="0" applyNumberFormat="1" applyFont="1" applyFill="1" applyBorder="1" applyAlignment="1">
      <alignment horizontal="left" vertical="center" wrapText="1"/>
    </xf>
    <xf numFmtId="1" fontId="4" fillId="7" borderId="7" xfId="0" applyNumberFormat="1" applyFont="1" applyFill="1" applyBorder="1" applyAlignment="1">
      <alignment horizontal="left" vertical="center" wrapText="1"/>
    </xf>
    <xf numFmtId="1" fontId="4" fillId="7" borderId="8" xfId="0" applyNumberFormat="1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wrapText="1"/>
    </xf>
    <xf numFmtId="0" fontId="4" fillId="6" borderId="7" xfId="0" applyFont="1" applyFill="1" applyBorder="1" applyAlignment="1">
      <alignment horizontal="left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7" xfId="0" applyFont="1" applyFill="1" applyBorder="1"/>
    <xf numFmtId="0" fontId="4" fillId="6" borderId="8" xfId="0" applyFont="1" applyFill="1" applyBorder="1"/>
    <xf numFmtId="0" fontId="4" fillId="7" borderId="7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0" fontId="16" fillId="7" borderId="6" xfId="0" applyNumberFormat="1" applyFont="1" applyFill="1" applyBorder="1" applyAlignment="1">
      <alignment horizontal="center" vertical="center" wrapText="1"/>
    </xf>
    <xf numFmtId="10" fontId="16" fillId="7" borderId="7" xfId="0" applyNumberFormat="1" applyFont="1" applyFill="1" applyBorder="1" applyAlignment="1">
      <alignment horizontal="center" vertical="center" wrapText="1"/>
    </xf>
    <xf numFmtId="10" fontId="16" fillId="7" borderId="8" xfId="0" applyNumberFormat="1" applyFont="1" applyFill="1" applyBorder="1" applyAlignment="1">
      <alignment horizontal="center" vertical="center" wrapText="1"/>
    </xf>
    <xf numFmtId="0" fontId="4" fillId="6" borderId="7" xfId="4" applyFont="1" applyFill="1" applyBorder="1" applyAlignment="1">
      <alignment horizontal="center" vertical="center" wrapText="1"/>
    </xf>
    <xf numFmtId="0" fontId="4" fillId="0" borderId="7" xfId="4" applyFont="1" applyBorder="1" applyAlignment="1">
      <alignment horizontal="center" vertical="center" wrapText="1"/>
    </xf>
    <xf numFmtId="0" fontId="4" fillId="0" borderId="8" xfId="4" applyFont="1" applyBorder="1" applyAlignment="1">
      <alignment horizontal="center" vertical="center" wrapText="1"/>
    </xf>
    <xf numFmtId="0" fontId="4" fillId="6" borderId="6" xfId="4" applyFont="1" applyFill="1" applyBorder="1" applyAlignment="1">
      <alignment horizontal="center" vertical="center" wrapText="1"/>
    </xf>
    <xf numFmtId="0" fontId="4" fillId="6" borderId="8" xfId="4" applyFont="1" applyFill="1" applyBorder="1" applyAlignment="1">
      <alignment horizontal="center" vertical="center" wrapText="1"/>
    </xf>
    <xf numFmtId="166" fontId="16" fillId="0" borderId="6" xfId="6" applyNumberFormat="1" applyFont="1" applyBorder="1" applyAlignment="1">
      <alignment horizontal="left" vertical="center" wrapText="1"/>
    </xf>
    <xf numFmtId="166" fontId="16" fillId="0" borderId="7" xfId="6" applyNumberFormat="1" applyFont="1" applyBorder="1" applyAlignment="1">
      <alignment horizontal="left" vertical="center" wrapText="1"/>
    </xf>
    <xf numFmtId="166" fontId="16" fillId="0" borderId="8" xfId="6" applyNumberFormat="1" applyFont="1" applyBorder="1" applyAlignment="1">
      <alignment horizontal="left" vertical="center" wrapText="1"/>
    </xf>
    <xf numFmtId="168" fontId="4" fillId="7" borderId="6" xfId="1" applyNumberFormat="1" applyFont="1" applyFill="1" applyBorder="1" applyAlignment="1">
      <alignment horizontal="center" vertical="center" wrapText="1"/>
    </xf>
    <xf numFmtId="168" fontId="4" fillId="7" borderId="7" xfId="1" applyNumberFormat="1" applyFont="1" applyFill="1" applyBorder="1" applyAlignment="1">
      <alignment horizontal="center" vertical="center" wrapText="1"/>
    </xf>
    <xf numFmtId="168" fontId="4" fillId="7" borderId="8" xfId="1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6" fontId="16" fillId="0" borderId="6" xfId="6" applyNumberFormat="1" applyFont="1" applyFill="1" applyBorder="1" applyAlignment="1">
      <alignment horizontal="left" vertical="center" wrapText="1"/>
    </xf>
    <xf numFmtId="166" fontId="16" fillId="0" borderId="7" xfId="6" applyNumberFormat="1" applyFont="1" applyFill="1" applyBorder="1" applyAlignment="1">
      <alignment horizontal="left" vertical="center" wrapText="1"/>
    </xf>
    <xf numFmtId="166" fontId="16" fillId="0" borderId="8" xfId="6" applyNumberFormat="1" applyFont="1" applyFill="1" applyBorder="1" applyAlignment="1">
      <alignment horizontal="left" vertical="center" wrapText="1"/>
    </xf>
    <xf numFmtId="166" fontId="4" fillId="0" borderId="6" xfId="6" applyNumberFormat="1" applyFont="1" applyBorder="1" applyAlignment="1">
      <alignment horizontal="left" vertical="center" wrapText="1"/>
    </xf>
    <xf numFmtId="166" fontId="4" fillId="0" borderId="7" xfId="6" applyNumberFormat="1" applyFont="1" applyBorder="1" applyAlignment="1">
      <alignment horizontal="left" vertical="center" wrapText="1"/>
    </xf>
    <xf numFmtId="166" fontId="4" fillId="0" borderId="8" xfId="6" applyNumberFormat="1" applyFont="1" applyBorder="1" applyAlignment="1">
      <alignment horizontal="left" vertical="center" wrapText="1"/>
    </xf>
    <xf numFmtId="10" fontId="4" fillId="6" borderId="6" xfId="0" applyNumberFormat="1" applyFont="1" applyFill="1" applyBorder="1" applyAlignment="1">
      <alignment horizontal="center" vertical="center" wrapText="1"/>
    </xf>
    <xf numFmtId="10" fontId="4" fillId="6" borderId="7" xfId="0" applyNumberFormat="1" applyFont="1" applyFill="1" applyBorder="1" applyAlignment="1">
      <alignment horizontal="center" vertical="center" wrapText="1"/>
    </xf>
    <xf numFmtId="10" fontId="4" fillId="6" borderId="8" xfId="0" applyNumberFormat="1" applyFont="1" applyFill="1" applyBorder="1" applyAlignment="1">
      <alignment horizontal="center" vertical="center" wrapText="1"/>
    </xf>
    <xf numFmtId="9" fontId="4" fillId="6" borderId="6" xfId="0" applyNumberFormat="1" applyFont="1" applyFill="1" applyBorder="1" applyAlignment="1">
      <alignment horizontal="center" vertical="center" wrapText="1"/>
    </xf>
    <xf numFmtId="9" fontId="4" fillId="6" borderId="7" xfId="0" applyNumberFormat="1" applyFont="1" applyFill="1" applyBorder="1" applyAlignment="1">
      <alignment horizontal="center" vertical="center" wrapText="1"/>
    </xf>
    <xf numFmtId="9" fontId="4" fillId="6" borderId="8" xfId="0" applyNumberFormat="1" applyFont="1" applyFill="1" applyBorder="1" applyAlignment="1">
      <alignment horizontal="center" vertical="center" wrapText="1"/>
    </xf>
    <xf numFmtId="9" fontId="16" fillId="6" borderId="7" xfId="0" applyNumberFormat="1" applyFont="1" applyFill="1" applyBorder="1" applyAlignment="1">
      <alignment horizontal="left" vertical="center" wrapText="1"/>
    </xf>
    <xf numFmtId="0" fontId="16" fillId="6" borderId="7" xfId="0" applyFont="1" applyFill="1" applyBorder="1" applyAlignment="1">
      <alignment horizontal="left" wrapText="1"/>
    </xf>
    <xf numFmtId="0" fontId="16" fillId="6" borderId="8" xfId="0" applyFont="1" applyFill="1" applyBorder="1" applyAlignment="1">
      <alignment horizontal="left" wrapText="1"/>
    </xf>
    <xf numFmtId="9" fontId="16" fillId="6" borderId="6" xfId="0" applyNumberFormat="1" applyFont="1" applyFill="1" applyBorder="1" applyAlignment="1">
      <alignment horizontal="left" vertical="center" wrapText="1"/>
    </xf>
    <xf numFmtId="1" fontId="4" fillId="6" borderId="6" xfId="0" applyNumberFormat="1" applyFont="1" applyFill="1" applyBorder="1" applyAlignment="1">
      <alignment horizontal="left" vertical="center" wrapText="1"/>
    </xf>
    <xf numFmtId="1" fontId="12" fillId="6" borderId="7" xfId="0" applyNumberFormat="1" applyFont="1" applyFill="1" applyBorder="1" applyAlignment="1">
      <alignment horizontal="left" vertical="center" wrapText="1"/>
    </xf>
    <xf numFmtId="1" fontId="12" fillId="6" borderId="8" xfId="0" applyNumberFormat="1" applyFont="1" applyFill="1" applyBorder="1" applyAlignment="1">
      <alignment horizontal="left" vertical="center" wrapText="1"/>
    </xf>
    <xf numFmtId="1" fontId="4" fillId="6" borderId="7" xfId="0" applyNumberFormat="1" applyFont="1" applyFill="1" applyBorder="1" applyAlignment="1">
      <alignment horizontal="left" vertical="center" wrapText="1"/>
    </xf>
    <xf numFmtId="1" fontId="4" fillId="6" borderId="8" xfId="0" applyNumberFormat="1" applyFont="1" applyFill="1" applyBorder="1" applyAlignment="1">
      <alignment horizontal="left" vertical="center" wrapText="1"/>
    </xf>
    <xf numFmtId="10" fontId="4" fillId="7" borderId="6" xfId="6" applyNumberFormat="1" applyFont="1" applyFill="1" applyBorder="1" applyAlignment="1">
      <alignment horizontal="center" vertical="center" wrapText="1"/>
    </xf>
    <xf numFmtId="10" fontId="4" fillId="7" borderId="7" xfId="6" applyNumberFormat="1" applyFont="1" applyFill="1" applyBorder="1" applyAlignment="1">
      <alignment horizontal="center" vertical="center" wrapText="1"/>
    </xf>
    <xf numFmtId="10" fontId="4" fillId="7" borderId="8" xfId="6" applyNumberFormat="1" applyFont="1" applyFill="1" applyBorder="1" applyAlignment="1">
      <alignment horizontal="center" vertical="center" wrapText="1"/>
    </xf>
    <xf numFmtId="9" fontId="4" fillId="7" borderId="6" xfId="0" applyNumberFormat="1" applyFont="1" applyFill="1" applyBorder="1" applyAlignment="1">
      <alignment horizontal="left" vertical="center" wrapText="1"/>
    </xf>
    <xf numFmtId="9" fontId="4" fillId="7" borderId="7" xfId="0" applyNumberFormat="1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wrapText="1"/>
    </xf>
    <xf numFmtId="166" fontId="16" fillId="0" borderId="21" xfId="6" applyNumberFormat="1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4" fillId="7" borderId="7" xfId="0" applyFont="1" applyFill="1" applyBorder="1" applyAlignment="1">
      <alignment horizontal="left" wrapText="1"/>
    </xf>
    <xf numFmtId="0" fontId="15" fillId="2" borderId="6" xfId="4" applyFont="1" applyFill="1" applyBorder="1" applyAlignment="1">
      <alignment horizontal="center" vertical="center" wrapText="1"/>
    </xf>
    <xf numFmtId="0" fontId="15" fillId="2" borderId="8" xfId="4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9" fontId="4" fillId="7" borderId="8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left" vertical="center" wrapText="1"/>
    </xf>
    <xf numFmtId="0" fontId="15" fillId="7" borderId="8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9" fontId="16" fillId="7" borderId="6" xfId="0" applyNumberFormat="1" applyFont="1" applyFill="1" applyBorder="1" applyAlignment="1">
      <alignment horizontal="left" vertical="center" wrapText="1"/>
    </xf>
    <xf numFmtId="9" fontId="16" fillId="7" borderId="7" xfId="0" applyNumberFormat="1" applyFont="1" applyFill="1" applyBorder="1" applyAlignment="1">
      <alignment horizontal="left" vertical="center" wrapText="1"/>
    </xf>
    <xf numFmtId="9" fontId="16" fillId="7" borderId="8" xfId="0" applyNumberFormat="1" applyFont="1" applyFill="1" applyBorder="1" applyAlignment="1">
      <alignment horizontal="left" vertical="center" wrapText="1"/>
    </xf>
  </cellXfs>
  <cellStyles count="9">
    <cellStyle name="Millares [0]" xfId="1" builtinId="6"/>
    <cellStyle name="Millares 2" xfId="2" xr:uid="{00000000-0005-0000-0000-000001000000}"/>
    <cellStyle name="Millares 2 2" xfId="3" xr:uid="{00000000-0005-0000-0000-000002000000}"/>
    <cellStyle name="Millares 4" xfId="8" xr:uid="{D4C98891-EB84-434C-A3EE-54DAB0E4B394}"/>
    <cellStyle name="Normal" xfId="0" builtinId="0"/>
    <cellStyle name="Normal 2" xfId="4" xr:uid="{00000000-0005-0000-0000-000004000000}"/>
    <cellStyle name="Normal 3" xfId="5" xr:uid="{00000000-0005-0000-0000-000005000000}"/>
    <cellStyle name="Porcentaje" xfId="6" builtinId="5"/>
    <cellStyle name="Porcentaje 2" xfId="7" xr:uid="{00000000-0005-0000-0000-000007000000}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692" name="Picture 67" descr="image002">
          <a:extLst>
            <a:ext uri="{FF2B5EF4-FFF2-40B4-BE49-F238E27FC236}">
              <a16:creationId xmlns:a16="http://schemas.microsoft.com/office/drawing/2014/main" id="{EDBDBB14-2BB7-48DC-B2DD-EDDA715E9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927AB033-F436-46D5-A565-97894EB6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6381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26B248EB-996F-47A7-A896-0A2C29B29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" y="0"/>
          <a:ext cx="771525" cy="840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E35CE8C7-913F-4A78-B38E-8FA44B63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6381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70407F27-E0D0-4D28-9C0A-85631795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6381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8EF3FABA-1A9A-4AA5-B644-0D185C187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6381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27"/>
  <sheetViews>
    <sheetView showGridLines="0" topLeftCell="E17" zoomScale="98" zoomScaleNormal="98" workbookViewId="0">
      <selection activeCell="L22" sqref="L22:L24"/>
    </sheetView>
  </sheetViews>
  <sheetFormatPr baseColWidth="10" defaultColWidth="11.42578125" defaultRowHeight="12.75" x14ac:dyDescent="0.2"/>
  <cols>
    <col min="1" max="1" width="15.85546875" style="3" customWidth="1"/>
    <col min="2" max="3" width="26.7109375" style="3" customWidth="1"/>
    <col min="4" max="4" width="24.7109375" style="3" customWidth="1"/>
    <col min="5" max="5" width="22.42578125" style="3" customWidth="1"/>
    <col min="6" max="6" width="14.5703125" style="3" customWidth="1"/>
    <col min="7" max="7" width="23.42578125" style="3" customWidth="1"/>
    <col min="8" max="8" width="18" style="3" customWidth="1"/>
    <col min="9" max="10" width="11.140625" style="3" customWidth="1"/>
    <col min="11" max="11" width="28.5703125" style="3" customWidth="1"/>
    <col min="12" max="12" width="17" style="3" customWidth="1"/>
    <col min="13" max="13" width="11.140625" style="3" customWidth="1"/>
    <col min="14" max="14" width="11.7109375" style="2" customWidth="1"/>
    <col min="15" max="35" width="10.7109375" style="2" customWidth="1"/>
    <col min="36" max="36" width="16" style="2" customWidth="1"/>
    <col min="37" max="37" width="44" style="2" customWidth="1"/>
    <col min="38" max="38" width="12.5703125" style="3" customWidth="1"/>
    <col min="39" max="39" width="34.5703125" style="3" customWidth="1"/>
    <col min="40" max="40" width="21.28515625" style="3" customWidth="1"/>
    <col min="41" max="41" width="2.28515625" style="3" customWidth="1"/>
    <col min="42" max="16384" width="11.42578125" style="3"/>
  </cols>
  <sheetData>
    <row r="1" spans="1:40" s="10" customFormat="1" ht="12.75" customHeight="1" x14ac:dyDescent="0.25">
      <c r="B1" s="155"/>
      <c r="C1" s="155"/>
      <c r="D1" s="156"/>
      <c r="E1" s="173" t="s">
        <v>0</v>
      </c>
      <c r="F1" s="179"/>
      <c r="G1" s="179"/>
      <c r="H1" s="179"/>
      <c r="I1" s="179"/>
      <c r="J1" s="179"/>
      <c r="K1" s="179"/>
      <c r="L1" s="179"/>
      <c r="M1" s="179"/>
      <c r="N1" s="180"/>
      <c r="O1" s="173" t="s">
        <v>38</v>
      </c>
      <c r="P1" s="174"/>
      <c r="Q1" s="174"/>
      <c r="R1" s="175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40" s="10" customFormat="1" ht="12.75" customHeight="1" x14ac:dyDescent="0.25">
      <c r="B2" s="157"/>
      <c r="C2" s="157"/>
      <c r="D2" s="158"/>
      <c r="E2" s="176"/>
      <c r="F2" s="181"/>
      <c r="G2" s="181"/>
      <c r="H2" s="181"/>
      <c r="I2" s="181"/>
      <c r="J2" s="181"/>
      <c r="K2" s="181"/>
      <c r="L2" s="181"/>
      <c r="M2" s="181"/>
      <c r="N2" s="182"/>
      <c r="O2" s="186" t="s">
        <v>39</v>
      </c>
      <c r="P2" s="187"/>
      <c r="Q2" s="187"/>
      <c r="R2" s="188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40" s="10" customFormat="1" ht="15.75" customHeight="1" x14ac:dyDescent="0.25">
      <c r="B3" s="157"/>
      <c r="C3" s="157"/>
      <c r="D3" s="158"/>
      <c r="E3" s="176"/>
      <c r="F3" s="181"/>
      <c r="G3" s="181"/>
      <c r="H3" s="181"/>
      <c r="I3" s="181"/>
      <c r="J3" s="181"/>
      <c r="K3" s="181"/>
      <c r="L3" s="181"/>
      <c r="M3" s="181"/>
      <c r="N3" s="182"/>
      <c r="O3" s="176"/>
      <c r="P3" s="177"/>
      <c r="Q3" s="177"/>
      <c r="R3" s="178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40" s="10" customFormat="1" ht="12.75" customHeight="1" x14ac:dyDescent="0.25">
      <c r="B4" s="157"/>
      <c r="C4" s="157"/>
      <c r="D4" s="158"/>
      <c r="E4" s="176"/>
      <c r="F4" s="181"/>
      <c r="G4" s="181"/>
      <c r="H4" s="181"/>
      <c r="I4" s="181"/>
      <c r="J4" s="181"/>
      <c r="K4" s="181"/>
      <c r="L4" s="181"/>
      <c r="M4" s="181"/>
      <c r="N4" s="182"/>
      <c r="O4" s="12"/>
      <c r="P4" s="13"/>
      <c r="Q4" s="13"/>
      <c r="R4" s="14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40" s="10" customFormat="1" ht="20.25" customHeight="1" x14ac:dyDescent="0.25">
      <c r="B5" s="159"/>
      <c r="C5" s="159"/>
      <c r="D5" s="160"/>
      <c r="E5" s="183"/>
      <c r="F5" s="184"/>
      <c r="G5" s="184"/>
      <c r="H5" s="184"/>
      <c r="I5" s="184"/>
      <c r="J5" s="184"/>
      <c r="K5" s="184"/>
      <c r="L5" s="184"/>
      <c r="M5" s="184"/>
      <c r="N5" s="185"/>
      <c r="O5" s="190" t="s">
        <v>34</v>
      </c>
      <c r="P5" s="191"/>
      <c r="Q5" s="191"/>
      <c r="R5" s="192"/>
      <c r="S5" s="11"/>
      <c r="T5" s="11"/>
      <c r="U5" s="11"/>
      <c r="V5" s="11" t="s">
        <v>31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40" ht="15.75" customHeight="1" x14ac:dyDescent="0.2">
      <c r="B6" s="167" t="s">
        <v>29</v>
      </c>
      <c r="C6" s="168"/>
      <c r="D6" s="169"/>
      <c r="E6" s="170" t="s">
        <v>36</v>
      </c>
      <c r="F6" s="171"/>
      <c r="G6" s="171"/>
      <c r="H6" s="171"/>
      <c r="I6" s="171"/>
      <c r="J6" s="171"/>
      <c r="K6" s="171"/>
      <c r="L6" s="171"/>
      <c r="M6" s="171"/>
      <c r="N6" s="172"/>
      <c r="O6" s="170" t="s">
        <v>35</v>
      </c>
      <c r="P6" s="171"/>
      <c r="Q6" s="171"/>
      <c r="R6" s="172"/>
    </row>
    <row r="7" spans="1:40" s="10" customFormat="1" ht="16.5" customHeight="1" x14ac:dyDescent="0.25">
      <c r="E7" s="7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40" s="10" customFormat="1" ht="15.75" x14ac:dyDescent="0.25">
      <c r="B8" s="4" t="s">
        <v>129</v>
      </c>
      <c r="C8" s="7"/>
      <c r="D8" s="8"/>
      <c r="E8" s="15"/>
      <c r="M8" s="16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7"/>
      <c r="AG8" s="11"/>
      <c r="AH8" s="11"/>
      <c r="AI8" s="11"/>
      <c r="AJ8" s="11"/>
      <c r="AK8" s="17"/>
    </row>
    <row r="9" spans="1:40" s="10" customFormat="1" ht="16.5" customHeight="1" x14ac:dyDescent="0.25">
      <c r="B9" s="4" t="s">
        <v>49</v>
      </c>
      <c r="C9" s="7"/>
      <c r="D9" s="7"/>
      <c r="E9" s="15"/>
      <c r="M9" s="16"/>
      <c r="N9" s="11"/>
      <c r="O9" s="11"/>
      <c r="P9" s="11"/>
      <c r="Q9" s="11"/>
      <c r="R9" s="17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spans="1:40" s="10" customFormat="1" ht="16.5" thickBot="1" x14ac:dyDescent="0.3">
      <c r="B10" s="4"/>
      <c r="C10" s="4"/>
      <c r="D10" s="4"/>
      <c r="E10" s="7"/>
      <c r="N10" s="11"/>
      <c r="O10" s="11"/>
      <c r="P10" s="18"/>
      <c r="Q10" s="18"/>
      <c r="R10" s="19"/>
      <c r="S10" s="18"/>
      <c r="T10" s="18"/>
      <c r="U10" s="18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8"/>
      <c r="AJ10" s="18"/>
      <c r="AK10" s="18"/>
      <c r="AL10" s="20"/>
      <c r="AM10" s="20"/>
      <c r="AN10" s="20"/>
    </row>
    <row r="11" spans="1:40" s="1" customFormat="1" ht="22.9" customHeight="1" thickTop="1" x14ac:dyDescent="0.25">
      <c r="A11" s="163" t="s">
        <v>51</v>
      </c>
      <c r="B11" s="163" t="s">
        <v>37</v>
      </c>
      <c r="C11" s="163" t="s">
        <v>1</v>
      </c>
      <c r="D11" s="165" t="s">
        <v>2</v>
      </c>
      <c r="E11" s="161" t="s">
        <v>32</v>
      </c>
      <c r="F11" s="161" t="s">
        <v>40</v>
      </c>
      <c r="G11" s="161" t="s">
        <v>33</v>
      </c>
      <c r="H11" s="161" t="s">
        <v>41</v>
      </c>
      <c r="I11" s="161" t="s">
        <v>103</v>
      </c>
      <c r="J11" s="161" t="s">
        <v>63</v>
      </c>
      <c r="K11" s="165" t="s">
        <v>3</v>
      </c>
      <c r="L11" s="165" t="s">
        <v>28</v>
      </c>
      <c r="M11" s="165" t="s">
        <v>4</v>
      </c>
      <c r="N11" s="165" t="s">
        <v>5</v>
      </c>
      <c r="O11" s="163" t="s">
        <v>6</v>
      </c>
      <c r="P11" s="165" t="s">
        <v>7</v>
      </c>
      <c r="Q11" s="165" t="s">
        <v>8</v>
      </c>
      <c r="R11" s="165" t="s">
        <v>9</v>
      </c>
      <c r="S11" s="165" t="s">
        <v>10</v>
      </c>
      <c r="T11" s="165" t="s">
        <v>11</v>
      </c>
      <c r="U11" s="163" t="s">
        <v>12</v>
      </c>
      <c r="V11" s="163" t="s">
        <v>13</v>
      </c>
      <c r="W11" s="165" t="s">
        <v>14</v>
      </c>
      <c r="X11" s="225" t="s">
        <v>15</v>
      </c>
      <c r="Y11" s="165" t="s">
        <v>16</v>
      </c>
      <c r="Z11" s="165" t="s">
        <v>17</v>
      </c>
      <c r="AA11" s="165" t="s">
        <v>18</v>
      </c>
      <c r="AB11" s="165" t="s">
        <v>19</v>
      </c>
      <c r="AC11" s="165" t="s">
        <v>20</v>
      </c>
      <c r="AD11" s="165" t="s">
        <v>21</v>
      </c>
      <c r="AE11" s="165" t="s">
        <v>22</v>
      </c>
      <c r="AF11" s="163" t="s">
        <v>23</v>
      </c>
      <c r="AG11" s="165" t="s">
        <v>24</v>
      </c>
      <c r="AH11" s="165" t="s">
        <v>25</v>
      </c>
      <c r="AI11" s="161" t="s">
        <v>104</v>
      </c>
      <c r="AJ11" s="165" t="s">
        <v>26</v>
      </c>
      <c r="AK11" s="165" t="s">
        <v>27</v>
      </c>
      <c r="AL11" s="161" t="s">
        <v>60</v>
      </c>
      <c r="AM11" s="165" t="s">
        <v>59</v>
      </c>
    </row>
    <row r="12" spans="1:40" s="1" customFormat="1" ht="22.9" customHeight="1" thickBot="1" x14ac:dyDescent="0.3">
      <c r="A12" s="164"/>
      <c r="B12" s="164"/>
      <c r="C12" s="164"/>
      <c r="D12" s="166"/>
      <c r="E12" s="162"/>
      <c r="F12" s="162"/>
      <c r="G12" s="162"/>
      <c r="H12" s="162"/>
      <c r="I12" s="162"/>
      <c r="J12" s="162"/>
      <c r="K12" s="166"/>
      <c r="L12" s="189"/>
      <c r="M12" s="166"/>
      <c r="N12" s="166"/>
      <c r="O12" s="164"/>
      <c r="P12" s="166"/>
      <c r="Q12" s="166"/>
      <c r="R12" s="166"/>
      <c r="S12" s="213"/>
      <c r="T12" s="166"/>
      <c r="U12" s="224"/>
      <c r="V12" s="224"/>
      <c r="W12" s="213"/>
      <c r="X12" s="226"/>
      <c r="Y12" s="166"/>
      <c r="Z12" s="213"/>
      <c r="AA12" s="213"/>
      <c r="AB12" s="213"/>
      <c r="AC12" s="213"/>
      <c r="AD12" s="213"/>
      <c r="AE12" s="213"/>
      <c r="AF12" s="224"/>
      <c r="AG12" s="213"/>
      <c r="AH12" s="166"/>
      <c r="AI12" s="162"/>
      <c r="AJ12" s="166"/>
      <c r="AK12" s="220"/>
      <c r="AL12" s="162"/>
      <c r="AM12" s="166"/>
    </row>
    <row r="13" spans="1:40" s="96" customFormat="1" ht="22.9" customHeight="1" thickTop="1" x14ac:dyDescent="0.25">
      <c r="A13" s="221" t="s">
        <v>124</v>
      </c>
      <c r="B13" s="149" t="s">
        <v>98</v>
      </c>
      <c r="C13" s="134" t="s">
        <v>118</v>
      </c>
      <c r="D13" s="152" t="s">
        <v>99</v>
      </c>
      <c r="E13" s="137" t="s">
        <v>50</v>
      </c>
      <c r="F13" s="137" t="s">
        <v>133</v>
      </c>
      <c r="G13" s="137" t="s">
        <v>48</v>
      </c>
      <c r="H13" s="137" t="s">
        <v>68</v>
      </c>
      <c r="I13" s="199">
        <f>+L14</f>
        <v>0.85</v>
      </c>
      <c r="J13" s="227">
        <v>0.25</v>
      </c>
      <c r="K13" s="205" t="s">
        <v>62</v>
      </c>
      <c r="L13" s="53" t="s">
        <v>43</v>
      </c>
      <c r="M13" s="21" t="s">
        <v>43</v>
      </c>
      <c r="N13" s="21" t="s">
        <v>43</v>
      </c>
      <c r="O13" s="33" t="s">
        <v>43</v>
      </c>
      <c r="P13" s="21" t="s">
        <v>43</v>
      </c>
      <c r="Q13" s="54" t="s">
        <v>43</v>
      </c>
      <c r="R13" s="21" t="s">
        <v>43</v>
      </c>
      <c r="S13" s="54" t="s">
        <v>43</v>
      </c>
      <c r="T13" s="21" t="s">
        <v>43</v>
      </c>
      <c r="U13" s="54" t="s">
        <v>43</v>
      </c>
      <c r="V13" s="21" t="s">
        <v>43</v>
      </c>
      <c r="W13" s="54" t="s">
        <v>43</v>
      </c>
      <c r="X13" s="21" t="s">
        <v>43</v>
      </c>
      <c r="Y13" s="54" t="s">
        <v>43</v>
      </c>
      <c r="Z13" s="21" t="s">
        <v>43</v>
      </c>
      <c r="AA13" s="54" t="s">
        <v>43</v>
      </c>
      <c r="AB13" s="21" t="s">
        <v>43</v>
      </c>
      <c r="AC13" s="54" t="s">
        <v>43</v>
      </c>
      <c r="AD13" s="21" t="s">
        <v>43</v>
      </c>
      <c r="AE13" s="54" t="s">
        <v>43</v>
      </c>
      <c r="AF13" s="21" t="s">
        <v>43</v>
      </c>
      <c r="AG13" s="54" t="s">
        <v>43</v>
      </c>
      <c r="AH13" s="21" t="s">
        <v>43</v>
      </c>
      <c r="AI13" s="54" t="s">
        <v>43</v>
      </c>
      <c r="AJ13" s="82"/>
      <c r="AK13" s="235" t="s">
        <v>100</v>
      </c>
      <c r="AL13" s="235"/>
      <c r="AM13" s="233" t="s">
        <v>134</v>
      </c>
    </row>
    <row r="14" spans="1:40" s="96" customFormat="1" ht="22.9" customHeight="1" x14ac:dyDescent="0.25">
      <c r="A14" s="222"/>
      <c r="B14" s="150"/>
      <c r="C14" s="135"/>
      <c r="D14" s="153"/>
      <c r="E14" s="138"/>
      <c r="F14" s="138"/>
      <c r="G14" s="138"/>
      <c r="H14" s="138"/>
      <c r="I14" s="200"/>
      <c r="J14" s="228"/>
      <c r="K14" s="206"/>
      <c r="L14" s="56">
        <f>IF(L16&lt;&gt;0,+L16/L18,0%)</f>
        <v>0.85</v>
      </c>
      <c r="M14" s="97">
        <f>IF(M16&lt;&gt;0,+M16/M18,0%)</f>
        <v>0</v>
      </c>
      <c r="N14" s="98">
        <f>IF(N16&lt;&gt;0,+N16/N18,0%)</f>
        <v>0</v>
      </c>
      <c r="O14" s="99">
        <f t="shared" ref="O14:AG14" si="0">IF(O16&lt;&gt;0,+O16/O18,0%)</f>
        <v>0</v>
      </c>
      <c r="P14" s="98">
        <f>IF(P16&lt;&gt;0,+P16/P18,0%)</f>
        <v>0</v>
      </c>
      <c r="Q14" s="100">
        <f t="shared" si="0"/>
        <v>0</v>
      </c>
      <c r="R14" s="101">
        <f>IF(R16&lt;&gt;0,ROUND(+R16/R18,4),0%)</f>
        <v>0</v>
      </c>
      <c r="S14" s="100">
        <f t="shared" si="0"/>
        <v>0</v>
      </c>
      <c r="T14" s="101">
        <f>IF(T16&lt;&gt;0,ROUND(+T16/T18,4),0%)</f>
        <v>0</v>
      </c>
      <c r="U14" s="100">
        <f t="shared" si="0"/>
        <v>0</v>
      </c>
      <c r="V14" s="101">
        <f>IF(V16&lt;&gt;0,ROUND(+V16/V18,4),0%)</f>
        <v>0</v>
      </c>
      <c r="W14" s="100">
        <f t="shared" si="0"/>
        <v>0</v>
      </c>
      <c r="X14" s="101">
        <f>IF(X16&lt;&gt;0,ROUND(+X16/X18,4),0%)</f>
        <v>0</v>
      </c>
      <c r="Y14" s="100">
        <f t="shared" si="0"/>
        <v>0</v>
      </c>
      <c r="Z14" s="102">
        <f>IF(Z16&lt;&gt;0,ROUND(+Z16/Z18,4),0%)</f>
        <v>0</v>
      </c>
      <c r="AA14" s="100">
        <f t="shared" si="0"/>
        <v>0</v>
      </c>
      <c r="AB14" s="101">
        <f>IF(AB16&lt;&gt;0,ROUND(+AB16/AB18,4),0%)</f>
        <v>0</v>
      </c>
      <c r="AC14" s="100">
        <f t="shared" si="0"/>
        <v>0</v>
      </c>
      <c r="AD14" s="101">
        <f>IF(AD16&lt;&gt;0,ROUND(+AD16/AD18,4),0%)</f>
        <v>0</v>
      </c>
      <c r="AE14" s="100">
        <f t="shared" si="0"/>
        <v>0</v>
      </c>
      <c r="AF14" s="101">
        <f>IF(AF16&lt;&gt;0,ROUND(+AF16/AF18,4),0%)</f>
        <v>0</v>
      </c>
      <c r="AG14" s="100">
        <f t="shared" si="0"/>
        <v>0</v>
      </c>
      <c r="AH14" s="101">
        <f>IF(AH16&lt;&gt;0,ROUND(+AH16/AH18,4),0%)</f>
        <v>0</v>
      </c>
      <c r="AI14" s="100">
        <f>IF(AI16&lt;&gt;0,+AI16/AI18,0%)</f>
        <v>0</v>
      </c>
      <c r="AJ14" s="85"/>
      <c r="AK14" s="236"/>
      <c r="AL14" s="236"/>
      <c r="AM14" s="230"/>
    </row>
    <row r="15" spans="1:40" s="96" customFormat="1" ht="22.9" customHeight="1" thickBot="1" x14ac:dyDescent="0.3">
      <c r="A15" s="222"/>
      <c r="B15" s="150"/>
      <c r="C15" s="135"/>
      <c r="D15" s="153"/>
      <c r="E15" s="138"/>
      <c r="F15" s="138"/>
      <c r="G15" s="138"/>
      <c r="H15" s="138"/>
      <c r="I15" s="200"/>
      <c r="J15" s="228"/>
      <c r="K15" s="207"/>
      <c r="L15" s="63" t="s">
        <v>44</v>
      </c>
      <c r="M15" s="25" t="s">
        <v>44</v>
      </c>
      <c r="N15" s="25" t="s">
        <v>44</v>
      </c>
      <c r="O15" s="36" t="s">
        <v>44</v>
      </c>
      <c r="P15" s="25" t="s">
        <v>44</v>
      </c>
      <c r="Q15" s="64" t="s">
        <v>44</v>
      </c>
      <c r="R15" s="25" t="s">
        <v>44</v>
      </c>
      <c r="S15" s="64" t="s">
        <v>44</v>
      </c>
      <c r="T15" s="25" t="s">
        <v>44</v>
      </c>
      <c r="U15" s="64" t="s">
        <v>44</v>
      </c>
      <c r="V15" s="25" t="s">
        <v>44</v>
      </c>
      <c r="W15" s="64" t="s">
        <v>44</v>
      </c>
      <c r="X15" s="25" t="s">
        <v>44</v>
      </c>
      <c r="Y15" s="64" t="s">
        <v>44</v>
      </c>
      <c r="Z15" s="25" t="s">
        <v>44</v>
      </c>
      <c r="AA15" s="64" t="s">
        <v>44</v>
      </c>
      <c r="AB15" s="25" t="s">
        <v>44</v>
      </c>
      <c r="AC15" s="64" t="s">
        <v>44</v>
      </c>
      <c r="AD15" s="25" t="s">
        <v>44</v>
      </c>
      <c r="AE15" s="64" t="s">
        <v>44</v>
      </c>
      <c r="AF15" s="25" t="s">
        <v>44</v>
      </c>
      <c r="AG15" s="64" t="s">
        <v>44</v>
      </c>
      <c r="AH15" s="25" t="s">
        <v>44</v>
      </c>
      <c r="AI15" s="64" t="s">
        <v>44</v>
      </c>
      <c r="AJ15" s="85"/>
      <c r="AK15" s="236"/>
      <c r="AL15" s="236"/>
      <c r="AM15" s="230"/>
    </row>
    <row r="16" spans="1:40" s="96" customFormat="1" ht="22.9" customHeight="1" thickTop="1" x14ac:dyDescent="0.25">
      <c r="A16" s="222"/>
      <c r="B16" s="150"/>
      <c r="C16" s="135"/>
      <c r="D16" s="153"/>
      <c r="E16" s="138"/>
      <c r="F16" s="138"/>
      <c r="G16" s="138"/>
      <c r="H16" s="138"/>
      <c r="I16" s="200"/>
      <c r="J16" s="228"/>
      <c r="K16" s="205" t="s">
        <v>42</v>
      </c>
      <c r="L16" s="41">
        <v>25500</v>
      </c>
      <c r="M16" s="26"/>
      <c r="N16" s="26"/>
      <c r="O16" s="27">
        <f>+M16+N16</f>
        <v>0</v>
      </c>
      <c r="P16" s="26"/>
      <c r="Q16" s="27">
        <f>+O16+P16</f>
        <v>0</v>
      </c>
      <c r="R16" s="26"/>
      <c r="S16" s="27">
        <f>+Q16+R16</f>
        <v>0</v>
      </c>
      <c r="T16" s="26"/>
      <c r="U16" s="27">
        <f>+S16+T16</f>
        <v>0</v>
      </c>
      <c r="V16" s="26"/>
      <c r="W16" s="27">
        <f>+U16+V16</f>
        <v>0</v>
      </c>
      <c r="X16" s="26"/>
      <c r="Y16" s="27">
        <f>+W16+X16</f>
        <v>0</v>
      </c>
      <c r="Z16" s="26"/>
      <c r="AA16" s="27">
        <f>+Y16+Z16</f>
        <v>0</v>
      </c>
      <c r="AB16" s="26"/>
      <c r="AC16" s="27">
        <f>+AA16+AB16</f>
        <v>0</v>
      </c>
      <c r="AD16" s="26"/>
      <c r="AE16" s="27">
        <f>+AC16+AD16</f>
        <v>0</v>
      </c>
      <c r="AF16" s="26"/>
      <c r="AG16" s="27">
        <f>+AE16+AF16</f>
        <v>0</v>
      </c>
      <c r="AH16" s="26"/>
      <c r="AI16" s="27">
        <f>+AG16+AH16</f>
        <v>0</v>
      </c>
      <c r="AJ16" s="67">
        <f>+AI14/L14</f>
        <v>0</v>
      </c>
      <c r="AK16" s="236"/>
      <c r="AL16" s="236"/>
      <c r="AM16" s="230"/>
    </row>
    <row r="17" spans="1:40" s="96" customFormat="1" ht="22.9" customHeight="1" x14ac:dyDescent="0.25">
      <c r="A17" s="222"/>
      <c r="B17" s="150"/>
      <c r="C17" s="135"/>
      <c r="D17" s="153"/>
      <c r="E17" s="138"/>
      <c r="F17" s="138"/>
      <c r="G17" s="138"/>
      <c r="H17" s="138"/>
      <c r="I17" s="200"/>
      <c r="J17" s="228"/>
      <c r="K17" s="206"/>
      <c r="L17" s="29" t="s">
        <v>45</v>
      </c>
      <c r="M17" s="29" t="s">
        <v>45</v>
      </c>
      <c r="N17" s="29" t="s">
        <v>45</v>
      </c>
      <c r="O17" s="38" t="s">
        <v>45</v>
      </c>
      <c r="P17" s="29" t="s">
        <v>45</v>
      </c>
      <c r="Q17" s="38" t="s">
        <v>45</v>
      </c>
      <c r="R17" s="29" t="s">
        <v>45</v>
      </c>
      <c r="S17" s="38" t="s">
        <v>45</v>
      </c>
      <c r="T17" s="29" t="s">
        <v>45</v>
      </c>
      <c r="U17" s="38" t="s">
        <v>45</v>
      </c>
      <c r="V17" s="29" t="s">
        <v>45</v>
      </c>
      <c r="W17" s="38" t="s">
        <v>45</v>
      </c>
      <c r="X17" s="29" t="s">
        <v>45</v>
      </c>
      <c r="Y17" s="38" t="s">
        <v>45</v>
      </c>
      <c r="Z17" s="29" t="s">
        <v>45</v>
      </c>
      <c r="AA17" s="38" t="s">
        <v>45</v>
      </c>
      <c r="AB17" s="29" t="s">
        <v>45</v>
      </c>
      <c r="AC17" s="38" t="s">
        <v>45</v>
      </c>
      <c r="AD17" s="29" t="s">
        <v>45</v>
      </c>
      <c r="AE17" s="38" t="s">
        <v>45</v>
      </c>
      <c r="AF17" s="29" t="s">
        <v>45</v>
      </c>
      <c r="AG17" s="38" t="s">
        <v>45</v>
      </c>
      <c r="AH17" s="29" t="s">
        <v>45</v>
      </c>
      <c r="AI17" s="68" t="s">
        <v>45</v>
      </c>
      <c r="AJ17" s="85"/>
      <c r="AK17" s="236"/>
      <c r="AL17" s="236"/>
      <c r="AM17" s="230"/>
    </row>
    <row r="18" spans="1:40" s="96" customFormat="1" ht="22.9" customHeight="1" thickBot="1" x14ac:dyDescent="0.3">
      <c r="A18" s="223"/>
      <c r="B18" s="151"/>
      <c r="C18" s="136"/>
      <c r="D18" s="154"/>
      <c r="E18" s="138"/>
      <c r="F18" s="139"/>
      <c r="G18" s="139"/>
      <c r="H18" s="139"/>
      <c r="I18" s="201"/>
      <c r="J18" s="229"/>
      <c r="K18" s="207"/>
      <c r="L18" s="41">
        <v>30000</v>
      </c>
      <c r="M18" s="30"/>
      <c r="N18" s="30"/>
      <c r="O18" s="31">
        <f>+M18+N18</f>
        <v>0</v>
      </c>
      <c r="P18" s="30"/>
      <c r="Q18" s="31">
        <f>+O18+P18</f>
        <v>0</v>
      </c>
      <c r="R18" s="30"/>
      <c r="S18" s="31">
        <f>+Q18+R18</f>
        <v>0</v>
      </c>
      <c r="T18" s="30"/>
      <c r="U18" s="31">
        <f>+S18+T18</f>
        <v>0</v>
      </c>
      <c r="V18" s="30"/>
      <c r="W18" s="31">
        <f>+U18+V18</f>
        <v>0</v>
      </c>
      <c r="X18" s="30"/>
      <c r="Y18" s="31">
        <f>+W18+X18</f>
        <v>0</v>
      </c>
      <c r="Z18" s="30"/>
      <c r="AA18" s="31">
        <f>+Y18+Z18</f>
        <v>0</v>
      </c>
      <c r="AB18" s="30"/>
      <c r="AC18" s="31">
        <f>+AA18+AB18</f>
        <v>0</v>
      </c>
      <c r="AD18" s="30"/>
      <c r="AE18" s="31">
        <f>+AC18+AD18</f>
        <v>0</v>
      </c>
      <c r="AF18" s="30"/>
      <c r="AG18" s="31">
        <f>+AE18+AF18</f>
        <v>0</v>
      </c>
      <c r="AH18" s="30"/>
      <c r="AI18" s="31">
        <f>+AG18+AH18</f>
        <v>0</v>
      </c>
      <c r="AJ18" s="95"/>
      <c r="AK18" s="237"/>
      <c r="AL18" s="237"/>
      <c r="AM18" s="234"/>
    </row>
    <row r="19" spans="1:40" s="5" customFormat="1" ht="22.9" customHeight="1" thickTop="1" x14ac:dyDescent="0.25">
      <c r="A19" s="210" t="s">
        <v>125</v>
      </c>
      <c r="B19" s="125" t="s">
        <v>53</v>
      </c>
      <c r="C19" s="128" t="s">
        <v>115</v>
      </c>
      <c r="D19" s="131" t="s">
        <v>72</v>
      </c>
      <c r="E19" s="145" t="s">
        <v>50</v>
      </c>
      <c r="F19" s="131" t="s">
        <v>133</v>
      </c>
      <c r="G19" s="131" t="s">
        <v>48</v>
      </c>
      <c r="H19" s="145" t="s">
        <v>68</v>
      </c>
      <c r="I19" s="193">
        <f>+L20</f>
        <v>24</v>
      </c>
      <c r="J19" s="196">
        <v>0.15</v>
      </c>
      <c r="K19" s="202" t="s">
        <v>73</v>
      </c>
      <c r="L19" s="21" t="s">
        <v>43</v>
      </c>
      <c r="M19" s="21" t="s">
        <v>43</v>
      </c>
      <c r="N19" s="21" t="s">
        <v>43</v>
      </c>
      <c r="O19" s="33" t="s">
        <v>43</v>
      </c>
      <c r="P19" s="21" t="s">
        <v>43</v>
      </c>
      <c r="Q19" s="33" t="s">
        <v>43</v>
      </c>
      <c r="R19" s="21" t="s">
        <v>43</v>
      </c>
      <c r="S19" s="33" t="s">
        <v>43</v>
      </c>
      <c r="T19" s="21" t="s">
        <v>43</v>
      </c>
      <c r="U19" s="33" t="s">
        <v>43</v>
      </c>
      <c r="V19" s="21" t="s">
        <v>43</v>
      </c>
      <c r="W19" s="33" t="s">
        <v>43</v>
      </c>
      <c r="X19" s="21" t="s">
        <v>43</v>
      </c>
      <c r="Y19" s="33" t="s">
        <v>43</v>
      </c>
      <c r="Z19" s="21" t="s">
        <v>43</v>
      </c>
      <c r="AA19" s="33" t="s">
        <v>43</v>
      </c>
      <c r="AB19" s="21" t="s">
        <v>43</v>
      </c>
      <c r="AC19" s="33" t="s">
        <v>43</v>
      </c>
      <c r="AD19" s="21" t="s">
        <v>43</v>
      </c>
      <c r="AE19" s="33" t="s">
        <v>43</v>
      </c>
      <c r="AF19" s="21" t="s">
        <v>43</v>
      </c>
      <c r="AG19" s="33" t="s">
        <v>43</v>
      </c>
      <c r="AH19" s="21" t="s">
        <v>43</v>
      </c>
      <c r="AI19" s="33" t="s">
        <v>43</v>
      </c>
      <c r="AJ19" s="34"/>
      <c r="AK19" s="104" t="s">
        <v>102</v>
      </c>
      <c r="AL19" s="246"/>
      <c r="AM19" s="48"/>
      <c r="AN19" s="6"/>
    </row>
    <row r="20" spans="1:40" s="5" customFormat="1" ht="22.9" customHeight="1" x14ac:dyDescent="0.25">
      <c r="A20" s="211"/>
      <c r="B20" s="126"/>
      <c r="C20" s="147"/>
      <c r="D20" s="143"/>
      <c r="E20" s="146"/>
      <c r="F20" s="132"/>
      <c r="G20" s="132"/>
      <c r="H20" s="146"/>
      <c r="I20" s="194"/>
      <c r="J20" s="197"/>
      <c r="K20" s="203"/>
      <c r="L20" s="74">
        <f>ROUND(L22/L24,0)</f>
        <v>24</v>
      </c>
      <c r="M20" s="75">
        <f t="shared" ref="M20:AI20" si="1">IF(M22&lt;&gt;0,+M22/M24,0%)</f>
        <v>0</v>
      </c>
      <c r="N20" s="76">
        <f t="shared" si="1"/>
        <v>0</v>
      </c>
      <c r="O20" s="77">
        <f t="shared" si="1"/>
        <v>0</v>
      </c>
      <c r="P20" s="76">
        <f t="shared" si="1"/>
        <v>0</v>
      </c>
      <c r="Q20" s="78">
        <f t="shared" si="1"/>
        <v>0</v>
      </c>
      <c r="R20" s="79">
        <f t="shared" si="1"/>
        <v>0</v>
      </c>
      <c r="S20" s="78">
        <f t="shared" si="1"/>
        <v>0</v>
      </c>
      <c r="T20" s="79">
        <f t="shared" si="1"/>
        <v>0</v>
      </c>
      <c r="U20" s="78">
        <f t="shared" si="1"/>
        <v>0</v>
      </c>
      <c r="V20" s="79">
        <f t="shared" si="1"/>
        <v>0</v>
      </c>
      <c r="W20" s="78">
        <f t="shared" si="1"/>
        <v>0</v>
      </c>
      <c r="X20" s="79">
        <f t="shared" si="1"/>
        <v>0</v>
      </c>
      <c r="Y20" s="78">
        <f t="shared" si="1"/>
        <v>0</v>
      </c>
      <c r="Z20" s="80">
        <f t="shared" si="1"/>
        <v>0</v>
      </c>
      <c r="AA20" s="78">
        <f t="shared" si="1"/>
        <v>0</v>
      </c>
      <c r="AB20" s="79">
        <f t="shared" si="1"/>
        <v>0</v>
      </c>
      <c r="AC20" s="78">
        <f t="shared" si="1"/>
        <v>0</v>
      </c>
      <c r="AD20" s="79">
        <f t="shared" si="1"/>
        <v>0</v>
      </c>
      <c r="AE20" s="78">
        <f t="shared" si="1"/>
        <v>0</v>
      </c>
      <c r="AF20" s="79">
        <f t="shared" si="1"/>
        <v>0</v>
      </c>
      <c r="AG20" s="78">
        <f t="shared" si="1"/>
        <v>0</v>
      </c>
      <c r="AH20" s="79">
        <f t="shared" si="1"/>
        <v>0</v>
      </c>
      <c r="AI20" s="78">
        <f t="shared" si="1"/>
        <v>0</v>
      </c>
      <c r="AJ20" s="35"/>
      <c r="AK20" s="105"/>
      <c r="AL20" s="247"/>
      <c r="AM20" s="49" t="s">
        <v>57</v>
      </c>
    </row>
    <row r="21" spans="1:40" s="5" customFormat="1" ht="22.9" customHeight="1" thickBot="1" x14ac:dyDescent="0.3">
      <c r="A21" s="211"/>
      <c r="B21" s="126"/>
      <c r="C21" s="147"/>
      <c r="D21" s="143"/>
      <c r="E21" s="146"/>
      <c r="F21" s="132"/>
      <c r="G21" s="132"/>
      <c r="H21" s="146"/>
      <c r="I21" s="194"/>
      <c r="J21" s="197"/>
      <c r="K21" s="208"/>
      <c r="L21" s="25" t="s">
        <v>44</v>
      </c>
      <c r="M21" s="25" t="s">
        <v>44</v>
      </c>
      <c r="N21" s="25" t="s">
        <v>44</v>
      </c>
      <c r="O21" s="36" t="s">
        <v>44</v>
      </c>
      <c r="P21" s="25" t="s">
        <v>44</v>
      </c>
      <c r="Q21" s="36" t="s">
        <v>44</v>
      </c>
      <c r="R21" s="25" t="s">
        <v>44</v>
      </c>
      <c r="S21" s="36" t="s">
        <v>44</v>
      </c>
      <c r="T21" s="25" t="s">
        <v>44</v>
      </c>
      <c r="U21" s="36" t="s">
        <v>44</v>
      </c>
      <c r="V21" s="25" t="s">
        <v>44</v>
      </c>
      <c r="W21" s="36" t="s">
        <v>44</v>
      </c>
      <c r="X21" s="25" t="s">
        <v>44</v>
      </c>
      <c r="Y21" s="36" t="s">
        <v>44</v>
      </c>
      <c r="Z21" s="25" t="s">
        <v>44</v>
      </c>
      <c r="AA21" s="36" t="s">
        <v>44</v>
      </c>
      <c r="AB21" s="25" t="s">
        <v>44</v>
      </c>
      <c r="AC21" s="36" t="s">
        <v>44</v>
      </c>
      <c r="AD21" s="25" t="s">
        <v>44</v>
      </c>
      <c r="AE21" s="36" t="s">
        <v>44</v>
      </c>
      <c r="AF21" s="25" t="s">
        <v>44</v>
      </c>
      <c r="AG21" s="36" t="s">
        <v>44</v>
      </c>
      <c r="AH21" s="25" t="s">
        <v>44</v>
      </c>
      <c r="AI21" s="36" t="s">
        <v>44</v>
      </c>
      <c r="AJ21" s="35"/>
      <c r="AK21" s="105"/>
      <c r="AL21" s="247"/>
      <c r="AM21" s="49"/>
    </row>
    <row r="22" spans="1:40" s="5" customFormat="1" ht="22.9" customHeight="1" thickTop="1" x14ac:dyDescent="0.25">
      <c r="A22" s="211"/>
      <c r="B22" s="126"/>
      <c r="C22" s="147"/>
      <c r="D22" s="143"/>
      <c r="E22" s="146"/>
      <c r="F22" s="132"/>
      <c r="G22" s="132"/>
      <c r="H22" s="146"/>
      <c r="I22" s="194"/>
      <c r="J22" s="197"/>
      <c r="K22" s="203" t="s">
        <v>74</v>
      </c>
      <c r="L22" s="41">
        <v>2770617</v>
      </c>
      <c r="M22" s="26"/>
      <c r="N22" s="26"/>
      <c r="O22" s="27">
        <f t="shared" ref="O22:AI22" si="2">+M22+N22</f>
        <v>0</v>
      </c>
      <c r="P22" s="26"/>
      <c r="Q22" s="27">
        <f t="shared" si="2"/>
        <v>0</v>
      </c>
      <c r="R22" s="26"/>
      <c r="S22" s="27">
        <f t="shared" si="2"/>
        <v>0</v>
      </c>
      <c r="T22" s="26"/>
      <c r="U22" s="27">
        <f t="shared" si="2"/>
        <v>0</v>
      </c>
      <c r="V22" s="26"/>
      <c r="W22" s="27">
        <f t="shared" si="2"/>
        <v>0</v>
      </c>
      <c r="X22" s="26"/>
      <c r="Y22" s="27">
        <f t="shared" si="2"/>
        <v>0</v>
      </c>
      <c r="Z22" s="26"/>
      <c r="AA22" s="27">
        <f t="shared" si="2"/>
        <v>0</v>
      </c>
      <c r="AB22" s="26"/>
      <c r="AC22" s="27">
        <f t="shared" si="2"/>
        <v>0</v>
      </c>
      <c r="AD22" s="26"/>
      <c r="AE22" s="27">
        <f t="shared" si="2"/>
        <v>0</v>
      </c>
      <c r="AF22" s="26"/>
      <c r="AG22" s="27">
        <f t="shared" si="2"/>
        <v>0</v>
      </c>
      <c r="AH22" s="26"/>
      <c r="AI22" s="27">
        <f t="shared" si="2"/>
        <v>0</v>
      </c>
      <c r="AJ22" s="37">
        <f>+AI20/L20</f>
        <v>0</v>
      </c>
      <c r="AK22" s="105"/>
      <c r="AL22" s="247"/>
      <c r="AM22" s="230" t="s">
        <v>58</v>
      </c>
    </row>
    <row r="23" spans="1:40" s="5" customFormat="1" ht="22.9" customHeight="1" x14ac:dyDescent="0.25">
      <c r="A23" s="211"/>
      <c r="B23" s="126"/>
      <c r="C23" s="147"/>
      <c r="D23" s="143"/>
      <c r="E23" s="146"/>
      <c r="F23" s="132"/>
      <c r="G23" s="132"/>
      <c r="H23" s="146"/>
      <c r="I23" s="194"/>
      <c r="J23" s="197"/>
      <c r="K23" s="209"/>
      <c r="L23" s="29" t="s">
        <v>45</v>
      </c>
      <c r="M23" s="29" t="s">
        <v>45</v>
      </c>
      <c r="N23" s="29" t="s">
        <v>45</v>
      </c>
      <c r="O23" s="38" t="s">
        <v>45</v>
      </c>
      <c r="P23" s="29" t="s">
        <v>45</v>
      </c>
      <c r="Q23" s="38" t="s">
        <v>45</v>
      </c>
      <c r="R23" s="29" t="s">
        <v>45</v>
      </c>
      <c r="S23" s="38" t="s">
        <v>45</v>
      </c>
      <c r="T23" s="29" t="s">
        <v>45</v>
      </c>
      <c r="U23" s="38" t="s">
        <v>45</v>
      </c>
      <c r="V23" s="29" t="s">
        <v>45</v>
      </c>
      <c r="W23" s="38" t="s">
        <v>45</v>
      </c>
      <c r="X23" s="29" t="s">
        <v>45</v>
      </c>
      <c r="Y23" s="38" t="s">
        <v>45</v>
      </c>
      <c r="Z23" s="29" t="s">
        <v>45</v>
      </c>
      <c r="AA23" s="38" t="s">
        <v>45</v>
      </c>
      <c r="AB23" s="29" t="s">
        <v>45</v>
      </c>
      <c r="AC23" s="38" t="s">
        <v>45</v>
      </c>
      <c r="AD23" s="29" t="s">
        <v>45</v>
      </c>
      <c r="AE23" s="38" t="s">
        <v>45</v>
      </c>
      <c r="AF23" s="29" t="s">
        <v>45</v>
      </c>
      <c r="AG23" s="38" t="s">
        <v>45</v>
      </c>
      <c r="AH23" s="29" t="s">
        <v>45</v>
      </c>
      <c r="AI23" s="38" t="s">
        <v>45</v>
      </c>
      <c r="AJ23" s="35"/>
      <c r="AK23" s="105"/>
      <c r="AL23" s="247"/>
      <c r="AM23" s="231"/>
    </row>
    <row r="24" spans="1:40" s="5" customFormat="1" ht="22.9" customHeight="1" thickBot="1" x14ac:dyDescent="0.3">
      <c r="A24" s="212"/>
      <c r="B24" s="127"/>
      <c r="C24" s="148"/>
      <c r="D24" s="144"/>
      <c r="E24" s="146"/>
      <c r="F24" s="133"/>
      <c r="G24" s="133"/>
      <c r="H24" s="146"/>
      <c r="I24" s="195"/>
      <c r="J24" s="198"/>
      <c r="K24" s="208"/>
      <c r="L24" s="41">
        <v>115369</v>
      </c>
      <c r="M24" s="30"/>
      <c r="N24" s="30"/>
      <c r="O24" s="31">
        <f t="shared" ref="O24:AI24" si="3">+M24+N24</f>
        <v>0</v>
      </c>
      <c r="P24" s="30"/>
      <c r="Q24" s="31">
        <f t="shared" si="3"/>
        <v>0</v>
      </c>
      <c r="R24" s="30"/>
      <c r="S24" s="31">
        <f t="shared" si="3"/>
        <v>0</v>
      </c>
      <c r="T24" s="30"/>
      <c r="U24" s="31">
        <f t="shared" si="3"/>
        <v>0</v>
      </c>
      <c r="V24" s="30"/>
      <c r="W24" s="31">
        <f t="shared" si="3"/>
        <v>0</v>
      </c>
      <c r="X24" s="30"/>
      <c r="Y24" s="31">
        <f t="shared" si="3"/>
        <v>0</v>
      </c>
      <c r="Z24" s="30"/>
      <c r="AA24" s="31">
        <f t="shared" si="3"/>
        <v>0</v>
      </c>
      <c r="AB24" s="30"/>
      <c r="AC24" s="31">
        <f t="shared" si="3"/>
        <v>0</v>
      </c>
      <c r="AD24" s="30"/>
      <c r="AE24" s="31">
        <f t="shared" si="3"/>
        <v>0</v>
      </c>
      <c r="AF24" s="30"/>
      <c r="AG24" s="31">
        <f t="shared" si="3"/>
        <v>0</v>
      </c>
      <c r="AH24" s="30"/>
      <c r="AI24" s="31">
        <f t="shared" si="3"/>
        <v>0</v>
      </c>
      <c r="AJ24" s="39"/>
      <c r="AK24" s="106"/>
      <c r="AL24" s="248"/>
      <c r="AM24" s="232"/>
    </row>
    <row r="25" spans="1:40" s="5" customFormat="1" ht="22.9" customHeight="1" thickTop="1" x14ac:dyDescent="0.25">
      <c r="A25" s="210" t="s">
        <v>54</v>
      </c>
      <c r="B25" s="140" t="s">
        <v>55</v>
      </c>
      <c r="C25" s="128" t="s">
        <v>81</v>
      </c>
      <c r="D25" s="131" t="s">
        <v>64</v>
      </c>
      <c r="E25" s="131" t="s">
        <v>50</v>
      </c>
      <c r="F25" s="131" t="s">
        <v>133</v>
      </c>
      <c r="G25" s="131" t="s">
        <v>48</v>
      </c>
      <c r="H25" s="145" t="s">
        <v>68</v>
      </c>
      <c r="I25" s="196">
        <f>+L26</f>
        <v>0.91000315997560199</v>
      </c>
      <c r="J25" s="196">
        <v>0.2</v>
      </c>
      <c r="K25" s="202" t="s">
        <v>46</v>
      </c>
      <c r="L25" s="21" t="s">
        <v>43</v>
      </c>
      <c r="M25" s="21" t="s">
        <v>43</v>
      </c>
      <c r="N25" s="21" t="s">
        <v>43</v>
      </c>
      <c r="O25" s="33" t="s">
        <v>43</v>
      </c>
      <c r="P25" s="21" t="s">
        <v>43</v>
      </c>
      <c r="Q25" s="33" t="s">
        <v>43</v>
      </c>
      <c r="R25" s="21" t="s">
        <v>43</v>
      </c>
      <c r="S25" s="33" t="s">
        <v>43</v>
      </c>
      <c r="T25" s="21" t="s">
        <v>43</v>
      </c>
      <c r="U25" s="33" t="s">
        <v>43</v>
      </c>
      <c r="V25" s="21" t="s">
        <v>43</v>
      </c>
      <c r="W25" s="33" t="s">
        <v>43</v>
      </c>
      <c r="X25" s="21" t="s">
        <v>43</v>
      </c>
      <c r="Y25" s="33" t="s">
        <v>43</v>
      </c>
      <c r="Z25" s="21" t="s">
        <v>43</v>
      </c>
      <c r="AA25" s="33" t="s">
        <v>43</v>
      </c>
      <c r="AB25" s="21" t="s">
        <v>43</v>
      </c>
      <c r="AC25" s="33" t="s">
        <v>43</v>
      </c>
      <c r="AD25" s="21" t="s">
        <v>43</v>
      </c>
      <c r="AE25" s="33" t="s">
        <v>43</v>
      </c>
      <c r="AF25" s="21" t="s">
        <v>43</v>
      </c>
      <c r="AG25" s="33" t="s">
        <v>43</v>
      </c>
      <c r="AH25" s="21" t="s">
        <v>43</v>
      </c>
      <c r="AI25" s="33" t="s">
        <v>43</v>
      </c>
      <c r="AJ25" s="34"/>
      <c r="AK25" s="104" t="s">
        <v>101</v>
      </c>
      <c r="AL25" s="246"/>
      <c r="AM25" s="233" t="s">
        <v>58</v>
      </c>
    </row>
    <row r="26" spans="1:40" s="5" customFormat="1" ht="22.9" customHeight="1" x14ac:dyDescent="0.25">
      <c r="A26" s="211"/>
      <c r="B26" s="141"/>
      <c r="C26" s="129"/>
      <c r="D26" s="132"/>
      <c r="E26" s="132"/>
      <c r="F26" s="132"/>
      <c r="G26" s="132"/>
      <c r="H26" s="146"/>
      <c r="I26" s="197"/>
      <c r="J26" s="197"/>
      <c r="K26" s="203"/>
      <c r="L26" s="40">
        <f>+L28/L30</f>
        <v>0.91000315997560199</v>
      </c>
      <c r="M26" s="23">
        <f t="shared" ref="M26:AI26" si="4">IF(M28&lt;&gt;0,+M28/M30,0%)</f>
        <v>0</v>
      </c>
      <c r="N26" s="23">
        <f t="shared" si="4"/>
        <v>0</v>
      </c>
      <c r="O26" s="26">
        <v>5880</v>
      </c>
      <c r="P26" s="23">
        <f t="shared" si="4"/>
        <v>0</v>
      </c>
      <c r="Q26" s="43">
        <f t="shared" si="4"/>
        <v>0</v>
      </c>
      <c r="R26" s="23">
        <f t="shared" si="4"/>
        <v>0</v>
      </c>
      <c r="S26" s="43">
        <f t="shared" si="4"/>
        <v>0</v>
      </c>
      <c r="T26" s="23">
        <f t="shared" si="4"/>
        <v>0</v>
      </c>
      <c r="U26" s="43">
        <f t="shared" si="4"/>
        <v>0</v>
      </c>
      <c r="V26" s="23">
        <f t="shared" si="4"/>
        <v>0</v>
      </c>
      <c r="W26" s="43">
        <f t="shared" si="4"/>
        <v>0</v>
      </c>
      <c r="X26" s="23">
        <f t="shared" si="4"/>
        <v>0</v>
      </c>
      <c r="Y26" s="43">
        <f t="shared" si="4"/>
        <v>0</v>
      </c>
      <c r="Z26" s="23">
        <f t="shared" si="4"/>
        <v>0</v>
      </c>
      <c r="AA26" s="43">
        <f t="shared" si="4"/>
        <v>0</v>
      </c>
      <c r="AB26" s="23">
        <f t="shared" si="4"/>
        <v>0</v>
      </c>
      <c r="AC26" s="43">
        <f t="shared" si="4"/>
        <v>0</v>
      </c>
      <c r="AD26" s="23">
        <f t="shared" si="4"/>
        <v>0</v>
      </c>
      <c r="AE26" s="43">
        <f t="shared" si="4"/>
        <v>0</v>
      </c>
      <c r="AF26" s="23">
        <f t="shared" si="4"/>
        <v>0</v>
      </c>
      <c r="AG26" s="43">
        <f t="shared" si="4"/>
        <v>0</v>
      </c>
      <c r="AH26" s="23">
        <f t="shared" si="4"/>
        <v>0</v>
      </c>
      <c r="AI26" s="43">
        <f t="shared" si="4"/>
        <v>0</v>
      </c>
      <c r="AJ26" s="35"/>
      <c r="AK26" s="105"/>
      <c r="AL26" s="247"/>
      <c r="AM26" s="230"/>
    </row>
    <row r="27" spans="1:40" s="5" customFormat="1" ht="22.9" customHeight="1" thickBot="1" x14ac:dyDescent="0.3">
      <c r="A27" s="211"/>
      <c r="B27" s="141"/>
      <c r="C27" s="129"/>
      <c r="D27" s="132"/>
      <c r="E27" s="132"/>
      <c r="F27" s="132"/>
      <c r="G27" s="132"/>
      <c r="H27" s="146"/>
      <c r="I27" s="197"/>
      <c r="J27" s="197"/>
      <c r="K27" s="204"/>
      <c r="L27" s="25" t="s">
        <v>44</v>
      </c>
      <c r="M27" s="25" t="s">
        <v>44</v>
      </c>
      <c r="N27" s="25" t="s">
        <v>44</v>
      </c>
      <c r="O27" s="36" t="s">
        <v>44</v>
      </c>
      <c r="P27" s="25" t="s">
        <v>44</v>
      </c>
      <c r="Q27" s="36" t="s">
        <v>44</v>
      </c>
      <c r="R27" s="25" t="s">
        <v>44</v>
      </c>
      <c r="S27" s="36" t="s">
        <v>44</v>
      </c>
      <c r="T27" s="25" t="s">
        <v>44</v>
      </c>
      <c r="U27" s="36" t="s">
        <v>44</v>
      </c>
      <c r="V27" s="25" t="s">
        <v>44</v>
      </c>
      <c r="W27" s="36" t="s">
        <v>44</v>
      </c>
      <c r="X27" s="25" t="s">
        <v>44</v>
      </c>
      <c r="Y27" s="36" t="s">
        <v>44</v>
      </c>
      <c r="Z27" s="25" t="s">
        <v>44</v>
      </c>
      <c r="AA27" s="36" t="s">
        <v>44</v>
      </c>
      <c r="AB27" s="25" t="s">
        <v>44</v>
      </c>
      <c r="AC27" s="36" t="s">
        <v>44</v>
      </c>
      <c r="AD27" s="25" t="s">
        <v>44</v>
      </c>
      <c r="AE27" s="36" t="s">
        <v>44</v>
      </c>
      <c r="AF27" s="25" t="s">
        <v>44</v>
      </c>
      <c r="AG27" s="36" t="s">
        <v>44</v>
      </c>
      <c r="AH27" s="25" t="s">
        <v>44</v>
      </c>
      <c r="AI27" s="36" t="s">
        <v>44</v>
      </c>
      <c r="AJ27" s="35"/>
      <c r="AK27" s="105"/>
      <c r="AL27" s="247"/>
      <c r="AM27" s="230"/>
    </row>
    <row r="28" spans="1:40" s="5" customFormat="1" ht="22.9" customHeight="1" thickTop="1" x14ac:dyDescent="0.25">
      <c r="A28" s="211"/>
      <c r="B28" s="141"/>
      <c r="C28" s="129"/>
      <c r="D28" s="132"/>
      <c r="E28" s="132"/>
      <c r="F28" s="132"/>
      <c r="G28" s="132"/>
      <c r="H28" s="146"/>
      <c r="I28" s="197"/>
      <c r="J28" s="197"/>
      <c r="K28" s="202" t="s">
        <v>47</v>
      </c>
      <c r="L28" s="41">
        <v>247661</v>
      </c>
      <c r="M28" s="26"/>
      <c r="N28" s="26"/>
      <c r="O28" s="27">
        <f t="shared" ref="O28:AG28" si="5">+M28+N28</f>
        <v>0</v>
      </c>
      <c r="P28" s="26"/>
      <c r="Q28" s="27">
        <f t="shared" si="5"/>
        <v>0</v>
      </c>
      <c r="R28" s="26"/>
      <c r="S28" s="27">
        <f t="shared" si="5"/>
        <v>0</v>
      </c>
      <c r="T28" s="26"/>
      <c r="U28" s="27">
        <f t="shared" si="5"/>
        <v>0</v>
      </c>
      <c r="V28" s="26"/>
      <c r="W28" s="27">
        <f t="shared" si="5"/>
        <v>0</v>
      </c>
      <c r="X28" s="26"/>
      <c r="Y28" s="27">
        <f t="shared" si="5"/>
        <v>0</v>
      </c>
      <c r="Z28" s="26"/>
      <c r="AA28" s="27">
        <f t="shared" si="5"/>
        <v>0</v>
      </c>
      <c r="AB28" s="26"/>
      <c r="AC28" s="27">
        <f t="shared" si="5"/>
        <v>0</v>
      </c>
      <c r="AD28" s="26"/>
      <c r="AE28" s="27">
        <f t="shared" si="5"/>
        <v>0</v>
      </c>
      <c r="AF28" s="26"/>
      <c r="AG28" s="27">
        <f t="shared" si="5"/>
        <v>0</v>
      </c>
      <c r="AH28" s="26"/>
      <c r="AI28" s="27">
        <f>+AG28+AH28</f>
        <v>0</v>
      </c>
      <c r="AJ28" s="37">
        <f>+AI26/L26</f>
        <v>0</v>
      </c>
      <c r="AK28" s="105"/>
      <c r="AL28" s="247"/>
      <c r="AM28" s="230"/>
    </row>
    <row r="29" spans="1:40" s="5" customFormat="1" ht="22.9" customHeight="1" x14ac:dyDescent="0.25">
      <c r="A29" s="211"/>
      <c r="B29" s="141"/>
      <c r="C29" s="129"/>
      <c r="D29" s="132"/>
      <c r="E29" s="132"/>
      <c r="F29" s="132"/>
      <c r="G29" s="132"/>
      <c r="H29" s="146"/>
      <c r="I29" s="197"/>
      <c r="J29" s="197"/>
      <c r="K29" s="203"/>
      <c r="L29" s="29" t="s">
        <v>45</v>
      </c>
      <c r="M29" s="29" t="s">
        <v>45</v>
      </c>
      <c r="N29" s="29" t="s">
        <v>45</v>
      </c>
      <c r="O29" s="38" t="s">
        <v>45</v>
      </c>
      <c r="P29" s="29" t="s">
        <v>45</v>
      </c>
      <c r="Q29" s="38" t="s">
        <v>45</v>
      </c>
      <c r="R29" s="29" t="s">
        <v>45</v>
      </c>
      <c r="S29" s="38" t="s">
        <v>45</v>
      </c>
      <c r="T29" s="29" t="s">
        <v>45</v>
      </c>
      <c r="U29" s="38" t="s">
        <v>45</v>
      </c>
      <c r="V29" s="29" t="s">
        <v>45</v>
      </c>
      <c r="W29" s="38" t="s">
        <v>45</v>
      </c>
      <c r="X29" s="29" t="s">
        <v>45</v>
      </c>
      <c r="Y29" s="38" t="s">
        <v>45</v>
      </c>
      <c r="Z29" s="29" t="s">
        <v>45</v>
      </c>
      <c r="AA29" s="38" t="s">
        <v>45</v>
      </c>
      <c r="AB29" s="29" t="s">
        <v>45</v>
      </c>
      <c r="AC29" s="38" t="s">
        <v>45</v>
      </c>
      <c r="AD29" s="29" t="s">
        <v>45</v>
      </c>
      <c r="AE29" s="38" t="s">
        <v>45</v>
      </c>
      <c r="AF29" s="29" t="s">
        <v>45</v>
      </c>
      <c r="AG29" s="38" t="s">
        <v>45</v>
      </c>
      <c r="AH29" s="29" t="s">
        <v>45</v>
      </c>
      <c r="AI29" s="38" t="s">
        <v>45</v>
      </c>
      <c r="AJ29" s="35"/>
      <c r="AK29" s="105"/>
      <c r="AL29" s="247"/>
      <c r="AM29" s="230"/>
    </row>
    <row r="30" spans="1:40" s="5" customFormat="1" ht="22.9" customHeight="1" thickBot="1" x14ac:dyDescent="0.3">
      <c r="A30" s="212"/>
      <c r="B30" s="142"/>
      <c r="C30" s="130"/>
      <c r="D30" s="133"/>
      <c r="E30" s="133"/>
      <c r="F30" s="133"/>
      <c r="G30" s="133"/>
      <c r="H30" s="146"/>
      <c r="I30" s="198"/>
      <c r="J30" s="198"/>
      <c r="K30" s="204"/>
      <c r="L30" s="41">
        <v>272154</v>
      </c>
      <c r="M30" s="30"/>
      <c r="N30" s="30"/>
      <c r="O30" s="31">
        <f t="shared" ref="O30:AG30" si="6">+M30+N30</f>
        <v>0</v>
      </c>
      <c r="P30" s="30"/>
      <c r="Q30" s="31">
        <f t="shared" si="6"/>
        <v>0</v>
      </c>
      <c r="R30" s="30"/>
      <c r="S30" s="31">
        <f t="shared" si="6"/>
        <v>0</v>
      </c>
      <c r="T30" s="30"/>
      <c r="U30" s="31">
        <f t="shared" si="6"/>
        <v>0</v>
      </c>
      <c r="V30" s="30"/>
      <c r="W30" s="31">
        <f t="shared" si="6"/>
        <v>0</v>
      </c>
      <c r="X30" s="30"/>
      <c r="Y30" s="31">
        <f t="shared" si="6"/>
        <v>0</v>
      </c>
      <c r="Z30" s="30"/>
      <c r="AA30" s="31">
        <f t="shared" si="6"/>
        <v>0</v>
      </c>
      <c r="AB30" s="30"/>
      <c r="AC30" s="31">
        <f t="shared" si="6"/>
        <v>0</v>
      </c>
      <c r="AD30" s="30"/>
      <c r="AE30" s="31">
        <f t="shared" si="6"/>
        <v>0</v>
      </c>
      <c r="AF30" s="30"/>
      <c r="AG30" s="31">
        <f t="shared" si="6"/>
        <v>0</v>
      </c>
      <c r="AH30" s="30"/>
      <c r="AI30" s="31">
        <f>+AG30+AH30</f>
        <v>0</v>
      </c>
      <c r="AJ30" s="39"/>
      <c r="AK30" s="106"/>
      <c r="AL30" s="248"/>
      <c r="AM30" s="234"/>
    </row>
    <row r="31" spans="1:40" s="5" customFormat="1" ht="22.9" customHeight="1" thickTop="1" x14ac:dyDescent="0.25">
      <c r="A31" s="210" t="s">
        <v>108</v>
      </c>
      <c r="B31" s="141" t="s">
        <v>110</v>
      </c>
      <c r="C31" s="140" t="s">
        <v>126</v>
      </c>
      <c r="D31" s="131" t="s">
        <v>123</v>
      </c>
      <c r="E31" s="145" t="s">
        <v>50</v>
      </c>
      <c r="F31" s="131" t="s">
        <v>133</v>
      </c>
      <c r="G31" s="131" t="s">
        <v>48</v>
      </c>
      <c r="H31" s="145" t="s">
        <v>68</v>
      </c>
      <c r="I31" s="238">
        <f>+L32</f>
        <v>28.27008839691009</v>
      </c>
      <c r="J31" s="196">
        <v>0.2</v>
      </c>
      <c r="K31" s="205" t="s">
        <v>111</v>
      </c>
      <c r="L31" s="21" t="s">
        <v>43</v>
      </c>
      <c r="M31" s="21" t="s">
        <v>43</v>
      </c>
      <c r="N31" s="21" t="s">
        <v>43</v>
      </c>
      <c r="O31" s="33" t="s">
        <v>43</v>
      </c>
      <c r="P31" s="21" t="s">
        <v>43</v>
      </c>
      <c r="Q31" s="33" t="s">
        <v>43</v>
      </c>
      <c r="R31" s="21" t="s">
        <v>43</v>
      </c>
      <c r="S31" s="33" t="s">
        <v>43</v>
      </c>
      <c r="T31" s="21" t="s">
        <v>43</v>
      </c>
      <c r="U31" s="33" t="s">
        <v>43</v>
      </c>
      <c r="V31" s="21" t="s">
        <v>43</v>
      </c>
      <c r="W31" s="33" t="s">
        <v>43</v>
      </c>
      <c r="X31" s="21" t="s">
        <v>43</v>
      </c>
      <c r="Y31" s="33" t="s">
        <v>43</v>
      </c>
      <c r="Z31" s="21" t="s">
        <v>43</v>
      </c>
      <c r="AA31" s="33" t="s">
        <v>43</v>
      </c>
      <c r="AB31" s="21" t="s">
        <v>43</v>
      </c>
      <c r="AC31" s="33" t="s">
        <v>43</v>
      </c>
      <c r="AD31" s="21" t="s">
        <v>43</v>
      </c>
      <c r="AE31" s="33" t="s">
        <v>43</v>
      </c>
      <c r="AF31" s="21" t="s">
        <v>43</v>
      </c>
      <c r="AG31" s="33" t="s">
        <v>43</v>
      </c>
      <c r="AH31" s="21" t="s">
        <v>43</v>
      </c>
      <c r="AI31" s="33" t="s">
        <v>43</v>
      </c>
      <c r="AJ31" s="22"/>
      <c r="AK31" s="104" t="s">
        <v>130</v>
      </c>
      <c r="AL31" s="104"/>
      <c r="AM31" s="233" t="s">
        <v>78</v>
      </c>
      <c r="AN31" s="6"/>
    </row>
    <row r="32" spans="1:40" s="5" customFormat="1" ht="22.9" customHeight="1" x14ac:dyDescent="0.25">
      <c r="A32" s="211"/>
      <c r="B32" s="218"/>
      <c r="C32" s="141"/>
      <c r="D32" s="143"/>
      <c r="E32" s="132"/>
      <c r="F32" s="132"/>
      <c r="G32" s="132"/>
      <c r="H32" s="146"/>
      <c r="I32" s="239"/>
      <c r="J32" s="197"/>
      <c r="K32" s="206"/>
      <c r="L32" s="74">
        <f>+L34/L36</f>
        <v>28.27008839691009</v>
      </c>
      <c r="M32" s="75">
        <f>IF(M34&lt;&gt;0,+M34/M36,0%)</f>
        <v>0</v>
      </c>
      <c r="N32" s="76">
        <f t="shared" ref="N32:AI32" si="7">IF(N34&lt;&gt;0,+N34/N36,0%)</f>
        <v>0</v>
      </c>
      <c r="O32" s="77">
        <f t="shared" si="7"/>
        <v>0</v>
      </c>
      <c r="P32" s="76">
        <f t="shared" si="7"/>
        <v>0</v>
      </c>
      <c r="Q32" s="78">
        <f t="shared" si="7"/>
        <v>0</v>
      </c>
      <c r="R32" s="79">
        <f t="shared" si="7"/>
        <v>0</v>
      </c>
      <c r="S32" s="78">
        <f t="shared" si="7"/>
        <v>0</v>
      </c>
      <c r="T32" s="79">
        <f t="shared" si="7"/>
        <v>0</v>
      </c>
      <c r="U32" s="78">
        <f t="shared" si="7"/>
        <v>0</v>
      </c>
      <c r="V32" s="79">
        <f t="shared" si="7"/>
        <v>0</v>
      </c>
      <c r="W32" s="78">
        <f t="shared" si="7"/>
        <v>0</v>
      </c>
      <c r="X32" s="79">
        <f t="shared" si="7"/>
        <v>0</v>
      </c>
      <c r="Y32" s="78">
        <f t="shared" si="7"/>
        <v>0</v>
      </c>
      <c r="Z32" s="80">
        <f t="shared" si="7"/>
        <v>0</v>
      </c>
      <c r="AA32" s="78">
        <f t="shared" si="7"/>
        <v>0</v>
      </c>
      <c r="AB32" s="79">
        <f t="shared" si="7"/>
        <v>0</v>
      </c>
      <c r="AC32" s="78">
        <f t="shared" si="7"/>
        <v>0</v>
      </c>
      <c r="AD32" s="79">
        <f t="shared" si="7"/>
        <v>0</v>
      </c>
      <c r="AE32" s="78">
        <f t="shared" si="7"/>
        <v>0</v>
      </c>
      <c r="AF32" s="79">
        <f t="shared" si="7"/>
        <v>0</v>
      </c>
      <c r="AG32" s="78">
        <f t="shared" si="7"/>
        <v>0</v>
      </c>
      <c r="AH32" s="79">
        <f t="shared" si="7"/>
        <v>0</v>
      </c>
      <c r="AI32" s="78">
        <f t="shared" si="7"/>
        <v>0</v>
      </c>
      <c r="AJ32" s="24"/>
      <c r="AK32" s="105"/>
      <c r="AL32" s="105"/>
      <c r="AM32" s="241"/>
    </row>
    <row r="33" spans="1:39" s="5" customFormat="1" ht="22.9" customHeight="1" thickBot="1" x14ac:dyDescent="0.3">
      <c r="A33" s="211"/>
      <c r="B33" s="218"/>
      <c r="C33" s="141"/>
      <c r="D33" s="143"/>
      <c r="E33" s="132"/>
      <c r="F33" s="132"/>
      <c r="G33" s="132"/>
      <c r="H33" s="146"/>
      <c r="I33" s="239"/>
      <c r="J33" s="197"/>
      <c r="K33" s="207"/>
      <c r="L33" s="25" t="s">
        <v>44</v>
      </c>
      <c r="M33" s="25" t="s">
        <v>44</v>
      </c>
      <c r="N33" s="25" t="s">
        <v>44</v>
      </c>
      <c r="O33" s="36" t="s">
        <v>44</v>
      </c>
      <c r="P33" s="25" t="s">
        <v>44</v>
      </c>
      <c r="Q33" s="36" t="s">
        <v>44</v>
      </c>
      <c r="R33" s="25" t="s">
        <v>44</v>
      </c>
      <c r="S33" s="36" t="s">
        <v>44</v>
      </c>
      <c r="T33" s="25" t="s">
        <v>44</v>
      </c>
      <c r="U33" s="36" t="s">
        <v>44</v>
      </c>
      <c r="V33" s="25" t="s">
        <v>44</v>
      </c>
      <c r="W33" s="36" t="s">
        <v>44</v>
      </c>
      <c r="X33" s="25" t="s">
        <v>44</v>
      </c>
      <c r="Y33" s="36" t="s">
        <v>44</v>
      </c>
      <c r="Z33" s="25" t="s">
        <v>44</v>
      </c>
      <c r="AA33" s="36" t="s">
        <v>44</v>
      </c>
      <c r="AB33" s="25" t="s">
        <v>44</v>
      </c>
      <c r="AC33" s="36" t="s">
        <v>44</v>
      </c>
      <c r="AD33" s="25" t="s">
        <v>44</v>
      </c>
      <c r="AE33" s="36" t="s">
        <v>44</v>
      </c>
      <c r="AF33" s="25" t="s">
        <v>44</v>
      </c>
      <c r="AG33" s="36" t="s">
        <v>44</v>
      </c>
      <c r="AH33" s="25" t="s">
        <v>44</v>
      </c>
      <c r="AI33" s="36" t="s">
        <v>44</v>
      </c>
      <c r="AJ33" s="24"/>
      <c r="AK33" s="105"/>
      <c r="AL33" s="105"/>
      <c r="AM33" s="241"/>
    </row>
    <row r="34" spans="1:39" s="5" customFormat="1" ht="22.9" customHeight="1" thickTop="1" x14ac:dyDescent="0.25">
      <c r="A34" s="211"/>
      <c r="B34" s="218"/>
      <c r="C34" s="141"/>
      <c r="D34" s="143"/>
      <c r="E34" s="132"/>
      <c r="F34" s="132"/>
      <c r="G34" s="132"/>
      <c r="H34" s="146"/>
      <c r="I34" s="239"/>
      <c r="J34" s="197"/>
      <c r="K34" s="205" t="s">
        <v>122</v>
      </c>
      <c r="L34" s="41">
        <v>7099750</v>
      </c>
      <c r="M34" s="44"/>
      <c r="N34" s="44"/>
      <c r="O34" s="27">
        <f t="shared" ref="O34:AG34" si="8">+M34+N34</f>
        <v>0</v>
      </c>
      <c r="P34" s="44"/>
      <c r="Q34" s="27">
        <f t="shared" si="8"/>
        <v>0</v>
      </c>
      <c r="R34" s="44"/>
      <c r="S34" s="27">
        <f t="shared" si="8"/>
        <v>0</v>
      </c>
      <c r="T34" s="44"/>
      <c r="U34" s="27">
        <f t="shared" si="8"/>
        <v>0</v>
      </c>
      <c r="V34" s="44"/>
      <c r="W34" s="27">
        <f t="shared" si="8"/>
        <v>0</v>
      </c>
      <c r="X34" s="44"/>
      <c r="Y34" s="27">
        <f t="shared" si="8"/>
        <v>0</v>
      </c>
      <c r="Z34" s="44"/>
      <c r="AA34" s="27">
        <f t="shared" si="8"/>
        <v>0</v>
      </c>
      <c r="AB34" s="44"/>
      <c r="AC34" s="27">
        <f t="shared" si="8"/>
        <v>0</v>
      </c>
      <c r="AD34" s="44"/>
      <c r="AE34" s="27">
        <f t="shared" si="8"/>
        <v>0</v>
      </c>
      <c r="AF34" s="44"/>
      <c r="AG34" s="27">
        <f t="shared" si="8"/>
        <v>0</v>
      </c>
      <c r="AH34" s="44"/>
      <c r="AI34" s="27">
        <f>+AG34+AH34</f>
        <v>0</v>
      </c>
      <c r="AJ34" s="28">
        <f>+AI32/L32</f>
        <v>0</v>
      </c>
      <c r="AK34" s="105"/>
      <c r="AL34" s="105"/>
      <c r="AM34" s="241"/>
    </row>
    <row r="35" spans="1:39" s="5" customFormat="1" ht="22.9" customHeight="1" x14ac:dyDescent="0.25">
      <c r="A35" s="211"/>
      <c r="B35" s="218"/>
      <c r="C35" s="141"/>
      <c r="D35" s="143"/>
      <c r="E35" s="132"/>
      <c r="F35" s="132"/>
      <c r="G35" s="132"/>
      <c r="H35" s="146"/>
      <c r="I35" s="239"/>
      <c r="J35" s="197"/>
      <c r="K35" s="206"/>
      <c r="L35" s="29" t="s">
        <v>45</v>
      </c>
      <c r="M35" s="29" t="s">
        <v>45</v>
      </c>
      <c r="N35" s="29" t="s">
        <v>45</v>
      </c>
      <c r="O35" s="38" t="s">
        <v>45</v>
      </c>
      <c r="P35" s="29" t="s">
        <v>45</v>
      </c>
      <c r="Q35" s="38" t="s">
        <v>45</v>
      </c>
      <c r="R35" s="29" t="s">
        <v>45</v>
      </c>
      <c r="S35" s="38" t="s">
        <v>45</v>
      </c>
      <c r="T35" s="29" t="s">
        <v>45</v>
      </c>
      <c r="U35" s="38" t="s">
        <v>45</v>
      </c>
      <c r="V35" s="29" t="s">
        <v>45</v>
      </c>
      <c r="W35" s="38" t="s">
        <v>45</v>
      </c>
      <c r="X35" s="29" t="s">
        <v>45</v>
      </c>
      <c r="Y35" s="38" t="s">
        <v>45</v>
      </c>
      <c r="Z35" s="29" t="s">
        <v>45</v>
      </c>
      <c r="AA35" s="38" t="s">
        <v>45</v>
      </c>
      <c r="AB35" s="29" t="s">
        <v>45</v>
      </c>
      <c r="AC35" s="38" t="s">
        <v>45</v>
      </c>
      <c r="AD35" s="29" t="s">
        <v>45</v>
      </c>
      <c r="AE35" s="38" t="s">
        <v>45</v>
      </c>
      <c r="AF35" s="29" t="s">
        <v>45</v>
      </c>
      <c r="AG35" s="38" t="s">
        <v>45</v>
      </c>
      <c r="AH35" s="29" t="s">
        <v>45</v>
      </c>
      <c r="AI35" s="38" t="s">
        <v>45</v>
      </c>
      <c r="AJ35" s="24"/>
      <c r="AK35" s="105"/>
      <c r="AL35" s="105"/>
      <c r="AM35" s="241"/>
    </row>
    <row r="36" spans="1:39" s="5" customFormat="1" ht="22.9" customHeight="1" thickBot="1" x14ac:dyDescent="0.3">
      <c r="A36" s="212"/>
      <c r="B36" s="219"/>
      <c r="C36" s="142"/>
      <c r="D36" s="144"/>
      <c r="E36" s="133"/>
      <c r="F36" s="133"/>
      <c r="G36" s="133"/>
      <c r="H36" s="146"/>
      <c r="I36" s="240"/>
      <c r="J36" s="198"/>
      <c r="K36" s="207"/>
      <c r="L36" s="41">
        <v>251140</v>
      </c>
      <c r="M36" s="30"/>
      <c r="N36" s="30"/>
      <c r="O36" s="31">
        <f t="shared" ref="O36:AI36" si="9">+M36+N36</f>
        <v>0</v>
      </c>
      <c r="P36" s="30"/>
      <c r="Q36" s="31">
        <f t="shared" si="9"/>
        <v>0</v>
      </c>
      <c r="R36" s="30"/>
      <c r="S36" s="31">
        <f t="shared" si="9"/>
        <v>0</v>
      </c>
      <c r="T36" s="30"/>
      <c r="U36" s="31">
        <f t="shared" si="9"/>
        <v>0</v>
      </c>
      <c r="V36" s="30"/>
      <c r="W36" s="31">
        <f t="shared" si="9"/>
        <v>0</v>
      </c>
      <c r="X36" s="30"/>
      <c r="Y36" s="31">
        <f t="shared" si="9"/>
        <v>0</v>
      </c>
      <c r="Z36" s="30"/>
      <c r="AA36" s="31">
        <f t="shared" si="9"/>
        <v>0</v>
      </c>
      <c r="AB36" s="30"/>
      <c r="AC36" s="31">
        <f t="shared" si="9"/>
        <v>0</v>
      </c>
      <c r="AD36" s="30"/>
      <c r="AE36" s="31">
        <f t="shared" si="9"/>
        <v>0</v>
      </c>
      <c r="AF36" s="30"/>
      <c r="AG36" s="31">
        <f t="shared" si="9"/>
        <v>0</v>
      </c>
      <c r="AH36" s="30"/>
      <c r="AI36" s="31">
        <f t="shared" si="9"/>
        <v>0</v>
      </c>
      <c r="AJ36" s="32"/>
      <c r="AK36" s="106"/>
      <c r="AL36" s="106"/>
      <c r="AM36" s="242"/>
    </row>
    <row r="37" spans="1:39" s="45" customFormat="1" ht="22.9" customHeight="1" thickTop="1" x14ac:dyDescent="0.25">
      <c r="A37" s="107" t="s">
        <v>86</v>
      </c>
      <c r="B37" s="110" t="s">
        <v>76</v>
      </c>
      <c r="C37" s="113" t="s">
        <v>82</v>
      </c>
      <c r="D37" s="116" t="s">
        <v>79</v>
      </c>
      <c r="E37" s="119" t="s">
        <v>66</v>
      </c>
      <c r="F37" s="119" t="s">
        <v>132</v>
      </c>
      <c r="G37" s="119" t="s">
        <v>67</v>
      </c>
      <c r="H37" s="119" t="s">
        <v>80</v>
      </c>
      <c r="I37" s="249">
        <f>L38</f>
        <v>0.66666666666666663</v>
      </c>
      <c r="J37" s="252">
        <v>0.1</v>
      </c>
      <c r="K37" s="259" t="s">
        <v>91</v>
      </c>
      <c r="L37" s="21" t="s">
        <v>43</v>
      </c>
      <c r="M37" s="21" t="s">
        <v>43</v>
      </c>
      <c r="N37" s="21" t="s">
        <v>43</v>
      </c>
      <c r="O37" s="33" t="s">
        <v>43</v>
      </c>
      <c r="P37" s="21" t="s">
        <v>43</v>
      </c>
      <c r="Q37" s="33" t="s">
        <v>43</v>
      </c>
      <c r="R37" s="21" t="s">
        <v>43</v>
      </c>
      <c r="S37" s="33" t="s">
        <v>43</v>
      </c>
      <c r="T37" s="21" t="s">
        <v>43</v>
      </c>
      <c r="U37" s="33" t="s">
        <v>43</v>
      </c>
      <c r="V37" s="21" t="s">
        <v>43</v>
      </c>
      <c r="W37" s="33" t="s">
        <v>43</v>
      </c>
      <c r="X37" s="21" t="s">
        <v>43</v>
      </c>
      <c r="Y37" s="33" t="s">
        <v>43</v>
      </c>
      <c r="Z37" s="21" t="s">
        <v>43</v>
      </c>
      <c r="AA37" s="33" t="s">
        <v>43</v>
      </c>
      <c r="AB37" s="21" t="s">
        <v>43</v>
      </c>
      <c r="AC37" s="33" t="s">
        <v>43</v>
      </c>
      <c r="AD37" s="21" t="s">
        <v>43</v>
      </c>
      <c r="AE37" s="33" t="s">
        <v>43</v>
      </c>
      <c r="AF37" s="21" t="s">
        <v>43</v>
      </c>
      <c r="AG37" s="33" t="s">
        <v>43</v>
      </c>
      <c r="AH37" s="21" t="s">
        <v>43</v>
      </c>
      <c r="AI37" s="33" t="s">
        <v>43</v>
      </c>
      <c r="AJ37" s="34"/>
      <c r="AK37" s="104" t="s">
        <v>92</v>
      </c>
      <c r="AL37" s="246"/>
      <c r="AM37" s="233" t="s">
        <v>93</v>
      </c>
    </row>
    <row r="38" spans="1:39" s="45" customFormat="1" ht="22.9" customHeight="1" x14ac:dyDescent="0.25">
      <c r="A38" s="108"/>
      <c r="B38" s="111"/>
      <c r="C38" s="114"/>
      <c r="D38" s="117"/>
      <c r="E38" s="120"/>
      <c r="F38" s="120"/>
      <c r="G38" s="120"/>
      <c r="H38" s="120"/>
      <c r="I38" s="250"/>
      <c r="J38" s="253"/>
      <c r="K38" s="260"/>
      <c r="L38" s="40">
        <f t="shared" ref="L38:AI38" si="10">IF(L40&lt;&gt;0,+L40/L42,0%)</f>
        <v>0.66666666666666663</v>
      </c>
      <c r="M38" s="23">
        <f t="shared" si="10"/>
        <v>0</v>
      </c>
      <c r="N38" s="23">
        <f t="shared" si="10"/>
        <v>0</v>
      </c>
      <c r="O38" s="43">
        <f t="shared" si="10"/>
        <v>0</v>
      </c>
      <c r="P38" s="23">
        <f t="shared" si="10"/>
        <v>0</v>
      </c>
      <c r="Q38" s="43">
        <f t="shared" si="10"/>
        <v>0</v>
      </c>
      <c r="R38" s="23">
        <f t="shared" si="10"/>
        <v>0.33333333333333331</v>
      </c>
      <c r="S38" s="43">
        <f t="shared" si="10"/>
        <v>0.33333333333333331</v>
      </c>
      <c r="T38" s="23">
        <f t="shared" si="10"/>
        <v>0</v>
      </c>
      <c r="U38" s="43">
        <f t="shared" si="10"/>
        <v>0.33333333333333331</v>
      </c>
      <c r="V38" s="23">
        <f t="shared" si="10"/>
        <v>0.33333333333333331</v>
      </c>
      <c r="W38" s="43">
        <f t="shared" si="10"/>
        <v>0.66666666666666663</v>
      </c>
      <c r="X38" s="23">
        <f t="shared" si="10"/>
        <v>0</v>
      </c>
      <c r="Y38" s="43">
        <f t="shared" si="10"/>
        <v>0.66666666666666663</v>
      </c>
      <c r="Z38" s="23">
        <f t="shared" si="10"/>
        <v>0</v>
      </c>
      <c r="AA38" s="43">
        <f t="shared" si="10"/>
        <v>0.66666666666666663</v>
      </c>
      <c r="AB38" s="23">
        <f t="shared" si="10"/>
        <v>0</v>
      </c>
      <c r="AC38" s="43">
        <f t="shared" si="10"/>
        <v>0.66666666666666663</v>
      </c>
      <c r="AD38" s="23">
        <f t="shared" si="10"/>
        <v>0</v>
      </c>
      <c r="AE38" s="43">
        <f t="shared" si="10"/>
        <v>0.66666666666666663</v>
      </c>
      <c r="AF38" s="23">
        <f t="shared" si="10"/>
        <v>0</v>
      </c>
      <c r="AG38" s="43">
        <f t="shared" si="10"/>
        <v>0.66666666666666663</v>
      </c>
      <c r="AH38" s="23">
        <f t="shared" si="10"/>
        <v>0</v>
      </c>
      <c r="AI38" s="43">
        <f t="shared" si="10"/>
        <v>0.66666666666666663</v>
      </c>
      <c r="AJ38" s="35"/>
      <c r="AK38" s="105"/>
      <c r="AL38" s="247"/>
      <c r="AM38" s="230"/>
    </row>
    <row r="39" spans="1:39" s="45" customFormat="1" ht="22.9" customHeight="1" thickBot="1" x14ac:dyDescent="0.3">
      <c r="A39" s="108"/>
      <c r="B39" s="111"/>
      <c r="C39" s="114"/>
      <c r="D39" s="117"/>
      <c r="E39" s="120"/>
      <c r="F39" s="120"/>
      <c r="G39" s="120"/>
      <c r="H39" s="120"/>
      <c r="I39" s="250"/>
      <c r="J39" s="253"/>
      <c r="K39" s="261"/>
      <c r="L39" s="25" t="s">
        <v>44</v>
      </c>
      <c r="M39" s="25" t="s">
        <v>44</v>
      </c>
      <c r="N39" s="25" t="s">
        <v>44</v>
      </c>
      <c r="O39" s="36" t="s">
        <v>44</v>
      </c>
      <c r="P39" s="25" t="s">
        <v>44</v>
      </c>
      <c r="Q39" s="36" t="s">
        <v>44</v>
      </c>
      <c r="R39" s="25" t="s">
        <v>44</v>
      </c>
      <c r="S39" s="36" t="s">
        <v>44</v>
      </c>
      <c r="T39" s="25" t="s">
        <v>44</v>
      </c>
      <c r="U39" s="36" t="s">
        <v>44</v>
      </c>
      <c r="V39" s="25" t="s">
        <v>44</v>
      </c>
      <c r="W39" s="36" t="s">
        <v>44</v>
      </c>
      <c r="X39" s="25" t="s">
        <v>44</v>
      </c>
      <c r="Y39" s="36" t="s">
        <v>44</v>
      </c>
      <c r="Z39" s="25" t="s">
        <v>44</v>
      </c>
      <c r="AA39" s="36" t="s">
        <v>44</v>
      </c>
      <c r="AB39" s="25" t="s">
        <v>44</v>
      </c>
      <c r="AC39" s="36" t="s">
        <v>44</v>
      </c>
      <c r="AD39" s="25" t="s">
        <v>44</v>
      </c>
      <c r="AE39" s="36" t="s">
        <v>44</v>
      </c>
      <c r="AF39" s="25" t="s">
        <v>44</v>
      </c>
      <c r="AG39" s="36" t="s">
        <v>44</v>
      </c>
      <c r="AH39" s="25" t="s">
        <v>44</v>
      </c>
      <c r="AI39" s="36" t="s">
        <v>44</v>
      </c>
      <c r="AJ39" s="35"/>
      <c r="AK39" s="105"/>
      <c r="AL39" s="247"/>
      <c r="AM39" s="230"/>
    </row>
    <row r="40" spans="1:39" s="45" customFormat="1" ht="22.9" customHeight="1" thickTop="1" x14ac:dyDescent="0.25">
      <c r="A40" s="108"/>
      <c r="B40" s="111"/>
      <c r="C40" s="114"/>
      <c r="D40" s="117"/>
      <c r="E40" s="120"/>
      <c r="F40" s="120"/>
      <c r="G40" s="120"/>
      <c r="H40" s="120"/>
      <c r="I40" s="250"/>
      <c r="J40" s="253"/>
      <c r="K40" s="259" t="s">
        <v>94</v>
      </c>
      <c r="L40" s="41">
        <v>2</v>
      </c>
      <c r="M40" s="26"/>
      <c r="N40" s="26"/>
      <c r="O40" s="27">
        <f>+M40+N40</f>
        <v>0</v>
      </c>
      <c r="P40" s="26"/>
      <c r="Q40" s="27">
        <f>+O40+P40</f>
        <v>0</v>
      </c>
      <c r="R40" s="26">
        <v>1</v>
      </c>
      <c r="S40" s="27">
        <f>+Q40+R40</f>
        <v>1</v>
      </c>
      <c r="T40" s="26"/>
      <c r="U40" s="27">
        <f>+S40+T40</f>
        <v>1</v>
      </c>
      <c r="V40" s="26">
        <v>1</v>
      </c>
      <c r="W40" s="27">
        <f>+U40+V40</f>
        <v>2</v>
      </c>
      <c r="X40" s="26"/>
      <c r="Y40" s="27">
        <f>+W40+X40</f>
        <v>2</v>
      </c>
      <c r="Z40" s="26"/>
      <c r="AA40" s="27">
        <f>+Y40+Z40</f>
        <v>2</v>
      </c>
      <c r="AB40" s="26">
        <v>0</v>
      </c>
      <c r="AC40" s="27">
        <f>+AA40+AB40</f>
        <v>2</v>
      </c>
      <c r="AD40" s="26"/>
      <c r="AE40" s="27">
        <f>+AC40+AD40</f>
        <v>2</v>
      </c>
      <c r="AF40" s="26"/>
      <c r="AG40" s="27">
        <f>+AE40+AF40</f>
        <v>2</v>
      </c>
      <c r="AH40" s="26"/>
      <c r="AI40" s="27">
        <f>+AG40+AH40</f>
        <v>2</v>
      </c>
      <c r="AJ40" s="37">
        <f>AI38/L38</f>
        <v>1</v>
      </c>
      <c r="AK40" s="105"/>
      <c r="AL40" s="247"/>
      <c r="AM40" s="230"/>
    </row>
    <row r="41" spans="1:39" s="45" customFormat="1" ht="22.9" customHeight="1" x14ac:dyDescent="0.25">
      <c r="A41" s="108"/>
      <c r="B41" s="111"/>
      <c r="C41" s="114"/>
      <c r="D41" s="117"/>
      <c r="E41" s="120"/>
      <c r="F41" s="120"/>
      <c r="G41" s="120"/>
      <c r="H41" s="120"/>
      <c r="I41" s="250"/>
      <c r="J41" s="253"/>
      <c r="K41" s="262"/>
      <c r="L41" s="29" t="s">
        <v>45</v>
      </c>
      <c r="M41" s="29" t="s">
        <v>45</v>
      </c>
      <c r="N41" s="29" t="s">
        <v>45</v>
      </c>
      <c r="O41" s="38" t="s">
        <v>45</v>
      </c>
      <c r="P41" s="29" t="s">
        <v>45</v>
      </c>
      <c r="Q41" s="38" t="s">
        <v>45</v>
      </c>
      <c r="R41" s="29" t="s">
        <v>45</v>
      </c>
      <c r="S41" s="38" t="s">
        <v>45</v>
      </c>
      <c r="T41" s="29" t="s">
        <v>45</v>
      </c>
      <c r="U41" s="38" t="s">
        <v>45</v>
      </c>
      <c r="V41" s="29" t="s">
        <v>45</v>
      </c>
      <c r="W41" s="38" t="s">
        <v>45</v>
      </c>
      <c r="X41" s="29" t="s">
        <v>45</v>
      </c>
      <c r="Y41" s="38" t="s">
        <v>45</v>
      </c>
      <c r="Z41" s="29" t="s">
        <v>45</v>
      </c>
      <c r="AA41" s="38" t="s">
        <v>45</v>
      </c>
      <c r="AB41" s="29" t="s">
        <v>45</v>
      </c>
      <c r="AC41" s="38" t="s">
        <v>45</v>
      </c>
      <c r="AD41" s="29" t="s">
        <v>45</v>
      </c>
      <c r="AE41" s="38" t="s">
        <v>45</v>
      </c>
      <c r="AF41" s="29" t="s">
        <v>45</v>
      </c>
      <c r="AG41" s="38" t="s">
        <v>45</v>
      </c>
      <c r="AH41" s="29" t="s">
        <v>45</v>
      </c>
      <c r="AI41" s="38" t="s">
        <v>45</v>
      </c>
      <c r="AJ41" s="35"/>
      <c r="AK41" s="105"/>
      <c r="AL41" s="247"/>
      <c r="AM41" s="230"/>
    </row>
    <row r="42" spans="1:39" s="45" customFormat="1" ht="22.9" customHeight="1" thickBot="1" x14ac:dyDescent="0.3">
      <c r="A42" s="109"/>
      <c r="B42" s="112"/>
      <c r="C42" s="115"/>
      <c r="D42" s="118"/>
      <c r="E42" s="121"/>
      <c r="F42" s="121"/>
      <c r="G42" s="121"/>
      <c r="H42" s="121"/>
      <c r="I42" s="251"/>
      <c r="J42" s="254"/>
      <c r="K42" s="263"/>
      <c r="L42" s="42">
        <v>3</v>
      </c>
      <c r="M42" s="30">
        <v>3</v>
      </c>
      <c r="N42" s="30">
        <v>3</v>
      </c>
      <c r="O42" s="31">
        <v>3</v>
      </c>
      <c r="P42" s="30">
        <v>3</v>
      </c>
      <c r="Q42" s="31">
        <v>3</v>
      </c>
      <c r="R42" s="30">
        <v>3</v>
      </c>
      <c r="S42" s="31">
        <v>3</v>
      </c>
      <c r="T42" s="30">
        <v>3</v>
      </c>
      <c r="U42" s="31">
        <v>3</v>
      </c>
      <c r="V42" s="30">
        <v>3</v>
      </c>
      <c r="W42" s="31">
        <v>3</v>
      </c>
      <c r="X42" s="30">
        <v>3</v>
      </c>
      <c r="Y42" s="31">
        <v>3</v>
      </c>
      <c r="Z42" s="30">
        <v>3</v>
      </c>
      <c r="AA42" s="31">
        <v>3</v>
      </c>
      <c r="AB42" s="30">
        <v>3</v>
      </c>
      <c r="AC42" s="31">
        <v>3</v>
      </c>
      <c r="AD42" s="30">
        <v>3</v>
      </c>
      <c r="AE42" s="31">
        <v>3</v>
      </c>
      <c r="AF42" s="30">
        <v>3</v>
      </c>
      <c r="AG42" s="31">
        <v>3</v>
      </c>
      <c r="AH42" s="30">
        <v>3</v>
      </c>
      <c r="AI42" s="31">
        <v>3</v>
      </c>
      <c r="AJ42" s="39"/>
      <c r="AK42" s="106"/>
      <c r="AL42" s="248"/>
      <c r="AM42" s="234"/>
    </row>
    <row r="43" spans="1:39" s="5" customFormat="1" ht="22.9" customHeight="1" thickTop="1" x14ac:dyDescent="0.25">
      <c r="A43" s="107" t="s">
        <v>128</v>
      </c>
      <c r="B43" s="116" t="s">
        <v>105</v>
      </c>
      <c r="C43" s="113" t="s">
        <v>127</v>
      </c>
      <c r="D43" s="122" t="s">
        <v>95</v>
      </c>
      <c r="E43" s="119" t="s">
        <v>83</v>
      </c>
      <c r="F43" s="119" t="s">
        <v>84</v>
      </c>
      <c r="G43" s="119" t="s">
        <v>85</v>
      </c>
      <c r="H43" s="119" t="s">
        <v>56</v>
      </c>
      <c r="I43" s="249">
        <f>+L44</f>
        <v>1</v>
      </c>
      <c r="J43" s="252">
        <v>0.1</v>
      </c>
      <c r="K43" s="255" t="s">
        <v>96</v>
      </c>
      <c r="L43" s="53" t="s">
        <v>43</v>
      </c>
      <c r="M43" s="53" t="s">
        <v>43</v>
      </c>
      <c r="N43" s="53" t="s">
        <v>43</v>
      </c>
      <c r="O43" s="81" t="s">
        <v>43</v>
      </c>
      <c r="P43" s="53" t="s">
        <v>43</v>
      </c>
      <c r="Q43" s="81" t="s">
        <v>43</v>
      </c>
      <c r="R43" s="53" t="s">
        <v>43</v>
      </c>
      <c r="S43" s="81" t="s">
        <v>43</v>
      </c>
      <c r="T43" s="53" t="s">
        <v>43</v>
      </c>
      <c r="U43" s="81" t="s">
        <v>43</v>
      </c>
      <c r="V43" s="53" t="s">
        <v>43</v>
      </c>
      <c r="W43" s="81" t="s">
        <v>43</v>
      </c>
      <c r="X43" s="53" t="s">
        <v>43</v>
      </c>
      <c r="Y43" s="81" t="s">
        <v>43</v>
      </c>
      <c r="Z43" s="53" t="s">
        <v>43</v>
      </c>
      <c r="AA43" s="81" t="s">
        <v>43</v>
      </c>
      <c r="AB43" s="53" t="s">
        <v>43</v>
      </c>
      <c r="AC43" s="81" t="s">
        <v>43</v>
      </c>
      <c r="AD43" s="53" t="s">
        <v>43</v>
      </c>
      <c r="AE43" s="81" t="s">
        <v>43</v>
      </c>
      <c r="AF43" s="53" t="s">
        <v>43</v>
      </c>
      <c r="AG43" s="81" t="s">
        <v>43</v>
      </c>
      <c r="AH43" s="53" t="s">
        <v>43</v>
      </c>
      <c r="AI43" s="81" t="s">
        <v>43</v>
      </c>
      <c r="AJ43" s="82"/>
      <c r="AK43" s="243" t="s">
        <v>131</v>
      </c>
      <c r="AL43" s="104"/>
      <c r="AM43" s="233" t="s">
        <v>58</v>
      </c>
    </row>
    <row r="44" spans="1:39" s="5" customFormat="1" ht="22.9" customHeight="1" x14ac:dyDescent="0.25">
      <c r="A44" s="214"/>
      <c r="B44" s="117" t="s">
        <v>106</v>
      </c>
      <c r="C44" s="114"/>
      <c r="D44" s="123"/>
      <c r="E44" s="216"/>
      <c r="F44" s="120"/>
      <c r="G44" s="120"/>
      <c r="H44" s="120"/>
      <c r="I44" s="250"/>
      <c r="J44" s="253"/>
      <c r="K44" s="256"/>
      <c r="L44" s="56">
        <f>IF(L46&lt;&gt;0,+L46/L48,0%)</f>
        <v>1</v>
      </c>
      <c r="M44" s="83">
        <f>IF(M46&lt;&gt;0,+M46/M48,0%)</f>
        <v>0.25</v>
      </c>
      <c r="N44" s="83">
        <f>IF(N46&lt;&gt;0,+N46/N48,0%)</f>
        <v>0</v>
      </c>
      <c r="O44" s="84">
        <f t="shared" ref="O44" si="11">IF(O46&lt;&gt;0,+O46/O48,0%)</f>
        <v>0.25</v>
      </c>
      <c r="P44" s="83">
        <f>IF(P46&lt;&gt;0,+P46/P48,0%)</f>
        <v>0.25</v>
      </c>
      <c r="Q44" s="84">
        <f t="shared" ref="Q44" si="12">IF(Q46&lt;&gt;0,+Q46/Q48,0%)</f>
        <v>0.5</v>
      </c>
      <c r="R44" s="83">
        <f>IF(R46&lt;&gt;0,+R46/R48,0%)</f>
        <v>0</v>
      </c>
      <c r="S44" s="84">
        <f t="shared" ref="S44" si="13">IF(S46&lt;&gt;0,+S46/S48,0%)</f>
        <v>0.5</v>
      </c>
      <c r="T44" s="83">
        <f>IF(T46&lt;&gt;0,+T46/T48,0%)</f>
        <v>0</v>
      </c>
      <c r="U44" s="84">
        <f t="shared" ref="U44" si="14">IF(U46&lt;&gt;0,+U46/U48,0%)</f>
        <v>0.5</v>
      </c>
      <c r="V44" s="83">
        <f>IF(V46&lt;&gt;0,+V46/V48,0%)</f>
        <v>0.25</v>
      </c>
      <c r="W44" s="84">
        <f t="shared" ref="W44" si="15">IF(W46&lt;&gt;0,+W46/W48,0%)</f>
        <v>0.75</v>
      </c>
      <c r="X44" s="83">
        <f>IF(X46&lt;&gt;0,+X46/X48,0%)</f>
        <v>0</v>
      </c>
      <c r="Y44" s="84">
        <f t="shared" ref="Y44" si="16">IF(Y46&lt;&gt;0,+Y46/Y48,0%)</f>
        <v>0.75</v>
      </c>
      <c r="Z44" s="83">
        <f>IF(Z46&lt;&gt;0,+Z46/Z48,0%)</f>
        <v>0</v>
      </c>
      <c r="AA44" s="84">
        <f t="shared" ref="AA44" si="17">IF(AA46&lt;&gt;0,+AA46/AA48,0%)</f>
        <v>0.75</v>
      </c>
      <c r="AB44" s="83">
        <f>IF(AB46&lt;&gt;0,+AB46/AB48,0%)</f>
        <v>0.25</v>
      </c>
      <c r="AC44" s="84">
        <f t="shared" ref="AC44" si="18">IF(AC46&lt;&gt;0,+AC46/AC48,0%)</f>
        <v>1</v>
      </c>
      <c r="AD44" s="83">
        <f>IF(AD46&lt;&gt;0,+AD46/AD48,0%)</f>
        <v>0</v>
      </c>
      <c r="AE44" s="84">
        <f t="shared" ref="AE44" si="19">IF(AE46&lt;&gt;0,+AE46/AE48,0%)</f>
        <v>1</v>
      </c>
      <c r="AF44" s="83">
        <f>IF(AF46&lt;&gt;0,+AF46/AF48,0%)</f>
        <v>0</v>
      </c>
      <c r="AG44" s="84">
        <f t="shared" ref="AG44" si="20">IF(AG46&lt;&gt;0,+AG46/AG48,0%)</f>
        <v>1</v>
      </c>
      <c r="AH44" s="83">
        <f>IF(AH46&lt;&gt;0,+AH46/AH48,0%)</f>
        <v>0</v>
      </c>
      <c r="AI44" s="84">
        <f t="shared" ref="AI44" si="21">IF(AI46&lt;&gt;0,+AI46/AI48,0%)</f>
        <v>1</v>
      </c>
      <c r="AJ44" s="85"/>
      <c r="AK44" s="244"/>
      <c r="AL44" s="105"/>
      <c r="AM44" s="230"/>
    </row>
    <row r="45" spans="1:39" s="5" customFormat="1" ht="22.9" customHeight="1" thickBot="1" x14ac:dyDescent="0.3">
      <c r="A45" s="214"/>
      <c r="B45" s="117" t="s">
        <v>107</v>
      </c>
      <c r="C45" s="114"/>
      <c r="D45" s="123"/>
      <c r="E45" s="216"/>
      <c r="F45" s="120"/>
      <c r="G45" s="120"/>
      <c r="H45" s="120"/>
      <c r="I45" s="250"/>
      <c r="J45" s="253"/>
      <c r="K45" s="257"/>
      <c r="L45" s="63" t="s">
        <v>44</v>
      </c>
      <c r="M45" s="63" t="s">
        <v>44</v>
      </c>
      <c r="N45" s="63" t="s">
        <v>44</v>
      </c>
      <c r="O45" s="86" t="s">
        <v>44</v>
      </c>
      <c r="P45" s="63" t="s">
        <v>44</v>
      </c>
      <c r="Q45" s="86" t="s">
        <v>44</v>
      </c>
      <c r="R45" s="63" t="s">
        <v>44</v>
      </c>
      <c r="S45" s="86" t="s">
        <v>44</v>
      </c>
      <c r="T45" s="63" t="s">
        <v>44</v>
      </c>
      <c r="U45" s="86" t="s">
        <v>44</v>
      </c>
      <c r="V45" s="63" t="s">
        <v>44</v>
      </c>
      <c r="W45" s="86" t="s">
        <v>44</v>
      </c>
      <c r="X45" s="63" t="s">
        <v>44</v>
      </c>
      <c r="Y45" s="86" t="s">
        <v>44</v>
      </c>
      <c r="Z45" s="63" t="s">
        <v>44</v>
      </c>
      <c r="AA45" s="86" t="s">
        <v>44</v>
      </c>
      <c r="AB45" s="63" t="s">
        <v>44</v>
      </c>
      <c r="AC45" s="86" t="s">
        <v>44</v>
      </c>
      <c r="AD45" s="63" t="s">
        <v>44</v>
      </c>
      <c r="AE45" s="86" t="s">
        <v>44</v>
      </c>
      <c r="AF45" s="63" t="s">
        <v>44</v>
      </c>
      <c r="AG45" s="86" t="s">
        <v>44</v>
      </c>
      <c r="AH45" s="63" t="s">
        <v>44</v>
      </c>
      <c r="AI45" s="86" t="s">
        <v>44</v>
      </c>
      <c r="AJ45" s="85"/>
      <c r="AK45" s="244"/>
      <c r="AL45" s="105"/>
      <c r="AM45" s="230"/>
    </row>
    <row r="46" spans="1:39" s="5" customFormat="1" ht="22.9" customHeight="1" thickTop="1" x14ac:dyDescent="0.25">
      <c r="A46" s="214"/>
      <c r="B46" s="117"/>
      <c r="C46" s="114"/>
      <c r="D46" s="123"/>
      <c r="E46" s="216"/>
      <c r="F46" s="120"/>
      <c r="G46" s="120"/>
      <c r="H46" s="120"/>
      <c r="I46" s="250"/>
      <c r="J46" s="253"/>
      <c r="K46" s="258" t="s">
        <v>97</v>
      </c>
      <c r="L46" s="87">
        <v>4</v>
      </c>
      <c r="M46" s="88">
        <v>1</v>
      </c>
      <c r="N46" s="88"/>
      <c r="O46" s="89">
        <f t="shared" ref="O46" si="22">+M46+N46</f>
        <v>1</v>
      </c>
      <c r="P46" s="88">
        <v>1</v>
      </c>
      <c r="Q46" s="89">
        <f t="shared" ref="Q46" si="23">+O46+P46</f>
        <v>2</v>
      </c>
      <c r="R46" s="88"/>
      <c r="S46" s="89">
        <f t="shared" ref="S46" si="24">+Q46+R46</f>
        <v>2</v>
      </c>
      <c r="T46" s="88"/>
      <c r="U46" s="89">
        <f t="shared" ref="U46" si="25">+S46+T46</f>
        <v>2</v>
      </c>
      <c r="V46" s="88">
        <v>1</v>
      </c>
      <c r="W46" s="89">
        <f t="shared" ref="W46" si="26">+U46+V46</f>
        <v>3</v>
      </c>
      <c r="X46" s="88"/>
      <c r="Y46" s="89">
        <f t="shared" ref="Y46" si="27">+W46+X46</f>
        <v>3</v>
      </c>
      <c r="Z46" s="88"/>
      <c r="AA46" s="89">
        <f t="shared" ref="AA46" si="28">+Y46+Z46</f>
        <v>3</v>
      </c>
      <c r="AB46" s="88">
        <v>1</v>
      </c>
      <c r="AC46" s="89">
        <f t="shared" ref="AC46" si="29">+AA46+AB46</f>
        <v>4</v>
      </c>
      <c r="AD46" s="88"/>
      <c r="AE46" s="89">
        <f t="shared" ref="AE46" si="30">+AC46+AD46</f>
        <v>4</v>
      </c>
      <c r="AF46" s="88"/>
      <c r="AG46" s="89">
        <f t="shared" ref="AG46" si="31">+AE46+AF46</f>
        <v>4</v>
      </c>
      <c r="AH46" s="90"/>
      <c r="AI46" s="91">
        <f>+AG46+AH46</f>
        <v>4</v>
      </c>
      <c r="AJ46" s="67">
        <f>+AI44/L44</f>
        <v>1</v>
      </c>
      <c r="AK46" s="244"/>
      <c r="AL46" s="105"/>
      <c r="AM46" s="230"/>
    </row>
    <row r="47" spans="1:39" s="5" customFormat="1" ht="22.9" customHeight="1" x14ac:dyDescent="0.25">
      <c r="A47" s="214"/>
      <c r="B47" s="117"/>
      <c r="C47" s="114"/>
      <c r="D47" s="123"/>
      <c r="E47" s="216"/>
      <c r="F47" s="120"/>
      <c r="G47" s="120"/>
      <c r="H47" s="120"/>
      <c r="I47" s="250"/>
      <c r="J47" s="253"/>
      <c r="K47" s="255"/>
      <c r="L47" s="92" t="s">
        <v>45</v>
      </c>
      <c r="M47" s="92" t="s">
        <v>45</v>
      </c>
      <c r="N47" s="92" t="s">
        <v>45</v>
      </c>
      <c r="O47" s="93" t="s">
        <v>45</v>
      </c>
      <c r="P47" s="92" t="s">
        <v>45</v>
      </c>
      <c r="Q47" s="93" t="s">
        <v>45</v>
      </c>
      <c r="R47" s="92" t="s">
        <v>45</v>
      </c>
      <c r="S47" s="93" t="s">
        <v>45</v>
      </c>
      <c r="T47" s="92" t="s">
        <v>45</v>
      </c>
      <c r="U47" s="93" t="s">
        <v>45</v>
      </c>
      <c r="V47" s="92" t="s">
        <v>45</v>
      </c>
      <c r="W47" s="93" t="s">
        <v>45</v>
      </c>
      <c r="X47" s="92" t="s">
        <v>45</v>
      </c>
      <c r="Y47" s="93" t="s">
        <v>45</v>
      </c>
      <c r="Z47" s="92" t="s">
        <v>45</v>
      </c>
      <c r="AA47" s="93" t="s">
        <v>45</v>
      </c>
      <c r="AB47" s="92" t="s">
        <v>45</v>
      </c>
      <c r="AC47" s="93" t="s">
        <v>45</v>
      </c>
      <c r="AD47" s="92" t="s">
        <v>45</v>
      </c>
      <c r="AE47" s="93" t="s">
        <v>45</v>
      </c>
      <c r="AF47" s="92" t="s">
        <v>45</v>
      </c>
      <c r="AG47" s="93" t="s">
        <v>45</v>
      </c>
      <c r="AH47" s="92" t="s">
        <v>45</v>
      </c>
      <c r="AI47" s="93" t="s">
        <v>45</v>
      </c>
      <c r="AJ47" s="85"/>
      <c r="AK47" s="244"/>
      <c r="AL47" s="105"/>
      <c r="AM47" s="230"/>
    </row>
    <row r="48" spans="1:39" s="5" customFormat="1" ht="22.9" customHeight="1" thickBot="1" x14ac:dyDescent="0.3">
      <c r="A48" s="215"/>
      <c r="B48" s="118"/>
      <c r="C48" s="115"/>
      <c r="D48" s="124"/>
      <c r="E48" s="217"/>
      <c r="F48" s="121"/>
      <c r="G48" s="121"/>
      <c r="H48" s="121"/>
      <c r="I48" s="251"/>
      <c r="J48" s="254"/>
      <c r="K48" s="257"/>
      <c r="L48" s="87">
        <v>4</v>
      </c>
      <c r="M48" s="94">
        <v>4</v>
      </c>
      <c r="N48" s="94">
        <v>4</v>
      </c>
      <c r="O48" s="31">
        <v>4</v>
      </c>
      <c r="P48" s="30">
        <v>4</v>
      </c>
      <c r="Q48" s="31">
        <v>4</v>
      </c>
      <c r="R48" s="30">
        <v>4</v>
      </c>
      <c r="S48" s="31">
        <v>4</v>
      </c>
      <c r="T48" s="30">
        <v>4</v>
      </c>
      <c r="U48" s="31">
        <v>4</v>
      </c>
      <c r="V48" s="30">
        <v>4</v>
      </c>
      <c r="W48" s="31">
        <v>4</v>
      </c>
      <c r="X48" s="30">
        <v>4</v>
      </c>
      <c r="Y48" s="31">
        <v>4</v>
      </c>
      <c r="Z48" s="30">
        <v>4</v>
      </c>
      <c r="AA48" s="31">
        <v>4</v>
      </c>
      <c r="AB48" s="30">
        <v>4</v>
      </c>
      <c r="AC48" s="31">
        <v>4</v>
      </c>
      <c r="AD48" s="30">
        <v>4</v>
      </c>
      <c r="AE48" s="31">
        <v>4</v>
      </c>
      <c r="AF48" s="30">
        <v>4</v>
      </c>
      <c r="AG48" s="31">
        <v>4</v>
      </c>
      <c r="AH48" s="30">
        <v>4</v>
      </c>
      <c r="AI48" s="31">
        <v>4</v>
      </c>
      <c r="AJ48" s="95"/>
      <c r="AK48" s="245"/>
      <c r="AL48" s="106"/>
      <c r="AM48" s="234"/>
    </row>
    <row r="49" spans="10:37" s="5" customFormat="1" ht="13.5" thickTop="1" x14ac:dyDescent="0.25"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</row>
    <row r="50" spans="10:37" s="5" customFormat="1" x14ac:dyDescent="0.25">
      <c r="J50" s="47">
        <f>SUM(J13:J48)</f>
        <v>1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</row>
    <row r="51" spans="10:37" x14ac:dyDescent="0.2">
      <c r="J51" s="9"/>
    </row>
    <row r="52" spans="10:37" x14ac:dyDescent="0.2">
      <c r="J52" s="9"/>
    </row>
    <row r="53" spans="10:37" ht="17.25" customHeight="1" x14ac:dyDescent="0.2"/>
    <row r="54" spans="10:37" ht="14.25" customHeight="1" x14ac:dyDescent="0.2"/>
    <row r="55" spans="10:37" ht="35.25" customHeight="1" x14ac:dyDescent="0.2"/>
    <row r="56" spans="10:37" ht="19.899999999999999" customHeight="1" x14ac:dyDescent="0.2"/>
    <row r="57" spans="10:37" ht="19.899999999999999" customHeight="1" x14ac:dyDescent="0.2"/>
    <row r="58" spans="10:37" ht="19.899999999999999" customHeight="1" x14ac:dyDescent="0.2"/>
    <row r="59" spans="10:37" ht="19.899999999999999" customHeight="1" x14ac:dyDescent="0.2"/>
    <row r="60" spans="10:37" ht="19.899999999999999" customHeight="1" x14ac:dyDescent="0.2"/>
    <row r="61" spans="10:37" ht="19.899999999999999" customHeight="1" x14ac:dyDescent="0.2"/>
    <row r="67" ht="35.25" customHeight="1" x14ac:dyDescent="0.2"/>
    <row r="68" ht="19.899999999999999" customHeight="1" x14ac:dyDescent="0.2"/>
    <row r="69" ht="19.899999999999999" customHeight="1" x14ac:dyDescent="0.2"/>
    <row r="70" ht="19.899999999999999" customHeight="1" x14ac:dyDescent="0.2"/>
    <row r="71" ht="19.899999999999999" customHeight="1" x14ac:dyDescent="0.2"/>
    <row r="72" ht="19.899999999999999" customHeight="1" x14ac:dyDescent="0.2"/>
    <row r="73" ht="19.899999999999999" customHeight="1" x14ac:dyDescent="0.2"/>
    <row r="327" spans="5:5" x14ac:dyDescent="0.2">
      <c r="E327" s="3" t="s">
        <v>30</v>
      </c>
    </row>
  </sheetData>
  <mergeCells count="138">
    <mergeCell ref="I43:I48"/>
    <mergeCell ref="J43:J48"/>
    <mergeCell ref="J19:J24"/>
    <mergeCell ref="K43:K45"/>
    <mergeCell ref="K46:K48"/>
    <mergeCell ref="I37:I42"/>
    <mergeCell ref="K37:K39"/>
    <mergeCell ref="AL37:AL42"/>
    <mergeCell ref="AM37:AM42"/>
    <mergeCell ref="K40:K42"/>
    <mergeCell ref="J37:J42"/>
    <mergeCell ref="J31:J36"/>
    <mergeCell ref="AL31:AL36"/>
    <mergeCell ref="AM31:AM36"/>
    <mergeCell ref="K31:K33"/>
    <mergeCell ref="AK31:AK36"/>
    <mergeCell ref="K34:K36"/>
    <mergeCell ref="AK43:AK48"/>
    <mergeCell ref="AK13:AK18"/>
    <mergeCell ref="AL19:AL24"/>
    <mergeCell ref="AL25:AL30"/>
    <mergeCell ref="AL43:AL48"/>
    <mergeCell ref="AM43:AM48"/>
    <mergeCell ref="AL11:AL12"/>
    <mergeCell ref="AC11:AC12"/>
    <mergeCell ref="K11:K12"/>
    <mergeCell ref="Q11:Q12"/>
    <mergeCell ref="R11:R12"/>
    <mergeCell ref="W11:W12"/>
    <mergeCell ref="AK19:AK24"/>
    <mergeCell ref="AM22:AM24"/>
    <mergeCell ref="AM25:AM30"/>
    <mergeCell ref="AM11:AM12"/>
    <mergeCell ref="AL13:AL18"/>
    <mergeCell ref="AM13:AM18"/>
    <mergeCell ref="AG11:AG12"/>
    <mergeCell ref="AB11:AB12"/>
    <mergeCell ref="AA11:AA12"/>
    <mergeCell ref="T11:T12"/>
    <mergeCell ref="U11:U12"/>
    <mergeCell ref="K13:K15"/>
    <mergeCell ref="AF11:AF12"/>
    <mergeCell ref="AK25:AK30"/>
    <mergeCell ref="A11:A12"/>
    <mergeCell ref="Y11:Y12"/>
    <mergeCell ref="I11:I12"/>
    <mergeCell ref="O11:O12"/>
    <mergeCell ref="AJ11:AJ12"/>
    <mergeCell ref="AK11:AK12"/>
    <mergeCell ref="A13:A18"/>
    <mergeCell ref="V11:V12"/>
    <mergeCell ref="X11:X12"/>
    <mergeCell ref="J13:J18"/>
    <mergeCell ref="A19:A24"/>
    <mergeCell ref="AI11:AI12"/>
    <mergeCell ref="AD11:AD12"/>
    <mergeCell ref="AE11:AE12"/>
    <mergeCell ref="AH11:AH12"/>
    <mergeCell ref="Z11:Z12"/>
    <mergeCell ref="S11:S12"/>
    <mergeCell ref="J25:J30"/>
    <mergeCell ref="A43:A48"/>
    <mergeCell ref="G25:G30"/>
    <mergeCell ref="H25:H30"/>
    <mergeCell ref="F25:F30"/>
    <mergeCell ref="B43:B48"/>
    <mergeCell ref="A25:A30"/>
    <mergeCell ref="H43:H48"/>
    <mergeCell ref="E43:E48"/>
    <mergeCell ref="F43:F48"/>
    <mergeCell ref="G43:G48"/>
    <mergeCell ref="A31:A36"/>
    <mergeCell ref="B31:B36"/>
    <mergeCell ref="C31:C36"/>
    <mergeCell ref="D31:D36"/>
    <mergeCell ref="E31:E36"/>
    <mergeCell ref="F31:F36"/>
    <mergeCell ref="H31:H36"/>
    <mergeCell ref="O6:R6"/>
    <mergeCell ref="O1:R1"/>
    <mergeCell ref="O3:R3"/>
    <mergeCell ref="E1:N5"/>
    <mergeCell ref="O2:R2"/>
    <mergeCell ref="L11:L12"/>
    <mergeCell ref="O5:R5"/>
    <mergeCell ref="E11:E12"/>
    <mergeCell ref="F11:F12"/>
    <mergeCell ref="N11:N12"/>
    <mergeCell ref="H11:H12"/>
    <mergeCell ref="P11:P12"/>
    <mergeCell ref="I19:I24"/>
    <mergeCell ref="H19:H24"/>
    <mergeCell ref="I25:I30"/>
    <mergeCell ref="I13:I18"/>
    <mergeCell ref="H13:H18"/>
    <mergeCell ref="K25:K27"/>
    <mergeCell ref="K28:K30"/>
    <mergeCell ref="K16:K18"/>
    <mergeCell ref="K19:K21"/>
    <mergeCell ref="K22:K24"/>
    <mergeCell ref="I31:I36"/>
    <mergeCell ref="B1:D5"/>
    <mergeCell ref="G11:G12"/>
    <mergeCell ref="C11:C12"/>
    <mergeCell ref="B11:B12"/>
    <mergeCell ref="D11:D12"/>
    <mergeCell ref="B6:D6"/>
    <mergeCell ref="E6:N6"/>
    <mergeCell ref="J11:J12"/>
    <mergeCell ref="M11:M12"/>
    <mergeCell ref="C43:C48"/>
    <mergeCell ref="D43:D48"/>
    <mergeCell ref="B19:B24"/>
    <mergeCell ref="C25:C30"/>
    <mergeCell ref="D25:D30"/>
    <mergeCell ref="C13:C18"/>
    <mergeCell ref="E13:E18"/>
    <mergeCell ref="G13:G18"/>
    <mergeCell ref="E25:E30"/>
    <mergeCell ref="B25:B30"/>
    <mergeCell ref="F19:F24"/>
    <mergeCell ref="D19:D24"/>
    <mergeCell ref="E19:E24"/>
    <mergeCell ref="G19:G24"/>
    <mergeCell ref="C19:C24"/>
    <mergeCell ref="B13:B18"/>
    <mergeCell ref="F13:F18"/>
    <mergeCell ref="D13:D18"/>
    <mergeCell ref="G31:G36"/>
    <mergeCell ref="AK37:AK42"/>
    <mergeCell ref="A37:A42"/>
    <mergeCell ref="B37:B42"/>
    <mergeCell ref="C37:C42"/>
    <mergeCell ref="D37:D42"/>
    <mergeCell ref="E37:E42"/>
    <mergeCell ref="F37:F42"/>
    <mergeCell ref="G37:G42"/>
    <mergeCell ref="H37:H42"/>
  </mergeCells>
  <phoneticPr fontId="5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0322-C9E5-4AD2-ADFE-07A1968AC6D1}">
  <dimension ref="A1:AN39"/>
  <sheetViews>
    <sheetView tabSelected="1" topLeftCell="A8" workbookViewId="0">
      <pane xSplit="3" ySplit="5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B8" sqref="B8"/>
    </sheetView>
  </sheetViews>
  <sheetFormatPr baseColWidth="10" defaultRowHeight="12.75" x14ac:dyDescent="0.2"/>
  <sheetData>
    <row r="1" spans="1:40" s="10" customFormat="1" ht="12.75" customHeight="1" x14ac:dyDescent="0.25">
      <c r="B1" s="155"/>
      <c r="C1" s="155"/>
      <c r="D1" s="156"/>
      <c r="E1" s="173" t="s">
        <v>0</v>
      </c>
      <c r="F1" s="179"/>
      <c r="G1" s="179"/>
      <c r="H1" s="179"/>
      <c r="I1" s="179"/>
      <c r="J1" s="179"/>
      <c r="K1" s="179"/>
      <c r="L1" s="179"/>
      <c r="M1" s="180"/>
      <c r="N1" s="173" t="s">
        <v>38</v>
      </c>
      <c r="O1" s="174"/>
      <c r="P1" s="174"/>
      <c r="Q1" s="175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40" s="10" customFormat="1" ht="12.75" customHeight="1" x14ac:dyDescent="0.25">
      <c r="B2" s="157"/>
      <c r="C2" s="157"/>
      <c r="D2" s="158"/>
      <c r="E2" s="176"/>
      <c r="F2" s="181"/>
      <c r="G2" s="181"/>
      <c r="H2" s="181"/>
      <c r="I2" s="181"/>
      <c r="J2" s="181"/>
      <c r="K2" s="181"/>
      <c r="L2" s="181"/>
      <c r="M2" s="182"/>
      <c r="N2" s="186" t="s">
        <v>39</v>
      </c>
      <c r="O2" s="187"/>
      <c r="P2" s="187"/>
      <c r="Q2" s="18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40" s="10" customFormat="1" ht="15.75" customHeight="1" x14ac:dyDescent="0.25">
      <c r="B3" s="157"/>
      <c r="C3" s="157"/>
      <c r="D3" s="158"/>
      <c r="E3" s="176"/>
      <c r="F3" s="181"/>
      <c r="G3" s="181"/>
      <c r="H3" s="181"/>
      <c r="I3" s="181"/>
      <c r="J3" s="181"/>
      <c r="K3" s="181"/>
      <c r="L3" s="181"/>
      <c r="M3" s="182"/>
      <c r="N3" s="176"/>
      <c r="O3" s="177"/>
      <c r="P3" s="177"/>
      <c r="Q3" s="17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40" s="10" customFormat="1" ht="12.75" customHeight="1" x14ac:dyDescent="0.25">
      <c r="B4" s="157"/>
      <c r="C4" s="157"/>
      <c r="D4" s="158"/>
      <c r="E4" s="176"/>
      <c r="F4" s="181"/>
      <c r="G4" s="181"/>
      <c r="H4" s="181"/>
      <c r="I4" s="181"/>
      <c r="J4" s="181"/>
      <c r="K4" s="181"/>
      <c r="L4" s="181"/>
      <c r="M4" s="182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40" s="10" customFormat="1" ht="20.25" customHeight="1" x14ac:dyDescent="0.25">
      <c r="B5" s="159"/>
      <c r="C5" s="159"/>
      <c r="D5" s="160"/>
      <c r="E5" s="183"/>
      <c r="F5" s="184"/>
      <c r="G5" s="184"/>
      <c r="H5" s="184"/>
      <c r="I5" s="184"/>
      <c r="J5" s="184"/>
      <c r="K5" s="184"/>
      <c r="L5" s="184"/>
      <c r="M5" s="185"/>
      <c r="N5" s="190" t="s">
        <v>34</v>
      </c>
      <c r="O5" s="191"/>
      <c r="P5" s="191"/>
      <c r="Q5" s="192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40" s="3" customFormat="1" ht="15.75" customHeight="1" x14ac:dyDescent="0.2">
      <c r="B6" s="167" t="s">
        <v>29</v>
      </c>
      <c r="C6" s="168"/>
      <c r="D6" s="169"/>
      <c r="E6" s="170" t="s">
        <v>36</v>
      </c>
      <c r="F6" s="171"/>
      <c r="G6" s="171"/>
      <c r="H6" s="171"/>
      <c r="I6" s="171"/>
      <c r="J6" s="171"/>
      <c r="K6" s="171"/>
      <c r="L6" s="171"/>
      <c r="M6" s="172"/>
      <c r="N6" s="170" t="s">
        <v>35</v>
      </c>
      <c r="O6" s="171"/>
      <c r="P6" s="171"/>
      <c r="Q6" s="17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40" s="10" customFormat="1" ht="16.5" customHeight="1" x14ac:dyDescent="0.2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40" s="10" customFormat="1" ht="15.75" x14ac:dyDescent="0.25">
      <c r="B8" s="4" t="s">
        <v>135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40" s="10" customFormat="1" ht="16.5" customHeight="1" x14ac:dyDescent="0.2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40" s="10" customFormat="1" ht="16.5" customHeight="1" thickBot="1" x14ac:dyDescent="0.3">
      <c r="B10" s="4"/>
      <c r="C10" s="7"/>
      <c r="D10" s="7"/>
      <c r="E10" s="15"/>
      <c r="L10" s="16"/>
      <c r="M10" s="11"/>
      <c r="N10" s="11"/>
      <c r="O10" s="11"/>
      <c r="P10" s="11"/>
      <c r="Q10" s="17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40" s="52" customFormat="1" ht="22.9" customHeight="1" thickTop="1" x14ac:dyDescent="0.25">
      <c r="A11" s="279" t="s">
        <v>51</v>
      </c>
      <c r="B11" s="279" t="s">
        <v>37</v>
      </c>
      <c r="C11" s="279" t="s">
        <v>1</v>
      </c>
      <c r="D11" s="281" t="s">
        <v>2</v>
      </c>
      <c r="E11" s="277" t="s">
        <v>32</v>
      </c>
      <c r="F11" s="277" t="s">
        <v>40</v>
      </c>
      <c r="G11" s="277" t="s">
        <v>33</v>
      </c>
      <c r="H11" s="277" t="s">
        <v>41</v>
      </c>
      <c r="I11" s="277" t="s">
        <v>136</v>
      </c>
      <c r="J11" s="281" t="s">
        <v>3</v>
      </c>
      <c r="K11" s="281" t="s">
        <v>28</v>
      </c>
      <c r="L11" s="281" t="s">
        <v>4</v>
      </c>
      <c r="M11" s="281" t="s">
        <v>5</v>
      </c>
      <c r="N11" s="279" t="s">
        <v>6</v>
      </c>
      <c r="O11" s="281" t="s">
        <v>7</v>
      </c>
      <c r="P11" s="281" t="s">
        <v>8</v>
      </c>
      <c r="Q11" s="281" t="s">
        <v>9</v>
      </c>
      <c r="R11" s="281" t="s">
        <v>10</v>
      </c>
      <c r="S11" s="281" t="s">
        <v>11</v>
      </c>
      <c r="T11" s="279" t="s">
        <v>12</v>
      </c>
      <c r="U11" s="279" t="s">
        <v>13</v>
      </c>
      <c r="V11" s="281" t="s">
        <v>14</v>
      </c>
      <c r="W11" s="285" t="s">
        <v>15</v>
      </c>
      <c r="X11" s="281" t="s">
        <v>16</v>
      </c>
      <c r="Y11" s="281" t="s">
        <v>17</v>
      </c>
      <c r="Z11" s="281" t="s">
        <v>18</v>
      </c>
      <c r="AA11" s="281" t="s">
        <v>19</v>
      </c>
      <c r="AB11" s="281" t="s">
        <v>20</v>
      </c>
      <c r="AC11" s="281" t="s">
        <v>21</v>
      </c>
      <c r="AD11" s="281" t="s">
        <v>22</v>
      </c>
      <c r="AE11" s="279" t="s">
        <v>23</v>
      </c>
      <c r="AF11" s="281" t="s">
        <v>24</v>
      </c>
      <c r="AG11" s="281" t="s">
        <v>25</v>
      </c>
      <c r="AH11" s="277" t="s">
        <v>137</v>
      </c>
      <c r="AI11" s="281" t="s">
        <v>26</v>
      </c>
      <c r="AJ11" s="281" t="s">
        <v>27</v>
      </c>
      <c r="AK11" s="277" t="s">
        <v>60</v>
      </c>
      <c r="AL11" s="277" t="s">
        <v>59</v>
      </c>
    </row>
    <row r="12" spans="1:40" s="52" customFormat="1" ht="22.9" customHeight="1" thickBot="1" x14ac:dyDescent="0.3">
      <c r="A12" s="287"/>
      <c r="B12" s="287"/>
      <c r="C12" s="287"/>
      <c r="D12" s="283"/>
      <c r="E12" s="278"/>
      <c r="F12" s="278"/>
      <c r="G12" s="278"/>
      <c r="H12" s="278"/>
      <c r="I12" s="278"/>
      <c r="J12" s="283"/>
      <c r="K12" s="288"/>
      <c r="L12" s="283"/>
      <c r="M12" s="283"/>
      <c r="N12" s="287"/>
      <c r="O12" s="283"/>
      <c r="P12" s="283"/>
      <c r="Q12" s="283"/>
      <c r="R12" s="282"/>
      <c r="S12" s="283"/>
      <c r="T12" s="280"/>
      <c r="U12" s="280"/>
      <c r="V12" s="282"/>
      <c r="W12" s="286"/>
      <c r="X12" s="283"/>
      <c r="Y12" s="282"/>
      <c r="Z12" s="282"/>
      <c r="AA12" s="282"/>
      <c r="AB12" s="282"/>
      <c r="AC12" s="282"/>
      <c r="AD12" s="282"/>
      <c r="AE12" s="280"/>
      <c r="AF12" s="282"/>
      <c r="AG12" s="283"/>
      <c r="AH12" s="278">
        <v>2018</v>
      </c>
      <c r="AI12" s="283"/>
      <c r="AJ12" s="284"/>
      <c r="AK12" s="278"/>
      <c r="AL12" s="278"/>
    </row>
    <row r="13" spans="1:40" s="52" customFormat="1" ht="22.9" customHeight="1" thickTop="1" x14ac:dyDescent="0.25">
      <c r="A13" s="221" t="s">
        <v>90</v>
      </c>
      <c r="B13" s="149" t="s">
        <v>98</v>
      </c>
      <c r="C13" s="134" t="s">
        <v>118</v>
      </c>
      <c r="D13" s="131" t="s">
        <v>65</v>
      </c>
      <c r="E13" s="145" t="s">
        <v>61</v>
      </c>
      <c r="F13" s="137" t="s">
        <v>133</v>
      </c>
      <c r="G13" s="145" t="s">
        <v>48</v>
      </c>
      <c r="H13" s="145" t="s">
        <v>68</v>
      </c>
      <c r="I13" s="264">
        <f>+K14</f>
        <v>0.85</v>
      </c>
      <c r="J13" s="267" t="s">
        <v>62</v>
      </c>
      <c r="K13" s="53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54" t="s">
        <v>43</v>
      </c>
      <c r="Q13" s="21" t="s">
        <v>43</v>
      </c>
      <c r="R13" s="54" t="s">
        <v>43</v>
      </c>
      <c r="S13" s="21" t="s">
        <v>43</v>
      </c>
      <c r="T13" s="54" t="s">
        <v>43</v>
      </c>
      <c r="U13" s="21" t="s">
        <v>43</v>
      </c>
      <c r="V13" s="54" t="s">
        <v>43</v>
      </c>
      <c r="W13" s="21" t="s">
        <v>43</v>
      </c>
      <c r="X13" s="54" t="s">
        <v>43</v>
      </c>
      <c r="Y13" s="21" t="s">
        <v>43</v>
      </c>
      <c r="Z13" s="54" t="s">
        <v>43</v>
      </c>
      <c r="AA13" s="21" t="s">
        <v>43</v>
      </c>
      <c r="AB13" s="54" t="s">
        <v>43</v>
      </c>
      <c r="AC13" s="21" t="s">
        <v>43</v>
      </c>
      <c r="AD13" s="54" t="s">
        <v>43</v>
      </c>
      <c r="AE13" s="21" t="s">
        <v>43</v>
      </c>
      <c r="AF13" s="54" t="s">
        <v>43</v>
      </c>
      <c r="AG13" s="21" t="s">
        <v>43</v>
      </c>
      <c r="AH13" s="54" t="s">
        <v>43</v>
      </c>
      <c r="AI13" s="55"/>
      <c r="AJ13" s="270" t="s">
        <v>87</v>
      </c>
      <c r="AK13" s="273"/>
      <c r="AL13" s="233" t="s">
        <v>57</v>
      </c>
    </row>
    <row r="14" spans="1:40" s="52" customFormat="1" ht="22.9" customHeight="1" x14ac:dyDescent="0.25">
      <c r="A14" s="222"/>
      <c r="B14" s="150"/>
      <c r="C14" s="135"/>
      <c r="D14" s="132"/>
      <c r="E14" s="146"/>
      <c r="F14" s="138"/>
      <c r="G14" s="146"/>
      <c r="H14" s="146"/>
      <c r="I14" s="265"/>
      <c r="J14" s="268"/>
      <c r="K14" s="56">
        <f>IF(K16&lt;&gt;0,+K16/K18,0%)</f>
        <v>0.85</v>
      </c>
      <c r="L14" s="23">
        <f>IF(L16&lt;&gt;0,+L16/L18,0%)</f>
        <v>0</v>
      </c>
      <c r="M14" s="57">
        <f>IF(M16&lt;&gt;0,+M16/M18,0%)</f>
        <v>0</v>
      </c>
      <c r="N14" s="43">
        <f t="shared" ref="N14" si="0">IF(N16&lt;&gt;0,+N16/N18,0%)</f>
        <v>0</v>
      </c>
      <c r="O14" s="57">
        <f>IF(O16&lt;&gt;0,ROUND(+O16/O18,4),0%)</f>
        <v>0</v>
      </c>
      <c r="P14" s="58">
        <f t="shared" ref="P14" si="1">IF(P16&lt;&gt;0,+P16/P18,0%)</f>
        <v>0</v>
      </c>
      <c r="Q14" s="59">
        <f>IF(Q16&lt;&gt;0,ROUND(+Q16/Q18,4),0%)</f>
        <v>0</v>
      </c>
      <c r="R14" s="58">
        <f t="shared" ref="R14" si="2">IF(R16&lt;&gt;0,+R16/R18,0%)</f>
        <v>0</v>
      </c>
      <c r="S14" s="59">
        <f>IF(S16&lt;&gt;0,ROUND(+S16/S18,4),0%)</f>
        <v>0</v>
      </c>
      <c r="T14" s="58">
        <f t="shared" ref="T14" si="3">IF(T16&lt;&gt;0,+T16/T18,0%)</f>
        <v>0</v>
      </c>
      <c r="U14" s="59">
        <f>IF(U16&lt;&gt;0,ROUND(+U16/U18,4),0%)</f>
        <v>0</v>
      </c>
      <c r="V14" s="58">
        <f t="shared" ref="V14" si="4">IF(V16&lt;&gt;0,+V16/V18,0%)</f>
        <v>0</v>
      </c>
      <c r="W14" s="59">
        <f>IF(W16&lt;&gt;0,ROUND(+W16/W18,4),0%)</f>
        <v>0</v>
      </c>
      <c r="X14" s="58">
        <f t="shared" ref="X14" si="5">IF(X16&lt;&gt;0,+X16/X18,0%)</f>
        <v>0</v>
      </c>
      <c r="Y14" s="60">
        <f>IF(Y16&lt;&gt;0,ROUND(+Y16/Y18,4),0%)</f>
        <v>0</v>
      </c>
      <c r="Z14" s="58">
        <f t="shared" ref="Z14" si="6">IF(Z16&lt;&gt;0,+Z16/Z18,0%)</f>
        <v>0</v>
      </c>
      <c r="AA14" s="59">
        <f>IF(AA16&lt;&gt;0,ROUND(+AA16/AA18,4),0%)</f>
        <v>0</v>
      </c>
      <c r="AB14" s="58">
        <f t="shared" ref="AB14" si="7">IF(AB16&lt;&gt;0,+AB16/AB18,0%)</f>
        <v>0</v>
      </c>
      <c r="AC14" s="59">
        <f>IF(AC16&lt;&gt;0,ROUND(+AC16/AC18,4),0%)</f>
        <v>0</v>
      </c>
      <c r="AD14" s="58">
        <f t="shared" ref="AD14" si="8">IF(AD16&lt;&gt;0,+AD16/AD18,0%)</f>
        <v>0</v>
      </c>
      <c r="AE14" s="59">
        <f>IF(AE16&lt;&gt;0,ROUND(+AE16/AE18,4),0%)</f>
        <v>0</v>
      </c>
      <c r="AF14" s="58">
        <f t="shared" ref="AF14" si="9">IF(AF16&lt;&gt;0,+AF16/AF18,0%)</f>
        <v>0</v>
      </c>
      <c r="AG14" s="59">
        <f>IF(AG16&lt;&gt;0,ROUND(+AG16/AG18,4),0%)</f>
        <v>0</v>
      </c>
      <c r="AH14" s="58">
        <f>IF(AH16&lt;&gt;0,+AH16/AH18,0%)</f>
        <v>0</v>
      </c>
      <c r="AI14" s="61"/>
      <c r="AJ14" s="271"/>
      <c r="AK14" s="274"/>
      <c r="AL14" s="230"/>
      <c r="AN14" s="62"/>
    </row>
    <row r="15" spans="1:40" s="52" customFormat="1" ht="22.9" customHeight="1" thickBot="1" x14ac:dyDescent="0.3">
      <c r="A15" s="222"/>
      <c r="B15" s="150"/>
      <c r="C15" s="135"/>
      <c r="D15" s="132"/>
      <c r="E15" s="146"/>
      <c r="F15" s="138"/>
      <c r="G15" s="146"/>
      <c r="H15" s="146"/>
      <c r="I15" s="265"/>
      <c r="J15" s="289"/>
      <c r="K15" s="63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64" t="s">
        <v>44</v>
      </c>
      <c r="Q15" s="25" t="s">
        <v>44</v>
      </c>
      <c r="R15" s="64" t="s">
        <v>44</v>
      </c>
      <c r="S15" s="25" t="s">
        <v>44</v>
      </c>
      <c r="T15" s="64" t="s">
        <v>44</v>
      </c>
      <c r="U15" s="25" t="s">
        <v>44</v>
      </c>
      <c r="V15" s="64" t="s">
        <v>44</v>
      </c>
      <c r="W15" s="25" t="s">
        <v>44</v>
      </c>
      <c r="X15" s="64" t="s">
        <v>44</v>
      </c>
      <c r="Y15" s="25" t="s">
        <v>44</v>
      </c>
      <c r="Z15" s="64" t="s">
        <v>44</v>
      </c>
      <c r="AA15" s="25" t="s">
        <v>44</v>
      </c>
      <c r="AB15" s="64" t="s">
        <v>44</v>
      </c>
      <c r="AC15" s="25" t="s">
        <v>44</v>
      </c>
      <c r="AD15" s="64" t="s">
        <v>44</v>
      </c>
      <c r="AE15" s="25" t="s">
        <v>44</v>
      </c>
      <c r="AF15" s="64" t="s">
        <v>44</v>
      </c>
      <c r="AG15" s="25" t="s">
        <v>44</v>
      </c>
      <c r="AH15" s="64" t="s">
        <v>44</v>
      </c>
      <c r="AI15" s="61"/>
      <c r="AJ15" s="271"/>
      <c r="AK15" s="274"/>
      <c r="AL15" s="230"/>
    </row>
    <row r="16" spans="1:40" s="52" customFormat="1" ht="22.9" customHeight="1" thickTop="1" x14ac:dyDescent="0.25">
      <c r="A16" s="222"/>
      <c r="B16" s="150"/>
      <c r="C16" s="135"/>
      <c r="D16" s="132"/>
      <c r="E16" s="146"/>
      <c r="F16" s="138"/>
      <c r="G16" s="146"/>
      <c r="H16" s="146"/>
      <c r="I16" s="265"/>
      <c r="J16" s="267" t="s">
        <v>42</v>
      </c>
      <c r="K16" s="41">
        <f>+'CDC 2025'!L16</f>
        <v>25500</v>
      </c>
      <c r="L16" s="66">
        <f t="shared" ref="L16:M16" si="10">+L26+L36</f>
        <v>0</v>
      </c>
      <c r="M16" s="66">
        <f t="shared" si="10"/>
        <v>0</v>
      </c>
      <c r="N16" s="27">
        <f>+L16+M16</f>
        <v>0</v>
      </c>
      <c r="O16" s="66">
        <f t="shared" ref="O16" si="11">+O26+O36</f>
        <v>0</v>
      </c>
      <c r="P16" s="27">
        <f>+N16+O16</f>
        <v>0</v>
      </c>
      <c r="Q16" s="66">
        <f t="shared" ref="Q16" si="12">+Q26+Q36</f>
        <v>0</v>
      </c>
      <c r="R16" s="27">
        <f>+P16+Q16</f>
        <v>0</v>
      </c>
      <c r="S16" s="66">
        <f t="shared" ref="S16" si="13">+S26+S36</f>
        <v>0</v>
      </c>
      <c r="T16" s="27">
        <f>+R16+S16</f>
        <v>0</v>
      </c>
      <c r="U16" s="66">
        <f t="shared" ref="U16" si="14">+U26+U36</f>
        <v>0</v>
      </c>
      <c r="V16" s="27">
        <f>+T16+U16</f>
        <v>0</v>
      </c>
      <c r="W16" s="66">
        <f t="shared" ref="W16" si="15">+W26+W36</f>
        <v>0</v>
      </c>
      <c r="X16" s="27">
        <f>+V16+W16</f>
        <v>0</v>
      </c>
      <c r="Y16" s="66">
        <f t="shared" ref="Y16" si="16">+Y26+Y36</f>
        <v>0</v>
      </c>
      <c r="Z16" s="27">
        <f>+X16+Y16</f>
        <v>0</v>
      </c>
      <c r="AA16" s="66">
        <f t="shared" ref="AA16" si="17">+AA26+AA36</f>
        <v>0</v>
      </c>
      <c r="AB16" s="27">
        <f>+Z16+AA16</f>
        <v>0</v>
      </c>
      <c r="AC16" s="66">
        <f t="shared" ref="AC16" si="18">+AC26+AC36</f>
        <v>0</v>
      </c>
      <c r="AD16" s="27">
        <f>+AB16+AC16</f>
        <v>0</v>
      </c>
      <c r="AE16" s="66">
        <f t="shared" ref="AE16" si="19">+AE26+AE36</f>
        <v>0</v>
      </c>
      <c r="AF16" s="27">
        <f>+AD16+AE16</f>
        <v>0</v>
      </c>
      <c r="AG16" s="66">
        <f t="shared" ref="AG16" si="20">+AG26+AG36</f>
        <v>0</v>
      </c>
      <c r="AH16" s="27">
        <f>+AF16+AG16</f>
        <v>0</v>
      </c>
      <c r="AI16" s="67">
        <f>AH14/K14</f>
        <v>0</v>
      </c>
      <c r="AJ16" s="271"/>
      <c r="AK16" s="274"/>
      <c r="AL16" s="230"/>
    </row>
    <row r="17" spans="1:40" s="52" customFormat="1" ht="22.9" customHeight="1" x14ac:dyDescent="0.25">
      <c r="A17" s="222"/>
      <c r="B17" s="150"/>
      <c r="C17" s="135"/>
      <c r="D17" s="132"/>
      <c r="E17" s="146"/>
      <c r="F17" s="138"/>
      <c r="G17" s="146"/>
      <c r="H17" s="146"/>
      <c r="I17" s="265"/>
      <c r="J17" s="268"/>
      <c r="K17" s="29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68" t="s">
        <v>45</v>
      </c>
      <c r="Q17" s="29" t="s">
        <v>45</v>
      </c>
      <c r="R17" s="68" t="s">
        <v>45</v>
      </c>
      <c r="S17" s="29" t="s">
        <v>45</v>
      </c>
      <c r="T17" s="68" t="s">
        <v>45</v>
      </c>
      <c r="U17" s="29" t="s">
        <v>45</v>
      </c>
      <c r="V17" s="68" t="s">
        <v>45</v>
      </c>
      <c r="W17" s="29" t="s">
        <v>45</v>
      </c>
      <c r="X17" s="68" t="s">
        <v>45</v>
      </c>
      <c r="Y17" s="29" t="s">
        <v>45</v>
      </c>
      <c r="Z17" s="68" t="s">
        <v>45</v>
      </c>
      <c r="AA17" s="29" t="s">
        <v>45</v>
      </c>
      <c r="AB17" s="68" t="s">
        <v>45</v>
      </c>
      <c r="AC17" s="29" t="s">
        <v>45</v>
      </c>
      <c r="AD17" s="68" t="s">
        <v>45</v>
      </c>
      <c r="AE17" s="29" t="s">
        <v>45</v>
      </c>
      <c r="AF17" s="68" t="s">
        <v>45</v>
      </c>
      <c r="AG17" s="29" t="s">
        <v>45</v>
      </c>
      <c r="AH17" s="68" t="s">
        <v>45</v>
      </c>
      <c r="AI17" s="61"/>
      <c r="AJ17" s="271"/>
      <c r="AK17" s="274"/>
      <c r="AL17" s="230"/>
    </row>
    <row r="18" spans="1:40" s="52" customFormat="1" ht="22.9" customHeight="1" thickBot="1" x14ac:dyDescent="0.3">
      <c r="A18" s="223"/>
      <c r="B18" s="151"/>
      <c r="C18" s="136"/>
      <c r="D18" s="133"/>
      <c r="E18" s="146"/>
      <c r="F18" s="139"/>
      <c r="G18" s="146"/>
      <c r="H18" s="146"/>
      <c r="I18" s="266"/>
      <c r="J18" s="289"/>
      <c r="K18" s="41">
        <f>+'CDC 2025'!L18</f>
        <v>30000</v>
      </c>
      <c r="L18" s="70">
        <f t="shared" ref="L18:M18" si="21">+L28+L38</f>
        <v>0</v>
      </c>
      <c r="M18" s="70">
        <f t="shared" si="21"/>
        <v>0</v>
      </c>
      <c r="N18" s="31">
        <f>+L18+M18</f>
        <v>0</v>
      </c>
      <c r="O18" s="70">
        <f t="shared" ref="O18" si="22">+O28+O38</f>
        <v>0</v>
      </c>
      <c r="P18" s="31">
        <f>+N18+O18</f>
        <v>0</v>
      </c>
      <c r="Q18" s="70">
        <f t="shared" ref="Q18" si="23">+Q28+Q38</f>
        <v>0</v>
      </c>
      <c r="R18" s="31">
        <f>+P18+Q18</f>
        <v>0</v>
      </c>
      <c r="S18" s="70">
        <f t="shared" ref="S18" si="24">+S28+S38</f>
        <v>0</v>
      </c>
      <c r="T18" s="31">
        <f>+R18+S18</f>
        <v>0</v>
      </c>
      <c r="U18" s="70">
        <f t="shared" ref="U18" si="25">+U28+U38</f>
        <v>0</v>
      </c>
      <c r="V18" s="31">
        <f>+T18+U18</f>
        <v>0</v>
      </c>
      <c r="W18" s="70">
        <f t="shared" ref="W18" si="26">+W28+W38</f>
        <v>0</v>
      </c>
      <c r="X18" s="31">
        <f>+V18+W18</f>
        <v>0</v>
      </c>
      <c r="Y18" s="70">
        <f t="shared" ref="Y18" si="27">+Y28+Y38</f>
        <v>0</v>
      </c>
      <c r="Z18" s="31">
        <f>+X18+Y18</f>
        <v>0</v>
      </c>
      <c r="AA18" s="70">
        <f t="shared" ref="AA18" si="28">+AA28+AA38</f>
        <v>0</v>
      </c>
      <c r="AB18" s="31">
        <f>+Z18+AA18</f>
        <v>0</v>
      </c>
      <c r="AC18" s="70">
        <f t="shared" ref="AC18" si="29">+AC28+AC38</f>
        <v>0</v>
      </c>
      <c r="AD18" s="31">
        <f>+AB18+AC18</f>
        <v>0</v>
      </c>
      <c r="AE18" s="70">
        <f t="shared" ref="AE18" si="30">+AE28+AE38</f>
        <v>0</v>
      </c>
      <c r="AF18" s="31">
        <f>+AD18+AE18</f>
        <v>0</v>
      </c>
      <c r="AG18" s="70">
        <f t="shared" ref="AG18" si="31">+AG28+AG38</f>
        <v>0</v>
      </c>
      <c r="AH18" s="31">
        <f>+AF18+AG18</f>
        <v>0</v>
      </c>
      <c r="AI18" s="71"/>
      <c r="AJ18" s="272"/>
      <c r="AK18" s="275"/>
      <c r="AL18" s="234"/>
    </row>
    <row r="19" spans="1:40" ht="13.5" thickTop="1" x14ac:dyDescent="0.2"/>
    <row r="20" spans="1:40" s="50" customFormat="1" ht="21" thickBot="1" x14ac:dyDescent="0.35">
      <c r="A20" s="72" t="s">
        <v>88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</row>
    <row r="21" spans="1:40" s="52" customFormat="1" ht="22.9" customHeight="1" thickTop="1" x14ac:dyDescent="0.25">
      <c r="A21" s="279" t="s">
        <v>51</v>
      </c>
      <c r="B21" s="279" t="s">
        <v>37</v>
      </c>
      <c r="C21" s="279" t="s">
        <v>1</v>
      </c>
      <c r="D21" s="281" t="s">
        <v>2</v>
      </c>
      <c r="E21" s="277" t="s">
        <v>32</v>
      </c>
      <c r="F21" s="277" t="s">
        <v>40</v>
      </c>
      <c r="G21" s="277" t="s">
        <v>33</v>
      </c>
      <c r="H21" s="277" t="s">
        <v>41</v>
      </c>
      <c r="I21" s="277" t="s">
        <v>136</v>
      </c>
      <c r="J21" s="281" t="s">
        <v>3</v>
      </c>
      <c r="K21" s="281" t="s">
        <v>28</v>
      </c>
      <c r="L21" s="281" t="s">
        <v>4</v>
      </c>
      <c r="M21" s="281" t="s">
        <v>5</v>
      </c>
      <c r="N21" s="279" t="s">
        <v>6</v>
      </c>
      <c r="O21" s="281" t="s">
        <v>7</v>
      </c>
      <c r="P21" s="281" t="s">
        <v>8</v>
      </c>
      <c r="Q21" s="281" t="s">
        <v>9</v>
      </c>
      <c r="R21" s="281" t="s">
        <v>10</v>
      </c>
      <c r="S21" s="281" t="s">
        <v>11</v>
      </c>
      <c r="T21" s="279" t="s">
        <v>12</v>
      </c>
      <c r="U21" s="279" t="s">
        <v>13</v>
      </c>
      <c r="V21" s="281" t="s">
        <v>14</v>
      </c>
      <c r="W21" s="285" t="s">
        <v>15</v>
      </c>
      <c r="X21" s="281" t="s">
        <v>16</v>
      </c>
      <c r="Y21" s="281" t="s">
        <v>17</v>
      </c>
      <c r="Z21" s="281" t="s">
        <v>18</v>
      </c>
      <c r="AA21" s="281" t="s">
        <v>19</v>
      </c>
      <c r="AB21" s="281" t="s">
        <v>20</v>
      </c>
      <c r="AC21" s="281" t="s">
        <v>21</v>
      </c>
      <c r="AD21" s="281" t="s">
        <v>22</v>
      </c>
      <c r="AE21" s="279" t="s">
        <v>23</v>
      </c>
      <c r="AF21" s="281" t="s">
        <v>24</v>
      </c>
      <c r="AG21" s="281" t="s">
        <v>25</v>
      </c>
      <c r="AH21" s="277" t="s">
        <v>137</v>
      </c>
      <c r="AI21" s="281" t="s">
        <v>26</v>
      </c>
      <c r="AJ21" s="281" t="s">
        <v>27</v>
      </c>
      <c r="AK21" s="277" t="s">
        <v>60</v>
      </c>
      <c r="AL21" s="277" t="s">
        <v>59</v>
      </c>
    </row>
    <row r="22" spans="1:40" s="52" customFormat="1" ht="22.9" customHeight="1" thickBot="1" x14ac:dyDescent="0.3">
      <c r="A22" s="287"/>
      <c r="B22" s="287"/>
      <c r="C22" s="287"/>
      <c r="D22" s="283"/>
      <c r="E22" s="278"/>
      <c r="F22" s="278"/>
      <c r="G22" s="278"/>
      <c r="H22" s="278"/>
      <c r="I22" s="278"/>
      <c r="J22" s="283"/>
      <c r="K22" s="288"/>
      <c r="L22" s="283"/>
      <c r="M22" s="283"/>
      <c r="N22" s="287"/>
      <c r="O22" s="283"/>
      <c r="P22" s="283"/>
      <c r="Q22" s="283"/>
      <c r="R22" s="282"/>
      <c r="S22" s="283"/>
      <c r="T22" s="280"/>
      <c r="U22" s="280"/>
      <c r="V22" s="282"/>
      <c r="W22" s="286"/>
      <c r="X22" s="283"/>
      <c r="Y22" s="282"/>
      <c r="Z22" s="282"/>
      <c r="AA22" s="282"/>
      <c r="AB22" s="282"/>
      <c r="AC22" s="282"/>
      <c r="AD22" s="282"/>
      <c r="AE22" s="280"/>
      <c r="AF22" s="282"/>
      <c r="AG22" s="283"/>
      <c r="AH22" s="278">
        <v>2018</v>
      </c>
      <c r="AI22" s="283"/>
      <c r="AJ22" s="284"/>
      <c r="AK22" s="278"/>
      <c r="AL22" s="278"/>
    </row>
    <row r="23" spans="1:40" s="52" customFormat="1" ht="22.9" customHeight="1" thickTop="1" x14ac:dyDescent="0.25">
      <c r="A23" s="221" t="s">
        <v>90</v>
      </c>
      <c r="B23" s="149" t="s">
        <v>98</v>
      </c>
      <c r="C23" s="134" t="s">
        <v>118</v>
      </c>
      <c r="D23" s="131" t="s">
        <v>65</v>
      </c>
      <c r="E23" s="145" t="s">
        <v>61</v>
      </c>
      <c r="F23" s="137" t="s">
        <v>133</v>
      </c>
      <c r="G23" s="145" t="s">
        <v>48</v>
      </c>
      <c r="H23" s="145" t="s">
        <v>68</v>
      </c>
      <c r="I23" s="264">
        <f>+K24</f>
        <v>0.85656608584785376</v>
      </c>
      <c r="J23" s="267" t="s">
        <v>62</v>
      </c>
      <c r="K23" s="53" t="s">
        <v>43</v>
      </c>
      <c r="L23" s="21" t="s">
        <v>43</v>
      </c>
      <c r="M23" s="21" t="s">
        <v>43</v>
      </c>
      <c r="N23" s="33" t="s">
        <v>43</v>
      </c>
      <c r="O23" s="21" t="s">
        <v>43</v>
      </c>
      <c r="P23" s="54" t="s">
        <v>43</v>
      </c>
      <c r="Q23" s="21" t="s">
        <v>43</v>
      </c>
      <c r="R23" s="54" t="s">
        <v>43</v>
      </c>
      <c r="S23" s="21" t="s">
        <v>43</v>
      </c>
      <c r="T23" s="54" t="s">
        <v>43</v>
      </c>
      <c r="U23" s="21" t="s">
        <v>43</v>
      </c>
      <c r="V23" s="54" t="s">
        <v>43</v>
      </c>
      <c r="W23" s="21" t="s">
        <v>43</v>
      </c>
      <c r="X23" s="54" t="s">
        <v>43</v>
      </c>
      <c r="Y23" s="21" t="s">
        <v>43</v>
      </c>
      <c r="Z23" s="54" t="s">
        <v>43</v>
      </c>
      <c r="AA23" s="21" t="s">
        <v>43</v>
      </c>
      <c r="AB23" s="54" t="s">
        <v>43</v>
      </c>
      <c r="AC23" s="21" t="s">
        <v>43</v>
      </c>
      <c r="AD23" s="54" t="s">
        <v>43</v>
      </c>
      <c r="AE23" s="21" t="s">
        <v>43</v>
      </c>
      <c r="AF23" s="54" t="s">
        <v>43</v>
      </c>
      <c r="AG23" s="21" t="s">
        <v>43</v>
      </c>
      <c r="AH23" s="54" t="s">
        <v>43</v>
      </c>
      <c r="AI23" s="55"/>
      <c r="AJ23" s="270" t="s">
        <v>87</v>
      </c>
      <c r="AK23" s="273"/>
      <c r="AL23" s="233" t="s">
        <v>57</v>
      </c>
    </row>
    <row r="24" spans="1:40" s="52" customFormat="1" ht="22.9" customHeight="1" x14ac:dyDescent="0.25">
      <c r="A24" s="222"/>
      <c r="B24" s="150"/>
      <c r="C24" s="135"/>
      <c r="D24" s="143"/>
      <c r="E24" s="146"/>
      <c r="F24" s="138"/>
      <c r="G24" s="146"/>
      <c r="H24" s="146"/>
      <c r="I24" s="265"/>
      <c r="J24" s="268"/>
      <c r="K24" s="56">
        <f>IF(K26&lt;&gt;0,+K26/K28,0%)</f>
        <v>0.85656608584785376</v>
      </c>
      <c r="L24" s="23">
        <f>IF(L26&lt;&gt;0,+L26/L28,0%)</f>
        <v>0</v>
      </c>
      <c r="M24" s="57">
        <f>IF(M26&lt;&gt;0,+M26/M28,0%)</f>
        <v>0</v>
      </c>
      <c r="N24" s="43">
        <f t="shared" ref="N24" si="32">IF(N26&lt;&gt;0,+N26/N28,0%)</f>
        <v>0</v>
      </c>
      <c r="O24" s="57">
        <f>IF(O26&lt;&gt;0,ROUND(+O26/O28,4),0%)</f>
        <v>0</v>
      </c>
      <c r="P24" s="58">
        <f t="shared" ref="P24" si="33">IF(P26&lt;&gt;0,+P26/P28,0%)</f>
        <v>0</v>
      </c>
      <c r="Q24" s="59">
        <f>IF(Q26&lt;&gt;0,ROUND(+Q26/Q28,4),0%)</f>
        <v>0</v>
      </c>
      <c r="R24" s="58">
        <f t="shared" ref="R24" si="34">IF(R26&lt;&gt;0,+R26/R28,0%)</f>
        <v>0</v>
      </c>
      <c r="S24" s="59">
        <f>IF(S26&lt;&gt;0,ROUND(+S26/S28,4),0%)</f>
        <v>0</v>
      </c>
      <c r="T24" s="58">
        <f t="shared" ref="T24" si="35">IF(T26&lt;&gt;0,+T26/T28,0%)</f>
        <v>0</v>
      </c>
      <c r="U24" s="59">
        <f>IF(U26&lt;&gt;0,ROUND(+U26/U28,4),0%)</f>
        <v>0</v>
      </c>
      <c r="V24" s="58">
        <f t="shared" ref="V24" si="36">IF(V26&lt;&gt;0,+V26/V28,0%)</f>
        <v>0</v>
      </c>
      <c r="W24" s="59">
        <f>IF(W26&lt;&gt;0,ROUND(+W26/W28,4),0%)</f>
        <v>0</v>
      </c>
      <c r="X24" s="58">
        <f t="shared" ref="X24" si="37">IF(X26&lt;&gt;0,+X26/X28,0%)</f>
        <v>0</v>
      </c>
      <c r="Y24" s="60">
        <f>IF(Y26&lt;&gt;0,ROUND(+Y26/Y28,4),0%)</f>
        <v>0</v>
      </c>
      <c r="Z24" s="58">
        <f t="shared" ref="Z24" si="38">IF(Z26&lt;&gt;0,+Z26/Z28,0%)</f>
        <v>0</v>
      </c>
      <c r="AA24" s="59">
        <f>IF(AA26&lt;&gt;0,ROUND(+AA26/AA28,4),0%)</f>
        <v>0</v>
      </c>
      <c r="AB24" s="58">
        <f t="shared" ref="AB24" si="39">IF(AB26&lt;&gt;0,+AB26/AB28,0%)</f>
        <v>0</v>
      </c>
      <c r="AC24" s="59">
        <f>IF(AC26&lt;&gt;0,ROUND(+AC26/AC28,4),0%)</f>
        <v>0</v>
      </c>
      <c r="AD24" s="58">
        <f t="shared" ref="AD24" si="40">IF(AD26&lt;&gt;0,+AD26/AD28,0%)</f>
        <v>0</v>
      </c>
      <c r="AE24" s="59">
        <f>IF(AE26&lt;&gt;0,ROUND(+AE26/AE28,4),0%)</f>
        <v>0</v>
      </c>
      <c r="AF24" s="58">
        <f t="shared" ref="AF24" si="41">IF(AF26&lt;&gt;0,+AF26/AF28,0%)</f>
        <v>0</v>
      </c>
      <c r="AG24" s="59">
        <f>IF(AG26&lt;&gt;0,ROUND(+AG26/AG28,4),0%)</f>
        <v>0</v>
      </c>
      <c r="AH24" s="58">
        <f>IF(AH26&lt;&gt;0,+AH26/AH28,0%)</f>
        <v>0</v>
      </c>
      <c r="AI24" s="61"/>
      <c r="AJ24" s="271"/>
      <c r="AK24" s="274"/>
      <c r="AL24" s="230"/>
    </row>
    <row r="25" spans="1:40" s="52" customFormat="1" ht="22.9" customHeight="1" thickBot="1" x14ac:dyDescent="0.3">
      <c r="A25" s="222"/>
      <c r="B25" s="150"/>
      <c r="C25" s="135"/>
      <c r="D25" s="143"/>
      <c r="E25" s="146"/>
      <c r="F25" s="138"/>
      <c r="G25" s="146"/>
      <c r="H25" s="146"/>
      <c r="I25" s="265"/>
      <c r="J25" s="269"/>
      <c r="K25" s="63"/>
      <c r="L25" s="25" t="s">
        <v>44</v>
      </c>
      <c r="M25" s="25" t="s">
        <v>44</v>
      </c>
      <c r="N25" s="36" t="s">
        <v>44</v>
      </c>
      <c r="O25" s="25" t="s">
        <v>44</v>
      </c>
      <c r="P25" s="64" t="s">
        <v>44</v>
      </c>
      <c r="Q25" s="25" t="s">
        <v>44</v>
      </c>
      <c r="R25" s="64" t="s">
        <v>44</v>
      </c>
      <c r="S25" s="25" t="s">
        <v>44</v>
      </c>
      <c r="T25" s="64" t="s">
        <v>44</v>
      </c>
      <c r="U25" s="25" t="s">
        <v>44</v>
      </c>
      <c r="V25" s="64" t="s">
        <v>44</v>
      </c>
      <c r="W25" s="25" t="s">
        <v>44</v>
      </c>
      <c r="X25" s="64" t="s">
        <v>44</v>
      </c>
      <c r="Y25" s="25" t="s">
        <v>44</v>
      </c>
      <c r="Z25" s="64" t="s">
        <v>44</v>
      </c>
      <c r="AA25" s="25" t="s">
        <v>44</v>
      </c>
      <c r="AB25" s="64" t="s">
        <v>44</v>
      </c>
      <c r="AC25" s="25" t="s">
        <v>44</v>
      </c>
      <c r="AD25" s="64" t="s">
        <v>44</v>
      </c>
      <c r="AE25" s="25" t="s">
        <v>44</v>
      </c>
      <c r="AF25" s="64" t="s">
        <v>44</v>
      </c>
      <c r="AG25" s="25" t="s">
        <v>44</v>
      </c>
      <c r="AH25" s="64" t="s">
        <v>44</v>
      </c>
      <c r="AI25" s="61"/>
      <c r="AJ25" s="271"/>
      <c r="AK25" s="274"/>
      <c r="AL25" s="230"/>
    </row>
    <row r="26" spans="1:40" s="52" customFormat="1" ht="22.9" customHeight="1" thickTop="1" x14ac:dyDescent="0.25">
      <c r="A26" s="222"/>
      <c r="B26" s="150"/>
      <c r="C26" s="135"/>
      <c r="D26" s="143"/>
      <c r="E26" s="146"/>
      <c r="F26" s="138"/>
      <c r="G26" s="146"/>
      <c r="H26" s="146"/>
      <c r="I26" s="265"/>
      <c r="J26" s="268" t="s">
        <v>42</v>
      </c>
      <c r="K26" s="65">
        <v>16124</v>
      </c>
      <c r="L26" s="66"/>
      <c r="M26" s="66"/>
      <c r="N26" s="27">
        <f>SUM(L26:M26)</f>
        <v>0</v>
      </c>
      <c r="O26" s="66"/>
      <c r="P26" s="27">
        <f>SUM(N26:O26)</f>
        <v>0</v>
      </c>
      <c r="Q26" s="66"/>
      <c r="R26" s="27">
        <f>SUM(P26:Q26)</f>
        <v>0</v>
      </c>
      <c r="S26" s="66"/>
      <c r="T26" s="27">
        <f>SUM(R26:S26)</f>
        <v>0</v>
      </c>
      <c r="U26" s="66"/>
      <c r="V26" s="27">
        <f>SUM(T26:U26)</f>
        <v>0</v>
      </c>
      <c r="W26" s="66"/>
      <c r="X26" s="27">
        <f>SUM(V26:W26)</f>
        <v>0</v>
      </c>
      <c r="Y26" s="66"/>
      <c r="Z26" s="27">
        <f>SUM(X26:Y26)</f>
        <v>0</v>
      </c>
      <c r="AA26" s="66"/>
      <c r="AB26" s="27">
        <f>SUM(Z26:AA26)</f>
        <v>0</v>
      </c>
      <c r="AC26" s="66"/>
      <c r="AD26" s="27">
        <f>SUM(AB26:AC26)</f>
        <v>0</v>
      </c>
      <c r="AE26" s="66"/>
      <c r="AF26" s="27">
        <f>SUM(AD26:AE26)</f>
        <v>0</v>
      </c>
      <c r="AG26" s="66"/>
      <c r="AH26" s="27">
        <f>SUM(AF26:AG26)</f>
        <v>0</v>
      </c>
      <c r="AI26" s="67">
        <f>+AH24/K24</f>
        <v>0</v>
      </c>
      <c r="AJ26" s="271"/>
      <c r="AK26" s="274"/>
      <c r="AL26" s="230"/>
    </row>
    <row r="27" spans="1:40" s="52" customFormat="1" ht="22.9" customHeight="1" x14ac:dyDescent="0.25">
      <c r="A27" s="222"/>
      <c r="B27" s="150"/>
      <c r="C27" s="135"/>
      <c r="D27" s="143"/>
      <c r="E27" s="146"/>
      <c r="F27" s="138"/>
      <c r="G27" s="146"/>
      <c r="H27" s="146"/>
      <c r="I27" s="265"/>
      <c r="J27" s="276"/>
      <c r="K27" s="63" t="s">
        <v>45</v>
      </c>
      <c r="L27" s="29" t="s">
        <v>45</v>
      </c>
      <c r="M27" s="29" t="s">
        <v>45</v>
      </c>
      <c r="N27" s="38" t="s">
        <v>45</v>
      </c>
      <c r="O27" s="29" t="s">
        <v>45</v>
      </c>
      <c r="P27" s="38" t="s">
        <v>45</v>
      </c>
      <c r="Q27" s="29" t="s">
        <v>45</v>
      </c>
      <c r="R27" s="38" t="s">
        <v>45</v>
      </c>
      <c r="S27" s="29" t="s">
        <v>45</v>
      </c>
      <c r="T27" s="38" t="s">
        <v>45</v>
      </c>
      <c r="U27" s="29" t="s">
        <v>45</v>
      </c>
      <c r="V27" s="38" t="s">
        <v>45</v>
      </c>
      <c r="W27" s="29" t="s">
        <v>45</v>
      </c>
      <c r="X27" s="38" t="s">
        <v>45</v>
      </c>
      <c r="Y27" s="29" t="s">
        <v>45</v>
      </c>
      <c r="Z27" s="38" t="s">
        <v>45</v>
      </c>
      <c r="AA27" s="29" t="s">
        <v>45</v>
      </c>
      <c r="AB27" s="38" t="s">
        <v>45</v>
      </c>
      <c r="AC27" s="29" t="s">
        <v>45</v>
      </c>
      <c r="AD27" s="38" t="s">
        <v>45</v>
      </c>
      <c r="AE27" s="29" t="s">
        <v>45</v>
      </c>
      <c r="AF27" s="38" t="s">
        <v>45</v>
      </c>
      <c r="AG27" s="29" t="s">
        <v>45</v>
      </c>
      <c r="AH27" s="38" t="s">
        <v>45</v>
      </c>
      <c r="AI27" s="61"/>
      <c r="AJ27" s="271"/>
      <c r="AK27" s="274"/>
      <c r="AL27" s="230"/>
    </row>
    <row r="28" spans="1:40" s="52" customFormat="1" ht="22.9" customHeight="1" thickBot="1" x14ac:dyDescent="0.3">
      <c r="A28" s="223"/>
      <c r="B28" s="151"/>
      <c r="C28" s="136"/>
      <c r="D28" s="144"/>
      <c r="E28" s="146"/>
      <c r="F28" s="139"/>
      <c r="G28" s="146"/>
      <c r="H28" s="146"/>
      <c r="I28" s="266"/>
      <c r="J28" s="269"/>
      <c r="K28" s="65">
        <v>18824</v>
      </c>
      <c r="L28" s="66"/>
      <c r="M28" s="66"/>
      <c r="N28" s="31">
        <f>SUM(L28:M28)</f>
        <v>0</v>
      </c>
      <c r="O28" s="66"/>
      <c r="P28" s="31">
        <f>SUM(N28:O28)</f>
        <v>0</v>
      </c>
      <c r="Q28" s="66"/>
      <c r="R28" s="31">
        <f>SUM(P28:Q28)</f>
        <v>0</v>
      </c>
      <c r="S28" s="66"/>
      <c r="T28" s="31">
        <f>SUM(R28:S28)</f>
        <v>0</v>
      </c>
      <c r="U28" s="66"/>
      <c r="V28" s="31">
        <f>SUM(T28:U28)</f>
        <v>0</v>
      </c>
      <c r="W28" s="66"/>
      <c r="X28" s="31">
        <f>SUM(V28:W28)</f>
        <v>0</v>
      </c>
      <c r="Y28" s="66"/>
      <c r="Z28" s="31">
        <f>SUM(X28:Y28)</f>
        <v>0</v>
      </c>
      <c r="AA28" s="66"/>
      <c r="AB28" s="31">
        <f>SUM(Z28:AA28)</f>
        <v>0</v>
      </c>
      <c r="AC28" s="66"/>
      <c r="AD28" s="31">
        <f>SUM(AB28:AC28)</f>
        <v>0</v>
      </c>
      <c r="AE28" s="66"/>
      <c r="AF28" s="31">
        <f>SUM(AD28:AE28)</f>
        <v>0</v>
      </c>
      <c r="AG28" s="66"/>
      <c r="AH28" s="31">
        <f>SUM(AF28:AG28)</f>
        <v>0</v>
      </c>
      <c r="AI28" s="71"/>
      <c r="AJ28" s="272"/>
      <c r="AK28" s="275"/>
      <c r="AL28" s="234"/>
      <c r="AN28" s="73"/>
    </row>
    <row r="29" spans="1:40" ht="13.5" thickTop="1" x14ac:dyDescent="0.2"/>
    <row r="30" spans="1:40" s="50" customFormat="1" ht="21" thickBot="1" x14ac:dyDescent="0.35">
      <c r="A30" s="72" t="s">
        <v>89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</row>
    <row r="31" spans="1:40" s="52" customFormat="1" ht="22.9" customHeight="1" thickTop="1" x14ac:dyDescent="0.25">
      <c r="A31" s="279" t="s">
        <v>51</v>
      </c>
      <c r="B31" s="279" t="s">
        <v>37</v>
      </c>
      <c r="C31" s="279" t="s">
        <v>1</v>
      </c>
      <c r="D31" s="281" t="s">
        <v>2</v>
      </c>
      <c r="E31" s="277" t="s">
        <v>32</v>
      </c>
      <c r="F31" s="277" t="s">
        <v>40</v>
      </c>
      <c r="G31" s="277" t="s">
        <v>33</v>
      </c>
      <c r="H31" s="277" t="s">
        <v>41</v>
      </c>
      <c r="I31" s="277" t="s">
        <v>136</v>
      </c>
      <c r="J31" s="281" t="s">
        <v>3</v>
      </c>
      <c r="K31" s="281" t="s">
        <v>28</v>
      </c>
      <c r="L31" s="281" t="s">
        <v>4</v>
      </c>
      <c r="M31" s="281" t="s">
        <v>5</v>
      </c>
      <c r="N31" s="279" t="s">
        <v>6</v>
      </c>
      <c r="O31" s="281" t="s">
        <v>7</v>
      </c>
      <c r="P31" s="281" t="s">
        <v>8</v>
      </c>
      <c r="Q31" s="281" t="s">
        <v>9</v>
      </c>
      <c r="R31" s="281" t="s">
        <v>10</v>
      </c>
      <c r="S31" s="281" t="s">
        <v>11</v>
      </c>
      <c r="T31" s="279" t="s">
        <v>12</v>
      </c>
      <c r="U31" s="279" t="s">
        <v>13</v>
      </c>
      <c r="V31" s="281" t="s">
        <v>14</v>
      </c>
      <c r="W31" s="285" t="s">
        <v>15</v>
      </c>
      <c r="X31" s="281" t="s">
        <v>16</v>
      </c>
      <c r="Y31" s="281" t="s">
        <v>17</v>
      </c>
      <c r="Z31" s="281" t="s">
        <v>18</v>
      </c>
      <c r="AA31" s="281" t="s">
        <v>19</v>
      </c>
      <c r="AB31" s="281" t="s">
        <v>20</v>
      </c>
      <c r="AC31" s="281" t="s">
        <v>21</v>
      </c>
      <c r="AD31" s="281" t="s">
        <v>22</v>
      </c>
      <c r="AE31" s="279" t="s">
        <v>23</v>
      </c>
      <c r="AF31" s="281" t="s">
        <v>24</v>
      </c>
      <c r="AG31" s="281" t="s">
        <v>25</v>
      </c>
      <c r="AH31" s="277" t="s">
        <v>137</v>
      </c>
      <c r="AI31" s="281" t="s">
        <v>26</v>
      </c>
      <c r="AJ31" s="281" t="s">
        <v>27</v>
      </c>
      <c r="AK31" s="277" t="s">
        <v>60</v>
      </c>
      <c r="AL31" s="277" t="s">
        <v>59</v>
      </c>
    </row>
    <row r="32" spans="1:40" s="52" customFormat="1" ht="22.9" customHeight="1" thickBot="1" x14ac:dyDescent="0.3">
      <c r="A32" s="287"/>
      <c r="B32" s="287"/>
      <c r="C32" s="287"/>
      <c r="D32" s="283"/>
      <c r="E32" s="278"/>
      <c r="F32" s="278"/>
      <c r="G32" s="278"/>
      <c r="H32" s="278"/>
      <c r="I32" s="278"/>
      <c r="J32" s="283"/>
      <c r="K32" s="288"/>
      <c r="L32" s="283"/>
      <c r="M32" s="283"/>
      <c r="N32" s="287"/>
      <c r="O32" s="283"/>
      <c r="P32" s="283"/>
      <c r="Q32" s="283"/>
      <c r="R32" s="282"/>
      <c r="S32" s="283"/>
      <c r="T32" s="280"/>
      <c r="U32" s="280"/>
      <c r="V32" s="282"/>
      <c r="W32" s="286"/>
      <c r="X32" s="283"/>
      <c r="Y32" s="282"/>
      <c r="Z32" s="282"/>
      <c r="AA32" s="282"/>
      <c r="AB32" s="282"/>
      <c r="AC32" s="282"/>
      <c r="AD32" s="282"/>
      <c r="AE32" s="280"/>
      <c r="AF32" s="282"/>
      <c r="AG32" s="283"/>
      <c r="AH32" s="278">
        <v>2018</v>
      </c>
      <c r="AI32" s="283"/>
      <c r="AJ32" s="284"/>
      <c r="AK32" s="278"/>
      <c r="AL32" s="278"/>
    </row>
    <row r="33" spans="1:38" s="52" customFormat="1" ht="22.9" customHeight="1" thickTop="1" x14ac:dyDescent="0.25">
      <c r="A33" s="221" t="s">
        <v>90</v>
      </c>
      <c r="B33" s="149" t="s">
        <v>98</v>
      </c>
      <c r="C33" s="134" t="s">
        <v>118</v>
      </c>
      <c r="D33" s="131" t="s">
        <v>65</v>
      </c>
      <c r="E33" s="145" t="s">
        <v>61</v>
      </c>
      <c r="F33" s="137" t="s">
        <v>133</v>
      </c>
      <c r="G33" s="145" t="s">
        <v>48</v>
      </c>
      <c r="H33" s="145" t="s">
        <v>68</v>
      </c>
      <c r="I33" s="264">
        <f>+K34</f>
        <v>0.83894058697208307</v>
      </c>
      <c r="J33" s="267" t="s">
        <v>62</v>
      </c>
      <c r="K33" s="53" t="s">
        <v>43</v>
      </c>
      <c r="L33" s="21" t="s">
        <v>43</v>
      </c>
      <c r="M33" s="21" t="s">
        <v>43</v>
      </c>
      <c r="N33" s="33" t="s">
        <v>43</v>
      </c>
      <c r="O33" s="21" t="s">
        <v>43</v>
      </c>
      <c r="P33" s="54" t="s">
        <v>43</v>
      </c>
      <c r="Q33" s="21" t="s">
        <v>43</v>
      </c>
      <c r="R33" s="54" t="s">
        <v>43</v>
      </c>
      <c r="S33" s="21" t="s">
        <v>43</v>
      </c>
      <c r="T33" s="54" t="s">
        <v>43</v>
      </c>
      <c r="U33" s="21" t="s">
        <v>43</v>
      </c>
      <c r="V33" s="54" t="s">
        <v>43</v>
      </c>
      <c r="W33" s="21" t="s">
        <v>43</v>
      </c>
      <c r="X33" s="54" t="s">
        <v>43</v>
      </c>
      <c r="Y33" s="21" t="s">
        <v>43</v>
      </c>
      <c r="Z33" s="54" t="s">
        <v>43</v>
      </c>
      <c r="AA33" s="21" t="s">
        <v>43</v>
      </c>
      <c r="AB33" s="54" t="s">
        <v>43</v>
      </c>
      <c r="AC33" s="21" t="s">
        <v>43</v>
      </c>
      <c r="AD33" s="54" t="s">
        <v>43</v>
      </c>
      <c r="AE33" s="21" t="s">
        <v>43</v>
      </c>
      <c r="AF33" s="54" t="s">
        <v>43</v>
      </c>
      <c r="AG33" s="21" t="s">
        <v>43</v>
      </c>
      <c r="AH33" s="54" t="s">
        <v>43</v>
      </c>
      <c r="AI33" s="55"/>
      <c r="AJ33" s="270" t="s">
        <v>87</v>
      </c>
      <c r="AK33" s="273"/>
      <c r="AL33" s="233" t="s">
        <v>57</v>
      </c>
    </row>
    <row r="34" spans="1:38" s="52" customFormat="1" ht="22.9" customHeight="1" x14ac:dyDescent="0.25">
      <c r="A34" s="222"/>
      <c r="B34" s="150"/>
      <c r="C34" s="135"/>
      <c r="D34" s="143"/>
      <c r="E34" s="146"/>
      <c r="F34" s="138"/>
      <c r="G34" s="146"/>
      <c r="H34" s="146"/>
      <c r="I34" s="265"/>
      <c r="J34" s="268"/>
      <c r="K34" s="56">
        <f>IF(K36&lt;&gt;0,+K36/K38,0%)</f>
        <v>0.83894058697208307</v>
      </c>
      <c r="L34" s="23">
        <f>IF(L36&lt;&gt;0,+L36/L38,0%)</f>
        <v>0</v>
      </c>
      <c r="M34" s="57">
        <f>IF(M36&lt;&gt;0,+M36/M38,0%)</f>
        <v>0</v>
      </c>
      <c r="N34" s="43">
        <f t="shared" ref="N34" si="42">IF(N36&lt;&gt;0,+N36/N38,0%)</f>
        <v>0</v>
      </c>
      <c r="O34" s="57">
        <f>IF(O36&lt;&gt;0,ROUND(+O36/O38,4),0%)</f>
        <v>0</v>
      </c>
      <c r="P34" s="58">
        <f t="shared" ref="P34" si="43">IF(P36&lt;&gt;0,+P36/P38,0%)</f>
        <v>0</v>
      </c>
      <c r="Q34" s="59">
        <f>IF(Q36&lt;&gt;0,ROUND(+Q36/Q38,4),0%)</f>
        <v>0</v>
      </c>
      <c r="R34" s="58">
        <f t="shared" ref="R34" si="44">IF(R36&lt;&gt;0,+R36/R38,0%)</f>
        <v>0</v>
      </c>
      <c r="S34" s="59">
        <f>IF(S36&lt;&gt;0,ROUND(+S36/S38,4),0%)</f>
        <v>0</v>
      </c>
      <c r="T34" s="58">
        <f t="shared" ref="T34" si="45">IF(T36&lt;&gt;0,+T36/T38,0%)</f>
        <v>0</v>
      </c>
      <c r="U34" s="59">
        <f>IF(U36&lt;&gt;0,ROUND(+U36/U38,4),0%)</f>
        <v>0</v>
      </c>
      <c r="V34" s="58">
        <f t="shared" ref="V34" si="46">IF(V36&lt;&gt;0,+V36/V38,0%)</f>
        <v>0</v>
      </c>
      <c r="W34" s="59">
        <f>IF(W36&lt;&gt;0,ROUND(+W36/W38,4),0%)</f>
        <v>0</v>
      </c>
      <c r="X34" s="58">
        <f t="shared" ref="X34" si="47">IF(X36&lt;&gt;0,+X36/X38,0%)</f>
        <v>0</v>
      </c>
      <c r="Y34" s="60">
        <f>IF(Y36&lt;&gt;0,ROUND(+Y36/Y38,4),0%)</f>
        <v>0</v>
      </c>
      <c r="Z34" s="58">
        <f t="shared" ref="Z34" si="48">IF(Z36&lt;&gt;0,+Z36/Z38,0%)</f>
        <v>0</v>
      </c>
      <c r="AA34" s="59">
        <f>IF(AA36&lt;&gt;0,ROUND(+AA36/AA38,4),0%)</f>
        <v>0</v>
      </c>
      <c r="AB34" s="58">
        <f t="shared" ref="AB34" si="49">IF(AB36&lt;&gt;0,+AB36/AB38,0%)</f>
        <v>0</v>
      </c>
      <c r="AC34" s="59">
        <f>IF(AC36&lt;&gt;0,ROUND(+AC36/AC38,4),0%)</f>
        <v>0</v>
      </c>
      <c r="AD34" s="58">
        <f t="shared" ref="AD34" si="50">IF(AD36&lt;&gt;0,+AD36/AD38,0%)</f>
        <v>0</v>
      </c>
      <c r="AE34" s="59">
        <f>IF(AE36&lt;&gt;0,ROUND(+AE36/AE38,4),0%)</f>
        <v>0</v>
      </c>
      <c r="AF34" s="58">
        <f t="shared" ref="AF34" si="51">IF(AF36&lt;&gt;0,+AF36/AF38,0%)</f>
        <v>0</v>
      </c>
      <c r="AG34" s="59">
        <f>IF(AG36&lt;&gt;0,ROUND(+AG36/AG38,4),0%)</f>
        <v>0</v>
      </c>
      <c r="AH34" s="58">
        <f>IF(AH36&lt;&gt;0,+AH36/AH38,0%)</f>
        <v>0</v>
      </c>
      <c r="AI34" s="61"/>
      <c r="AJ34" s="271"/>
      <c r="AK34" s="274"/>
      <c r="AL34" s="230"/>
    </row>
    <row r="35" spans="1:38" s="52" customFormat="1" ht="22.9" customHeight="1" thickBot="1" x14ac:dyDescent="0.3">
      <c r="A35" s="222"/>
      <c r="B35" s="150"/>
      <c r="C35" s="135"/>
      <c r="D35" s="143"/>
      <c r="E35" s="146"/>
      <c r="F35" s="138"/>
      <c r="G35" s="146"/>
      <c r="H35" s="146"/>
      <c r="I35" s="265"/>
      <c r="J35" s="269"/>
      <c r="K35" s="63"/>
      <c r="L35" s="25" t="s">
        <v>44</v>
      </c>
      <c r="M35" s="25" t="s">
        <v>44</v>
      </c>
      <c r="N35" s="36" t="s">
        <v>44</v>
      </c>
      <c r="O35" s="25" t="s">
        <v>44</v>
      </c>
      <c r="P35" s="64" t="s">
        <v>44</v>
      </c>
      <c r="Q35" s="25" t="s">
        <v>44</v>
      </c>
      <c r="R35" s="64" t="s">
        <v>44</v>
      </c>
      <c r="S35" s="25" t="s">
        <v>44</v>
      </c>
      <c r="T35" s="64" t="s">
        <v>44</v>
      </c>
      <c r="U35" s="25" t="s">
        <v>44</v>
      </c>
      <c r="V35" s="64" t="s">
        <v>44</v>
      </c>
      <c r="W35" s="25" t="s">
        <v>44</v>
      </c>
      <c r="X35" s="64" t="s">
        <v>44</v>
      </c>
      <c r="Y35" s="25" t="s">
        <v>44</v>
      </c>
      <c r="Z35" s="64" t="s">
        <v>44</v>
      </c>
      <c r="AA35" s="25" t="s">
        <v>44</v>
      </c>
      <c r="AB35" s="64" t="s">
        <v>44</v>
      </c>
      <c r="AC35" s="25" t="s">
        <v>44</v>
      </c>
      <c r="AD35" s="64" t="s">
        <v>44</v>
      </c>
      <c r="AE35" s="25" t="s">
        <v>44</v>
      </c>
      <c r="AF35" s="64" t="s">
        <v>44</v>
      </c>
      <c r="AG35" s="25" t="s">
        <v>44</v>
      </c>
      <c r="AH35" s="64" t="s">
        <v>44</v>
      </c>
      <c r="AI35" s="61"/>
      <c r="AJ35" s="271"/>
      <c r="AK35" s="274"/>
      <c r="AL35" s="230"/>
    </row>
    <row r="36" spans="1:38" s="52" customFormat="1" ht="22.9" customHeight="1" thickTop="1" x14ac:dyDescent="0.25">
      <c r="A36" s="222"/>
      <c r="B36" s="150"/>
      <c r="C36" s="135"/>
      <c r="D36" s="143"/>
      <c r="E36" s="146"/>
      <c r="F36" s="138"/>
      <c r="G36" s="146"/>
      <c r="H36" s="146"/>
      <c r="I36" s="265"/>
      <c r="J36" s="268" t="s">
        <v>42</v>
      </c>
      <c r="K36" s="65">
        <v>9376</v>
      </c>
      <c r="L36" s="66"/>
      <c r="M36" s="66"/>
      <c r="N36" s="27">
        <f>SUM(L36:M36)</f>
        <v>0</v>
      </c>
      <c r="O36" s="66"/>
      <c r="P36" s="27">
        <f>SUM(N36:O36)</f>
        <v>0</v>
      </c>
      <c r="Q36" s="66"/>
      <c r="R36" s="27">
        <f>SUM(P36:Q36)</f>
        <v>0</v>
      </c>
      <c r="S36" s="66"/>
      <c r="T36" s="27">
        <f>SUM(R36:S36)</f>
        <v>0</v>
      </c>
      <c r="U36" s="66"/>
      <c r="V36" s="27">
        <f>SUM(T36:U36)</f>
        <v>0</v>
      </c>
      <c r="W36" s="66"/>
      <c r="X36" s="27">
        <f>SUM(V36:W36)</f>
        <v>0</v>
      </c>
      <c r="Y36" s="66"/>
      <c r="Z36" s="27">
        <f>SUM(X36:Y36)</f>
        <v>0</v>
      </c>
      <c r="AA36" s="66"/>
      <c r="AB36" s="27">
        <f>SUM(Z36:AA36)</f>
        <v>0</v>
      </c>
      <c r="AC36" s="66"/>
      <c r="AD36" s="27">
        <f>SUM(AB36:AC36)</f>
        <v>0</v>
      </c>
      <c r="AE36" s="66"/>
      <c r="AF36" s="27">
        <f>SUM(AD36:AE36)</f>
        <v>0</v>
      </c>
      <c r="AG36" s="66"/>
      <c r="AH36" s="27">
        <f>SUM(AF36:AG36)</f>
        <v>0</v>
      </c>
      <c r="AI36" s="67">
        <f>+AH34/K34</f>
        <v>0</v>
      </c>
      <c r="AJ36" s="271"/>
      <c r="AK36" s="274"/>
      <c r="AL36" s="230"/>
    </row>
    <row r="37" spans="1:38" s="52" customFormat="1" ht="22.9" customHeight="1" x14ac:dyDescent="0.25">
      <c r="A37" s="222"/>
      <c r="B37" s="150"/>
      <c r="C37" s="135"/>
      <c r="D37" s="143"/>
      <c r="E37" s="146"/>
      <c r="F37" s="138"/>
      <c r="G37" s="146"/>
      <c r="H37" s="146"/>
      <c r="I37" s="265"/>
      <c r="J37" s="276"/>
      <c r="K37" s="63" t="s">
        <v>45</v>
      </c>
      <c r="L37" s="29" t="s">
        <v>45</v>
      </c>
      <c r="M37" s="29" t="s">
        <v>45</v>
      </c>
      <c r="N37" s="38" t="s">
        <v>45</v>
      </c>
      <c r="O37" s="29" t="s">
        <v>45</v>
      </c>
      <c r="P37" s="38" t="s">
        <v>45</v>
      </c>
      <c r="Q37" s="29" t="s">
        <v>45</v>
      </c>
      <c r="R37" s="38" t="s">
        <v>45</v>
      </c>
      <c r="S37" s="29" t="s">
        <v>45</v>
      </c>
      <c r="T37" s="38" t="s">
        <v>45</v>
      </c>
      <c r="U37" s="29" t="s">
        <v>45</v>
      </c>
      <c r="V37" s="38" t="s">
        <v>45</v>
      </c>
      <c r="W37" s="29" t="s">
        <v>45</v>
      </c>
      <c r="X37" s="38" t="s">
        <v>45</v>
      </c>
      <c r="Y37" s="29" t="s">
        <v>45</v>
      </c>
      <c r="Z37" s="38" t="s">
        <v>45</v>
      </c>
      <c r="AA37" s="29" t="s">
        <v>45</v>
      </c>
      <c r="AB37" s="38" t="s">
        <v>45</v>
      </c>
      <c r="AC37" s="29" t="s">
        <v>45</v>
      </c>
      <c r="AD37" s="38" t="s">
        <v>45</v>
      </c>
      <c r="AE37" s="29" t="s">
        <v>45</v>
      </c>
      <c r="AF37" s="38" t="s">
        <v>45</v>
      </c>
      <c r="AG37" s="29" t="s">
        <v>45</v>
      </c>
      <c r="AH37" s="38" t="s">
        <v>45</v>
      </c>
      <c r="AI37" s="61"/>
      <c r="AJ37" s="271"/>
      <c r="AK37" s="274"/>
      <c r="AL37" s="230"/>
    </row>
    <row r="38" spans="1:38" s="52" customFormat="1" ht="22.9" customHeight="1" thickBot="1" x14ac:dyDescent="0.3">
      <c r="A38" s="223"/>
      <c r="B38" s="151"/>
      <c r="C38" s="136"/>
      <c r="D38" s="144"/>
      <c r="E38" s="146"/>
      <c r="F38" s="139"/>
      <c r="G38" s="146"/>
      <c r="H38" s="146"/>
      <c r="I38" s="266"/>
      <c r="J38" s="269"/>
      <c r="K38" s="65">
        <v>11176</v>
      </c>
      <c r="L38" s="66"/>
      <c r="M38" s="66"/>
      <c r="N38" s="31">
        <f>SUM(L38:M38)</f>
        <v>0</v>
      </c>
      <c r="O38" s="66"/>
      <c r="P38" s="31">
        <f>SUM(N38:O38)</f>
        <v>0</v>
      </c>
      <c r="Q38" s="66"/>
      <c r="R38" s="31">
        <f>SUM(P38:Q38)</f>
        <v>0</v>
      </c>
      <c r="S38" s="66"/>
      <c r="T38" s="31">
        <f>SUM(R38:S38)</f>
        <v>0</v>
      </c>
      <c r="U38" s="66"/>
      <c r="V38" s="31">
        <f>SUM(T38:U38)</f>
        <v>0</v>
      </c>
      <c r="W38" s="66"/>
      <c r="X38" s="31">
        <f>SUM(V38:W38)</f>
        <v>0</v>
      </c>
      <c r="Y38" s="66"/>
      <c r="Z38" s="31">
        <f>SUM(X38:Y38)</f>
        <v>0</v>
      </c>
      <c r="AA38" s="66"/>
      <c r="AB38" s="31">
        <f>SUM(Z38:AA38)</f>
        <v>0</v>
      </c>
      <c r="AC38" s="66"/>
      <c r="AD38" s="31">
        <f>SUM(AB38:AC38)</f>
        <v>0</v>
      </c>
      <c r="AE38" s="66"/>
      <c r="AF38" s="31">
        <f>SUM(AD38:AE38)</f>
        <v>0</v>
      </c>
      <c r="AG38" s="66"/>
      <c r="AH38" s="31">
        <f>SUM(AF38:AG38)</f>
        <v>0</v>
      </c>
      <c r="AI38" s="71"/>
      <c r="AJ38" s="272"/>
      <c r="AK38" s="275"/>
      <c r="AL38" s="234"/>
    </row>
    <row r="39" spans="1:38" ht="13.5" thickTop="1" x14ac:dyDescent="0.2"/>
  </sheetData>
  <mergeCells count="165">
    <mergeCell ref="B1:D5"/>
    <mergeCell ref="E1:M5"/>
    <mergeCell ref="N1:Q1"/>
    <mergeCell ref="N2:Q2"/>
    <mergeCell ref="N3:Q3"/>
    <mergeCell ref="N5:Q5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AJ23:AJ28"/>
    <mergeCell ref="AK23:AK28"/>
    <mergeCell ref="AL23:AL28"/>
    <mergeCell ref="J26:J28"/>
    <mergeCell ref="AJ21:AJ22"/>
    <mergeCell ref="AK21:AK22"/>
    <mergeCell ref="AL21:AL22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A31:A32"/>
    <mergeCell ref="B31:B32"/>
    <mergeCell ref="C31:C32"/>
    <mergeCell ref="D31:D32"/>
    <mergeCell ref="E31:E32"/>
    <mergeCell ref="F31:F32"/>
    <mergeCell ref="H23:H28"/>
    <mergeCell ref="I23:I28"/>
    <mergeCell ref="J23:J25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I33:I38"/>
    <mergeCell ref="J33:J35"/>
    <mergeCell ref="AJ33:AJ38"/>
    <mergeCell ref="AK33:AK38"/>
    <mergeCell ref="AL33:AL38"/>
    <mergeCell ref="J36:J38"/>
    <mergeCell ref="AK31:AK32"/>
    <mergeCell ref="AL31:AL32"/>
    <mergeCell ref="A33:A38"/>
    <mergeCell ref="B33:B38"/>
    <mergeCell ref="C33:C38"/>
    <mergeCell ref="D33:D38"/>
    <mergeCell ref="E33:E38"/>
    <mergeCell ref="F33:F38"/>
    <mergeCell ref="G33:G38"/>
    <mergeCell ref="H33:H38"/>
    <mergeCell ref="AE31:AE32"/>
    <mergeCell ref="AF31:AF32"/>
    <mergeCell ref="AG31:AG32"/>
    <mergeCell ref="AH31:AH32"/>
    <mergeCell ref="AI31:AI32"/>
    <mergeCell ref="AJ31:AJ32"/>
    <mergeCell ref="Y31:Y32"/>
    <mergeCell ref="Z31:Z32"/>
  </mergeCells>
  <conditionalFormatting sqref="K26:K28">
    <cfRule type="expression" dxfId="19" priority="4">
      <formula>#REF!=0</formula>
    </cfRule>
  </conditionalFormatting>
  <conditionalFormatting sqref="K36">
    <cfRule type="expression" dxfId="18" priority="3">
      <formula>#REF!=0</formula>
    </cfRule>
  </conditionalFormatting>
  <conditionalFormatting sqref="K37">
    <cfRule type="expression" dxfId="17" priority="2">
      <formula>#REF!=0</formula>
    </cfRule>
  </conditionalFormatting>
  <conditionalFormatting sqref="K38">
    <cfRule type="expression" dxfId="16" priority="1">
      <formula>#REF!=0</formula>
    </cfRule>
  </conditionalFormatting>
  <pageMargins left="0.7" right="0.7" top="0.75" bottom="0.75" header="0.3" footer="0.3"/>
  <pageSetup paperSize="28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4B9A-A892-4A45-AAA8-563A021D2101}">
  <dimension ref="A1:AN37"/>
  <sheetViews>
    <sheetView topLeftCell="A8" workbookViewId="0">
      <pane xSplit="3" ySplit="5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F31" sqref="F31:F36"/>
    </sheetView>
  </sheetViews>
  <sheetFormatPr baseColWidth="10" defaultRowHeight="12.75" x14ac:dyDescent="0.2"/>
  <cols>
    <col min="2" max="4" width="22.28515625" customWidth="1"/>
    <col min="10" max="10" width="18.42578125" customWidth="1"/>
  </cols>
  <sheetData>
    <row r="1" spans="1:39" s="10" customFormat="1" ht="12.75" customHeight="1" x14ac:dyDescent="0.25">
      <c r="B1" s="155"/>
      <c r="C1" s="155"/>
      <c r="D1" s="156"/>
      <c r="E1" s="173" t="s">
        <v>0</v>
      </c>
      <c r="F1" s="179"/>
      <c r="G1" s="179"/>
      <c r="H1" s="179"/>
      <c r="I1" s="179"/>
      <c r="J1" s="179"/>
      <c r="K1" s="179"/>
      <c r="L1" s="179"/>
      <c r="M1" s="180"/>
      <c r="N1" s="173" t="s">
        <v>38</v>
      </c>
      <c r="O1" s="174"/>
      <c r="P1" s="174"/>
      <c r="Q1" s="175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s="10" customFormat="1" ht="12.75" customHeight="1" x14ac:dyDescent="0.25">
      <c r="B2" s="157"/>
      <c r="C2" s="157"/>
      <c r="D2" s="158"/>
      <c r="E2" s="176"/>
      <c r="F2" s="181"/>
      <c r="G2" s="181"/>
      <c r="H2" s="181"/>
      <c r="I2" s="181"/>
      <c r="J2" s="181"/>
      <c r="K2" s="181"/>
      <c r="L2" s="181"/>
      <c r="M2" s="182"/>
      <c r="N2" s="186" t="s">
        <v>39</v>
      </c>
      <c r="O2" s="187"/>
      <c r="P2" s="187"/>
      <c r="Q2" s="18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9" s="10" customFormat="1" ht="15.75" customHeight="1" x14ac:dyDescent="0.25">
      <c r="B3" s="157"/>
      <c r="C3" s="157"/>
      <c r="D3" s="158"/>
      <c r="E3" s="176"/>
      <c r="F3" s="181"/>
      <c r="G3" s="181"/>
      <c r="H3" s="181"/>
      <c r="I3" s="181"/>
      <c r="J3" s="181"/>
      <c r="K3" s="181"/>
      <c r="L3" s="181"/>
      <c r="M3" s="182"/>
      <c r="N3" s="176"/>
      <c r="O3" s="177"/>
      <c r="P3" s="177"/>
      <c r="Q3" s="17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9" s="10" customFormat="1" ht="12.75" customHeight="1" x14ac:dyDescent="0.25">
      <c r="B4" s="157"/>
      <c r="C4" s="157"/>
      <c r="D4" s="158"/>
      <c r="E4" s="176"/>
      <c r="F4" s="181"/>
      <c r="G4" s="181"/>
      <c r="H4" s="181"/>
      <c r="I4" s="181"/>
      <c r="J4" s="181"/>
      <c r="K4" s="181"/>
      <c r="L4" s="181"/>
      <c r="M4" s="182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9" s="10" customFormat="1" ht="20.25" customHeight="1" x14ac:dyDescent="0.25">
      <c r="B5" s="159"/>
      <c r="C5" s="159"/>
      <c r="D5" s="160"/>
      <c r="E5" s="183"/>
      <c r="F5" s="184"/>
      <c r="G5" s="184"/>
      <c r="H5" s="184"/>
      <c r="I5" s="184"/>
      <c r="J5" s="184"/>
      <c r="K5" s="184"/>
      <c r="L5" s="184"/>
      <c r="M5" s="185"/>
      <c r="N5" s="190" t="s">
        <v>34</v>
      </c>
      <c r="O5" s="191"/>
      <c r="P5" s="191"/>
      <c r="Q5" s="192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9" s="3" customFormat="1" ht="15.75" customHeight="1" x14ac:dyDescent="0.2">
      <c r="B6" s="167" t="s">
        <v>29</v>
      </c>
      <c r="C6" s="168"/>
      <c r="D6" s="169"/>
      <c r="E6" s="170" t="s">
        <v>36</v>
      </c>
      <c r="F6" s="171"/>
      <c r="G6" s="171"/>
      <c r="H6" s="171"/>
      <c r="I6" s="171"/>
      <c r="J6" s="171"/>
      <c r="K6" s="171"/>
      <c r="L6" s="171"/>
      <c r="M6" s="172"/>
      <c r="N6" s="170" t="s">
        <v>35</v>
      </c>
      <c r="O6" s="171"/>
      <c r="P6" s="171"/>
      <c r="Q6" s="17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9" s="10" customFormat="1" ht="16.5" customHeight="1" x14ac:dyDescent="0.2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9" s="10" customFormat="1" ht="15.75" x14ac:dyDescent="0.25">
      <c r="B8" s="4" t="s">
        <v>135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39" s="10" customFormat="1" ht="16.5" customHeight="1" x14ac:dyDescent="0.2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39" s="10" customFormat="1" ht="16.5" thickBot="1" x14ac:dyDescent="0.3">
      <c r="B10" s="4"/>
      <c r="C10" s="4"/>
      <c r="D10" s="4"/>
      <c r="E10" s="7"/>
      <c r="M10" s="11"/>
      <c r="N10" s="11"/>
      <c r="O10" s="18"/>
      <c r="P10" s="18"/>
      <c r="Q10" s="19"/>
      <c r="R10" s="18"/>
      <c r="S10" s="18"/>
      <c r="T10" s="18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8"/>
      <c r="AI10" s="18"/>
      <c r="AJ10" s="18"/>
      <c r="AK10" s="20"/>
      <c r="AL10" s="20"/>
      <c r="AM10" s="20"/>
    </row>
    <row r="11" spans="1:39" s="1" customFormat="1" ht="22.9" customHeight="1" thickTop="1" x14ac:dyDescent="0.25">
      <c r="A11" s="163" t="s">
        <v>51</v>
      </c>
      <c r="B11" s="163" t="s">
        <v>37</v>
      </c>
      <c r="C11" s="163" t="s">
        <v>1</v>
      </c>
      <c r="D11" s="165" t="s">
        <v>2</v>
      </c>
      <c r="E11" s="161" t="s">
        <v>32</v>
      </c>
      <c r="F11" s="161" t="s">
        <v>40</v>
      </c>
      <c r="G11" s="161" t="s">
        <v>33</v>
      </c>
      <c r="H11" s="161" t="s">
        <v>41</v>
      </c>
      <c r="I11" s="161" t="s">
        <v>136</v>
      </c>
      <c r="J11" s="165" t="s">
        <v>3</v>
      </c>
      <c r="K11" s="165" t="s">
        <v>28</v>
      </c>
      <c r="L11" s="165" t="s">
        <v>4</v>
      </c>
      <c r="M11" s="165" t="s">
        <v>5</v>
      </c>
      <c r="N11" s="163" t="s">
        <v>6</v>
      </c>
      <c r="O11" s="165" t="s">
        <v>7</v>
      </c>
      <c r="P11" s="165" t="s">
        <v>8</v>
      </c>
      <c r="Q11" s="165" t="s">
        <v>9</v>
      </c>
      <c r="R11" s="165" t="s">
        <v>10</v>
      </c>
      <c r="S11" s="165" t="s">
        <v>11</v>
      </c>
      <c r="T11" s="163" t="s">
        <v>12</v>
      </c>
      <c r="U11" s="163" t="s">
        <v>13</v>
      </c>
      <c r="V11" s="165" t="s">
        <v>14</v>
      </c>
      <c r="W11" s="225" t="s">
        <v>15</v>
      </c>
      <c r="X11" s="165" t="s">
        <v>16</v>
      </c>
      <c r="Y11" s="165" t="s">
        <v>17</v>
      </c>
      <c r="Z11" s="165" t="s">
        <v>18</v>
      </c>
      <c r="AA11" s="165" t="s">
        <v>19</v>
      </c>
      <c r="AB11" s="165" t="s">
        <v>20</v>
      </c>
      <c r="AC11" s="165" t="s">
        <v>21</v>
      </c>
      <c r="AD11" s="165" t="s">
        <v>22</v>
      </c>
      <c r="AE11" s="163" t="s">
        <v>23</v>
      </c>
      <c r="AF11" s="165" t="s">
        <v>24</v>
      </c>
      <c r="AG11" s="165" t="s">
        <v>25</v>
      </c>
      <c r="AH11" s="161" t="s">
        <v>138</v>
      </c>
      <c r="AI11" s="165" t="s">
        <v>26</v>
      </c>
      <c r="AJ11" s="165" t="s">
        <v>27</v>
      </c>
      <c r="AK11" s="161" t="s">
        <v>60</v>
      </c>
      <c r="AL11" s="165" t="s">
        <v>59</v>
      </c>
    </row>
    <row r="12" spans="1:39" s="1" customFormat="1" ht="22.9" customHeight="1" thickBot="1" x14ac:dyDescent="0.3">
      <c r="A12" s="164"/>
      <c r="B12" s="164"/>
      <c r="C12" s="164"/>
      <c r="D12" s="166"/>
      <c r="E12" s="162"/>
      <c r="F12" s="162"/>
      <c r="G12" s="162"/>
      <c r="H12" s="162"/>
      <c r="I12" s="162"/>
      <c r="J12" s="166"/>
      <c r="K12" s="189"/>
      <c r="L12" s="166"/>
      <c r="M12" s="166"/>
      <c r="N12" s="164"/>
      <c r="O12" s="166"/>
      <c r="P12" s="166"/>
      <c r="Q12" s="166"/>
      <c r="R12" s="213"/>
      <c r="S12" s="166"/>
      <c r="T12" s="224"/>
      <c r="U12" s="224"/>
      <c r="V12" s="213"/>
      <c r="W12" s="226"/>
      <c r="X12" s="166"/>
      <c r="Y12" s="213"/>
      <c r="Z12" s="213"/>
      <c r="AA12" s="213"/>
      <c r="AB12" s="213"/>
      <c r="AC12" s="213"/>
      <c r="AD12" s="213"/>
      <c r="AE12" s="224"/>
      <c r="AF12" s="213"/>
      <c r="AG12" s="166"/>
      <c r="AH12" s="162"/>
      <c r="AI12" s="166"/>
      <c r="AJ12" s="220"/>
      <c r="AK12" s="162"/>
      <c r="AL12" s="166"/>
    </row>
    <row r="13" spans="1:39" s="5" customFormat="1" ht="22.9" customHeight="1" thickTop="1" x14ac:dyDescent="0.25">
      <c r="A13" s="210" t="s">
        <v>116</v>
      </c>
      <c r="B13" s="141" t="s">
        <v>52</v>
      </c>
      <c r="C13" s="128" t="s">
        <v>117</v>
      </c>
      <c r="D13" s="131" t="s">
        <v>65</v>
      </c>
      <c r="E13" s="145" t="s">
        <v>61</v>
      </c>
      <c r="F13" s="137" t="s">
        <v>133</v>
      </c>
      <c r="G13" s="145" t="s">
        <v>48</v>
      </c>
      <c r="H13" s="145" t="s">
        <v>68</v>
      </c>
      <c r="I13" s="264">
        <f>+K14</f>
        <v>0.85</v>
      </c>
      <c r="J13" s="267" t="s">
        <v>62</v>
      </c>
      <c r="K13" s="21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33" t="s">
        <v>43</v>
      </c>
      <c r="Q13" s="21" t="s">
        <v>43</v>
      </c>
      <c r="R13" s="33" t="s">
        <v>43</v>
      </c>
      <c r="S13" s="21" t="s">
        <v>43</v>
      </c>
      <c r="T13" s="33" t="s">
        <v>43</v>
      </c>
      <c r="U13" s="21" t="s">
        <v>43</v>
      </c>
      <c r="V13" s="33" t="s">
        <v>43</v>
      </c>
      <c r="W13" s="21" t="s">
        <v>43</v>
      </c>
      <c r="X13" s="33" t="s">
        <v>43</v>
      </c>
      <c r="Y13" s="21" t="s">
        <v>43</v>
      </c>
      <c r="Z13" s="33" t="s">
        <v>43</v>
      </c>
      <c r="AA13" s="21" t="s">
        <v>43</v>
      </c>
      <c r="AB13" s="33" t="s">
        <v>43</v>
      </c>
      <c r="AC13" s="21" t="s">
        <v>43</v>
      </c>
      <c r="AD13" s="33" t="s">
        <v>43</v>
      </c>
      <c r="AE13" s="21" t="s">
        <v>43</v>
      </c>
      <c r="AF13" s="33" t="s">
        <v>43</v>
      </c>
      <c r="AG13" s="21" t="s">
        <v>43</v>
      </c>
      <c r="AH13" s="33" t="s">
        <v>43</v>
      </c>
      <c r="AI13" s="34"/>
      <c r="AJ13" s="104" t="s">
        <v>69</v>
      </c>
      <c r="AK13" s="246"/>
      <c r="AL13" s="48"/>
    </row>
    <row r="14" spans="1:39" s="5" customFormat="1" ht="22.9" customHeight="1" x14ac:dyDescent="0.25">
      <c r="A14" s="211"/>
      <c r="B14" s="218"/>
      <c r="C14" s="129"/>
      <c r="D14" s="143"/>
      <c r="E14" s="146"/>
      <c r="F14" s="138"/>
      <c r="G14" s="146"/>
      <c r="H14" s="146"/>
      <c r="I14" s="265"/>
      <c r="J14" s="268"/>
      <c r="K14" s="40">
        <f>IF(K16&lt;&gt;0,+K16/K18,0%)</f>
        <v>0.85</v>
      </c>
      <c r="L14" s="23">
        <f>IF(L16&lt;&gt;0,+L16/L18,0%)</f>
        <v>0</v>
      </c>
      <c r="M14" s="23">
        <f>IF(M16&lt;&gt;0,+M16/M18,0%)</f>
        <v>0</v>
      </c>
      <c r="N14" s="43">
        <f>IF(N16&lt;&gt;0,+N16/N18,0%)</f>
        <v>0</v>
      </c>
      <c r="O14" s="23">
        <f t="shared" ref="O14:AH14" si="0">IF(O16&lt;&gt;0,+O16/O18,0%)</f>
        <v>0</v>
      </c>
      <c r="P14" s="43">
        <f t="shared" si="0"/>
        <v>0</v>
      </c>
      <c r="Q14" s="23">
        <f t="shared" si="0"/>
        <v>0</v>
      </c>
      <c r="R14" s="43">
        <f t="shared" si="0"/>
        <v>0</v>
      </c>
      <c r="S14" s="23">
        <f t="shared" si="0"/>
        <v>0</v>
      </c>
      <c r="T14" s="43">
        <f t="shared" si="0"/>
        <v>0</v>
      </c>
      <c r="U14" s="23">
        <f t="shared" si="0"/>
        <v>0</v>
      </c>
      <c r="V14" s="43">
        <f t="shared" si="0"/>
        <v>0</v>
      </c>
      <c r="W14" s="23">
        <f t="shared" si="0"/>
        <v>0</v>
      </c>
      <c r="X14" s="43">
        <f t="shared" si="0"/>
        <v>0</v>
      </c>
      <c r="Y14" s="23">
        <f t="shared" si="0"/>
        <v>0</v>
      </c>
      <c r="Z14" s="43">
        <f t="shared" si="0"/>
        <v>0</v>
      </c>
      <c r="AA14" s="23">
        <f t="shared" si="0"/>
        <v>0</v>
      </c>
      <c r="AB14" s="43">
        <f t="shared" si="0"/>
        <v>0</v>
      </c>
      <c r="AC14" s="23">
        <f t="shared" si="0"/>
        <v>0</v>
      </c>
      <c r="AD14" s="43">
        <f t="shared" si="0"/>
        <v>0</v>
      </c>
      <c r="AE14" s="23">
        <f t="shared" si="0"/>
        <v>0</v>
      </c>
      <c r="AF14" s="43">
        <f t="shared" si="0"/>
        <v>0</v>
      </c>
      <c r="AG14" s="23">
        <f t="shared" si="0"/>
        <v>0</v>
      </c>
      <c r="AH14" s="43">
        <f t="shared" si="0"/>
        <v>0</v>
      </c>
      <c r="AI14" s="35"/>
      <c r="AJ14" s="105"/>
      <c r="AK14" s="247"/>
      <c r="AL14" s="49" t="s">
        <v>57</v>
      </c>
    </row>
    <row r="15" spans="1:39" s="5" customFormat="1" ht="22.9" customHeight="1" thickBot="1" x14ac:dyDescent="0.3">
      <c r="A15" s="211"/>
      <c r="B15" s="218"/>
      <c r="C15" s="129"/>
      <c r="D15" s="143"/>
      <c r="E15" s="146"/>
      <c r="F15" s="138"/>
      <c r="G15" s="146"/>
      <c r="H15" s="146"/>
      <c r="I15" s="265"/>
      <c r="J15" s="269"/>
      <c r="K15" s="25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36" t="s">
        <v>44</v>
      </c>
      <c r="Q15" s="25" t="s">
        <v>44</v>
      </c>
      <c r="R15" s="36" t="s">
        <v>44</v>
      </c>
      <c r="S15" s="25" t="s">
        <v>44</v>
      </c>
      <c r="T15" s="36" t="s">
        <v>44</v>
      </c>
      <c r="U15" s="25" t="s">
        <v>44</v>
      </c>
      <c r="V15" s="36" t="s">
        <v>44</v>
      </c>
      <c r="W15" s="25" t="s">
        <v>44</v>
      </c>
      <c r="X15" s="36" t="s">
        <v>44</v>
      </c>
      <c r="Y15" s="25" t="s">
        <v>44</v>
      </c>
      <c r="Z15" s="36" t="s">
        <v>44</v>
      </c>
      <c r="AA15" s="25" t="s">
        <v>44</v>
      </c>
      <c r="AB15" s="36" t="s">
        <v>44</v>
      </c>
      <c r="AC15" s="25" t="s">
        <v>44</v>
      </c>
      <c r="AD15" s="36" t="s">
        <v>44</v>
      </c>
      <c r="AE15" s="25" t="s">
        <v>44</v>
      </c>
      <c r="AF15" s="36" t="s">
        <v>44</v>
      </c>
      <c r="AG15" s="25" t="s">
        <v>44</v>
      </c>
      <c r="AH15" s="36" t="s">
        <v>44</v>
      </c>
      <c r="AI15" s="35"/>
      <c r="AJ15" s="105"/>
      <c r="AK15" s="247"/>
      <c r="AL15" s="49"/>
    </row>
    <row r="16" spans="1:39" s="5" customFormat="1" ht="22.9" customHeight="1" thickTop="1" x14ac:dyDescent="0.25">
      <c r="A16" s="211"/>
      <c r="B16" s="218"/>
      <c r="C16" s="129"/>
      <c r="D16" s="143"/>
      <c r="E16" s="146"/>
      <c r="F16" s="138"/>
      <c r="G16" s="146"/>
      <c r="H16" s="146"/>
      <c r="I16" s="265"/>
      <c r="J16" s="268" t="s">
        <v>42</v>
      </c>
      <c r="K16" s="41">
        <v>25500</v>
      </c>
      <c r="L16" s="26"/>
      <c r="M16" s="26"/>
      <c r="N16" s="27">
        <f>+L16+M16</f>
        <v>0</v>
      </c>
      <c r="O16" s="26"/>
      <c r="P16" s="27">
        <f>+N16+O16</f>
        <v>0</v>
      </c>
      <c r="Q16" s="26"/>
      <c r="R16" s="27">
        <f>+P16+Q16</f>
        <v>0</v>
      </c>
      <c r="S16" s="26"/>
      <c r="T16" s="27">
        <f>+R16+S16</f>
        <v>0</v>
      </c>
      <c r="U16" s="26"/>
      <c r="V16" s="27">
        <f>+T16+U16</f>
        <v>0</v>
      </c>
      <c r="W16" s="26"/>
      <c r="X16" s="27">
        <f>+V16+W16</f>
        <v>0</v>
      </c>
      <c r="Y16" s="26"/>
      <c r="Z16" s="27">
        <f>+X16+Y16</f>
        <v>0</v>
      </c>
      <c r="AA16" s="26"/>
      <c r="AB16" s="27">
        <f>+Z16+AA16</f>
        <v>0</v>
      </c>
      <c r="AC16" s="26"/>
      <c r="AD16" s="27">
        <f>+AB16+AC16</f>
        <v>0</v>
      </c>
      <c r="AE16" s="26"/>
      <c r="AF16" s="27">
        <f>+AD16+AE16</f>
        <v>0</v>
      </c>
      <c r="AG16" s="26"/>
      <c r="AH16" s="27">
        <f>+AF16+AG16</f>
        <v>0</v>
      </c>
      <c r="AI16" s="37">
        <f>+AH14/K14</f>
        <v>0</v>
      </c>
      <c r="AJ16" s="105"/>
      <c r="AK16" s="247"/>
      <c r="AL16" s="230"/>
    </row>
    <row r="17" spans="1:40" s="5" customFormat="1" ht="22.9" customHeight="1" x14ac:dyDescent="0.25">
      <c r="A17" s="211"/>
      <c r="B17" s="218"/>
      <c r="C17" s="129"/>
      <c r="D17" s="143"/>
      <c r="E17" s="146"/>
      <c r="F17" s="138"/>
      <c r="G17" s="146"/>
      <c r="H17" s="146"/>
      <c r="I17" s="265"/>
      <c r="J17" s="276"/>
      <c r="K17" s="29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38" t="s">
        <v>45</v>
      </c>
      <c r="Q17" s="29" t="s">
        <v>45</v>
      </c>
      <c r="R17" s="38" t="s">
        <v>45</v>
      </c>
      <c r="S17" s="29" t="s">
        <v>45</v>
      </c>
      <c r="T17" s="38" t="s">
        <v>45</v>
      </c>
      <c r="U17" s="29" t="s">
        <v>45</v>
      </c>
      <c r="V17" s="38" t="s">
        <v>45</v>
      </c>
      <c r="W17" s="29" t="s">
        <v>45</v>
      </c>
      <c r="X17" s="38" t="s">
        <v>45</v>
      </c>
      <c r="Y17" s="29" t="s">
        <v>45</v>
      </c>
      <c r="Z17" s="38" t="s">
        <v>45</v>
      </c>
      <c r="AA17" s="29" t="s">
        <v>45</v>
      </c>
      <c r="AB17" s="38" t="s">
        <v>45</v>
      </c>
      <c r="AC17" s="29" t="s">
        <v>45</v>
      </c>
      <c r="AD17" s="38" t="s">
        <v>45</v>
      </c>
      <c r="AE17" s="29" t="s">
        <v>45</v>
      </c>
      <c r="AF17" s="38" t="s">
        <v>45</v>
      </c>
      <c r="AG17" s="29" t="s">
        <v>45</v>
      </c>
      <c r="AH17" s="38" t="s">
        <v>45</v>
      </c>
      <c r="AI17" s="35"/>
      <c r="AJ17" s="105"/>
      <c r="AK17" s="247"/>
      <c r="AL17" s="290"/>
    </row>
    <row r="18" spans="1:40" s="5" customFormat="1" ht="22.9" customHeight="1" thickBot="1" x14ac:dyDescent="0.3">
      <c r="A18" s="212"/>
      <c r="B18" s="219"/>
      <c r="C18" s="130"/>
      <c r="D18" s="144"/>
      <c r="E18" s="146"/>
      <c r="F18" s="139"/>
      <c r="G18" s="146"/>
      <c r="H18" s="146"/>
      <c r="I18" s="266"/>
      <c r="J18" s="269"/>
      <c r="K18" s="42">
        <v>30000</v>
      </c>
      <c r="L18" s="30"/>
      <c r="M18" s="30"/>
      <c r="N18" s="31">
        <f>+L18+M18</f>
        <v>0</v>
      </c>
      <c r="O18" s="30"/>
      <c r="P18" s="31">
        <f>+N18+O18</f>
        <v>0</v>
      </c>
      <c r="Q18" s="30"/>
      <c r="R18" s="31">
        <f>+P18+Q18</f>
        <v>0</v>
      </c>
      <c r="S18" s="30"/>
      <c r="T18" s="31">
        <f>+R18+S18</f>
        <v>0</v>
      </c>
      <c r="U18" s="30"/>
      <c r="V18" s="31">
        <f>+T18+U18</f>
        <v>0</v>
      </c>
      <c r="W18" s="30"/>
      <c r="X18" s="31">
        <f>+V18+W18</f>
        <v>0</v>
      </c>
      <c r="Y18" s="30"/>
      <c r="Z18" s="31">
        <f>+X18+Y18</f>
        <v>0</v>
      </c>
      <c r="AA18" s="30"/>
      <c r="AB18" s="31">
        <f>+Z18+AA18</f>
        <v>0</v>
      </c>
      <c r="AC18" s="30"/>
      <c r="AD18" s="31">
        <f>+AB18+AC18</f>
        <v>0</v>
      </c>
      <c r="AE18" s="30"/>
      <c r="AF18" s="31">
        <f>+AD18+AE18</f>
        <v>0</v>
      </c>
      <c r="AG18" s="30"/>
      <c r="AH18" s="31">
        <f>+AF18+AG18</f>
        <v>0</v>
      </c>
      <c r="AI18" s="39"/>
      <c r="AJ18" s="106"/>
      <c r="AK18" s="248"/>
      <c r="AL18" s="291"/>
    </row>
    <row r="19" spans="1:40" s="5" customFormat="1" ht="22.9" customHeight="1" thickTop="1" x14ac:dyDescent="0.25">
      <c r="A19" s="210" t="s">
        <v>108</v>
      </c>
      <c r="B19" s="141" t="s">
        <v>110</v>
      </c>
      <c r="C19" s="128" t="s">
        <v>109</v>
      </c>
      <c r="D19" s="131" t="s">
        <v>123</v>
      </c>
      <c r="E19" s="145" t="s">
        <v>50</v>
      </c>
      <c r="F19" s="131" t="s">
        <v>133</v>
      </c>
      <c r="G19" s="131" t="s">
        <v>48</v>
      </c>
      <c r="H19" s="145" t="s">
        <v>68</v>
      </c>
      <c r="I19" s="238">
        <f>+K20</f>
        <v>28.27008839691009</v>
      </c>
      <c r="J19" s="205" t="s">
        <v>111</v>
      </c>
      <c r="K19" s="21" t="s">
        <v>43</v>
      </c>
      <c r="L19" s="21" t="s">
        <v>43</v>
      </c>
      <c r="M19" s="21" t="s">
        <v>43</v>
      </c>
      <c r="N19" s="33" t="s">
        <v>43</v>
      </c>
      <c r="O19" s="21" t="s">
        <v>43</v>
      </c>
      <c r="P19" s="33" t="s">
        <v>43</v>
      </c>
      <c r="Q19" s="21" t="s">
        <v>43</v>
      </c>
      <c r="R19" s="33" t="s">
        <v>43</v>
      </c>
      <c r="S19" s="21" t="s">
        <v>43</v>
      </c>
      <c r="T19" s="33" t="s">
        <v>43</v>
      </c>
      <c r="U19" s="21" t="s">
        <v>43</v>
      </c>
      <c r="V19" s="33" t="s">
        <v>43</v>
      </c>
      <c r="W19" s="21" t="s">
        <v>43</v>
      </c>
      <c r="X19" s="33" t="s">
        <v>43</v>
      </c>
      <c r="Y19" s="21" t="s">
        <v>43</v>
      </c>
      <c r="Z19" s="33" t="s">
        <v>43</v>
      </c>
      <c r="AA19" s="21" t="s">
        <v>43</v>
      </c>
      <c r="AB19" s="33" t="s">
        <v>43</v>
      </c>
      <c r="AC19" s="21" t="s">
        <v>43</v>
      </c>
      <c r="AD19" s="33" t="s">
        <v>43</v>
      </c>
      <c r="AE19" s="21" t="s">
        <v>43</v>
      </c>
      <c r="AF19" s="33" t="s">
        <v>43</v>
      </c>
      <c r="AG19" s="21" t="s">
        <v>43</v>
      </c>
      <c r="AH19" s="33" t="s">
        <v>43</v>
      </c>
      <c r="AI19" s="22"/>
      <c r="AJ19" s="104" t="s">
        <v>70</v>
      </c>
      <c r="AK19" s="104"/>
      <c r="AL19" s="233" t="s">
        <v>78</v>
      </c>
      <c r="AM19" s="6"/>
    </row>
    <row r="20" spans="1:40" s="5" customFormat="1" ht="22.9" customHeight="1" x14ac:dyDescent="0.25">
      <c r="A20" s="211"/>
      <c r="B20" s="218"/>
      <c r="C20" s="129"/>
      <c r="D20" s="143"/>
      <c r="E20" s="132"/>
      <c r="F20" s="132"/>
      <c r="G20" s="132"/>
      <c r="H20" s="146"/>
      <c r="I20" s="239"/>
      <c r="J20" s="206"/>
      <c r="K20" s="74">
        <f>+K22/K24</f>
        <v>28.27008839691009</v>
      </c>
      <c r="L20" s="75">
        <f>IF(L22&lt;&gt;0,+L22/L24,0%)</f>
        <v>0</v>
      </c>
      <c r="M20" s="76">
        <f t="shared" ref="M20:AH20" si="1">IF(M22&lt;&gt;0,+M22/M24,0%)</f>
        <v>0</v>
      </c>
      <c r="N20" s="77">
        <f t="shared" si="1"/>
        <v>0</v>
      </c>
      <c r="O20" s="76">
        <f t="shared" si="1"/>
        <v>0</v>
      </c>
      <c r="P20" s="78">
        <f t="shared" si="1"/>
        <v>0</v>
      </c>
      <c r="Q20" s="79">
        <f t="shared" si="1"/>
        <v>0</v>
      </c>
      <c r="R20" s="78">
        <f t="shared" si="1"/>
        <v>0</v>
      </c>
      <c r="S20" s="79">
        <f t="shared" si="1"/>
        <v>0</v>
      </c>
      <c r="T20" s="78">
        <f t="shared" si="1"/>
        <v>0</v>
      </c>
      <c r="U20" s="79">
        <f t="shared" si="1"/>
        <v>0</v>
      </c>
      <c r="V20" s="78">
        <f t="shared" si="1"/>
        <v>0</v>
      </c>
      <c r="W20" s="79">
        <f t="shared" si="1"/>
        <v>0</v>
      </c>
      <c r="X20" s="78">
        <f t="shared" si="1"/>
        <v>0</v>
      </c>
      <c r="Y20" s="80">
        <f t="shared" si="1"/>
        <v>0</v>
      </c>
      <c r="Z20" s="78">
        <f t="shared" si="1"/>
        <v>0</v>
      </c>
      <c r="AA20" s="79">
        <f t="shared" si="1"/>
        <v>0</v>
      </c>
      <c r="AB20" s="78">
        <f t="shared" si="1"/>
        <v>0</v>
      </c>
      <c r="AC20" s="79">
        <f t="shared" si="1"/>
        <v>0</v>
      </c>
      <c r="AD20" s="78">
        <f t="shared" si="1"/>
        <v>0</v>
      </c>
      <c r="AE20" s="79">
        <f t="shared" si="1"/>
        <v>0</v>
      </c>
      <c r="AF20" s="78">
        <f t="shared" si="1"/>
        <v>0</v>
      </c>
      <c r="AG20" s="79">
        <f t="shared" si="1"/>
        <v>0</v>
      </c>
      <c r="AH20" s="78">
        <f t="shared" si="1"/>
        <v>0</v>
      </c>
      <c r="AI20" s="24"/>
      <c r="AJ20" s="105"/>
      <c r="AK20" s="105"/>
      <c r="AL20" s="241"/>
    </row>
    <row r="21" spans="1:40" s="5" customFormat="1" ht="22.9" customHeight="1" thickBot="1" x14ac:dyDescent="0.3">
      <c r="A21" s="211"/>
      <c r="B21" s="218"/>
      <c r="C21" s="129"/>
      <c r="D21" s="143"/>
      <c r="E21" s="132"/>
      <c r="F21" s="132"/>
      <c r="G21" s="132"/>
      <c r="H21" s="146"/>
      <c r="I21" s="239"/>
      <c r="J21" s="207"/>
      <c r="K21" s="25" t="s">
        <v>44</v>
      </c>
      <c r="L21" s="25" t="s">
        <v>44</v>
      </c>
      <c r="M21" s="25" t="s">
        <v>44</v>
      </c>
      <c r="N21" s="36" t="s">
        <v>44</v>
      </c>
      <c r="O21" s="25" t="s">
        <v>44</v>
      </c>
      <c r="P21" s="36" t="s">
        <v>44</v>
      </c>
      <c r="Q21" s="25" t="s">
        <v>44</v>
      </c>
      <c r="R21" s="36" t="s">
        <v>44</v>
      </c>
      <c r="S21" s="25" t="s">
        <v>44</v>
      </c>
      <c r="T21" s="36" t="s">
        <v>44</v>
      </c>
      <c r="U21" s="25" t="s">
        <v>44</v>
      </c>
      <c r="V21" s="36" t="s">
        <v>44</v>
      </c>
      <c r="W21" s="25" t="s">
        <v>44</v>
      </c>
      <c r="X21" s="36" t="s">
        <v>44</v>
      </c>
      <c r="Y21" s="25" t="s">
        <v>44</v>
      </c>
      <c r="Z21" s="36" t="s">
        <v>44</v>
      </c>
      <c r="AA21" s="25" t="s">
        <v>44</v>
      </c>
      <c r="AB21" s="36" t="s">
        <v>44</v>
      </c>
      <c r="AC21" s="25" t="s">
        <v>44</v>
      </c>
      <c r="AD21" s="36" t="s">
        <v>44</v>
      </c>
      <c r="AE21" s="25" t="s">
        <v>44</v>
      </c>
      <c r="AF21" s="36" t="s">
        <v>44</v>
      </c>
      <c r="AG21" s="25" t="s">
        <v>44</v>
      </c>
      <c r="AH21" s="36" t="s">
        <v>44</v>
      </c>
      <c r="AI21" s="24"/>
      <c r="AJ21" s="105"/>
      <c r="AK21" s="105"/>
      <c r="AL21" s="241"/>
    </row>
    <row r="22" spans="1:40" s="5" customFormat="1" ht="22.9" customHeight="1" thickTop="1" x14ac:dyDescent="0.25">
      <c r="A22" s="211"/>
      <c r="B22" s="218"/>
      <c r="C22" s="129"/>
      <c r="D22" s="143"/>
      <c r="E22" s="132"/>
      <c r="F22" s="132"/>
      <c r="G22" s="132"/>
      <c r="H22" s="146"/>
      <c r="I22" s="239"/>
      <c r="J22" s="205" t="s">
        <v>122</v>
      </c>
      <c r="K22" s="41">
        <v>7099750</v>
      </c>
      <c r="L22" s="44"/>
      <c r="M22" s="44"/>
      <c r="N22" s="27">
        <f t="shared" ref="N22:AF22" si="2">+L22+M22</f>
        <v>0</v>
      </c>
      <c r="O22" s="44"/>
      <c r="P22" s="27">
        <f t="shared" si="2"/>
        <v>0</v>
      </c>
      <c r="Q22" s="44"/>
      <c r="R22" s="27">
        <f t="shared" si="2"/>
        <v>0</v>
      </c>
      <c r="S22" s="44"/>
      <c r="T22" s="27">
        <f t="shared" si="2"/>
        <v>0</v>
      </c>
      <c r="U22" s="44"/>
      <c r="V22" s="27">
        <f t="shared" si="2"/>
        <v>0</v>
      </c>
      <c r="W22" s="44"/>
      <c r="X22" s="27">
        <f t="shared" si="2"/>
        <v>0</v>
      </c>
      <c r="Y22" s="44"/>
      <c r="Z22" s="27">
        <f t="shared" si="2"/>
        <v>0</v>
      </c>
      <c r="AA22" s="44"/>
      <c r="AB22" s="27">
        <f t="shared" si="2"/>
        <v>0</v>
      </c>
      <c r="AC22" s="44"/>
      <c r="AD22" s="27">
        <f t="shared" si="2"/>
        <v>0</v>
      </c>
      <c r="AE22" s="44"/>
      <c r="AF22" s="27">
        <f t="shared" si="2"/>
        <v>0</v>
      </c>
      <c r="AG22" s="44"/>
      <c r="AH22" s="27">
        <f>+AF22+AG22</f>
        <v>0</v>
      </c>
      <c r="AI22" s="28">
        <f>+AH20/K20</f>
        <v>0</v>
      </c>
      <c r="AJ22" s="105"/>
      <c r="AK22" s="105"/>
      <c r="AL22" s="241"/>
    </row>
    <row r="23" spans="1:40" s="5" customFormat="1" ht="22.9" customHeight="1" x14ac:dyDescent="0.25">
      <c r="A23" s="211"/>
      <c r="B23" s="218"/>
      <c r="C23" s="129"/>
      <c r="D23" s="143"/>
      <c r="E23" s="132"/>
      <c r="F23" s="132"/>
      <c r="G23" s="132"/>
      <c r="H23" s="146"/>
      <c r="I23" s="239"/>
      <c r="J23" s="206"/>
      <c r="K23" s="29" t="s">
        <v>45</v>
      </c>
      <c r="L23" s="29" t="s">
        <v>45</v>
      </c>
      <c r="M23" s="29" t="s">
        <v>45</v>
      </c>
      <c r="N23" s="38" t="s">
        <v>45</v>
      </c>
      <c r="O23" s="29" t="s">
        <v>45</v>
      </c>
      <c r="P23" s="38" t="s">
        <v>45</v>
      </c>
      <c r="Q23" s="29" t="s">
        <v>45</v>
      </c>
      <c r="R23" s="38" t="s">
        <v>45</v>
      </c>
      <c r="S23" s="29" t="s">
        <v>45</v>
      </c>
      <c r="T23" s="38" t="s">
        <v>45</v>
      </c>
      <c r="U23" s="29" t="s">
        <v>45</v>
      </c>
      <c r="V23" s="38" t="s">
        <v>45</v>
      </c>
      <c r="W23" s="29" t="s">
        <v>45</v>
      </c>
      <c r="X23" s="38" t="s">
        <v>45</v>
      </c>
      <c r="Y23" s="29" t="s">
        <v>45</v>
      </c>
      <c r="Z23" s="38" t="s">
        <v>45</v>
      </c>
      <c r="AA23" s="29" t="s">
        <v>45</v>
      </c>
      <c r="AB23" s="38" t="s">
        <v>45</v>
      </c>
      <c r="AC23" s="29" t="s">
        <v>45</v>
      </c>
      <c r="AD23" s="38" t="s">
        <v>45</v>
      </c>
      <c r="AE23" s="29" t="s">
        <v>45</v>
      </c>
      <c r="AF23" s="38" t="s">
        <v>45</v>
      </c>
      <c r="AG23" s="29" t="s">
        <v>45</v>
      </c>
      <c r="AH23" s="38" t="s">
        <v>45</v>
      </c>
      <c r="AI23" s="24"/>
      <c r="AJ23" s="105"/>
      <c r="AK23" s="105"/>
      <c r="AL23" s="241"/>
    </row>
    <row r="24" spans="1:40" s="5" customFormat="1" ht="22.9" customHeight="1" thickBot="1" x14ac:dyDescent="0.3">
      <c r="A24" s="212"/>
      <c r="B24" s="219"/>
      <c r="C24" s="130"/>
      <c r="D24" s="144"/>
      <c r="E24" s="133"/>
      <c r="F24" s="133"/>
      <c r="G24" s="133"/>
      <c r="H24" s="146"/>
      <c r="I24" s="240"/>
      <c r="J24" s="207"/>
      <c r="K24" s="41">
        <v>251140</v>
      </c>
      <c r="L24" s="30"/>
      <c r="M24" s="30"/>
      <c r="N24" s="31">
        <f t="shared" ref="N24:AH24" si="3">+L24+M24</f>
        <v>0</v>
      </c>
      <c r="O24" s="30"/>
      <c r="P24" s="31">
        <f t="shared" si="3"/>
        <v>0</v>
      </c>
      <c r="Q24" s="30"/>
      <c r="R24" s="31">
        <f t="shared" si="3"/>
        <v>0</v>
      </c>
      <c r="S24" s="30"/>
      <c r="T24" s="31">
        <f t="shared" si="3"/>
        <v>0</v>
      </c>
      <c r="U24" s="30"/>
      <c r="V24" s="31">
        <f t="shared" si="3"/>
        <v>0</v>
      </c>
      <c r="W24" s="30"/>
      <c r="X24" s="31">
        <f t="shared" si="3"/>
        <v>0</v>
      </c>
      <c r="Y24" s="30"/>
      <c r="Z24" s="31">
        <f t="shared" si="3"/>
        <v>0</v>
      </c>
      <c r="AA24" s="30"/>
      <c r="AB24" s="31">
        <f t="shared" si="3"/>
        <v>0</v>
      </c>
      <c r="AC24" s="30"/>
      <c r="AD24" s="31">
        <f t="shared" si="3"/>
        <v>0</v>
      </c>
      <c r="AE24" s="30"/>
      <c r="AF24" s="31">
        <f t="shared" si="3"/>
        <v>0</v>
      </c>
      <c r="AG24" s="30"/>
      <c r="AH24" s="31">
        <f t="shared" si="3"/>
        <v>0</v>
      </c>
      <c r="AI24" s="32"/>
      <c r="AJ24" s="106"/>
      <c r="AK24" s="106"/>
      <c r="AL24" s="242"/>
    </row>
    <row r="25" spans="1:40" s="5" customFormat="1" ht="22.9" customHeight="1" thickTop="1" x14ac:dyDescent="0.25">
      <c r="A25" s="210" t="s">
        <v>77</v>
      </c>
      <c r="B25" s="125" t="s">
        <v>53</v>
      </c>
      <c r="C25" s="128" t="s">
        <v>71</v>
      </c>
      <c r="D25" s="131" t="s">
        <v>72</v>
      </c>
      <c r="E25" s="131" t="s">
        <v>50</v>
      </c>
      <c r="F25" s="131" t="s">
        <v>133</v>
      </c>
      <c r="G25" s="131" t="s">
        <v>48</v>
      </c>
      <c r="H25" s="131" t="s">
        <v>68</v>
      </c>
      <c r="I25" s="238">
        <f>+K26</f>
        <v>24.015264065736897</v>
      </c>
      <c r="J25" s="267" t="s">
        <v>73</v>
      </c>
      <c r="K25" s="21" t="s">
        <v>43</v>
      </c>
      <c r="L25" s="21" t="s">
        <v>43</v>
      </c>
      <c r="M25" s="21" t="s">
        <v>43</v>
      </c>
      <c r="N25" s="33" t="s">
        <v>43</v>
      </c>
      <c r="O25" s="21" t="s">
        <v>43</v>
      </c>
      <c r="P25" s="33" t="s">
        <v>43</v>
      </c>
      <c r="Q25" s="21" t="s">
        <v>43</v>
      </c>
      <c r="R25" s="33" t="s">
        <v>43</v>
      </c>
      <c r="S25" s="21" t="s">
        <v>43</v>
      </c>
      <c r="T25" s="33" t="s">
        <v>43</v>
      </c>
      <c r="U25" s="21" t="s">
        <v>43</v>
      </c>
      <c r="V25" s="33" t="s">
        <v>43</v>
      </c>
      <c r="W25" s="21" t="s">
        <v>43</v>
      </c>
      <c r="X25" s="33" t="s">
        <v>43</v>
      </c>
      <c r="Y25" s="21" t="s">
        <v>43</v>
      </c>
      <c r="Z25" s="33" t="s">
        <v>43</v>
      </c>
      <c r="AA25" s="21" t="s">
        <v>43</v>
      </c>
      <c r="AB25" s="33" t="s">
        <v>43</v>
      </c>
      <c r="AC25" s="21" t="s">
        <v>43</v>
      </c>
      <c r="AD25" s="33" t="s">
        <v>43</v>
      </c>
      <c r="AE25" s="21" t="s">
        <v>43</v>
      </c>
      <c r="AF25" s="33" t="s">
        <v>43</v>
      </c>
      <c r="AG25" s="21" t="s">
        <v>43</v>
      </c>
      <c r="AH25" s="33" t="s">
        <v>43</v>
      </c>
      <c r="AI25" s="34"/>
      <c r="AJ25" s="104" t="s">
        <v>75</v>
      </c>
      <c r="AK25" s="246"/>
      <c r="AL25" s="48"/>
      <c r="AM25" s="6"/>
    </row>
    <row r="26" spans="1:40" s="5" customFormat="1" ht="22.9" customHeight="1" x14ac:dyDescent="0.25">
      <c r="A26" s="211"/>
      <c r="B26" s="126"/>
      <c r="C26" s="129"/>
      <c r="D26" s="143"/>
      <c r="E26" s="143"/>
      <c r="F26" s="132"/>
      <c r="G26" s="132"/>
      <c r="H26" s="143"/>
      <c r="I26" s="239"/>
      <c r="J26" s="268"/>
      <c r="K26" s="74">
        <f t="shared" ref="K26" si="4">IF(K28&lt;&gt;0,+K28/K30,0%)</f>
        <v>24.015264065736897</v>
      </c>
      <c r="L26" s="75">
        <f t="shared" ref="L26:AH26" si="5">IF(L28&lt;&gt;0,+L28/L30,0%)</f>
        <v>0</v>
      </c>
      <c r="M26" s="76">
        <f t="shared" si="5"/>
        <v>0</v>
      </c>
      <c r="N26" s="77">
        <f t="shared" si="5"/>
        <v>0</v>
      </c>
      <c r="O26" s="76">
        <f t="shared" si="5"/>
        <v>0</v>
      </c>
      <c r="P26" s="78">
        <f t="shared" si="5"/>
        <v>0</v>
      </c>
      <c r="Q26" s="79">
        <f t="shared" si="5"/>
        <v>0</v>
      </c>
      <c r="R26" s="78">
        <f t="shared" si="5"/>
        <v>0</v>
      </c>
      <c r="S26" s="79">
        <f t="shared" si="5"/>
        <v>0</v>
      </c>
      <c r="T26" s="78">
        <f t="shared" si="5"/>
        <v>0</v>
      </c>
      <c r="U26" s="79">
        <f t="shared" si="5"/>
        <v>0</v>
      </c>
      <c r="V26" s="78">
        <f t="shared" si="5"/>
        <v>0</v>
      </c>
      <c r="W26" s="79">
        <f t="shared" si="5"/>
        <v>0</v>
      </c>
      <c r="X26" s="78">
        <f t="shared" si="5"/>
        <v>0</v>
      </c>
      <c r="Y26" s="80">
        <f t="shared" si="5"/>
        <v>0</v>
      </c>
      <c r="Z26" s="78">
        <f t="shared" si="5"/>
        <v>0</v>
      </c>
      <c r="AA26" s="79">
        <f t="shared" si="5"/>
        <v>0</v>
      </c>
      <c r="AB26" s="78">
        <f t="shared" si="5"/>
        <v>0</v>
      </c>
      <c r="AC26" s="79">
        <f t="shared" si="5"/>
        <v>0</v>
      </c>
      <c r="AD26" s="78">
        <f t="shared" si="5"/>
        <v>0</v>
      </c>
      <c r="AE26" s="79">
        <f t="shared" si="5"/>
        <v>0</v>
      </c>
      <c r="AF26" s="78">
        <f t="shared" si="5"/>
        <v>0</v>
      </c>
      <c r="AG26" s="79">
        <f t="shared" si="5"/>
        <v>0</v>
      </c>
      <c r="AH26" s="78">
        <f t="shared" si="5"/>
        <v>0</v>
      </c>
      <c r="AI26" s="35"/>
      <c r="AJ26" s="105"/>
      <c r="AK26" s="247"/>
      <c r="AL26" s="49" t="s">
        <v>57</v>
      </c>
    </row>
    <row r="27" spans="1:40" s="5" customFormat="1" ht="22.9" customHeight="1" thickBot="1" x14ac:dyDescent="0.3">
      <c r="A27" s="211"/>
      <c r="B27" s="126"/>
      <c r="C27" s="129"/>
      <c r="D27" s="143"/>
      <c r="E27" s="143"/>
      <c r="F27" s="132"/>
      <c r="G27" s="132"/>
      <c r="H27" s="143"/>
      <c r="I27" s="239"/>
      <c r="J27" s="269"/>
      <c r="K27" s="25" t="s">
        <v>44</v>
      </c>
      <c r="L27" s="25" t="s">
        <v>44</v>
      </c>
      <c r="M27" s="25" t="s">
        <v>44</v>
      </c>
      <c r="N27" s="36" t="s">
        <v>44</v>
      </c>
      <c r="O27" s="25" t="s">
        <v>44</v>
      </c>
      <c r="P27" s="36" t="s">
        <v>44</v>
      </c>
      <c r="Q27" s="25" t="s">
        <v>44</v>
      </c>
      <c r="R27" s="36" t="s">
        <v>44</v>
      </c>
      <c r="S27" s="25" t="s">
        <v>44</v>
      </c>
      <c r="T27" s="36" t="s">
        <v>44</v>
      </c>
      <c r="U27" s="25" t="s">
        <v>44</v>
      </c>
      <c r="V27" s="36" t="s">
        <v>44</v>
      </c>
      <c r="W27" s="25" t="s">
        <v>44</v>
      </c>
      <c r="X27" s="36" t="s">
        <v>44</v>
      </c>
      <c r="Y27" s="25" t="s">
        <v>44</v>
      </c>
      <c r="Z27" s="36" t="s">
        <v>44</v>
      </c>
      <c r="AA27" s="25" t="s">
        <v>44</v>
      </c>
      <c r="AB27" s="36" t="s">
        <v>44</v>
      </c>
      <c r="AC27" s="25" t="s">
        <v>44</v>
      </c>
      <c r="AD27" s="36" t="s">
        <v>44</v>
      </c>
      <c r="AE27" s="25" t="s">
        <v>44</v>
      </c>
      <c r="AF27" s="36" t="s">
        <v>44</v>
      </c>
      <c r="AG27" s="25" t="s">
        <v>44</v>
      </c>
      <c r="AH27" s="36" t="s">
        <v>44</v>
      </c>
      <c r="AI27" s="35"/>
      <c r="AJ27" s="105"/>
      <c r="AK27" s="247"/>
      <c r="AL27" s="49"/>
    </row>
    <row r="28" spans="1:40" s="5" customFormat="1" ht="22.9" customHeight="1" thickTop="1" x14ac:dyDescent="0.25">
      <c r="A28" s="211"/>
      <c r="B28" s="126"/>
      <c r="C28" s="129"/>
      <c r="D28" s="143"/>
      <c r="E28" s="143"/>
      <c r="F28" s="132"/>
      <c r="G28" s="132"/>
      <c r="H28" s="143"/>
      <c r="I28" s="239"/>
      <c r="J28" s="268" t="s">
        <v>74</v>
      </c>
      <c r="K28" s="41">
        <v>2770617</v>
      </c>
      <c r="L28" s="26"/>
      <c r="M28" s="26"/>
      <c r="N28" s="27">
        <f t="shared" ref="N28:AH28" si="6">+L28+M28</f>
        <v>0</v>
      </c>
      <c r="O28" s="26"/>
      <c r="P28" s="27">
        <f t="shared" si="6"/>
        <v>0</v>
      </c>
      <c r="Q28" s="26"/>
      <c r="R28" s="27">
        <f t="shared" si="6"/>
        <v>0</v>
      </c>
      <c r="S28" s="26"/>
      <c r="T28" s="27">
        <f t="shared" si="6"/>
        <v>0</v>
      </c>
      <c r="U28" s="26"/>
      <c r="V28" s="27">
        <f t="shared" si="6"/>
        <v>0</v>
      </c>
      <c r="W28" s="26"/>
      <c r="X28" s="27">
        <f t="shared" si="6"/>
        <v>0</v>
      </c>
      <c r="Y28" s="26"/>
      <c r="Z28" s="27">
        <f t="shared" si="6"/>
        <v>0</v>
      </c>
      <c r="AA28" s="26"/>
      <c r="AB28" s="27">
        <f t="shared" si="6"/>
        <v>0</v>
      </c>
      <c r="AC28" s="26"/>
      <c r="AD28" s="27">
        <f t="shared" si="6"/>
        <v>0</v>
      </c>
      <c r="AE28" s="26"/>
      <c r="AF28" s="27">
        <f t="shared" si="6"/>
        <v>0</v>
      </c>
      <c r="AG28" s="26"/>
      <c r="AH28" s="27">
        <f t="shared" si="6"/>
        <v>0</v>
      </c>
      <c r="AI28" s="37">
        <f>+AH26/K26</f>
        <v>0</v>
      </c>
      <c r="AJ28" s="105"/>
      <c r="AK28" s="247"/>
      <c r="AL28" s="230" t="s">
        <v>58</v>
      </c>
    </row>
    <row r="29" spans="1:40" s="5" customFormat="1" ht="22.9" customHeight="1" x14ac:dyDescent="0.25">
      <c r="A29" s="211"/>
      <c r="B29" s="126"/>
      <c r="C29" s="129"/>
      <c r="D29" s="143"/>
      <c r="E29" s="143"/>
      <c r="F29" s="132"/>
      <c r="G29" s="132"/>
      <c r="H29" s="143"/>
      <c r="I29" s="239"/>
      <c r="J29" s="276"/>
      <c r="K29" s="29" t="s">
        <v>45</v>
      </c>
      <c r="L29" s="29" t="s">
        <v>45</v>
      </c>
      <c r="M29" s="29" t="s">
        <v>45</v>
      </c>
      <c r="N29" s="38" t="s">
        <v>45</v>
      </c>
      <c r="O29" s="29" t="s">
        <v>45</v>
      </c>
      <c r="P29" s="38" t="s">
        <v>45</v>
      </c>
      <c r="Q29" s="29" t="s">
        <v>45</v>
      </c>
      <c r="R29" s="38" t="s">
        <v>45</v>
      </c>
      <c r="S29" s="29" t="s">
        <v>45</v>
      </c>
      <c r="T29" s="38" t="s">
        <v>45</v>
      </c>
      <c r="U29" s="29" t="s">
        <v>45</v>
      </c>
      <c r="V29" s="38" t="s">
        <v>45</v>
      </c>
      <c r="W29" s="29" t="s">
        <v>45</v>
      </c>
      <c r="X29" s="38" t="s">
        <v>45</v>
      </c>
      <c r="Y29" s="29" t="s">
        <v>45</v>
      </c>
      <c r="Z29" s="38" t="s">
        <v>45</v>
      </c>
      <c r="AA29" s="29" t="s">
        <v>45</v>
      </c>
      <c r="AB29" s="38" t="s">
        <v>45</v>
      </c>
      <c r="AC29" s="29" t="s">
        <v>45</v>
      </c>
      <c r="AD29" s="38" t="s">
        <v>45</v>
      </c>
      <c r="AE29" s="29" t="s">
        <v>45</v>
      </c>
      <c r="AF29" s="38" t="s">
        <v>45</v>
      </c>
      <c r="AG29" s="29" t="s">
        <v>45</v>
      </c>
      <c r="AH29" s="38" t="s">
        <v>45</v>
      </c>
      <c r="AI29" s="35"/>
      <c r="AJ29" s="105"/>
      <c r="AK29" s="247"/>
      <c r="AL29" s="231"/>
    </row>
    <row r="30" spans="1:40" s="5" customFormat="1" ht="22.9" customHeight="1" thickBot="1" x14ac:dyDescent="0.3">
      <c r="A30" s="212"/>
      <c r="B30" s="127"/>
      <c r="C30" s="130"/>
      <c r="D30" s="144"/>
      <c r="E30" s="144"/>
      <c r="F30" s="133"/>
      <c r="G30" s="133"/>
      <c r="H30" s="144"/>
      <c r="I30" s="240"/>
      <c r="J30" s="269"/>
      <c r="K30" s="41">
        <v>115369</v>
      </c>
      <c r="L30" s="30"/>
      <c r="M30" s="30"/>
      <c r="N30" s="31">
        <f t="shared" ref="N30:AH30" si="7">+L30+M30</f>
        <v>0</v>
      </c>
      <c r="O30" s="30"/>
      <c r="P30" s="31">
        <f t="shared" si="7"/>
        <v>0</v>
      </c>
      <c r="Q30" s="30"/>
      <c r="R30" s="31">
        <f t="shared" si="7"/>
        <v>0</v>
      </c>
      <c r="S30" s="30"/>
      <c r="T30" s="31">
        <f t="shared" si="7"/>
        <v>0</v>
      </c>
      <c r="U30" s="30"/>
      <c r="V30" s="31">
        <f t="shared" si="7"/>
        <v>0</v>
      </c>
      <c r="W30" s="30"/>
      <c r="X30" s="31">
        <f t="shared" si="7"/>
        <v>0</v>
      </c>
      <c r="Y30" s="30"/>
      <c r="Z30" s="31">
        <f t="shared" si="7"/>
        <v>0</v>
      </c>
      <c r="AA30" s="30"/>
      <c r="AB30" s="31">
        <f t="shared" si="7"/>
        <v>0</v>
      </c>
      <c r="AC30" s="30"/>
      <c r="AD30" s="31">
        <f t="shared" si="7"/>
        <v>0</v>
      </c>
      <c r="AE30" s="30"/>
      <c r="AF30" s="31">
        <f t="shared" si="7"/>
        <v>0</v>
      </c>
      <c r="AG30" s="30"/>
      <c r="AH30" s="31">
        <f t="shared" si="7"/>
        <v>0</v>
      </c>
      <c r="AI30" s="39"/>
      <c r="AJ30" s="106"/>
      <c r="AK30" s="248"/>
      <c r="AL30" s="232"/>
    </row>
    <row r="31" spans="1:40" s="52" customFormat="1" ht="22.9" customHeight="1" thickTop="1" x14ac:dyDescent="0.25">
      <c r="A31" s="221" t="s">
        <v>113</v>
      </c>
      <c r="B31" s="140" t="s">
        <v>112</v>
      </c>
      <c r="C31" s="134" t="s">
        <v>119</v>
      </c>
      <c r="D31" s="152" t="s">
        <v>121</v>
      </c>
      <c r="E31" s="145" t="s">
        <v>61</v>
      </c>
      <c r="F31" s="145" t="s">
        <v>133</v>
      </c>
      <c r="G31" s="145" t="s">
        <v>48</v>
      </c>
      <c r="H31" s="145" t="s">
        <v>68</v>
      </c>
      <c r="I31" s="227">
        <f>+K32</f>
        <v>0.98001642485628249</v>
      </c>
      <c r="J31" s="298" t="s">
        <v>114</v>
      </c>
      <c r="K31" s="53" t="s">
        <v>43</v>
      </c>
      <c r="L31" s="21" t="s">
        <v>43</v>
      </c>
      <c r="M31" s="21" t="s">
        <v>43</v>
      </c>
      <c r="N31" s="33" t="s">
        <v>43</v>
      </c>
      <c r="O31" s="21" t="s">
        <v>43</v>
      </c>
      <c r="P31" s="54" t="s">
        <v>43</v>
      </c>
      <c r="Q31" s="21" t="s">
        <v>43</v>
      </c>
      <c r="R31" s="54" t="s">
        <v>43</v>
      </c>
      <c r="S31" s="21" t="s">
        <v>43</v>
      </c>
      <c r="T31" s="54" t="s">
        <v>43</v>
      </c>
      <c r="U31" s="21" t="s">
        <v>43</v>
      </c>
      <c r="V31" s="54" t="s">
        <v>43</v>
      </c>
      <c r="W31" s="21" t="s">
        <v>43</v>
      </c>
      <c r="X31" s="54" t="s">
        <v>43</v>
      </c>
      <c r="Y31" s="21" t="s">
        <v>43</v>
      </c>
      <c r="Z31" s="54" t="s">
        <v>43</v>
      </c>
      <c r="AA31" s="21" t="s">
        <v>43</v>
      </c>
      <c r="AB31" s="54" t="s">
        <v>43</v>
      </c>
      <c r="AC31" s="21" t="s">
        <v>43</v>
      </c>
      <c r="AD31" s="54" t="s">
        <v>43</v>
      </c>
      <c r="AE31" s="21" t="s">
        <v>43</v>
      </c>
      <c r="AF31" s="54" t="s">
        <v>43</v>
      </c>
      <c r="AG31" s="21" t="s">
        <v>43</v>
      </c>
      <c r="AH31" s="54" t="s">
        <v>43</v>
      </c>
      <c r="AI31" s="55"/>
      <c r="AJ31" s="243" t="s">
        <v>87</v>
      </c>
      <c r="AK31" s="273"/>
      <c r="AL31" s="233" t="s">
        <v>57</v>
      </c>
    </row>
    <row r="32" spans="1:40" s="52" customFormat="1" ht="22.9" customHeight="1" x14ac:dyDescent="0.25">
      <c r="A32" s="292"/>
      <c r="B32" s="141"/>
      <c r="C32" s="294"/>
      <c r="D32" s="296"/>
      <c r="E32" s="146"/>
      <c r="F32" s="146"/>
      <c r="G32" s="146"/>
      <c r="H32" s="146"/>
      <c r="I32" s="228"/>
      <c r="J32" s="299"/>
      <c r="K32" s="56">
        <f>IF(K34&lt;&gt;0,+K34/K36,0%)</f>
        <v>0.98001642485628249</v>
      </c>
      <c r="L32" s="23">
        <f>IF(L34&lt;&gt;0,+L34/L36,0%)</f>
        <v>0</v>
      </c>
      <c r="M32" s="57">
        <f>IF(M34&lt;&gt;0,+M34/M36,0%)</f>
        <v>0</v>
      </c>
      <c r="N32" s="43">
        <f t="shared" ref="N32" si="8">IF(N34&lt;&gt;0,+N34/N36,0%)</f>
        <v>0</v>
      </c>
      <c r="O32" s="57">
        <f>IF(O34&lt;&gt;0,ROUND(+O34/O36,4),0%)</f>
        <v>0</v>
      </c>
      <c r="P32" s="58">
        <f t="shared" ref="P32" si="9">IF(P34&lt;&gt;0,+P34/P36,0%)</f>
        <v>0</v>
      </c>
      <c r="Q32" s="59">
        <f>IF(Q34&lt;&gt;0,ROUND(+Q34/Q36,4),0%)</f>
        <v>0</v>
      </c>
      <c r="R32" s="58">
        <f t="shared" ref="R32" si="10">IF(R34&lt;&gt;0,+R34/R36,0%)</f>
        <v>0</v>
      </c>
      <c r="S32" s="59">
        <f>IF(S34&lt;&gt;0,ROUND(+S34/S36,4),0%)</f>
        <v>0</v>
      </c>
      <c r="T32" s="58">
        <f t="shared" ref="T32" si="11">IF(T34&lt;&gt;0,+T34/T36,0%)</f>
        <v>0</v>
      </c>
      <c r="U32" s="59">
        <f>IF(U34&lt;&gt;0,ROUND(+U34/U36,4),0%)</f>
        <v>0</v>
      </c>
      <c r="V32" s="58">
        <f t="shared" ref="V32" si="12">IF(V34&lt;&gt;0,+V34/V36,0%)</f>
        <v>0</v>
      </c>
      <c r="W32" s="59">
        <f>IF(W34&lt;&gt;0,ROUND(+W34/W36,4),0%)</f>
        <v>0</v>
      </c>
      <c r="X32" s="58">
        <f t="shared" ref="X32" si="13">IF(X34&lt;&gt;0,+X34/X36,0%)</f>
        <v>0</v>
      </c>
      <c r="Y32" s="60">
        <f>IF(Y34&lt;&gt;0,ROUND(+Y34/Y36,4),0%)</f>
        <v>0</v>
      </c>
      <c r="Z32" s="58">
        <f t="shared" ref="Z32" si="14">IF(Z34&lt;&gt;0,+Z34/Z36,0%)</f>
        <v>0</v>
      </c>
      <c r="AA32" s="59">
        <f>IF(AA34&lt;&gt;0,ROUND(+AA34/AA36,4),0%)</f>
        <v>0</v>
      </c>
      <c r="AB32" s="58">
        <f t="shared" ref="AB32" si="15">IF(AB34&lt;&gt;0,+AB34/AB36,0%)</f>
        <v>0</v>
      </c>
      <c r="AC32" s="59">
        <f>IF(AC34&lt;&gt;0,ROUND(+AC34/AC36,4),0%)</f>
        <v>0</v>
      </c>
      <c r="AD32" s="58">
        <f t="shared" ref="AD32" si="16">IF(AD34&lt;&gt;0,+AD34/AD36,0%)</f>
        <v>0</v>
      </c>
      <c r="AE32" s="59">
        <f>IF(AE34&lt;&gt;0,ROUND(+AE34/AE36,4),0%)</f>
        <v>0</v>
      </c>
      <c r="AF32" s="58">
        <f t="shared" ref="AF32" si="17">IF(AF34&lt;&gt;0,+AF34/AF36,0%)</f>
        <v>0</v>
      </c>
      <c r="AG32" s="59">
        <f>IF(AG34&lt;&gt;0,ROUND(+AG34/AG36,4),0%)</f>
        <v>0</v>
      </c>
      <c r="AH32" s="58">
        <f>IF(AH34&lt;&gt;0,+AH34/AH36,0%)</f>
        <v>0</v>
      </c>
      <c r="AI32" s="61"/>
      <c r="AJ32" s="244"/>
      <c r="AK32" s="274"/>
      <c r="AL32" s="230"/>
      <c r="AN32" s="62"/>
    </row>
    <row r="33" spans="1:38" s="52" customFormat="1" ht="22.9" customHeight="1" thickBot="1" x14ac:dyDescent="0.3">
      <c r="A33" s="292"/>
      <c r="B33" s="141"/>
      <c r="C33" s="294"/>
      <c r="D33" s="296"/>
      <c r="E33" s="146"/>
      <c r="F33" s="146"/>
      <c r="G33" s="146"/>
      <c r="H33" s="146"/>
      <c r="I33" s="228"/>
      <c r="J33" s="300"/>
      <c r="K33" s="63" t="s">
        <v>44</v>
      </c>
      <c r="L33" s="25" t="s">
        <v>44</v>
      </c>
      <c r="M33" s="25" t="s">
        <v>44</v>
      </c>
      <c r="N33" s="36" t="s">
        <v>44</v>
      </c>
      <c r="O33" s="25" t="s">
        <v>44</v>
      </c>
      <c r="P33" s="64" t="s">
        <v>44</v>
      </c>
      <c r="Q33" s="25" t="s">
        <v>44</v>
      </c>
      <c r="R33" s="64" t="s">
        <v>44</v>
      </c>
      <c r="S33" s="25" t="s">
        <v>44</v>
      </c>
      <c r="T33" s="64" t="s">
        <v>44</v>
      </c>
      <c r="U33" s="25" t="s">
        <v>44</v>
      </c>
      <c r="V33" s="64" t="s">
        <v>44</v>
      </c>
      <c r="W33" s="25" t="s">
        <v>44</v>
      </c>
      <c r="X33" s="64" t="s">
        <v>44</v>
      </c>
      <c r="Y33" s="25" t="s">
        <v>44</v>
      </c>
      <c r="Z33" s="64" t="s">
        <v>44</v>
      </c>
      <c r="AA33" s="25" t="s">
        <v>44</v>
      </c>
      <c r="AB33" s="64" t="s">
        <v>44</v>
      </c>
      <c r="AC33" s="25" t="s">
        <v>44</v>
      </c>
      <c r="AD33" s="64" t="s">
        <v>44</v>
      </c>
      <c r="AE33" s="25" t="s">
        <v>44</v>
      </c>
      <c r="AF33" s="64" t="s">
        <v>44</v>
      </c>
      <c r="AG33" s="25" t="s">
        <v>44</v>
      </c>
      <c r="AH33" s="64" t="s">
        <v>44</v>
      </c>
      <c r="AI33" s="61"/>
      <c r="AJ33" s="244"/>
      <c r="AK33" s="274"/>
      <c r="AL33" s="230"/>
    </row>
    <row r="34" spans="1:38" s="52" customFormat="1" ht="22.9" customHeight="1" thickTop="1" x14ac:dyDescent="0.25">
      <c r="A34" s="292"/>
      <c r="B34" s="141"/>
      <c r="C34" s="294"/>
      <c r="D34" s="296"/>
      <c r="E34" s="146"/>
      <c r="F34" s="146"/>
      <c r="G34" s="146"/>
      <c r="H34" s="146"/>
      <c r="I34" s="228"/>
      <c r="J34" s="298" t="s">
        <v>120</v>
      </c>
      <c r="K34" s="65">
        <v>7160</v>
      </c>
      <c r="L34" s="66">
        <f t="shared" ref="L34:M34" si="18">+L44+L54</f>
        <v>0</v>
      </c>
      <c r="M34" s="66">
        <f t="shared" si="18"/>
        <v>0</v>
      </c>
      <c r="N34" s="27">
        <f>+L34+M34</f>
        <v>0</v>
      </c>
      <c r="O34" s="66">
        <f t="shared" ref="O34" si="19">+O44+O54</f>
        <v>0</v>
      </c>
      <c r="P34" s="27">
        <f>+N34+O34</f>
        <v>0</v>
      </c>
      <c r="Q34" s="66">
        <f t="shared" ref="Q34" si="20">+Q44+Q54</f>
        <v>0</v>
      </c>
      <c r="R34" s="27">
        <f>+P34+Q34</f>
        <v>0</v>
      </c>
      <c r="S34" s="66">
        <f t="shared" ref="S34" si="21">+S44+S54</f>
        <v>0</v>
      </c>
      <c r="T34" s="27">
        <f>+R34+S34</f>
        <v>0</v>
      </c>
      <c r="U34" s="66">
        <f t="shared" ref="U34" si="22">+U44+U54</f>
        <v>0</v>
      </c>
      <c r="V34" s="27">
        <f>+T34+U34</f>
        <v>0</v>
      </c>
      <c r="W34" s="66">
        <f t="shared" ref="W34" si="23">+W44+W54</f>
        <v>0</v>
      </c>
      <c r="X34" s="27">
        <f>+V34+W34</f>
        <v>0</v>
      </c>
      <c r="Y34" s="66">
        <f t="shared" ref="Y34" si="24">+Y44+Y54</f>
        <v>0</v>
      </c>
      <c r="Z34" s="27">
        <f>+X34+Y34</f>
        <v>0</v>
      </c>
      <c r="AA34" s="66">
        <f t="shared" ref="AA34" si="25">+AA44+AA54</f>
        <v>0</v>
      </c>
      <c r="AB34" s="27">
        <f>+Z34+AA34</f>
        <v>0</v>
      </c>
      <c r="AC34" s="66">
        <f t="shared" ref="AC34" si="26">+AC44+AC54</f>
        <v>0</v>
      </c>
      <c r="AD34" s="27">
        <f>+AB34+AC34</f>
        <v>0</v>
      </c>
      <c r="AE34" s="66">
        <f t="shared" ref="AE34" si="27">+AE44+AE54</f>
        <v>0</v>
      </c>
      <c r="AF34" s="27">
        <f>+AD34+AE34</f>
        <v>0</v>
      </c>
      <c r="AG34" s="66">
        <f t="shared" ref="AG34" si="28">+AG44+AG54</f>
        <v>0</v>
      </c>
      <c r="AH34" s="27">
        <f>+AF34+AG34</f>
        <v>0</v>
      </c>
      <c r="AI34" s="67">
        <f>AH32/K32</f>
        <v>0</v>
      </c>
      <c r="AJ34" s="244"/>
      <c r="AK34" s="274"/>
      <c r="AL34" s="230"/>
    </row>
    <row r="35" spans="1:38" s="52" customFormat="1" ht="22.9" customHeight="1" x14ac:dyDescent="0.25">
      <c r="A35" s="292"/>
      <c r="B35" s="141"/>
      <c r="C35" s="294"/>
      <c r="D35" s="296"/>
      <c r="E35" s="146"/>
      <c r="F35" s="146"/>
      <c r="G35" s="146"/>
      <c r="H35" s="146"/>
      <c r="I35" s="228"/>
      <c r="J35" s="299"/>
      <c r="K35" s="63" t="s">
        <v>45</v>
      </c>
      <c r="L35" s="29" t="s">
        <v>45</v>
      </c>
      <c r="M35" s="29" t="s">
        <v>45</v>
      </c>
      <c r="N35" s="38" t="s">
        <v>45</v>
      </c>
      <c r="O35" s="29" t="s">
        <v>45</v>
      </c>
      <c r="P35" s="68" t="s">
        <v>45</v>
      </c>
      <c r="Q35" s="29" t="s">
        <v>45</v>
      </c>
      <c r="R35" s="68" t="s">
        <v>45</v>
      </c>
      <c r="S35" s="29" t="s">
        <v>45</v>
      </c>
      <c r="T35" s="68" t="s">
        <v>45</v>
      </c>
      <c r="U35" s="29" t="s">
        <v>45</v>
      </c>
      <c r="V35" s="68" t="s">
        <v>45</v>
      </c>
      <c r="W35" s="29" t="s">
        <v>45</v>
      </c>
      <c r="X35" s="68" t="s">
        <v>45</v>
      </c>
      <c r="Y35" s="29" t="s">
        <v>45</v>
      </c>
      <c r="Z35" s="68" t="s">
        <v>45</v>
      </c>
      <c r="AA35" s="29" t="s">
        <v>45</v>
      </c>
      <c r="AB35" s="68" t="s">
        <v>45</v>
      </c>
      <c r="AC35" s="29" t="s">
        <v>45</v>
      </c>
      <c r="AD35" s="68" t="s">
        <v>45</v>
      </c>
      <c r="AE35" s="29" t="s">
        <v>45</v>
      </c>
      <c r="AF35" s="68" t="s">
        <v>45</v>
      </c>
      <c r="AG35" s="29" t="s">
        <v>45</v>
      </c>
      <c r="AH35" s="68" t="s">
        <v>45</v>
      </c>
      <c r="AI35" s="61"/>
      <c r="AJ35" s="244"/>
      <c r="AK35" s="274"/>
      <c r="AL35" s="230"/>
    </row>
    <row r="36" spans="1:38" s="52" customFormat="1" ht="22.9" customHeight="1" thickBot="1" x14ac:dyDescent="0.3">
      <c r="A36" s="293"/>
      <c r="B36" s="142"/>
      <c r="C36" s="295"/>
      <c r="D36" s="297"/>
      <c r="E36" s="146"/>
      <c r="F36" s="146"/>
      <c r="G36" s="146"/>
      <c r="H36" s="146"/>
      <c r="I36" s="229"/>
      <c r="J36" s="300"/>
      <c r="K36" s="69">
        <v>7306</v>
      </c>
      <c r="L36" s="70">
        <f t="shared" ref="L36:M36" si="29">+L46+L56</f>
        <v>0</v>
      </c>
      <c r="M36" s="70">
        <f t="shared" si="29"/>
        <v>0</v>
      </c>
      <c r="N36" s="31">
        <f>+L36+M36</f>
        <v>0</v>
      </c>
      <c r="O36" s="70">
        <f t="shared" ref="O36" si="30">+O46+O56</f>
        <v>0</v>
      </c>
      <c r="P36" s="31">
        <f>+N36+O36</f>
        <v>0</v>
      </c>
      <c r="Q36" s="70">
        <f t="shared" ref="Q36" si="31">+Q46+Q56</f>
        <v>0</v>
      </c>
      <c r="R36" s="31">
        <f>+P36+Q36</f>
        <v>0</v>
      </c>
      <c r="S36" s="70">
        <f t="shared" ref="S36" si="32">+S46+S56</f>
        <v>0</v>
      </c>
      <c r="T36" s="31">
        <f>+R36+S36</f>
        <v>0</v>
      </c>
      <c r="U36" s="70">
        <f t="shared" ref="U36" si="33">+U46+U56</f>
        <v>0</v>
      </c>
      <c r="V36" s="31">
        <f>+T36+U36</f>
        <v>0</v>
      </c>
      <c r="W36" s="70">
        <f t="shared" ref="W36" si="34">+W46+W56</f>
        <v>0</v>
      </c>
      <c r="X36" s="31">
        <f>+V36+W36</f>
        <v>0</v>
      </c>
      <c r="Y36" s="70">
        <f t="shared" ref="Y36" si="35">+Y46+Y56</f>
        <v>0</v>
      </c>
      <c r="Z36" s="31">
        <f>+X36+Y36</f>
        <v>0</v>
      </c>
      <c r="AA36" s="70">
        <f t="shared" ref="AA36" si="36">+AA46+AA56</f>
        <v>0</v>
      </c>
      <c r="AB36" s="31">
        <f>+Z36+AA36</f>
        <v>0</v>
      </c>
      <c r="AC36" s="70">
        <f t="shared" ref="AC36" si="37">+AC46+AC56</f>
        <v>0</v>
      </c>
      <c r="AD36" s="31">
        <f>+AB36+AC36</f>
        <v>0</v>
      </c>
      <c r="AE36" s="70">
        <f t="shared" ref="AE36" si="38">+AE46+AE56</f>
        <v>0</v>
      </c>
      <c r="AF36" s="31">
        <f>+AD36+AE36</f>
        <v>0</v>
      </c>
      <c r="AG36" s="70">
        <f t="shared" ref="AG36" si="39">+AG46+AG56</f>
        <v>0</v>
      </c>
      <c r="AH36" s="31">
        <f>+AF36+AG36</f>
        <v>0</v>
      </c>
      <c r="AI36" s="71"/>
      <c r="AJ36" s="245"/>
      <c r="AK36" s="275"/>
      <c r="AL36" s="234"/>
    </row>
    <row r="37" spans="1:38" ht="13.5" thickTop="1" x14ac:dyDescent="0.2"/>
  </sheetData>
  <mergeCells count="103">
    <mergeCell ref="AJ31:AJ36"/>
    <mergeCell ref="AK31:AK36"/>
    <mergeCell ref="AL31:AL36"/>
    <mergeCell ref="J34:J36"/>
    <mergeCell ref="F31:F36"/>
    <mergeCell ref="G31:G36"/>
    <mergeCell ref="H31:H36"/>
    <mergeCell ref="I31:I36"/>
    <mergeCell ref="J31:J33"/>
    <mergeCell ref="A31:A36"/>
    <mergeCell ref="B31:B36"/>
    <mergeCell ref="C31:C36"/>
    <mergeCell ref="D31:D36"/>
    <mergeCell ref="E31:E36"/>
    <mergeCell ref="B1:D5"/>
    <mergeCell ref="E1:M5"/>
    <mergeCell ref="N1:Q1"/>
    <mergeCell ref="N2:Q2"/>
    <mergeCell ref="N3:Q3"/>
    <mergeCell ref="N5:Q5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U11:U12"/>
    <mergeCell ref="V11:V12"/>
    <mergeCell ref="W11:W12"/>
    <mergeCell ref="J13:J15"/>
    <mergeCell ref="K11:K12"/>
    <mergeCell ref="L11:L12"/>
    <mergeCell ref="X11:X12"/>
    <mergeCell ref="M11:M12"/>
    <mergeCell ref="N11:N12"/>
    <mergeCell ref="O11:O12"/>
    <mergeCell ref="P11:P12"/>
    <mergeCell ref="Q11:Q12"/>
    <mergeCell ref="R11:R12"/>
    <mergeCell ref="J28:J30"/>
    <mergeCell ref="AJ13:AJ18"/>
    <mergeCell ref="AK13:AK18"/>
    <mergeCell ref="J16:J18"/>
    <mergeCell ref="AL11:AL12"/>
    <mergeCell ref="AE11:AE12"/>
    <mergeCell ref="AF11:AF12"/>
    <mergeCell ref="AG11:AG12"/>
    <mergeCell ref="AH11:AH12"/>
    <mergeCell ref="AI11:AI12"/>
    <mergeCell ref="AJ11:AJ12"/>
    <mergeCell ref="J19:J21"/>
    <mergeCell ref="AJ19:AJ24"/>
    <mergeCell ref="AK19:AK24"/>
    <mergeCell ref="J22:J24"/>
    <mergeCell ref="AK11:AK12"/>
    <mergeCell ref="Y11:Y12"/>
    <mergeCell ref="Z11:Z12"/>
    <mergeCell ref="AA11:AA12"/>
    <mergeCell ref="AB11:AB12"/>
    <mergeCell ref="AC11:AC12"/>
    <mergeCell ref="AD11:AD12"/>
    <mergeCell ref="S11:S12"/>
    <mergeCell ref="T11:T12"/>
    <mergeCell ref="I13:I18"/>
    <mergeCell ref="I19:I24"/>
    <mergeCell ref="G19:G24"/>
    <mergeCell ref="H19:H24"/>
    <mergeCell ref="A13:A18"/>
    <mergeCell ref="B13:B18"/>
    <mergeCell ref="C13:C18"/>
    <mergeCell ref="D13:D18"/>
    <mergeCell ref="E13:E18"/>
    <mergeCell ref="AL16:AL18"/>
    <mergeCell ref="AL19:AL24"/>
    <mergeCell ref="A25:A30"/>
    <mergeCell ref="B25:B30"/>
    <mergeCell ref="C25:C30"/>
    <mergeCell ref="D25:D30"/>
    <mergeCell ref="E25:E30"/>
    <mergeCell ref="F25:F30"/>
    <mergeCell ref="G25:G30"/>
    <mergeCell ref="A19:A24"/>
    <mergeCell ref="B19:B24"/>
    <mergeCell ref="C19:C24"/>
    <mergeCell ref="D19:D24"/>
    <mergeCell ref="E19:E24"/>
    <mergeCell ref="F19:F24"/>
    <mergeCell ref="AL28:AL30"/>
    <mergeCell ref="H25:H30"/>
    <mergeCell ref="I25:I30"/>
    <mergeCell ref="J25:J27"/>
    <mergeCell ref="AJ25:AJ30"/>
    <mergeCell ref="AK25:AK30"/>
    <mergeCell ref="F13:F18"/>
    <mergeCell ref="G13:G18"/>
    <mergeCell ref="H13:H18"/>
  </mergeCells>
  <pageMargins left="0.7" right="0.7" top="0.75" bottom="0.75" header="0.3" footer="0.3"/>
  <pageSetup paperSize="2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39ED-2F07-49D4-B52B-53D530D2A354}">
  <dimension ref="A1:AN39"/>
  <sheetViews>
    <sheetView topLeftCell="A8" workbookViewId="0">
      <pane xSplit="3" ySplit="5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F23" sqref="F23:F28"/>
    </sheetView>
  </sheetViews>
  <sheetFormatPr baseColWidth="10" defaultRowHeight="12.75" x14ac:dyDescent="0.2"/>
  <sheetData>
    <row r="1" spans="1:40" s="10" customFormat="1" ht="12.75" customHeight="1" x14ac:dyDescent="0.25">
      <c r="B1" s="155"/>
      <c r="C1" s="155"/>
      <c r="D1" s="156"/>
      <c r="E1" s="173" t="s">
        <v>0</v>
      </c>
      <c r="F1" s="179"/>
      <c r="G1" s="179"/>
      <c r="H1" s="179"/>
      <c r="I1" s="179"/>
      <c r="J1" s="179"/>
      <c r="K1" s="179"/>
      <c r="L1" s="179"/>
      <c r="M1" s="180"/>
      <c r="N1" s="173" t="s">
        <v>38</v>
      </c>
      <c r="O1" s="174"/>
      <c r="P1" s="174"/>
      <c r="Q1" s="175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40" s="10" customFormat="1" ht="12.75" customHeight="1" x14ac:dyDescent="0.25">
      <c r="B2" s="157"/>
      <c r="C2" s="157"/>
      <c r="D2" s="158"/>
      <c r="E2" s="176"/>
      <c r="F2" s="181"/>
      <c r="G2" s="181"/>
      <c r="H2" s="181"/>
      <c r="I2" s="181"/>
      <c r="J2" s="181"/>
      <c r="K2" s="181"/>
      <c r="L2" s="181"/>
      <c r="M2" s="182"/>
      <c r="N2" s="186" t="s">
        <v>39</v>
      </c>
      <c r="O2" s="187"/>
      <c r="P2" s="187"/>
      <c r="Q2" s="18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40" s="10" customFormat="1" ht="15.75" customHeight="1" x14ac:dyDescent="0.25">
      <c r="B3" s="157"/>
      <c r="C3" s="157"/>
      <c r="D3" s="158"/>
      <c r="E3" s="176"/>
      <c r="F3" s="181"/>
      <c r="G3" s="181"/>
      <c r="H3" s="181"/>
      <c r="I3" s="181"/>
      <c r="J3" s="181"/>
      <c r="K3" s="181"/>
      <c r="L3" s="181"/>
      <c r="M3" s="182"/>
      <c r="N3" s="176"/>
      <c r="O3" s="177"/>
      <c r="P3" s="177"/>
      <c r="Q3" s="17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40" s="10" customFormat="1" ht="12.75" customHeight="1" x14ac:dyDescent="0.25">
      <c r="B4" s="157"/>
      <c r="C4" s="157"/>
      <c r="D4" s="158"/>
      <c r="E4" s="176"/>
      <c r="F4" s="181"/>
      <c r="G4" s="181"/>
      <c r="H4" s="181"/>
      <c r="I4" s="181"/>
      <c r="J4" s="181"/>
      <c r="K4" s="181"/>
      <c r="L4" s="181"/>
      <c r="M4" s="182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40" s="10" customFormat="1" ht="20.25" customHeight="1" x14ac:dyDescent="0.25">
      <c r="B5" s="159"/>
      <c r="C5" s="159"/>
      <c r="D5" s="160"/>
      <c r="E5" s="183"/>
      <c r="F5" s="184"/>
      <c r="G5" s="184"/>
      <c r="H5" s="184"/>
      <c r="I5" s="184"/>
      <c r="J5" s="184"/>
      <c r="K5" s="184"/>
      <c r="L5" s="184"/>
      <c r="M5" s="185"/>
      <c r="N5" s="190" t="s">
        <v>34</v>
      </c>
      <c r="O5" s="191"/>
      <c r="P5" s="191"/>
      <c r="Q5" s="192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40" s="3" customFormat="1" ht="15.75" customHeight="1" x14ac:dyDescent="0.2">
      <c r="B6" s="167" t="s">
        <v>29</v>
      </c>
      <c r="C6" s="168"/>
      <c r="D6" s="169"/>
      <c r="E6" s="170" t="s">
        <v>36</v>
      </c>
      <c r="F6" s="171"/>
      <c r="G6" s="171"/>
      <c r="H6" s="171"/>
      <c r="I6" s="171"/>
      <c r="J6" s="171"/>
      <c r="K6" s="171"/>
      <c r="L6" s="171"/>
      <c r="M6" s="172"/>
      <c r="N6" s="170" t="s">
        <v>35</v>
      </c>
      <c r="O6" s="171"/>
      <c r="P6" s="171"/>
      <c r="Q6" s="17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40" s="10" customFormat="1" ht="16.5" customHeight="1" x14ac:dyDescent="0.2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40" s="10" customFormat="1" ht="15.75" x14ac:dyDescent="0.25">
      <c r="B8" s="4" t="s">
        <v>135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40" s="10" customFormat="1" ht="16.5" customHeight="1" x14ac:dyDescent="0.2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40" s="10" customFormat="1" ht="16.5" customHeight="1" thickBot="1" x14ac:dyDescent="0.3">
      <c r="B10" s="4"/>
      <c r="C10" s="7"/>
      <c r="D10" s="7"/>
      <c r="E10" s="15"/>
      <c r="L10" s="16"/>
      <c r="M10" s="11"/>
      <c r="N10" s="11"/>
      <c r="O10" s="11"/>
      <c r="P10" s="11"/>
      <c r="Q10" s="17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40" s="52" customFormat="1" ht="22.9" customHeight="1" thickTop="1" x14ac:dyDescent="0.25">
      <c r="A11" s="279" t="s">
        <v>51</v>
      </c>
      <c r="B11" s="279" t="s">
        <v>37</v>
      </c>
      <c r="C11" s="279" t="s">
        <v>1</v>
      </c>
      <c r="D11" s="281" t="s">
        <v>2</v>
      </c>
      <c r="E11" s="277" t="s">
        <v>32</v>
      </c>
      <c r="F11" s="277" t="s">
        <v>40</v>
      </c>
      <c r="G11" s="277" t="s">
        <v>33</v>
      </c>
      <c r="H11" s="277" t="s">
        <v>41</v>
      </c>
      <c r="I11" s="277" t="s">
        <v>136</v>
      </c>
      <c r="J11" s="281" t="s">
        <v>3</v>
      </c>
      <c r="K11" s="281" t="s">
        <v>28</v>
      </c>
      <c r="L11" s="281" t="s">
        <v>4</v>
      </c>
      <c r="M11" s="281" t="s">
        <v>5</v>
      </c>
      <c r="N11" s="279" t="s">
        <v>6</v>
      </c>
      <c r="O11" s="281" t="s">
        <v>7</v>
      </c>
      <c r="P11" s="281" t="s">
        <v>8</v>
      </c>
      <c r="Q11" s="281" t="s">
        <v>9</v>
      </c>
      <c r="R11" s="281" t="s">
        <v>10</v>
      </c>
      <c r="S11" s="281" t="s">
        <v>11</v>
      </c>
      <c r="T11" s="279" t="s">
        <v>12</v>
      </c>
      <c r="U11" s="279" t="s">
        <v>13</v>
      </c>
      <c r="V11" s="281" t="s">
        <v>14</v>
      </c>
      <c r="W11" s="285" t="s">
        <v>15</v>
      </c>
      <c r="X11" s="281" t="s">
        <v>16</v>
      </c>
      <c r="Y11" s="281" t="s">
        <v>17</v>
      </c>
      <c r="Z11" s="281" t="s">
        <v>18</v>
      </c>
      <c r="AA11" s="281" t="s">
        <v>19</v>
      </c>
      <c r="AB11" s="281" t="s">
        <v>20</v>
      </c>
      <c r="AC11" s="281" t="s">
        <v>21</v>
      </c>
      <c r="AD11" s="281" t="s">
        <v>22</v>
      </c>
      <c r="AE11" s="279" t="s">
        <v>23</v>
      </c>
      <c r="AF11" s="281" t="s">
        <v>24</v>
      </c>
      <c r="AG11" s="281" t="s">
        <v>25</v>
      </c>
      <c r="AH11" s="277" t="s">
        <v>137</v>
      </c>
      <c r="AI11" s="281" t="s">
        <v>26</v>
      </c>
      <c r="AJ11" s="281" t="s">
        <v>27</v>
      </c>
      <c r="AK11" s="277" t="s">
        <v>60</v>
      </c>
      <c r="AL11" s="277" t="s">
        <v>59</v>
      </c>
    </row>
    <row r="12" spans="1:40" s="52" customFormat="1" ht="22.9" customHeight="1" thickBot="1" x14ac:dyDescent="0.3">
      <c r="A12" s="287"/>
      <c r="B12" s="287"/>
      <c r="C12" s="287"/>
      <c r="D12" s="283"/>
      <c r="E12" s="278"/>
      <c r="F12" s="278"/>
      <c r="G12" s="278"/>
      <c r="H12" s="278"/>
      <c r="I12" s="278"/>
      <c r="J12" s="283"/>
      <c r="K12" s="288"/>
      <c r="L12" s="283"/>
      <c r="M12" s="283"/>
      <c r="N12" s="287"/>
      <c r="O12" s="283"/>
      <c r="P12" s="283"/>
      <c r="Q12" s="283"/>
      <c r="R12" s="282"/>
      <c r="S12" s="283"/>
      <c r="T12" s="280"/>
      <c r="U12" s="280"/>
      <c r="V12" s="282"/>
      <c r="W12" s="286"/>
      <c r="X12" s="283"/>
      <c r="Y12" s="282"/>
      <c r="Z12" s="282"/>
      <c r="AA12" s="282"/>
      <c r="AB12" s="282"/>
      <c r="AC12" s="282"/>
      <c r="AD12" s="282"/>
      <c r="AE12" s="280"/>
      <c r="AF12" s="282"/>
      <c r="AG12" s="283"/>
      <c r="AH12" s="278">
        <v>2018</v>
      </c>
      <c r="AI12" s="283"/>
      <c r="AJ12" s="284"/>
      <c r="AK12" s="278"/>
      <c r="AL12" s="278"/>
    </row>
    <row r="13" spans="1:40" s="52" customFormat="1" ht="22.9" customHeight="1" thickTop="1" x14ac:dyDescent="0.25">
      <c r="A13" s="221" t="s">
        <v>113</v>
      </c>
      <c r="B13" s="140" t="s">
        <v>112</v>
      </c>
      <c r="C13" s="134" t="s">
        <v>119</v>
      </c>
      <c r="D13" s="152" t="s">
        <v>121</v>
      </c>
      <c r="E13" s="145" t="s">
        <v>61</v>
      </c>
      <c r="F13" s="145" t="s">
        <v>133</v>
      </c>
      <c r="G13" s="145" t="s">
        <v>48</v>
      </c>
      <c r="H13" s="145" t="s">
        <v>68</v>
      </c>
      <c r="I13" s="227">
        <f>+K14</f>
        <v>0.98001642485628249</v>
      </c>
      <c r="J13" s="298" t="s">
        <v>114</v>
      </c>
      <c r="K13" s="53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54" t="s">
        <v>43</v>
      </c>
      <c r="Q13" s="21" t="s">
        <v>43</v>
      </c>
      <c r="R13" s="54" t="s">
        <v>43</v>
      </c>
      <c r="S13" s="21" t="s">
        <v>43</v>
      </c>
      <c r="T13" s="54" t="s">
        <v>43</v>
      </c>
      <c r="U13" s="21" t="s">
        <v>43</v>
      </c>
      <c r="V13" s="54" t="s">
        <v>43</v>
      </c>
      <c r="W13" s="21" t="s">
        <v>43</v>
      </c>
      <c r="X13" s="54" t="s">
        <v>43</v>
      </c>
      <c r="Y13" s="21" t="s">
        <v>43</v>
      </c>
      <c r="Z13" s="54" t="s">
        <v>43</v>
      </c>
      <c r="AA13" s="21" t="s">
        <v>43</v>
      </c>
      <c r="AB13" s="54" t="s">
        <v>43</v>
      </c>
      <c r="AC13" s="21" t="s">
        <v>43</v>
      </c>
      <c r="AD13" s="54" t="s">
        <v>43</v>
      </c>
      <c r="AE13" s="21" t="s">
        <v>43</v>
      </c>
      <c r="AF13" s="54" t="s">
        <v>43</v>
      </c>
      <c r="AG13" s="21" t="s">
        <v>43</v>
      </c>
      <c r="AH13" s="54" t="s">
        <v>43</v>
      </c>
      <c r="AI13" s="55"/>
      <c r="AJ13" s="270" t="s">
        <v>87</v>
      </c>
      <c r="AK13" s="273"/>
      <c r="AL13" s="233" t="s">
        <v>57</v>
      </c>
    </row>
    <row r="14" spans="1:40" s="52" customFormat="1" ht="22.9" customHeight="1" x14ac:dyDescent="0.25">
      <c r="A14" s="292"/>
      <c r="B14" s="141"/>
      <c r="C14" s="294"/>
      <c r="D14" s="296"/>
      <c r="E14" s="146"/>
      <c r="F14" s="146"/>
      <c r="G14" s="146"/>
      <c r="H14" s="146"/>
      <c r="I14" s="228"/>
      <c r="J14" s="299"/>
      <c r="K14" s="56">
        <f>IF(K16&lt;&gt;0,+K16/K18,0%)</f>
        <v>0.98001642485628249</v>
      </c>
      <c r="L14" s="23">
        <f>IF(L16&lt;&gt;0,+L16/L18,0%)</f>
        <v>0</v>
      </c>
      <c r="M14" s="57">
        <f>IF(M16&lt;&gt;0,+M16/M18,0%)</f>
        <v>0</v>
      </c>
      <c r="N14" s="43">
        <f t="shared" ref="N14" si="0">IF(N16&lt;&gt;0,+N16/N18,0%)</f>
        <v>0</v>
      </c>
      <c r="O14" s="57">
        <f>IF(O16&lt;&gt;0,ROUND(+O16/O18,4),0%)</f>
        <v>0</v>
      </c>
      <c r="P14" s="58">
        <f t="shared" ref="P14" si="1">IF(P16&lt;&gt;0,+P16/P18,0%)</f>
        <v>0</v>
      </c>
      <c r="Q14" s="59">
        <f>IF(Q16&lt;&gt;0,ROUND(+Q16/Q18,4),0%)</f>
        <v>0</v>
      </c>
      <c r="R14" s="58">
        <f t="shared" ref="R14" si="2">IF(R16&lt;&gt;0,+R16/R18,0%)</f>
        <v>0</v>
      </c>
      <c r="S14" s="59">
        <f>IF(S16&lt;&gt;0,ROUND(+S16/S18,4),0%)</f>
        <v>0</v>
      </c>
      <c r="T14" s="58">
        <f t="shared" ref="T14" si="3">IF(T16&lt;&gt;0,+T16/T18,0%)</f>
        <v>0</v>
      </c>
      <c r="U14" s="59">
        <f>IF(U16&lt;&gt;0,ROUND(+U16/U18,4),0%)</f>
        <v>0</v>
      </c>
      <c r="V14" s="58">
        <f t="shared" ref="V14" si="4">IF(V16&lt;&gt;0,+V16/V18,0%)</f>
        <v>0</v>
      </c>
      <c r="W14" s="59">
        <f>IF(W16&lt;&gt;0,ROUND(+W16/W18,4),0%)</f>
        <v>0</v>
      </c>
      <c r="X14" s="58">
        <f t="shared" ref="X14" si="5">IF(X16&lt;&gt;0,+X16/X18,0%)</f>
        <v>0</v>
      </c>
      <c r="Y14" s="60">
        <f>IF(Y16&lt;&gt;0,ROUND(+Y16/Y18,4),0%)</f>
        <v>0</v>
      </c>
      <c r="Z14" s="58">
        <f t="shared" ref="Z14" si="6">IF(Z16&lt;&gt;0,+Z16/Z18,0%)</f>
        <v>0</v>
      </c>
      <c r="AA14" s="59">
        <f>IF(AA16&lt;&gt;0,ROUND(+AA16/AA18,4),0%)</f>
        <v>0</v>
      </c>
      <c r="AB14" s="58">
        <f t="shared" ref="AB14" si="7">IF(AB16&lt;&gt;0,+AB16/AB18,0%)</f>
        <v>0</v>
      </c>
      <c r="AC14" s="59">
        <f>IF(AC16&lt;&gt;0,ROUND(+AC16/AC18,4),0%)</f>
        <v>0</v>
      </c>
      <c r="AD14" s="58">
        <f t="shared" ref="AD14" si="8">IF(AD16&lt;&gt;0,+AD16/AD18,0%)</f>
        <v>0</v>
      </c>
      <c r="AE14" s="59">
        <f>IF(AE16&lt;&gt;0,ROUND(+AE16/AE18,4),0%)</f>
        <v>0</v>
      </c>
      <c r="AF14" s="58">
        <f t="shared" ref="AF14" si="9">IF(AF16&lt;&gt;0,+AF16/AF18,0%)</f>
        <v>0</v>
      </c>
      <c r="AG14" s="59">
        <f>IF(AG16&lt;&gt;0,ROUND(+AG16/AG18,4),0%)</f>
        <v>0</v>
      </c>
      <c r="AH14" s="58">
        <f>IF(AH16&lt;&gt;0,+AH16/AH18,0%)</f>
        <v>0</v>
      </c>
      <c r="AI14" s="61"/>
      <c r="AJ14" s="271"/>
      <c r="AK14" s="274"/>
      <c r="AL14" s="230"/>
      <c r="AN14" s="62"/>
    </row>
    <row r="15" spans="1:40" s="52" customFormat="1" ht="22.9" customHeight="1" thickBot="1" x14ac:dyDescent="0.3">
      <c r="A15" s="292"/>
      <c r="B15" s="141"/>
      <c r="C15" s="294"/>
      <c r="D15" s="296"/>
      <c r="E15" s="146"/>
      <c r="F15" s="146"/>
      <c r="G15" s="146"/>
      <c r="H15" s="146"/>
      <c r="I15" s="228"/>
      <c r="J15" s="300"/>
      <c r="K15" s="63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64" t="s">
        <v>44</v>
      </c>
      <c r="Q15" s="25" t="s">
        <v>44</v>
      </c>
      <c r="R15" s="64" t="s">
        <v>44</v>
      </c>
      <c r="S15" s="25" t="s">
        <v>44</v>
      </c>
      <c r="T15" s="64" t="s">
        <v>44</v>
      </c>
      <c r="U15" s="25" t="s">
        <v>44</v>
      </c>
      <c r="V15" s="64" t="s">
        <v>44</v>
      </c>
      <c r="W15" s="25" t="s">
        <v>44</v>
      </c>
      <c r="X15" s="64" t="s">
        <v>44</v>
      </c>
      <c r="Y15" s="25" t="s">
        <v>44</v>
      </c>
      <c r="Z15" s="64" t="s">
        <v>44</v>
      </c>
      <c r="AA15" s="25" t="s">
        <v>44</v>
      </c>
      <c r="AB15" s="64" t="s">
        <v>44</v>
      </c>
      <c r="AC15" s="25" t="s">
        <v>44</v>
      </c>
      <c r="AD15" s="64" t="s">
        <v>44</v>
      </c>
      <c r="AE15" s="25" t="s">
        <v>44</v>
      </c>
      <c r="AF15" s="64" t="s">
        <v>44</v>
      </c>
      <c r="AG15" s="25" t="s">
        <v>44</v>
      </c>
      <c r="AH15" s="64" t="s">
        <v>44</v>
      </c>
      <c r="AI15" s="61"/>
      <c r="AJ15" s="271"/>
      <c r="AK15" s="274"/>
      <c r="AL15" s="230"/>
    </row>
    <row r="16" spans="1:40" s="52" customFormat="1" ht="22.9" customHeight="1" thickTop="1" x14ac:dyDescent="0.25">
      <c r="A16" s="292"/>
      <c r="B16" s="141"/>
      <c r="C16" s="294"/>
      <c r="D16" s="296"/>
      <c r="E16" s="146"/>
      <c r="F16" s="146"/>
      <c r="G16" s="146"/>
      <c r="H16" s="146"/>
      <c r="I16" s="228"/>
      <c r="J16" s="298" t="s">
        <v>120</v>
      </c>
      <c r="K16" s="65">
        <v>7160</v>
      </c>
      <c r="L16" s="66">
        <f t="shared" ref="L16:M16" si="10">+L26+L36</f>
        <v>0</v>
      </c>
      <c r="M16" s="66">
        <f t="shared" si="10"/>
        <v>0</v>
      </c>
      <c r="N16" s="27">
        <f>+L16+M16</f>
        <v>0</v>
      </c>
      <c r="O16" s="66">
        <f t="shared" ref="O16" si="11">+O26+O36</f>
        <v>0</v>
      </c>
      <c r="P16" s="27">
        <f>+N16+O16</f>
        <v>0</v>
      </c>
      <c r="Q16" s="66">
        <f t="shared" ref="Q16" si="12">+Q26+Q36</f>
        <v>0</v>
      </c>
      <c r="R16" s="27">
        <f>+P16+Q16</f>
        <v>0</v>
      </c>
      <c r="S16" s="66">
        <f t="shared" ref="S16" si="13">+S26+S36</f>
        <v>0</v>
      </c>
      <c r="T16" s="27">
        <f>+R16+S16</f>
        <v>0</v>
      </c>
      <c r="U16" s="66">
        <f t="shared" ref="U16" si="14">+U26+U36</f>
        <v>0</v>
      </c>
      <c r="V16" s="27">
        <f>+T16+U16</f>
        <v>0</v>
      </c>
      <c r="W16" s="66">
        <f t="shared" ref="W16" si="15">+W26+W36</f>
        <v>0</v>
      </c>
      <c r="X16" s="27">
        <f>+V16+W16</f>
        <v>0</v>
      </c>
      <c r="Y16" s="66">
        <f t="shared" ref="Y16" si="16">+Y26+Y36</f>
        <v>0</v>
      </c>
      <c r="Z16" s="27">
        <f>+X16+Y16</f>
        <v>0</v>
      </c>
      <c r="AA16" s="66">
        <f t="shared" ref="AA16" si="17">+AA26+AA36</f>
        <v>0</v>
      </c>
      <c r="AB16" s="27">
        <f>+Z16+AA16</f>
        <v>0</v>
      </c>
      <c r="AC16" s="66">
        <f t="shared" ref="AC16" si="18">+AC26+AC36</f>
        <v>0</v>
      </c>
      <c r="AD16" s="27">
        <f>+AB16+AC16</f>
        <v>0</v>
      </c>
      <c r="AE16" s="66">
        <f t="shared" ref="AE16" si="19">+AE26+AE36</f>
        <v>0</v>
      </c>
      <c r="AF16" s="27">
        <f>+AD16+AE16</f>
        <v>0</v>
      </c>
      <c r="AG16" s="66">
        <f t="shared" ref="AG16" si="20">+AG26+AG36</f>
        <v>0</v>
      </c>
      <c r="AH16" s="27">
        <f>+AF16+AG16</f>
        <v>0</v>
      </c>
      <c r="AI16" s="67">
        <f>AH14/K14</f>
        <v>0</v>
      </c>
      <c r="AJ16" s="271"/>
      <c r="AK16" s="274"/>
      <c r="AL16" s="230"/>
    </row>
    <row r="17" spans="1:40" s="52" customFormat="1" ht="22.9" customHeight="1" x14ac:dyDescent="0.25">
      <c r="A17" s="292"/>
      <c r="B17" s="141"/>
      <c r="C17" s="294"/>
      <c r="D17" s="296"/>
      <c r="E17" s="146"/>
      <c r="F17" s="146"/>
      <c r="G17" s="146"/>
      <c r="H17" s="146"/>
      <c r="I17" s="228"/>
      <c r="J17" s="299"/>
      <c r="K17" s="63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68" t="s">
        <v>45</v>
      </c>
      <c r="Q17" s="29" t="s">
        <v>45</v>
      </c>
      <c r="R17" s="68" t="s">
        <v>45</v>
      </c>
      <c r="S17" s="29" t="s">
        <v>45</v>
      </c>
      <c r="T17" s="68" t="s">
        <v>45</v>
      </c>
      <c r="U17" s="29" t="s">
        <v>45</v>
      </c>
      <c r="V17" s="68" t="s">
        <v>45</v>
      </c>
      <c r="W17" s="29" t="s">
        <v>45</v>
      </c>
      <c r="X17" s="68" t="s">
        <v>45</v>
      </c>
      <c r="Y17" s="29" t="s">
        <v>45</v>
      </c>
      <c r="Z17" s="68" t="s">
        <v>45</v>
      </c>
      <c r="AA17" s="29" t="s">
        <v>45</v>
      </c>
      <c r="AB17" s="68" t="s">
        <v>45</v>
      </c>
      <c r="AC17" s="29" t="s">
        <v>45</v>
      </c>
      <c r="AD17" s="68" t="s">
        <v>45</v>
      </c>
      <c r="AE17" s="29" t="s">
        <v>45</v>
      </c>
      <c r="AF17" s="68" t="s">
        <v>45</v>
      </c>
      <c r="AG17" s="29" t="s">
        <v>45</v>
      </c>
      <c r="AH17" s="68" t="s">
        <v>45</v>
      </c>
      <c r="AI17" s="61"/>
      <c r="AJ17" s="271"/>
      <c r="AK17" s="274"/>
      <c r="AL17" s="230"/>
    </row>
    <row r="18" spans="1:40" s="52" customFormat="1" ht="22.9" customHeight="1" thickBot="1" x14ac:dyDescent="0.3">
      <c r="A18" s="293"/>
      <c r="B18" s="142"/>
      <c r="C18" s="295"/>
      <c r="D18" s="297"/>
      <c r="E18" s="146"/>
      <c r="F18" s="146"/>
      <c r="G18" s="146"/>
      <c r="H18" s="146"/>
      <c r="I18" s="229"/>
      <c r="J18" s="300"/>
      <c r="K18" s="69">
        <v>7306</v>
      </c>
      <c r="L18" s="70">
        <f t="shared" ref="L18:M18" si="21">+L28+L38</f>
        <v>0</v>
      </c>
      <c r="M18" s="70">
        <f t="shared" si="21"/>
        <v>0</v>
      </c>
      <c r="N18" s="31">
        <f>+L18+M18</f>
        <v>0</v>
      </c>
      <c r="O18" s="70">
        <f t="shared" ref="O18" si="22">+O28+O38</f>
        <v>0</v>
      </c>
      <c r="P18" s="31">
        <f>+N18+O18</f>
        <v>0</v>
      </c>
      <c r="Q18" s="70">
        <f t="shared" ref="Q18" si="23">+Q28+Q38</f>
        <v>0</v>
      </c>
      <c r="R18" s="31">
        <f>+P18+Q18</f>
        <v>0</v>
      </c>
      <c r="S18" s="70">
        <f t="shared" ref="S18" si="24">+S28+S38</f>
        <v>0</v>
      </c>
      <c r="T18" s="31">
        <f>+R18+S18</f>
        <v>0</v>
      </c>
      <c r="U18" s="70">
        <f t="shared" ref="U18" si="25">+U28+U38</f>
        <v>0</v>
      </c>
      <c r="V18" s="31">
        <f>+T18+U18</f>
        <v>0</v>
      </c>
      <c r="W18" s="70">
        <f t="shared" ref="W18" si="26">+W28+W38</f>
        <v>0</v>
      </c>
      <c r="X18" s="31">
        <f>+V18+W18</f>
        <v>0</v>
      </c>
      <c r="Y18" s="70">
        <f t="shared" ref="Y18" si="27">+Y28+Y38</f>
        <v>0</v>
      </c>
      <c r="Z18" s="31">
        <f>+X18+Y18</f>
        <v>0</v>
      </c>
      <c r="AA18" s="70">
        <f t="shared" ref="AA18" si="28">+AA28+AA38</f>
        <v>0</v>
      </c>
      <c r="AB18" s="31">
        <f>+Z18+AA18</f>
        <v>0</v>
      </c>
      <c r="AC18" s="70">
        <f t="shared" ref="AC18" si="29">+AC28+AC38</f>
        <v>0</v>
      </c>
      <c r="AD18" s="31">
        <f>+AB18+AC18</f>
        <v>0</v>
      </c>
      <c r="AE18" s="70">
        <f t="shared" ref="AE18" si="30">+AE28+AE38</f>
        <v>0</v>
      </c>
      <c r="AF18" s="31">
        <f>+AD18+AE18</f>
        <v>0</v>
      </c>
      <c r="AG18" s="70">
        <f t="shared" ref="AG18" si="31">+AG28+AG38</f>
        <v>0</v>
      </c>
      <c r="AH18" s="31">
        <f>+AF18+AG18</f>
        <v>0</v>
      </c>
      <c r="AI18" s="71"/>
      <c r="AJ18" s="272"/>
      <c r="AK18" s="275"/>
      <c r="AL18" s="234"/>
    </row>
    <row r="19" spans="1:40" ht="13.5" thickTop="1" x14ac:dyDescent="0.2"/>
    <row r="20" spans="1:40" s="50" customFormat="1" ht="21" thickBot="1" x14ac:dyDescent="0.35">
      <c r="A20" s="72" t="s">
        <v>88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</row>
    <row r="21" spans="1:40" s="52" customFormat="1" ht="22.9" customHeight="1" thickTop="1" x14ac:dyDescent="0.25">
      <c r="A21" s="279" t="s">
        <v>51</v>
      </c>
      <c r="B21" s="279" t="s">
        <v>37</v>
      </c>
      <c r="C21" s="279" t="s">
        <v>1</v>
      </c>
      <c r="D21" s="281" t="s">
        <v>2</v>
      </c>
      <c r="E21" s="277" t="s">
        <v>32</v>
      </c>
      <c r="F21" s="277" t="s">
        <v>40</v>
      </c>
      <c r="G21" s="277" t="s">
        <v>33</v>
      </c>
      <c r="H21" s="277" t="s">
        <v>41</v>
      </c>
      <c r="I21" s="277" t="s">
        <v>136</v>
      </c>
      <c r="J21" s="281" t="s">
        <v>3</v>
      </c>
      <c r="K21" s="281" t="s">
        <v>28</v>
      </c>
      <c r="L21" s="281" t="s">
        <v>4</v>
      </c>
      <c r="M21" s="281" t="s">
        <v>5</v>
      </c>
      <c r="N21" s="279" t="s">
        <v>6</v>
      </c>
      <c r="O21" s="281" t="s">
        <v>7</v>
      </c>
      <c r="P21" s="281" t="s">
        <v>8</v>
      </c>
      <c r="Q21" s="281" t="s">
        <v>9</v>
      </c>
      <c r="R21" s="281" t="s">
        <v>10</v>
      </c>
      <c r="S21" s="281" t="s">
        <v>11</v>
      </c>
      <c r="T21" s="279" t="s">
        <v>12</v>
      </c>
      <c r="U21" s="279" t="s">
        <v>13</v>
      </c>
      <c r="V21" s="281" t="s">
        <v>14</v>
      </c>
      <c r="W21" s="285" t="s">
        <v>15</v>
      </c>
      <c r="X21" s="281" t="s">
        <v>16</v>
      </c>
      <c r="Y21" s="281" t="s">
        <v>17</v>
      </c>
      <c r="Z21" s="281" t="s">
        <v>18</v>
      </c>
      <c r="AA21" s="281" t="s">
        <v>19</v>
      </c>
      <c r="AB21" s="281" t="s">
        <v>20</v>
      </c>
      <c r="AC21" s="281" t="s">
        <v>21</v>
      </c>
      <c r="AD21" s="281" t="s">
        <v>22</v>
      </c>
      <c r="AE21" s="279" t="s">
        <v>23</v>
      </c>
      <c r="AF21" s="281" t="s">
        <v>24</v>
      </c>
      <c r="AG21" s="281" t="s">
        <v>25</v>
      </c>
      <c r="AH21" s="277" t="s">
        <v>137</v>
      </c>
      <c r="AI21" s="281" t="s">
        <v>26</v>
      </c>
      <c r="AJ21" s="281" t="s">
        <v>27</v>
      </c>
      <c r="AK21" s="277" t="s">
        <v>60</v>
      </c>
      <c r="AL21" s="277" t="s">
        <v>59</v>
      </c>
    </row>
    <row r="22" spans="1:40" s="52" customFormat="1" ht="22.9" customHeight="1" thickBot="1" x14ac:dyDescent="0.3">
      <c r="A22" s="287"/>
      <c r="B22" s="287"/>
      <c r="C22" s="287"/>
      <c r="D22" s="283"/>
      <c r="E22" s="278"/>
      <c r="F22" s="278"/>
      <c r="G22" s="278"/>
      <c r="H22" s="278"/>
      <c r="I22" s="278"/>
      <c r="J22" s="283"/>
      <c r="K22" s="288"/>
      <c r="L22" s="283"/>
      <c r="M22" s="283"/>
      <c r="N22" s="287"/>
      <c r="O22" s="283"/>
      <c r="P22" s="283"/>
      <c r="Q22" s="283"/>
      <c r="R22" s="282"/>
      <c r="S22" s="283"/>
      <c r="T22" s="280"/>
      <c r="U22" s="280"/>
      <c r="V22" s="282"/>
      <c r="W22" s="286"/>
      <c r="X22" s="283"/>
      <c r="Y22" s="282"/>
      <c r="Z22" s="282"/>
      <c r="AA22" s="282"/>
      <c r="AB22" s="282"/>
      <c r="AC22" s="282"/>
      <c r="AD22" s="282"/>
      <c r="AE22" s="280"/>
      <c r="AF22" s="282"/>
      <c r="AG22" s="283"/>
      <c r="AH22" s="278">
        <v>2018</v>
      </c>
      <c r="AI22" s="283"/>
      <c r="AJ22" s="284"/>
      <c r="AK22" s="278"/>
      <c r="AL22" s="278"/>
    </row>
    <row r="23" spans="1:40" s="52" customFormat="1" ht="22.9" customHeight="1" thickTop="1" x14ac:dyDescent="0.25">
      <c r="A23" s="221" t="s">
        <v>113</v>
      </c>
      <c r="B23" s="140" t="s">
        <v>112</v>
      </c>
      <c r="C23" s="134" t="s">
        <v>119</v>
      </c>
      <c r="D23" s="152" t="s">
        <v>121</v>
      </c>
      <c r="E23" s="145" t="s">
        <v>61</v>
      </c>
      <c r="F23" s="145" t="s">
        <v>133</v>
      </c>
      <c r="G23" s="145" t="s">
        <v>48</v>
      </c>
      <c r="H23" s="145" t="s">
        <v>68</v>
      </c>
      <c r="I23" s="227">
        <f>+K24</f>
        <v>0.97996429279904784</v>
      </c>
      <c r="J23" s="298" t="s">
        <v>114</v>
      </c>
      <c r="K23" s="53" t="s">
        <v>43</v>
      </c>
      <c r="L23" s="21" t="s">
        <v>43</v>
      </c>
      <c r="M23" s="21" t="s">
        <v>43</v>
      </c>
      <c r="N23" s="33" t="s">
        <v>43</v>
      </c>
      <c r="O23" s="21" t="s">
        <v>43</v>
      </c>
      <c r="P23" s="54" t="s">
        <v>43</v>
      </c>
      <c r="Q23" s="21" t="s">
        <v>43</v>
      </c>
      <c r="R23" s="54" t="s">
        <v>43</v>
      </c>
      <c r="S23" s="21" t="s">
        <v>43</v>
      </c>
      <c r="T23" s="54" t="s">
        <v>43</v>
      </c>
      <c r="U23" s="21" t="s">
        <v>43</v>
      </c>
      <c r="V23" s="54" t="s">
        <v>43</v>
      </c>
      <c r="W23" s="21" t="s">
        <v>43</v>
      </c>
      <c r="X23" s="54" t="s">
        <v>43</v>
      </c>
      <c r="Y23" s="21" t="s">
        <v>43</v>
      </c>
      <c r="Z23" s="54" t="s">
        <v>43</v>
      </c>
      <c r="AA23" s="21" t="s">
        <v>43</v>
      </c>
      <c r="AB23" s="54" t="s">
        <v>43</v>
      </c>
      <c r="AC23" s="21" t="s">
        <v>43</v>
      </c>
      <c r="AD23" s="54" t="s">
        <v>43</v>
      </c>
      <c r="AE23" s="21" t="s">
        <v>43</v>
      </c>
      <c r="AF23" s="54" t="s">
        <v>43</v>
      </c>
      <c r="AG23" s="21" t="s">
        <v>43</v>
      </c>
      <c r="AH23" s="54" t="s">
        <v>43</v>
      </c>
      <c r="AI23" s="55"/>
      <c r="AJ23" s="270" t="s">
        <v>87</v>
      </c>
      <c r="AK23" s="273"/>
      <c r="AL23" s="233" t="s">
        <v>57</v>
      </c>
    </row>
    <row r="24" spans="1:40" s="52" customFormat="1" ht="22.9" customHeight="1" x14ac:dyDescent="0.25">
      <c r="A24" s="292"/>
      <c r="B24" s="141"/>
      <c r="C24" s="294"/>
      <c r="D24" s="296"/>
      <c r="E24" s="146"/>
      <c r="F24" s="146"/>
      <c r="G24" s="146"/>
      <c r="H24" s="146"/>
      <c r="I24" s="228"/>
      <c r="J24" s="299"/>
      <c r="K24" s="56">
        <f>IF(K26&lt;&gt;0,+K26/K28,0%)</f>
        <v>0.97996429279904784</v>
      </c>
      <c r="L24" s="23">
        <f>IF(L26&lt;&gt;0,+L26/L28,0%)</f>
        <v>0</v>
      </c>
      <c r="M24" s="57">
        <f>IF(M26&lt;&gt;0,+M26/M28,0%)</f>
        <v>0</v>
      </c>
      <c r="N24" s="43">
        <f t="shared" ref="N24" si="32">IF(N26&lt;&gt;0,+N26/N28,0%)</f>
        <v>0</v>
      </c>
      <c r="O24" s="57">
        <f>IF(O26&lt;&gt;0,ROUND(+O26/O28,4),0%)</f>
        <v>0</v>
      </c>
      <c r="P24" s="58">
        <f t="shared" ref="P24" si="33">IF(P26&lt;&gt;0,+P26/P28,0%)</f>
        <v>0</v>
      </c>
      <c r="Q24" s="59">
        <f>IF(Q26&lt;&gt;0,ROUND(+Q26/Q28,4),0%)</f>
        <v>0</v>
      </c>
      <c r="R24" s="58">
        <f t="shared" ref="R24" si="34">IF(R26&lt;&gt;0,+R26/R28,0%)</f>
        <v>0</v>
      </c>
      <c r="S24" s="59">
        <f>IF(S26&lt;&gt;0,ROUND(+S26/S28,4),0%)</f>
        <v>0</v>
      </c>
      <c r="T24" s="58">
        <f t="shared" ref="T24" si="35">IF(T26&lt;&gt;0,+T26/T28,0%)</f>
        <v>0</v>
      </c>
      <c r="U24" s="59">
        <f>IF(U26&lt;&gt;0,ROUND(+U26/U28,4),0%)</f>
        <v>0</v>
      </c>
      <c r="V24" s="58">
        <f t="shared" ref="V24" si="36">IF(V26&lt;&gt;0,+V26/V28,0%)</f>
        <v>0</v>
      </c>
      <c r="W24" s="59">
        <f>IF(W26&lt;&gt;0,ROUND(+W26/W28,4),0%)</f>
        <v>0</v>
      </c>
      <c r="X24" s="58">
        <f t="shared" ref="X24" si="37">IF(X26&lt;&gt;0,+X26/X28,0%)</f>
        <v>0</v>
      </c>
      <c r="Y24" s="60">
        <f>IF(Y26&lt;&gt;0,ROUND(+Y26/Y28,4),0%)</f>
        <v>0</v>
      </c>
      <c r="Z24" s="58">
        <f t="shared" ref="Z24" si="38">IF(Z26&lt;&gt;0,+Z26/Z28,0%)</f>
        <v>0</v>
      </c>
      <c r="AA24" s="59">
        <f>IF(AA26&lt;&gt;0,ROUND(+AA26/AA28,4),0%)</f>
        <v>0</v>
      </c>
      <c r="AB24" s="58">
        <f t="shared" ref="AB24" si="39">IF(AB26&lt;&gt;0,+AB26/AB28,0%)</f>
        <v>0</v>
      </c>
      <c r="AC24" s="59">
        <f>IF(AC26&lt;&gt;0,ROUND(+AC26/AC28,4),0%)</f>
        <v>0</v>
      </c>
      <c r="AD24" s="58">
        <f t="shared" ref="AD24" si="40">IF(AD26&lt;&gt;0,+AD26/AD28,0%)</f>
        <v>0</v>
      </c>
      <c r="AE24" s="59">
        <f>IF(AE26&lt;&gt;0,ROUND(+AE26/AE28,4),0%)</f>
        <v>0</v>
      </c>
      <c r="AF24" s="58">
        <f t="shared" ref="AF24" si="41">IF(AF26&lt;&gt;0,+AF26/AF28,0%)</f>
        <v>0</v>
      </c>
      <c r="AG24" s="59">
        <f>IF(AG26&lt;&gt;0,ROUND(+AG26/AG28,4),0%)</f>
        <v>0</v>
      </c>
      <c r="AH24" s="58">
        <f>IF(AH26&lt;&gt;0,+AH26/AH28,0%)</f>
        <v>0</v>
      </c>
      <c r="AI24" s="61"/>
      <c r="AJ24" s="271"/>
      <c r="AK24" s="274"/>
      <c r="AL24" s="230"/>
    </row>
    <row r="25" spans="1:40" s="52" customFormat="1" ht="22.9" customHeight="1" thickBot="1" x14ac:dyDescent="0.3">
      <c r="A25" s="292"/>
      <c r="B25" s="141"/>
      <c r="C25" s="294"/>
      <c r="D25" s="296"/>
      <c r="E25" s="146"/>
      <c r="F25" s="146"/>
      <c r="G25" s="146"/>
      <c r="H25" s="146"/>
      <c r="I25" s="228"/>
      <c r="J25" s="300"/>
      <c r="K25" s="63"/>
      <c r="L25" s="25" t="s">
        <v>44</v>
      </c>
      <c r="M25" s="25" t="s">
        <v>44</v>
      </c>
      <c r="N25" s="36" t="s">
        <v>44</v>
      </c>
      <c r="O25" s="25" t="s">
        <v>44</v>
      </c>
      <c r="P25" s="64" t="s">
        <v>44</v>
      </c>
      <c r="Q25" s="25" t="s">
        <v>44</v>
      </c>
      <c r="R25" s="64" t="s">
        <v>44</v>
      </c>
      <c r="S25" s="25" t="s">
        <v>44</v>
      </c>
      <c r="T25" s="64" t="s">
        <v>44</v>
      </c>
      <c r="U25" s="25" t="s">
        <v>44</v>
      </c>
      <c r="V25" s="64" t="s">
        <v>44</v>
      </c>
      <c r="W25" s="25" t="s">
        <v>44</v>
      </c>
      <c r="X25" s="64" t="s">
        <v>44</v>
      </c>
      <c r="Y25" s="25" t="s">
        <v>44</v>
      </c>
      <c r="Z25" s="64" t="s">
        <v>44</v>
      </c>
      <c r="AA25" s="25" t="s">
        <v>44</v>
      </c>
      <c r="AB25" s="64" t="s">
        <v>44</v>
      </c>
      <c r="AC25" s="25" t="s">
        <v>44</v>
      </c>
      <c r="AD25" s="64" t="s">
        <v>44</v>
      </c>
      <c r="AE25" s="25" t="s">
        <v>44</v>
      </c>
      <c r="AF25" s="64" t="s">
        <v>44</v>
      </c>
      <c r="AG25" s="25" t="s">
        <v>44</v>
      </c>
      <c r="AH25" s="64" t="s">
        <v>44</v>
      </c>
      <c r="AI25" s="61"/>
      <c r="AJ25" s="271"/>
      <c r="AK25" s="274"/>
      <c r="AL25" s="230"/>
    </row>
    <row r="26" spans="1:40" s="52" customFormat="1" ht="22.9" customHeight="1" thickTop="1" x14ac:dyDescent="0.25">
      <c r="A26" s="292"/>
      <c r="B26" s="141"/>
      <c r="C26" s="294"/>
      <c r="D26" s="296"/>
      <c r="E26" s="146"/>
      <c r="F26" s="146"/>
      <c r="G26" s="146"/>
      <c r="H26" s="146"/>
      <c r="I26" s="228"/>
      <c r="J26" s="298" t="s">
        <v>120</v>
      </c>
      <c r="K26" s="65">
        <v>4940</v>
      </c>
      <c r="L26" s="66"/>
      <c r="M26" s="66"/>
      <c r="N26" s="27">
        <f>SUM(L26:M26)</f>
        <v>0</v>
      </c>
      <c r="O26" s="66"/>
      <c r="P26" s="27">
        <f>SUM(N26:O26)</f>
        <v>0</v>
      </c>
      <c r="Q26" s="66"/>
      <c r="R26" s="27">
        <f>SUM(P26:Q26)</f>
        <v>0</v>
      </c>
      <c r="S26" s="66"/>
      <c r="T26" s="27">
        <f>SUM(R26:S26)</f>
        <v>0</v>
      </c>
      <c r="U26" s="66"/>
      <c r="V26" s="27">
        <f>SUM(T26:U26)</f>
        <v>0</v>
      </c>
      <c r="W26" s="66"/>
      <c r="X26" s="27">
        <f>SUM(V26:W26)</f>
        <v>0</v>
      </c>
      <c r="Y26" s="66"/>
      <c r="Z26" s="27">
        <f>SUM(X26:Y26)</f>
        <v>0</v>
      </c>
      <c r="AA26" s="66"/>
      <c r="AB26" s="27">
        <f>SUM(Z26:AA26)</f>
        <v>0</v>
      </c>
      <c r="AC26" s="66"/>
      <c r="AD26" s="27">
        <f>SUM(AB26:AC26)</f>
        <v>0</v>
      </c>
      <c r="AE26" s="66"/>
      <c r="AF26" s="27">
        <f>SUM(AD26:AE26)</f>
        <v>0</v>
      </c>
      <c r="AG26" s="66"/>
      <c r="AH26" s="27">
        <f>SUM(AF26:AG26)</f>
        <v>0</v>
      </c>
      <c r="AI26" s="67">
        <f>+AH24/K24</f>
        <v>0</v>
      </c>
      <c r="AJ26" s="271"/>
      <c r="AK26" s="274"/>
      <c r="AL26" s="230"/>
    </row>
    <row r="27" spans="1:40" s="52" customFormat="1" ht="22.9" customHeight="1" x14ac:dyDescent="0.25">
      <c r="A27" s="292"/>
      <c r="B27" s="141"/>
      <c r="C27" s="294"/>
      <c r="D27" s="296"/>
      <c r="E27" s="146"/>
      <c r="F27" s="146"/>
      <c r="G27" s="146"/>
      <c r="H27" s="146"/>
      <c r="I27" s="228"/>
      <c r="J27" s="299"/>
      <c r="K27" s="63" t="s">
        <v>45</v>
      </c>
      <c r="L27" s="29" t="s">
        <v>45</v>
      </c>
      <c r="M27" s="29" t="s">
        <v>45</v>
      </c>
      <c r="N27" s="38" t="s">
        <v>45</v>
      </c>
      <c r="O27" s="29" t="s">
        <v>45</v>
      </c>
      <c r="P27" s="38" t="s">
        <v>45</v>
      </c>
      <c r="Q27" s="29" t="s">
        <v>45</v>
      </c>
      <c r="R27" s="38" t="s">
        <v>45</v>
      </c>
      <c r="S27" s="29" t="s">
        <v>45</v>
      </c>
      <c r="T27" s="38" t="s">
        <v>45</v>
      </c>
      <c r="U27" s="29" t="s">
        <v>45</v>
      </c>
      <c r="V27" s="38" t="s">
        <v>45</v>
      </c>
      <c r="W27" s="29" t="s">
        <v>45</v>
      </c>
      <c r="X27" s="38" t="s">
        <v>45</v>
      </c>
      <c r="Y27" s="29" t="s">
        <v>45</v>
      </c>
      <c r="Z27" s="38" t="s">
        <v>45</v>
      </c>
      <c r="AA27" s="29" t="s">
        <v>45</v>
      </c>
      <c r="AB27" s="38" t="s">
        <v>45</v>
      </c>
      <c r="AC27" s="29" t="s">
        <v>45</v>
      </c>
      <c r="AD27" s="38" t="s">
        <v>45</v>
      </c>
      <c r="AE27" s="29" t="s">
        <v>45</v>
      </c>
      <c r="AF27" s="38" t="s">
        <v>45</v>
      </c>
      <c r="AG27" s="29" t="s">
        <v>45</v>
      </c>
      <c r="AH27" s="38" t="s">
        <v>45</v>
      </c>
      <c r="AI27" s="61"/>
      <c r="AJ27" s="271"/>
      <c r="AK27" s="274"/>
      <c r="AL27" s="230"/>
    </row>
    <row r="28" spans="1:40" s="52" customFormat="1" ht="22.9" customHeight="1" thickBot="1" x14ac:dyDescent="0.3">
      <c r="A28" s="293"/>
      <c r="B28" s="142"/>
      <c r="C28" s="295"/>
      <c r="D28" s="297"/>
      <c r="E28" s="146"/>
      <c r="F28" s="146"/>
      <c r="G28" s="146"/>
      <c r="H28" s="146"/>
      <c r="I28" s="229"/>
      <c r="J28" s="300"/>
      <c r="K28" s="65">
        <v>5041</v>
      </c>
      <c r="L28" s="66"/>
      <c r="M28" s="66"/>
      <c r="N28" s="31">
        <f>SUM(L28:M28)</f>
        <v>0</v>
      </c>
      <c r="O28" s="66"/>
      <c r="P28" s="31">
        <f>SUM(N28:O28)</f>
        <v>0</v>
      </c>
      <c r="Q28" s="66"/>
      <c r="R28" s="31">
        <f>SUM(P28:Q28)</f>
        <v>0</v>
      </c>
      <c r="S28" s="66"/>
      <c r="T28" s="31">
        <f>SUM(R28:S28)</f>
        <v>0</v>
      </c>
      <c r="U28" s="66"/>
      <c r="V28" s="31">
        <f>SUM(T28:U28)</f>
        <v>0</v>
      </c>
      <c r="W28" s="66"/>
      <c r="X28" s="31">
        <f>SUM(V28:W28)</f>
        <v>0</v>
      </c>
      <c r="Y28" s="66"/>
      <c r="Z28" s="31">
        <f>SUM(X28:Y28)</f>
        <v>0</v>
      </c>
      <c r="AA28" s="66"/>
      <c r="AB28" s="31">
        <f>SUM(Z28:AA28)</f>
        <v>0</v>
      </c>
      <c r="AC28" s="66"/>
      <c r="AD28" s="31">
        <f>SUM(AB28:AC28)</f>
        <v>0</v>
      </c>
      <c r="AE28" s="66"/>
      <c r="AF28" s="31">
        <f>SUM(AD28:AE28)</f>
        <v>0</v>
      </c>
      <c r="AG28" s="66"/>
      <c r="AH28" s="31">
        <f>SUM(AF28:AG28)</f>
        <v>0</v>
      </c>
      <c r="AI28" s="71"/>
      <c r="AJ28" s="272"/>
      <c r="AK28" s="275"/>
      <c r="AL28" s="234"/>
      <c r="AN28" s="73"/>
    </row>
    <row r="29" spans="1:40" ht="13.5" thickTop="1" x14ac:dyDescent="0.2"/>
    <row r="30" spans="1:40" s="50" customFormat="1" ht="21" thickBot="1" x14ac:dyDescent="0.35">
      <c r="A30" s="72" t="s">
        <v>89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</row>
    <row r="31" spans="1:40" s="52" customFormat="1" ht="22.9" customHeight="1" thickTop="1" x14ac:dyDescent="0.25">
      <c r="A31" s="279" t="s">
        <v>51</v>
      </c>
      <c r="B31" s="279" t="s">
        <v>37</v>
      </c>
      <c r="C31" s="279" t="s">
        <v>1</v>
      </c>
      <c r="D31" s="281" t="s">
        <v>2</v>
      </c>
      <c r="E31" s="277" t="s">
        <v>32</v>
      </c>
      <c r="F31" s="277" t="s">
        <v>40</v>
      </c>
      <c r="G31" s="277" t="s">
        <v>33</v>
      </c>
      <c r="H31" s="277" t="s">
        <v>41</v>
      </c>
      <c r="I31" s="277" t="s">
        <v>136</v>
      </c>
      <c r="J31" s="281" t="s">
        <v>3</v>
      </c>
      <c r="K31" s="281" t="s">
        <v>28</v>
      </c>
      <c r="L31" s="281" t="s">
        <v>4</v>
      </c>
      <c r="M31" s="281" t="s">
        <v>5</v>
      </c>
      <c r="N31" s="279" t="s">
        <v>6</v>
      </c>
      <c r="O31" s="281" t="s">
        <v>7</v>
      </c>
      <c r="P31" s="281" t="s">
        <v>8</v>
      </c>
      <c r="Q31" s="281" t="s">
        <v>9</v>
      </c>
      <c r="R31" s="281" t="s">
        <v>10</v>
      </c>
      <c r="S31" s="281" t="s">
        <v>11</v>
      </c>
      <c r="T31" s="279" t="s">
        <v>12</v>
      </c>
      <c r="U31" s="279" t="s">
        <v>13</v>
      </c>
      <c r="V31" s="281" t="s">
        <v>14</v>
      </c>
      <c r="W31" s="285" t="s">
        <v>15</v>
      </c>
      <c r="X31" s="281" t="s">
        <v>16</v>
      </c>
      <c r="Y31" s="281" t="s">
        <v>17</v>
      </c>
      <c r="Z31" s="281" t="s">
        <v>18</v>
      </c>
      <c r="AA31" s="281" t="s">
        <v>19</v>
      </c>
      <c r="AB31" s="281" t="s">
        <v>20</v>
      </c>
      <c r="AC31" s="281" t="s">
        <v>21</v>
      </c>
      <c r="AD31" s="281" t="s">
        <v>22</v>
      </c>
      <c r="AE31" s="279" t="s">
        <v>23</v>
      </c>
      <c r="AF31" s="281" t="s">
        <v>24</v>
      </c>
      <c r="AG31" s="281" t="s">
        <v>25</v>
      </c>
      <c r="AH31" s="277" t="s">
        <v>137</v>
      </c>
      <c r="AI31" s="281" t="s">
        <v>26</v>
      </c>
      <c r="AJ31" s="281" t="s">
        <v>27</v>
      </c>
      <c r="AK31" s="277" t="s">
        <v>60</v>
      </c>
      <c r="AL31" s="277" t="s">
        <v>59</v>
      </c>
    </row>
    <row r="32" spans="1:40" s="52" customFormat="1" ht="22.9" customHeight="1" thickBot="1" x14ac:dyDescent="0.3">
      <c r="A32" s="287"/>
      <c r="B32" s="287"/>
      <c r="C32" s="287"/>
      <c r="D32" s="283"/>
      <c r="E32" s="278"/>
      <c r="F32" s="278"/>
      <c r="G32" s="278"/>
      <c r="H32" s="278"/>
      <c r="I32" s="278"/>
      <c r="J32" s="283"/>
      <c r="K32" s="288"/>
      <c r="L32" s="283"/>
      <c r="M32" s="283"/>
      <c r="N32" s="287"/>
      <c r="O32" s="283"/>
      <c r="P32" s="283"/>
      <c r="Q32" s="283"/>
      <c r="R32" s="282"/>
      <c r="S32" s="283"/>
      <c r="T32" s="280"/>
      <c r="U32" s="280"/>
      <c r="V32" s="282"/>
      <c r="W32" s="286"/>
      <c r="X32" s="283"/>
      <c r="Y32" s="282"/>
      <c r="Z32" s="282"/>
      <c r="AA32" s="282"/>
      <c r="AB32" s="282"/>
      <c r="AC32" s="282"/>
      <c r="AD32" s="282"/>
      <c r="AE32" s="280"/>
      <c r="AF32" s="282"/>
      <c r="AG32" s="283"/>
      <c r="AH32" s="278">
        <v>2018</v>
      </c>
      <c r="AI32" s="283"/>
      <c r="AJ32" s="284"/>
      <c r="AK32" s="278"/>
      <c r="AL32" s="278"/>
    </row>
    <row r="33" spans="1:38" s="52" customFormat="1" ht="22.9" customHeight="1" thickTop="1" x14ac:dyDescent="0.25">
      <c r="A33" s="221" t="s">
        <v>113</v>
      </c>
      <c r="B33" s="140" t="s">
        <v>112</v>
      </c>
      <c r="C33" s="134" t="s">
        <v>119</v>
      </c>
      <c r="D33" s="152" t="s">
        <v>121</v>
      </c>
      <c r="E33" s="145" t="s">
        <v>61</v>
      </c>
      <c r="F33" s="145" t="s">
        <v>133</v>
      </c>
      <c r="G33" s="145" t="s">
        <v>48</v>
      </c>
      <c r="H33" s="145" t="s">
        <v>68</v>
      </c>
      <c r="I33" s="227">
        <f>+K34</f>
        <v>1</v>
      </c>
      <c r="J33" s="298" t="s">
        <v>114</v>
      </c>
      <c r="K33" s="53" t="s">
        <v>43</v>
      </c>
      <c r="L33" s="21" t="s">
        <v>43</v>
      </c>
      <c r="M33" s="21" t="s">
        <v>43</v>
      </c>
      <c r="N33" s="33" t="s">
        <v>43</v>
      </c>
      <c r="O33" s="21" t="s">
        <v>43</v>
      </c>
      <c r="P33" s="54" t="s">
        <v>43</v>
      </c>
      <c r="Q33" s="21" t="s">
        <v>43</v>
      </c>
      <c r="R33" s="54" t="s">
        <v>43</v>
      </c>
      <c r="S33" s="21" t="s">
        <v>43</v>
      </c>
      <c r="T33" s="54" t="s">
        <v>43</v>
      </c>
      <c r="U33" s="21" t="s">
        <v>43</v>
      </c>
      <c r="V33" s="54" t="s">
        <v>43</v>
      </c>
      <c r="W33" s="21" t="s">
        <v>43</v>
      </c>
      <c r="X33" s="54" t="s">
        <v>43</v>
      </c>
      <c r="Y33" s="21" t="s">
        <v>43</v>
      </c>
      <c r="Z33" s="54" t="s">
        <v>43</v>
      </c>
      <c r="AA33" s="21" t="s">
        <v>43</v>
      </c>
      <c r="AB33" s="54" t="s">
        <v>43</v>
      </c>
      <c r="AC33" s="21" t="s">
        <v>43</v>
      </c>
      <c r="AD33" s="54" t="s">
        <v>43</v>
      </c>
      <c r="AE33" s="21" t="s">
        <v>43</v>
      </c>
      <c r="AF33" s="54" t="s">
        <v>43</v>
      </c>
      <c r="AG33" s="21" t="s">
        <v>43</v>
      </c>
      <c r="AH33" s="54" t="s">
        <v>43</v>
      </c>
      <c r="AI33" s="55"/>
      <c r="AJ33" s="270" t="s">
        <v>87</v>
      </c>
      <c r="AK33" s="273"/>
      <c r="AL33" s="233" t="s">
        <v>57</v>
      </c>
    </row>
    <row r="34" spans="1:38" s="52" customFormat="1" ht="22.9" customHeight="1" x14ac:dyDescent="0.25">
      <c r="A34" s="292"/>
      <c r="B34" s="141"/>
      <c r="C34" s="294"/>
      <c r="D34" s="296"/>
      <c r="E34" s="146"/>
      <c r="F34" s="146"/>
      <c r="G34" s="146"/>
      <c r="H34" s="146"/>
      <c r="I34" s="228"/>
      <c r="J34" s="299"/>
      <c r="K34" s="56">
        <f>IF(K36&lt;&gt;0,+K36/K38,0%)</f>
        <v>1</v>
      </c>
      <c r="L34" s="23">
        <f>IF(L36&lt;&gt;0,+L36/L38,0%)</f>
        <v>0</v>
      </c>
      <c r="M34" s="57">
        <f>IF(M36&lt;&gt;0,+M36/M38,0%)</f>
        <v>0</v>
      </c>
      <c r="N34" s="43">
        <f t="shared" ref="N34" si="42">IF(N36&lt;&gt;0,+N36/N38,0%)</f>
        <v>0</v>
      </c>
      <c r="O34" s="57">
        <f>IF(O36&lt;&gt;0,ROUND(+O36/O38,4),0%)</f>
        <v>0</v>
      </c>
      <c r="P34" s="58">
        <f t="shared" ref="P34" si="43">IF(P36&lt;&gt;0,+P36/P38,0%)</f>
        <v>0</v>
      </c>
      <c r="Q34" s="59">
        <f>IF(Q36&lt;&gt;0,ROUND(+Q36/Q38,4),0%)</f>
        <v>0</v>
      </c>
      <c r="R34" s="58">
        <f t="shared" ref="R34" si="44">IF(R36&lt;&gt;0,+R36/R38,0%)</f>
        <v>0</v>
      </c>
      <c r="S34" s="59">
        <f>IF(S36&lt;&gt;0,ROUND(+S36/S38,4),0%)</f>
        <v>0</v>
      </c>
      <c r="T34" s="58">
        <f t="shared" ref="T34" si="45">IF(T36&lt;&gt;0,+T36/T38,0%)</f>
        <v>0</v>
      </c>
      <c r="U34" s="59">
        <f>IF(U36&lt;&gt;0,ROUND(+U36/U38,4),0%)</f>
        <v>0</v>
      </c>
      <c r="V34" s="58">
        <f t="shared" ref="V34" si="46">IF(V36&lt;&gt;0,+V36/V38,0%)</f>
        <v>0</v>
      </c>
      <c r="W34" s="59">
        <f>IF(W36&lt;&gt;0,ROUND(+W36/W38,4),0%)</f>
        <v>0</v>
      </c>
      <c r="X34" s="58">
        <f t="shared" ref="X34" si="47">IF(X36&lt;&gt;0,+X36/X38,0%)</f>
        <v>0</v>
      </c>
      <c r="Y34" s="60">
        <f>IF(Y36&lt;&gt;0,ROUND(+Y36/Y38,4),0%)</f>
        <v>0</v>
      </c>
      <c r="Z34" s="58">
        <f t="shared" ref="Z34" si="48">IF(Z36&lt;&gt;0,+Z36/Z38,0%)</f>
        <v>0</v>
      </c>
      <c r="AA34" s="59">
        <f>IF(AA36&lt;&gt;0,ROUND(+AA36/AA38,4),0%)</f>
        <v>0</v>
      </c>
      <c r="AB34" s="58">
        <f t="shared" ref="AB34" si="49">IF(AB36&lt;&gt;0,+AB36/AB38,0%)</f>
        <v>0</v>
      </c>
      <c r="AC34" s="59">
        <f>IF(AC36&lt;&gt;0,ROUND(+AC36/AC38,4),0%)</f>
        <v>0</v>
      </c>
      <c r="AD34" s="58">
        <f t="shared" ref="AD34" si="50">IF(AD36&lt;&gt;0,+AD36/AD38,0%)</f>
        <v>0</v>
      </c>
      <c r="AE34" s="59">
        <f>IF(AE36&lt;&gt;0,ROUND(+AE36/AE38,4),0%)</f>
        <v>0</v>
      </c>
      <c r="AF34" s="58">
        <f t="shared" ref="AF34" si="51">IF(AF36&lt;&gt;0,+AF36/AF38,0%)</f>
        <v>0</v>
      </c>
      <c r="AG34" s="59">
        <f>IF(AG36&lt;&gt;0,ROUND(+AG36/AG38,4),0%)</f>
        <v>0</v>
      </c>
      <c r="AH34" s="58">
        <f>IF(AH36&lt;&gt;0,+AH36/AH38,0%)</f>
        <v>0</v>
      </c>
      <c r="AI34" s="61"/>
      <c r="AJ34" s="271"/>
      <c r="AK34" s="274"/>
      <c r="AL34" s="230"/>
    </row>
    <row r="35" spans="1:38" s="52" customFormat="1" ht="22.9" customHeight="1" thickBot="1" x14ac:dyDescent="0.3">
      <c r="A35" s="292"/>
      <c r="B35" s="141"/>
      <c r="C35" s="294"/>
      <c r="D35" s="296"/>
      <c r="E35" s="146"/>
      <c r="F35" s="146"/>
      <c r="G35" s="146"/>
      <c r="H35" s="146"/>
      <c r="I35" s="228"/>
      <c r="J35" s="300"/>
      <c r="K35" s="63"/>
      <c r="L35" s="25" t="s">
        <v>44</v>
      </c>
      <c r="M35" s="25" t="s">
        <v>44</v>
      </c>
      <c r="N35" s="36" t="s">
        <v>44</v>
      </c>
      <c r="O35" s="25" t="s">
        <v>44</v>
      </c>
      <c r="P35" s="64" t="s">
        <v>44</v>
      </c>
      <c r="Q35" s="25" t="s">
        <v>44</v>
      </c>
      <c r="R35" s="64" t="s">
        <v>44</v>
      </c>
      <c r="S35" s="25" t="s">
        <v>44</v>
      </c>
      <c r="T35" s="64" t="s">
        <v>44</v>
      </c>
      <c r="U35" s="25" t="s">
        <v>44</v>
      </c>
      <c r="V35" s="64" t="s">
        <v>44</v>
      </c>
      <c r="W35" s="25" t="s">
        <v>44</v>
      </c>
      <c r="X35" s="64" t="s">
        <v>44</v>
      </c>
      <c r="Y35" s="25" t="s">
        <v>44</v>
      </c>
      <c r="Z35" s="64" t="s">
        <v>44</v>
      </c>
      <c r="AA35" s="25" t="s">
        <v>44</v>
      </c>
      <c r="AB35" s="64" t="s">
        <v>44</v>
      </c>
      <c r="AC35" s="25" t="s">
        <v>44</v>
      </c>
      <c r="AD35" s="64" t="s">
        <v>44</v>
      </c>
      <c r="AE35" s="25" t="s">
        <v>44</v>
      </c>
      <c r="AF35" s="64" t="s">
        <v>44</v>
      </c>
      <c r="AG35" s="25" t="s">
        <v>44</v>
      </c>
      <c r="AH35" s="64" t="s">
        <v>44</v>
      </c>
      <c r="AI35" s="61"/>
      <c r="AJ35" s="271"/>
      <c r="AK35" s="274"/>
      <c r="AL35" s="230"/>
    </row>
    <row r="36" spans="1:38" s="52" customFormat="1" ht="22.9" customHeight="1" thickTop="1" x14ac:dyDescent="0.25">
      <c r="A36" s="292"/>
      <c r="B36" s="141"/>
      <c r="C36" s="294"/>
      <c r="D36" s="296"/>
      <c r="E36" s="146"/>
      <c r="F36" s="146"/>
      <c r="G36" s="146"/>
      <c r="H36" s="146"/>
      <c r="I36" s="228"/>
      <c r="J36" s="298" t="s">
        <v>120</v>
      </c>
      <c r="K36" s="65">
        <v>2220</v>
      </c>
      <c r="L36" s="66"/>
      <c r="M36" s="66"/>
      <c r="N36" s="27">
        <f>SUM(L36:M36)</f>
        <v>0</v>
      </c>
      <c r="O36" s="66"/>
      <c r="P36" s="27">
        <f>SUM(N36:O36)</f>
        <v>0</v>
      </c>
      <c r="Q36" s="66"/>
      <c r="R36" s="27">
        <f>SUM(P36:Q36)</f>
        <v>0</v>
      </c>
      <c r="S36" s="66"/>
      <c r="T36" s="27">
        <f>SUM(R36:S36)</f>
        <v>0</v>
      </c>
      <c r="U36" s="66"/>
      <c r="V36" s="27">
        <f>SUM(T36:U36)</f>
        <v>0</v>
      </c>
      <c r="W36" s="66"/>
      <c r="X36" s="27">
        <f>SUM(V36:W36)</f>
        <v>0</v>
      </c>
      <c r="Y36" s="66"/>
      <c r="Z36" s="27">
        <f>SUM(X36:Y36)</f>
        <v>0</v>
      </c>
      <c r="AA36" s="66"/>
      <c r="AB36" s="27">
        <f>SUM(Z36:AA36)</f>
        <v>0</v>
      </c>
      <c r="AC36" s="66"/>
      <c r="AD36" s="27">
        <f>SUM(AB36:AC36)</f>
        <v>0</v>
      </c>
      <c r="AE36" s="66"/>
      <c r="AF36" s="27">
        <f>SUM(AD36:AE36)</f>
        <v>0</v>
      </c>
      <c r="AG36" s="66"/>
      <c r="AH36" s="27">
        <f>SUM(AF36:AG36)</f>
        <v>0</v>
      </c>
      <c r="AI36" s="67">
        <f>+AH34/K34</f>
        <v>0</v>
      </c>
      <c r="AJ36" s="271"/>
      <c r="AK36" s="274"/>
      <c r="AL36" s="230"/>
    </row>
    <row r="37" spans="1:38" s="52" customFormat="1" ht="22.9" customHeight="1" x14ac:dyDescent="0.25">
      <c r="A37" s="292"/>
      <c r="B37" s="141"/>
      <c r="C37" s="294"/>
      <c r="D37" s="296"/>
      <c r="E37" s="146"/>
      <c r="F37" s="146"/>
      <c r="G37" s="146"/>
      <c r="H37" s="146"/>
      <c r="I37" s="228"/>
      <c r="J37" s="299"/>
      <c r="K37" s="63" t="s">
        <v>45</v>
      </c>
      <c r="L37" s="29" t="s">
        <v>45</v>
      </c>
      <c r="M37" s="29" t="s">
        <v>45</v>
      </c>
      <c r="N37" s="38" t="s">
        <v>45</v>
      </c>
      <c r="O37" s="29" t="s">
        <v>45</v>
      </c>
      <c r="P37" s="38" t="s">
        <v>45</v>
      </c>
      <c r="Q37" s="29" t="s">
        <v>45</v>
      </c>
      <c r="R37" s="38" t="s">
        <v>45</v>
      </c>
      <c r="S37" s="29" t="s">
        <v>45</v>
      </c>
      <c r="T37" s="38" t="s">
        <v>45</v>
      </c>
      <c r="U37" s="29" t="s">
        <v>45</v>
      </c>
      <c r="V37" s="38" t="s">
        <v>45</v>
      </c>
      <c r="W37" s="29" t="s">
        <v>45</v>
      </c>
      <c r="X37" s="38" t="s">
        <v>45</v>
      </c>
      <c r="Y37" s="29" t="s">
        <v>45</v>
      </c>
      <c r="Z37" s="38" t="s">
        <v>45</v>
      </c>
      <c r="AA37" s="29" t="s">
        <v>45</v>
      </c>
      <c r="AB37" s="38" t="s">
        <v>45</v>
      </c>
      <c r="AC37" s="29" t="s">
        <v>45</v>
      </c>
      <c r="AD37" s="38" t="s">
        <v>45</v>
      </c>
      <c r="AE37" s="29" t="s">
        <v>45</v>
      </c>
      <c r="AF37" s="38" t="s">
        <v>45</v>
      </c>
      <c r="AG37" s="29" t="s">
        <v>45</v>
      </c>
      <c r="AH37" s="38" t="s">
        <v>45</v>
      </c>
      <c r="AI37" s="61"/>
      <c r="AJ37" s="271"/>
      <c r="AK37" s="274"/>
      <c r="AL37" s="230"/>
    </row>
    <row r="38" spans="1:38" s="52" customFormat="1" ht="22.9" customHeight="1" thickBot="1" x14ac:dyDescent="0.3">
      <c r="A38" s="293"/>
      <c r="B38" s="142"/>
      <c r="C38" s="295"/>
      <c r="D38" s="297"/>
      <c r="E38" s="146"/>
      <c r="F38" s="146"/>
      <c r="G38" s="146"/>
      <c r="H38" s="146"/>
      <c r="I38" s="229"/>
      <c r="J38" s="300"/>
      <c r="K38" s="65">
        <v>2220</v>
      </c>
      <c r="L38" s="66"/>
      <c r="M38" s="66"/>
      <c r="N38" s="31">
        <f>SUM(L38:M38)</f>
        <v>0</v>
      </c>
      <c r="O38" s="66"/>
      <c r="P38" s="31">
        <f>SUM(N38:O38)</f>
        <v>0</v>
      </c>
      <c r="Q38" s="66"/>
      <c r="R38" s="31">
        <f>SUM(P38:Q38)</f>
        <v>0</v>
      </c>
      <c r="S38" s="66"/>
      <c r="T38" s="31">
        <f>SUM(R38:S38)</f>
        <v>0</v>
      </c>
      <c r="U38" s="66"/>
      <c r="V38" s="31">
        <f>SUM(T38:U38)</f>
        <v>0</v>
      </c>
      <c r="W38" s="66"/>
      <c r="X38" s="31">
        <f>SUM(V38:W38)</f>
        <v>0</v>
      </c>
      <c r="Y38" s="66"/>
      <c r="Z38" s="31">
        <f>SUM(X38:Y38)</f>
        <v>0</v>
      </c>
      <c r="AA38" s="66"/>
      <c r="AB38" s="31">
        <f>SUM(Z38:AA38)</f>
        <v>0</v>
      </c>
      <c r="AC38" s="66"/>
      <c r="AD38" s="31">
        <f>SUM(AB38:AC38)</f>
        <v>0</v>
      </c>
      <c r="AE38" s="66"/>
      <c r="AF38" s="31">
        <f>SUM(AD38:AE38)</f>
        <v>0</v>
      </c>
      <c r="AG38" s="66"/>
      <c r="AH38" s="31">
        <f>SUM(AF38:AG38)</f>
        <v>0</v>
      </c>
      <c r="AI38" s="71"/>
      <c r="AJ38" s="272"/>
      <c r="AK38" s="275"/>
      <c r="AL38" s="234"/>
    </row>
    <row r="39" spans="1:38" ht="13.5" thickTop="1" x14ac:dyDescent="0.2"/>
  </sheetData>
  <mergeCells count="165">
    <mergeCell ref="B1:D5"/>
    <mergeCell ref="E1:M5"/>
    <mergeCell ref="N1:Q1"/>
    <mergeCell ref="N2:Q2"/>
    <mergeCell ref="N3:Q3"/>
    <mergeCell ref="N5:Q5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AJ23:AJ28"/>
    <mergeCell ref="AK23:AK28"/>
    <mergeCell ref="AL23:AL28"/>
    <mergeCell ref="J26:J28"/>
    <mergeCell ref="AJ21:AJ22"/>
    <mergeCell ref="AK21:AK22"/>
    <mergeCell ref="AL21:AL22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A31:A32"/>
    <mergeCell ref="B31:B32"/>
    <mergeCell ref="C31:C32"/>
    <mergeCell ref="D31:D32"/>
    <mergeCell ref="E31:E32"/>
    <mergeCell ref="F31:F32"/>
    <mergeCell ref="H23:H28"/>
    <mergeCell ref="I23:I28"/>
    <mergeCell ref="J23:J25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I33:I38"/>
    <mergeCell ref="J33:J35"/>
    <mergeCell ref="AJ33:AJ38"/>
    <mergeCell ref="AK33:AK38"/>
    <mergeCell ref="AL33:AL38"/>
    <mergeCell ref="J36:J38"/>
    <mergeCell ref="AK31:AK32"/>
    <mergeCell ref="AL31:AL32"/>
    <mergeCell ref="A33:A38"/>
    <mergeCell ref="B33:B38"/>
    <mergeCell ref="C33:C38"/>
    <mergeCell ref="D33:D38"/>
    <mergeCell ref="E33:E38"/>
    <mergeCell ref="F33:F38"/>
    <mergeCell ref="G33:G38"/>
    <mergeCell ref="H33:H38"/>
    <mergeCell ref="AE31:AE32"/>
    <mergeCell ref="AF31:AF32"/>
    <mergeCell ref="AG31:AG32"/>
    <mergeCell ref="AH31:AH32"/>
    <mergeCell ref="AI31:AI32"/>
    <mergeCell ref="AJ31:AJ32"/>
    <mergeCell ref="Y31:Y32"/>
    <mergeCell ref="Z31:Z32"/>
  </mergeCells>
  <conditionalFormatting sqref="K26:K28">
    <cfRule type="expression" dxfId="15" priority="4">
      <formula>#REF!=0</formula>
    </cfRule>
  </conditionalFormatting>
  <conditionalFormatting sqref="K36">
    <cfRule type="expression" dxfId="14" priority="3">
      <formula>#REF!=0</formula>
    </cfRule>
  </conditionalFormatting>
  <conditionalFormatting sqref="K37">
    <cfRule type="expression" dxfId="13" priority="2">
      <formula>#REF!=0</formula>
    </cfRule>
  </conditionalFormatting>
  <conditionalFormatting sqref="K38">
    <cfRule type="expression" dxfId="12" priority="1">
      <formula>#REF!=0</formula>
    </cfRule>
  </conditionalFormatting>
  <pageMargins left="0.7" right="0.7" top="0.75" bottom="0.75" header="0.3" footer="0.3"/>
  <pageSetup paperSize="28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DFE8-16D8-4BF2-9FD3-5E5869F59433}">
  <dimension ref="A1:AN39"/>
  <sheetViews>
    <sheetView topLeftCell="A8" workbookViewId="0">
      <pane xSplit="3" ySplit="5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B9" sqref="B9"/>
    </sheetView>
  </sheetViews>
  <sheetFormatPr baseColWidth="10" defaultRowHeight="12.75" x14ac:dyDescent="0.2"/>
  <sheetData>
    <row r="1" spans="1:40" s="10" customFormat="1" ht="12.75" customHeight="1" x14ac:dyDescent="0.25">
      <c r="B1" s="155"/>
      <c r="C1" s="155"/>
      <c r="D1" s="156"/>
      <c r="E1" s="173" t="s">
        <v>0</v>
      </c>
      <c r="F1" s="179"/>
      <c r="G1" s="179"/>
      <c r="H1" s="179"/>
      <c r="I1" s="179"/>
      <c r="J1" s="179"/>
      <c r="K1" s="179"/>
      <c r="L1" s="179"/>
      <c r="M1" s="180"/>
      <c r="N1" s="173" t="s">
        <v>38</v>
      </c>
      <c r="O1" s="174"/>
      <c r="P1" s="174"/>
      <c r="Q1" s="175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40" s="10" customFormat="1" ht="12.75" customHeight="1" x14ac:dyDescent="0.25">
      <c r="B2" s="157"/>
      <c r="C2" s="157"/>
      <c r="D2" s="158"/>
      <c r="E2" s="176"/>
      <c r="F2" s="181"/>
      <c r="G2" s="181"/>
      <c r="H2" s="181"/>
      <c r="I2" s="181"/>
      <c r="J2" s="181"/>
      <c r="K2" s="181"/>
      <c r="L2" s="181"/>
      <c r="M2" s="182"/>
      <c r="N2" s="186" t="s">
        <v>39</v>
      </c>
      <c r="O2" s="187"/>
      <c r="P2" s="187"/>
      <c r="Q2" s="18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40" s="10" customFormat="1" ht="15.75" customHeight="1" x14ac:dyDescent="0.25">
      <c r="B3" s="157"/>
      <c r="C3" s="157"/>
      <c r="D3" s="158"/>
      <c r="E3" s="176"/>
      <c r="F3" s="181"/>
      <c r="G3" s="181"/>
      <c r="H3" s="181"/>
      <c r="I3" s="181"/>
      <c r="J3" s="181"/>
      <c r="K3" s="181"/>
      <c r="L3" s="181"/>
      <c r="M3" s="182"/>
      <c r="N3" s="176"/>
      <c r="O3" s="177"/>
      <c r="P3" s="177"/>
      <c r="Q3" s="17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40" s="10" customFormat="1" ht="12.75" customHeight="1" x14ac:dyDescent="0.25">
      <c r="B4" s="157"/>
      <c r="C4" s="157"/>
      <c r="D4" s="158"/>
      <c r="E4" s="176"/>
      <c r="F4" s="181"/>
      <c r="G4" s="181"/>
      <c r="H4" s="181"/>
      <c r="I4" s="181"/>
      <c r="J4" s="181"/>
      <c r="K4" s="181"/>
      <c r="L4" s="181"/>
      <c r="M4" s="182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40" s="10" customFormat="1" ht="20.25" customHeight="1" x14ac:dyDescent="0.25">
      <c r="B5" s="159"/>
      <c r="C5" s="159"/>
      <c r="D5" s="160"/>
      <c r="E5" s="183"/>
      <c r="F5" s="184"/>
      <c r="G5" s="184"/>
      <c r="H5" s="184"/>
      <c r="I5" s="184"/>
      <c r="J5" s="184"/>
      <c r="K5" s="184"/>
      <c r="L5" s="184"/>
      <c r="M5" s="185"/>
      <c r="N5" s="190" t="s">
        <v>34</v>
      </c>
      <c r="O5" s="191"/>
      <c r="P5" s="191"/>
      <c r="Q5" s="192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40" s="3" customFormat="1" ht="15.75" customHeight="1" x14ac:dyDescent="0.2">
      <c r="B6" s="167" t="s">
        <v>29</v>
      </c>
      <c r="C6" s="168"/>
      <c r="D6" s="169"/>
      <c r="E6" s="170" t="s">
        <v>36</v>
      </c>
      <c r="F6" s="171"/>
      <c r="G6" s="171"/>
      <c r="H6" s="171"/>
      <c r="I6" s="171"/>
      <c r="J6" s="171"/>
      <c r="K6" s="171"/>
      <c r="L6" s="171"/>
      <c r="M6" s="172"/>
      <c r="N6" s="170" t="s">
        <v>35</v>
      </c>
      <c r="O6" s="171"/>
      <c r="P6" s="171"/>
      <c r="Q6" s="17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40" s="10" customFormat="1" ht="16.5" customHeight="1" x14ac:dyDescent="0.2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40" s="10" customFormat="1" ht="15.75" x14ac:dyDescent="0.25">
      <c r="B8" s="4" t="s">
        <v>135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40" s="10" customFormat="1" ht="16.5" customHeight="1" x14ac:dyDescent="0.2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40" s="10" customFormat="1" ht="16.5" customHeight="1" thickBot="1" x14ac:dyDescent="0.3">
      <c r="B10" s="4"/>
      <c r="C10" s="7"/>
      <c r="D10" s="7"/>
      <c r="E10" s="15"/>
      <c r="L10" s="16"/>
      <c r="M10" s="11"/>
      <c r="N10" s="11"/>
      <c r="O10" s="11"/>
      <c r="P10" s="11"/>
      <c r="Q10" s="17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40" s="52" customFormat="1" ht="22.9" customHeight="1" thickTop="1" x14ac:dyDescent="0.25">
      <c r="A11" s="279" t="s">
        <v>51</v>
      </c>
      <c r="B11" s="279" t="s">
        <v>37</v>
      </c>
      <c r="C11" s="279" t="s">
        <v>1</v>
      </c>
      <c r="D11" s="281" t="s">
        <v>2</v>
      </c>
      <c r="E11" s="277" t="s">
        <v>32</v>
      </c>
      <c r="F11" s="277" t="s">
        <v>40</v>
      </c>
      <c r="G11" s="277" t="s">
        <v>33</v>
      </c>
      <c r="H11" s="277" t="s">
        <v>41</v>
      </c>
      <c r="I11" s="277" t="s">
        <v>136</v>
      </c>
      <c r="J11" s="281" t="s">
        <v>3</v>
      </c>
      <c r="K11" s="281" t="s">
        <v>28</v>
      </c>
      <c r="L11" s="281" t="s">
        <v>4</v>
      </c>
      <c r="M11" s="281" t="s">
        <v>5</v>
      </c>
      <c r="N11" s="279" t="s">
        <v>6</v>
      </c>
      <c r="O11" s="281" t="s">
        <v>7</v>
      </c>
      <c r="P11" s="281" t="s">
        <v>8</v>
      </c>
      <c r="Q11" s="281" t="s">
        <v>9</v>
      </c>
      <c r="R11" s="281" t="s">
        <v>10</v>
      </c>
      <c r="S11" s="281" t="s">
        <v>11</v>
      </c>
      <c r="T11" s="279" t="s">
        <v>12</v>
      </c>
      <c r="U11" s="279" t="s">
        <v>13</v>
      </c>
      <c r="V11" s="281" t="s">
        <v>14</v>
      </c>
      <c r="W11" s="285" t="s">
        <v>15</v>
      </c>
      <c r="X11" s="281" t="s">
        <v>16</v>
      </c>
      <c r="Y11" s="281" t="s">
        <v>17</v>
      </c>
      <c r="Z11" s="281" t="s">
        <v>18</v>
      </c>
      <c r="AA11" s="281" t="s">
        <v>19</v>
      </c>
      <c r="AB11" s="281" t="s">
        <v>20</v>
      </c>
      <c r="AC11" s="281" t="s">
        <v>21</v>
      </c>
      <c r="AD11" s="281" t="s">
        <v>22</v>
      </c>
      <c r="AE11" s="279" t="s">
        <v>23</v>
      </c>
      <c r="AF11" s="281" t="s">
        <v>24</v>
      </c>
      <c r="AG11" s="281" t="s">
        <v>25</v>
      </c>
      <c r="AH11" s="277" t="s">
        <v>137</v>
      </c>
      <c r="AI11" s="281" t="s">
        <v>26</v>
      </c>
      <c r="AJ11" s="281" t="s">
        <v>27</v>
      </c>
      <c r="AK11" s="277" t="s">
        <v>60</v>
      </c>
      <c r="AL11" s="277" t="s">
        <v>59</v>
      </c>
    </row>
    <row r="12" spans="1:40" s="52" customFormat="1" ht="22.9" customHeight="1" thickBot="1" x14ac:dyDescent="0.3">
      <c r="A12" s="287"/>
      <c r="B12" s="287"/>
      <c r="C12" s="287"/>
      <c r="D12" s="283"/>
      <c r="E12" s="278"/>
      <c r="F12" s="278"/>
      <c r="G12" s="278"/>
      <c r="H12" s="278"/>
      <c r="I12" s="278"/>
      <c r="J12" s="283"/>
      <c r="K12" s="288"/>
      <c r="L12" s="283"/>
      <c r="M12" s="283"/>
      <c r="N12" s="287"/>
      <c r="O12" s="283"/>
      <c r="P12" s="283"/>
      <c r="Q12" s="283"/>
      <c r="R12" s="282"/>
      <c r="S12" s="283"/>
      <c r="T12" s="280"/>
      <c r="U12" s="280"/>
      <c r="V12" s="282"/>
      <c r="W12" s="286"/>
      <c r="X12" s="283"/>
      <c r="Y12" s="282"/>
      <c r="Z12" s="282"/>
      <c r="AA12" s="282"/>
      <c r="AB12" s="282"/>
      <c r="AC12" s="282"/>
      <c r="AD12" s="282"/>
      <c r="AE12" s="280"/>
      <c r="AF12" s="282"/>
      <c r="AG12" s="283"/>
      <c r="AH12" s="278">
        <v>2018</v>
      </c>
      <c r="AI12" s="283"/>
      <c r="AJ12" s="284"/>
      <c r="AK12" s="278"/>
      <c r="AL12" s="278"/>
    </row>
    <row r="13" spans="1:40" s="52" customFormat="1" ht="22.9" customHeight="1" thickTop="1" x14ac:dyDescent="0.25">
      <c r="A13" s="210" t="s">
        <v>116</v>
      </c>
      <c r="B13" s="141" t="s">
        <v>52</v>
      </c>
      <c r="C13" s="128" t="s">
        <v>117</v>
      </c>
      <c r="D13" s="131" t="s">
        <v>65</v>
      </c>
      <c r="E13" s="145" t="s">
        <v>61</v>
      </c>
      <c r="F13" s="145" t="s">
        <v>133</v>
      </c>
      <c r="G13" s="145" t="s">
        <v>48</v>
      </c>
      <c r="H13" s="145" t="s">
        <v>68</v>
      </c>
      <c r="I13" s="264">
        <f>+K14</f>
        <v>0.85</v>
      </c>
      <c r="J13" s="267" t="s">
        <v>62</v>
      </c>
      <c r="K13" s="53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54" t="s">
        <v>43</v>
      </c>
      <c r="Q13" s="21" t="s">
        <v>43</v>
      </c>
      <c r="R13" s="54" t="s">
        <v>43</v>
      </c>
      <c r="S13" s="21" t="s">
        <v>43</v>
      </c>
      <c r="T13" s="54" t="s">
        <v>43</v>
      </c>
      <c r="U13" s="21" t="s">
        <v>43</v>
      </c>
      <c r="V13" s="54" t="s">
        <v>43</v>
      </c>
      <c r="W13" s="21" t="s">
        <v>43</v>
      </c>
      <c r="X13" s="54" t="s">
        <v>43</v>
      </c>
      <c r="Y13" s="21" t="s">
        <v>43</v>
      </c>
      <c r="Z13" s="54" t="s">
        <v>43</v>
      </c>
      <c r="AA13" s="21" t="s">
        <v>43</v>
      </c>
      <c r="AB13" s="54" t="s">
        <v>43</v>
      </c>
      <c r="AC13" s="21" t="s">
        <v>43</v>
      </c>
      <c r="AD13" s="54" t="s">
        <v>43</v>
      </c>
      <c r="AE13" s="21" t="s">
        <v>43</v>
      </c>
      <c r="AF13" s="54" t="s">
        <v>43</v>
      </c>
      <c r="AG13" s="21" t="s">
        <v>43</v>
      </c>
      <c r="AH13" s="54" t="s">
        <v>43</v>
      </c>
      <c r="AI13" s="55"/>
      <c r="AJ13" s="270" t="s">
        <v>87</v>
      </c>
      <c r="AK13" s="273"/>
      <c r="AL13" s="233" t="s">
        <v>57</v>
      </c>
    </row>
    <row r="14" spans="1:40" s="52" customFormat="1" ht="22.9" customHeight="1" x14ac:dyDescent="0.25">
      <c r="A14" s="211"/>
      <c r="B14" s="218"/>
      <c r="C14" s="129"/>
      <c r="D14" s="143"/>
      <c r="E14" s="146"/>
      <c r="F14" s="146"/>
      <c r="G14" s="146"/>
      <c r="H14" s="146"/>
      <c r="I14" s="265"/>
      <c r="J14" s="268"/>
      <c r="K14" s="56">
        <f>IF(K16&lt;&gt;0,+K16/K18,0%)</f>
        <v>0.85</v>
      </c>
      <c r="L14" s="23">
        <f>IF(L16&lt;&gt;0,+L16/L18,0%)</f>
        <v>0</v>
      </c>
      <c r="M14" s="57">
        <f>IF(M16&lt;&gt;0,+M16/M18,0%)</f>
        <v>0</v>
      </c>
      <c r="N14" s="43">
        <f t="shared" ref="N14" si="0">IF(N16&lt;&gt;0,+N16/N18,0%)</f>
        <v>0</v>
      </c>
      <c r="O14" s="57">
        <f>IF(O16&lt;&gt;0,ROUND(+O16/O18,4),0%)</f>
        <v>0</v>
      </c>
      <c r="P14" s="58">
        <f t="shared" ref="P14" si="1">IF(P16&lt;&gt;0,+P16/P18,0%)</f>
        <v>0</v>
      </c>
      <c r="Q14" s="59">
        <f>IF(Q16&lt;&gt;0,ROUND(+Q16/Q18,4),0%)</f>
        <v>0</v>
      </c>
      <c r="R14" s="58">
        <f t="shared" ref="R14" si="2">IF(R16&lt;&gt;0,+R16/R18,0%)</f>
        <v>0</v>
      </c>
      <c r="S14" s="59">
        <f>IF(S16&lt;&gt;0,ROUND(+S16/S18,4),0%)</f>
        <v>0</v>
      </c>
      <c r="T14" s="58">
        <f t="shared" ref="T14" si="3">IF(T16&lt;&gt;0,+T16/T18,0%)</f>
        <v>0</v>
      </c>
      <c r="U14" s="59">
        <f>IF(U16&lt;&gt;0,ROUND(+U16/U18,4),0%)</f>
        <v>0</v>
      </c>
      <c r="V14" s="58">
        <f t="shared" ref="V14" si="4">IF(V16&lt;&gt;0,+V16/V18,0%)</f>
        <v>0</v>
      </c>
      <c r="W14" s="59">
        <f>IF(W16&lt;&gt;0,ROUND(+W16/W18,4),0%)</f>
        <v>0</v>
      </c>
      <c r="X14" s="58">
        <f t="shared" ref="X14" si="5">IF(X16&lt;&gt;0,+X16/X18,0%)</f>
        <v>0</v>
      </c>
      <c r="Y14" s="60">
        <f>IF(Y16&lt;&gt;0,ROUND(+Y16/Y18,4),0%)</f>
        <v>0</v>
      </c>
      <c r="Z14" s="58">
        <f t="shared" ref="Z14" si="6">IF(Z16&lt;&gt;0,+Z16/Z18,0%)</f>
        <v>0</v>
      </c>
      <c r="AA14" s="59">
        <f>IF(AA16&lt;&gt;0,ROUND(+AA16/AA18,4),0%)</f>
        <v>0</v>
      </c>
      <c r="AB14" s="58">
        <f t="shared" ref="AB14" si="7">IF(AB16&lt;&gt;0,+AB16/AB18,0%)</f>
        <v>0</v>
      </c>
      <c r="AC14" s="59">
        <f>IF(AC16&lt;&gt;0,ROUND(+AC16/AC18,4),0%)</f>
        <v>0</v>
      </c>
      <c r="AD14" s="58">
        <f t="shared" ref="AD14" si="8">IF(AD16&lt;&gt;0,+AD16/AD18,0%)</f>
        <v>0</v>
      </c>
      <c r="AE14" s="59">
        <f>IF(AE16&lt;&gt;0,ROUND(+AE16/AE18,4),0%)</f>
        <v>0</v>
      </c>
      <c r="AF14" s="58">
        <f t="shared" ref="AF14" si="9">IF(AF16&lt;&gt;0,+AF16/AF18,0%)</f>
        <v>0</v>
      </c>
      <c r="AG14" s="59">
        <f>IF(AG16&lt;&gt;0,ROUND(+AG16/AG18,4),0%)</f>
        <v>0</v>
      </c>
      <c r="AH14" s="58">
        <f>IF(AH16&lt;&gt;0,+AH16/AH18,0%)</f>
        <v>0</v>
      </c>
      <c r="AI14" s="61"/>
      <c r="AJ14" s="271"/>
      <c r="AK14" s="274"/>
      <c r="AL14" s="230"/>
      <c r="AN14" s="62"/>
    </row>
    <row r="15" spans="1:40" s="52" customFormat="1" ht="22.9" customHeight="1" thickBot="1" x14ac:dyDescent="0.3">
      <c r="A15" s="211"/>
      <c r="B15" s="218"/>
      <c r="C15" s="129"/>
      <c r="D15" s="143"/>
      <c r="E15" s="146"/>
      <c r="F15" s="146"/>
      <c r="G15" s="146"/>
      <c r="H15" s="146"/>
      <c r="I15" s="265"/>
      <c r="J15" s="269"/>
      <c r="K15" s="63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64" t="s">
        <v>44</v>
      </c>
      <c r="Q15" s="25" t="s">
        <v>44</v>
      </c>
      <c r="R15" s="64" t="s">
        <v>44</v>
      </c>
      <c r="S15" s="25" t="s">
        <v>44</v>
      </c>
      <c r="T15" s="64" t="s">
        <v>44</v>
      </c>
      <c r="U15" s="25" t="s">
        <v>44</v>
      </c>
      <c r="V15" s="64" t="s">
        <v>44</v>
      </c>
      <c r="W15" s="25" t="s">
        <v>44</v>
      </c>
      <c r="X15" s="64" t="s">
        <v>44</v>
      </c>
      <c r="Y15" s="25" t="s">
        <v>44</v>
      </c>
      <c r="Z15" s="64" t="s">
        <v>44</v>
      </c>
      <c r="AA15" s="25" t="s">
        <v>44</v>
      </c>
      <c r="AB15" s="64" t="s">
        <v>44</v>
      </c>
      <c r="AC15" s="25" t="s">
        <v>44</v>
      </c>
      <c r="AD15" s="64" t="s">
        <v>44</v>
      </c>
      <c r="AE15" s="25" t="s">
        <v>44</v>
      </c>
      <c r="AF15" s="64" t="s">
        <v>44</v>
      </c>
      <c r="AG15" s="25" t="s">
        <v>44</v>
      </c>
      <c r="AH15" s="64" t="s">
        <v>44</v>
      </c>
      <c r="AI15" s="61"/>
      <c r="AJ15" s="271"/>
      <c r="AK15" s="274"/>
      <c r="AL15" s="230"/>
    </row>
    <row r="16" spans="1:40" s="52" customFormat="1" ht="22.9" customHeight="1" thickTop="1" x14ac:dyDescent="0.25">
      <c r="A16" s="211"/>
      <c r="B16" s="218"/>
      <c r="C16" s="129"/>
      <c r="D16" s="143"/>
      <c r="E16" s="146"/>
      <c r="F16" s="146"/>
      <c r="G16" s="146"/>
      <c r="H16" s="146"/>
      <c r="I16" s="265"/>
      <c r="J16" s="268" t="s">
        <v>42</v>
      </c>
      <c r="K16" s="41">
        <f>+'CDC 2025'!L16</f>
        <v>25500</v>
      </c>
      <c r="L16" s="66">
        <f t="shared" ref="L16:M16" si="10">+L26+L36</f>
        <v>0</v>
      </c>
      <c r="M16" s="66">
        <f t="shared" si="10"/>
        <v>0</v>
      </c>
      <c r="N16" s="27">
        <f>+L16+M16</f>
        <v>0</v>
      </c>
      <c r="O16" s="66">
        <f t="shared" ref="O16" si="11">+O26+O36</f>
        <v>0</v>
      </c>
      <c r="P16" s="27">
        <f>+N16+O16</f>
        <v>0</v>
      </c>
      <c r="Q16" s="66">
        <f t="shared" ref="Q16" si="12">+Q26+Q36</f>
        <v>0</v>
      </c>
      <c r="R16" s="27">
        <f>+P16+Q16</f>
        <v>0</v>
      </c>
      <c r="S16" s="66">
        <f t="shared" ref="S16" si="13">+S26+S36</f>
        <v>0</v>
      </c>
      <c r="T16" s="27">
        <f>+R16+S16</f>
        <v>0</v>
      </c>
      <c r="U16" s="66">
        <f t="shared" ref="U16" si="14">+U26+U36</f>
        <v>0</v>
      </c>
      <c r="V16" s="27">
        <f>+T16+U16</f>
        <v>0</v>
      </c>
      <c r="W16" s="66">
        <f t="shared" ref="W16" si="15">+W26+W36</f>
        <v>0</v>
      </c>
      <c r="X16" s="27">
        <f>+V16+W16</f>
        <v>0</v>
      </c>
      <c r="Y16" s="66">
        <f t="shared" ref="Y16" si="16">+Y26+Y36</f>
        <v>0</v>
      </c>
      <c r="Z16" s="27">
        <f>+X16+Y16</f>
        <v>0</v>
      </c>
      <c r="AA16" s="66">
        <f t="shared" ref="AA16" si="17">+AA26+AA36</f>
        <v>0</v>
      </c>
      <c r="AB16" s="27">
        <f>+Z16+AA16</f>
        <v>0</v>
      </c>
      <c r="AC16" s="66">
        <f t="shared" ref="AC16" si="18">+AC26+AC36</f>
        <v>0</v>
      </c>
      <c r="AD16" s="27">
        <f>+AB16+AC16</f>
        <v>0</v>
      </c>
      <c r="AE16" s="66">
        <f t="shared" ref="AE16" si="19">+AE26+AE36</f>
        <v>0</v>
      </c>
      <c r="AF16" s="27">
        <f>+AD16+AE16</f>
        <v>0</v>
      </c>
      <c r="AG16" s="66">
        <f t="shared" ref="AG16" si="20">+AG26+AG36</f>
        <v>0</v>
      </c>
      <c r="AH16" s="27">
        <f>+AF16+AG16</f>
        <v>0</v>
      </c>
      <c r="AI16" s="67">
        <f>AH14/K14</f>
        <v>0</v>
      </c>
      <c r="AJ16" s="271"/>
      <c r="AK16" s="274"/>
      <c r="AL16" s="230"/>
    </row>
    <row r="17" spans="1:40" s="52" customFormat="1" ht="22.9" customHeight="1" x14ac:dyDescent="0.25">
      <c r="A17" s="211"/>
      <c r="B17" s="218"/>
      <c r="C17" s="129"/>
      <c r="D17" s="143"/>
      <c r="E17" s="146"/>
      <c r="F17" s="146"/>
      <c r="G17" s="146"/>
      <c r="H17" s="146"/>
      <c r="I17" s="265"/>
      <c r="J17" s="276"/>
      <c r="K17" s="29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68" t="s">
        <v>45</v>
      </c>
      <c r="Q17" s="29" t="s">
        <v>45</v>
      </c>
      <c r="R17" s="68" t="s">
        <v>45</v>
      </c>
      <c r="S17" s="29" t="s">
        <v>45</v>
      </c>
      <c r="T17" s="68" t="s">
        <v>45</v>
      </c>
      <c r="U17" s="29" t="s">
        <v>45</v>
      </c>
      <c r="V17" s="68" t="s">
        <v>45</v>
      </c>
      <c r="W17" s="29" t="s">
        <v>45</v>
      </c>
      <c r="X17" s="68" t="s">
        <v>45</v>
      </c>
      <c r="Y17" s="29" t="s">
        <v>45</v>
      </c>
      <c r="Z17" s="68" t="s">
        <v>45</v>
      </c>
      <c r="AA17" s="29" t="s">
        <v>45</v>
      </c>
      <c r="AB17" s="68" t="s">
        <v>45</v>
      </c>
      <c r="AC17" s="29" t="s">
        <v>45</v>
      </c>
      <c r="AD17" s="68" t="s">
        <v>45</v>
      </c>
      <c r="AE17" s="29" t="s">
        <v>45</v>
      </c>
      <c r="AF17" s="68" t="s">
        <v>45</v>
      </c>
      <c r="AG17" s="29" t="s">
        <v>45</v>
      </c>
      <c r="AH17" s="68" t="s">
        <v>45</v>
      </c>
      <c r="AI17" s="61"/>
      <c r="AJ17" s="271"/>
      <c r="AK17" s="274"/>
      <c r="AL17" s="230"/>
    </row>
    <row r="18" spans="1:40" s="52" customFormat="1" ht="22.9" customHeight="1" thickBot="1" x14ac:dyDescent="0.3">
      <c r="A18" s="212"/>
      <c r="B18" s="219"/>
      <c r="C18" s="130"/>
      <c r="D18" s="144"/>
      <c r="E18" s="146"/>
      <c r="F18" s="146"/>
      <c r="G18" s="146"/>
      <c r="H18" s="146"/>
      <c r="I18" s="266"/>
      <c r="J18" s="269"/>
      <c r="K18" s="41">
        <f>+'CDC 2025'!L18</f>
        <v>30000</v>
      </c>
      <c r="L18" s="70">
        <f t="shared" ref="L18:M18" si="21">+L28+L38</f>
        <v>0</v>
      </c>
      <c r="M18" s="70">
        <f t="shared" si="21"/>
        <v>0</v>
      </c>
      <c r="N18" s="31">
        <f>+L18+M18</f>
        <v>0</v>
      </c>
      <c r="O18" s="70">
        <f t="shared" ref="O18" si="22">+O28+O38</f>
        <v>0</v>
      </c>
      <c r="P18" s="31">
        <f>+N18+O18</f>
        <v>0</v>
      </c>
      <c r="Q18" s="70">
        <f t="shared" ref="Q18" si="23">+Q28+Q38</f>
        <v>0</v>
      </c>
      <c r="R18" s="31">
        <f>+P18+Q18</f>
        <v>0</v>
      </c>
      <c r="S18" s="70">
        <f t="shared" ref="S18" si="24">+S28+S38</f>
        <v>0</v>
      </c>
      <c r="T18" s="31">
        <f>+R18+S18</f>
        <v>0</v>
      </c>
      <c r="U18" s="70">
        <f t="shared" ref="U18" si="25">+U28+U38</f>
        <v>0</v>
      </c>
      <c r="V18" s="31">
        <f>+T18+U18</f>
        <v>0</v>
      </c>
      <c r="W18" s="70">
        <f t="shared" ref="W18" si="26">+W28+W38</f>
        <v>0</v>
      </c>
      <c r="X18" s="31">
        <f>+V18+W18</f>
        <v>0</v>
      </c>
      <c r="Y18" s="70">
        <f t="shared" ref="Y18" si="27">+Y28+Y38</f>
        <v>0</v>
      </c>
      <c r="Z18" s="31">
        <f>+X18+Y18</f>
        <v>0</v>
      </c>
      <c r="AA18" s="70">
        <f t="shared" ref="AA18" si="28">+AA28+AA38</f>
        <v>0</v>
      </c>
      <c r="AB18" s="31">
        <f>+Z18+AA18</f>
        <v>0</v>
      </c>
      <c r="AC18" s="70">
        <f t="shared" ref="AC18" si="29">+AC28+AC38</f>
        <v>0</v>
      </c>
      <c r="AD18" s="31">
        <f>+AB18+AC18</f>
        <v>0</v>
      </c>
      <c r="AE18" s="70">
        <f t="shared" ref="AE18" si="30">+AE28+AE38</f>
        <v>0</v>
      </c>
      <c r="AF18" s="31">
        <f>+AD18+AE18</f>
        <v>0</v>
      </c>
      <c r="AG18" s="70">
        <f t="shared" ref="AG18" si="31">+AG28+AG38</f>
        <v>0</v>
      </c>
      <c r="AH18" s="31">
        <f>+AF18+AG18</f>
        <v>0</v>
      </c>
      <c r="AI18" s="71"/>
      <c r="AJ18" s="272"/>
      <c r="AK18" s="275"/>
      <c r="AL18" s="234"/>
    </row>
    <row r="19" spans="1:40" ht="13.5" thickTop="1" x14ac:dyDescent="0.2"/>
    <row r="20" spans="1:40" s="50" customFormat="1" ht="21" thickBot="1" x14ac:dyDescent="0.35">
      <c r="A20" s="72" t="s">
        <v>88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</row>
    <row r="21" spans="1:40" s="52" customFormat="1" ht="22.9" customHeight="1" thickTop="1" x14ac:dyDescent="0.25">
      <c r="A21" s="279" t="s">
        <v>51</v>
      </c>
      <c r="B21" s="279" t="s">
        <v>37</v>
      </c>
      <c r="C21" s="279" t="s">
        <v>1</v>
      </c>
      <c r="D21" s="281" t="s">
        <v>2</v>
      </c>
      <c r="E21" s="277" t="s">
        <v>32</v>
      </c>
      <c r="F21" s="277" t="s">
        <v>40</v>
      </c>
      <c r="G21" s="277" t="s">
        <v>33</v>
      </c>
      <c r="H21" s="277" t="s">
        <v>41</v>
      </c>
      <c r="I21" s="277" t="s">
        <v>136</v>
      </c>
      <c r="J21" s="281" t="s">
        <v>3</v>
      </c>
      <c r="K21" s="281" t="s">
        <v>28</v>
      </c>
      <c r="L21" s="281" t="s">
        <v>4</v>
      </c>
      <c r="M21" s="281" t="s">
        <v>5</v>
      </c>
      <c r="N21" s="279" t="s">
        <v>6</v>
      </c>
      <c r="O21" s="281" t="s">
        <v>7</v>
      </c>
      <c r="P21" s="281" t="s">
        <v>8</v>
      </c>
      <c r="Q21" s="281" t="s">
        <v>9</v>
      </c>
      <c r="R21" s="281" t="s">
        <v>10</v>
      </c>
      <c r="S21" s="281" t="s">
        <v>11</v>
      </c>
      <c r="T21" s="279" t="s">
        <v>12</v>
      </c>
      <c r="U21" s="279" t="s">
        <v>13</v>
      </c>
      <c r="V21" s="281" t="s">
        <v>14</v>
      </c>
      <c r="W21" s="285" t="s">
        <v>15</v>
      </c>
      <c r="X21" s="281" t="s">
        <v>16</v>
      </c>
      <c r="Y21" s="281" t="s">
        <v>17</v>
      </c>
      <c r="Z21" s="281" t="s">
        <v>18</v>
      </c>
      <c r="AA21" s="281" t="s">
        <v>19</v>
      </c>
      <c r="AB21" s="281" t="s">
        <v>20</v>
      </c>
      <c r="AC21" s="281" t="s">
        <v>21</v>
      </c>
      <c r="AD21" s="281" t="s">
        <v>22</v>
      </c>
      <c r="AE21" s="279" t="s">
        <v>23</v>
      </c>
      <c r="AF21" s="281" t="s">
        <v>24</v>
      </c>
      <c r="AG21" s="281" t="s">
        <v>25</v>
      </c>
      <c r="AH21" s="277" t="s">
        <v>137</v>
      </c>
      <c r="AI21" s="281" t="s">
        <v>26</v>
      </c>
      <c r="AJ21" s="281" t="s">
        <v>27</v>
      </c>
      <c r="AK21" s="277" t="s">
        <v>60</v>
      </c>
      <c r="AL21" s="277" t="s">
        <v>59</v>
      </c>
    </row>
    <row r="22" spans="1:40" s="52" customFormat="1" ht="22.9" customHeight="1" thickBot="1" x14ac:dyDescent="0.3">
      <c r="A22" s="287"/>
      <c r="B22" s="287"/>
      <c r="C22" s="287"/>
      <c r="D22" s="283"/>
      <c r="E22" s="278"/>
      <c r="F22" s="278"/>
      <c r="G22" s="278"/>
      <c r="H22" s="278"/>
      <c r="I22" s="278"/>
      <c r="J22" s="283"/>
      <c r="K22" s="288"/>
      <c r="L22" s="283"/>
      <c r="M22" s="283"/>
      <c r="N22" s="287"/>
      <c r="O22" s="283"/>
      <c r="P22" s="283"/>
      <c r="Q22" s="283"/>
      <c r="R22" s="282"/>
      <c r="S22" s="283"/>
      <c r="T22" s="280"/>
      <c r="U22" s="280"/>
      <c r="V22" s="282"/>
      <c r="W22" s="286"/>
      <c r="X22" s="283"/>
      <c r="Y22" s="282"/>
      <c r="Z22" s="282"/>
      <c r="AA22" s="282"/>
      <c r="AB22" s="282"/>
      <c r="AC22" s="282"/>
      <c r="AD22" s="282"/>
      <c r="AE22" s="280"/>
      <c r="AF22" s="282"/>
      <c r="AG22" s="283"/>
      <c r="AH22" s="278">
        <v>2018</v>
      </c>
      <c r="AI22" s="283"/>
      <c r="AJ22" s="284"/>
      <c r="AK22" s="278"/>
      <c r="AL22" s="278"/>
    </row>
    <row r="23" spans="1:40" s="52" customFormat="1" ht="22.9" customHeight="1" thickTop="1" x14ac:dyDescent="0.25">
      <c r="A23" s="210" t="s">
        <v>116</v>
      </c>
      <c r="B23" s="141" t="s">
        <v>52</v>
      </c>
      <c r="C23" s="128" t="s">
        <v>117</v>
      </c>
      <c r="D23" s="131" t="s">
        <v>65</v>
      </c>
      <c r="E23" s="145" t="s">
        <v>61</v>
      </c>
      <c r="F23" s="145" t="s">
        <v>133</v>
      </c>
      <c r="G23" s="145" t="s">
        <v>48</v>
      </c>
      <c r="H23" s="145" t="s">
        <v>68</v>
      </c>
      <c r="I23" s="264">
        <f>+K24</f>
        <v>0.85656608584785376</v>
      </c>
      <c r="J23" s="267" t="s">
        <v>62</v>
      </c>
      <c r="K23" s="53" t="s">
        <v>43</v>
      </c>
      <c r="L23" s="21" t="s">
        <v>43</v>
      </c>
      <c r="M23" s="21" t="s">
        <v>43</v>
      </c>
      <c r="N23" s="33" t="s">
        <v>43</v>
      </c>
      <c r="O23" s="21" t="s">
        <v>43</v>
      </c>
      <c r="P23" s="54" t="s">
        <v>43</v>
      </c>
      <c r="Q23" s="21" t="s">
        <v>43</v>
      </c>
      <c r="R23" s="54" t="s">
        <v>43</v>
      </c>
      <c r="S23" s="21" t="s">
        <v>43</v>
      </c>
      <c r="T23" s="54" t="s">
        <v>43</v>
      </c>
      <c r="U23" s="21" t="s">
        <v>43</v>
      </c>
      <c r="V23" s="54" t="s">
        <v>43</v>
      </c>
      <c r="W23" s="21" t="s">
        <v>43</v>
      </c>
      <c r="X23" s="54" t="s">
        <v>43</v>
      </c>
      <c r="Y23" s="21" t="s">
        <v>43</v>
      </c>
      <c r="Z23" s="54" t="s">
        <v>43</v>
      </c>
      <c r="AA23" s="21" t="s">
        <v>43</v>
      </c>
      <c r="AB23" s="54" t="s">
        <v>43</v>
      </c>
      <c r="AC23" s="21" t="s">
        <v>43</v>
      </c>
      <c r="AD23" s="54" t="s">
        <v>43</v>
      </c>
      <c r="AE23" s="21" t="s">
        <v>43</v>
      </c>
      <c r="AF23" s="54" t="s">
        <v>43</v>
      </c>
      <c r="AG23" s="21" t="s">
        <v>43</v>
      </c>
      <c r="AH23" s="54" t="s">
        <v>43</v>
      </c>
      <c r="AI23" s="55"/>
      <c r="AJ23" s="270" t="s">
        <v>87</v>
      </c>
      <c r="AK23" s="273"/>
      <c r="AL23" s="233" t="s">
        <v>57</v>
      </c>
    </row>
    <row r="24" spans="1:40" s="52" customFormat="1" ht="22.9" customHeight="1" x14ac:dyDescent="0.25">
      <c r="A24" s="211"/>
      <c r="B24" s="218"/>
      <c r="C24" s="129"/>
      <c r="D24" s="143"/>
      <c r="E24" s="146"/>
      <c r="F24" s="146"/>
      <c r="G24" s="146"/>
      <c r="H24" s="146"/>
      <c r="I24" s="265"/>
      <c r="J24" s="268"/>
      <c r="K24" s="56">
        <f>IF(K26&lt;&gt;0,+K26/K28,0%)</f>
        <v>0.85656608584785376</v>
      </c>
      <c r="L24" s="23">
        <f>IF(L26&lt;&gt;0,+L26/L28,0%)</f>
        <v>0</v>
      </c>
      <c r="M24" s="57">
        <f>IF(M26&lt;&gt;0,+M26/M28,0%)</f>
        <v>0</v>
      </c>
      <c r="N24" s="43">
        <f t="shared" ref="N24" si="32">IF(N26&lt;&gt;0,+N26/N28,0%)</f>
        <v>0</v>
      </c>
      <c r="O24" s="57">
        <f>IF(O26&lt;&gt;0,ROUND(+O26/O28,4),0%)</f>
        <v>0</v>
      </c>
      <c r="P24" s="58">
        <f t="shared" ref="P24" si="33">IF(P26&lt;&gt;0,+P26/P28,0%)</f>
        <v>0</v>
      </c>
      <c r="Q24" s="59">
        <f>IF(Q26&lt;&gt;0,ROUND(+Q26/Q28,4),0%)</f>
        <v>0</v>
      </c>
      <c r="R24" s="58">
        <f t="shared" ref="R24" si="34">IF(R26&lt;&gt;0,+R26/R28,0%)</f>
        <v>0</v>
      </c>
      <c r="S24" s="59">
        <f>IF(S26&lt;&gt;0,ROUND(+S26/S28,4),0%)</f>
        <v>0</v>
      </c>
      <c r="T24" s="58">
        <f t="shared" ref="T24" si="35">IF(T26&lt;&gt;0,+T26/T28,0%)</f>
        <v>0</v>
      </c>
      <c r="U24" s="59">
        <f>IF(U26&lt;&gt;0,ROUND(+U26/U28,4),0%)</f>
        <v>0</v>
      </c>
      <c r="V24" s="58">
        <f t="shared" ref="V24" si="36">IF(V26&lt;&gt;0,+V26/V28,0%)</f>
        <v>0</v>
      </c>
      <c r="W24" s="59">
        <f>IF(W26&lt;&gt;0,ROUND(+W26/W28,4),0%)</f>
        <v>0</v>
      </c>
      <c r="X24" s="58">
        <f t="shared" ref="X24" si="37">IF(X26&lt;&gt;0,+X26/X28,0%)</f>
        <v>0</v>
      </c>
      <c r="Y24" s="60">
        <f>IF(Y26&lt;&gt;0,ROUND(+Y26/Y28,4),0%)</f>
        <v>0</v>
      </c>
      <c r="Z24" s="58">
        <f t="shared" ref="Z24" si="38">IF(Z26&lt;&gt;0,+Z26/Z28,0%)</f>
        <v>0</v>
      </c>
      <c r="AA24" s="59">
        <f>IF(AA26&lt;&gt;0,ROUND(+AA26/AA28,4),0%)</f>
        <v>0</v>
      </c>
      <c r="AB24" s="58">
        <f t="shared" ref="AB24" si="39">IF(AB26&lt;&gt;0,+AB26/AB28,0%)</f>
        <v>0</v>
      </c>
      <c r="AC24" s="59">
        <f>IF(AC26&lt;&gt;0,ROUND(+AC26/AC28,4),0%)</f>
        <v>0</v>
      </c>
      <c r="AD24" s="58">
        <f t="shared" ref="AD24" si="40">IF(AD26&lt;&gt;0,+AD26/AD28,0%)</f>
        <v>0</v>
      </c>
      <c r="AE24" s="59">
        <f>IF(AE26&lt;&gt;0,ROUND(+AE26/AE28,4),0%)</f>
        <v>0</v>
      </c>
      <c r="AF24" s="58">
        <f t="shared" ref="AF24" si="41">IF(AF26&lt;&gt;0,+AF26/AF28,0%)</f>
        <v>0</v>
      </c>
      <c r="AG24" s="59">
        <f>IF(AG26&lt;&gt;0,ROUND(+AG26/AG28,4),0%)</f>
        <v>0</v>
      </c>
      <c r="AH24" s="58">
        <f>IF(AH26&lt;&gt;0,+AH26/AH28,0%)</f>
        <v>0</v>
      </c>
      <c r="AI24" s="61"/>
      <c r="AJ24" s="271"/>
      <c r="AK24" s="274"/>
      <c r="AL24" s="230"/>
    </row>
    <row r="25" spans="1:40" s="52" customFormat="1" ht="22.9" customHeight="1" thickBot="1" x14ac:dyDescent="0.3">
      <c r="A25" s="211"/>
      <c r="B25" s="218"/>
      <c r="C25" s="129"/>
      <c r="D25" s="143"/>
      <c r="E25" s="146"/>
      <c r="F25" s="146"/>
      <c r="G25" s="146"/>
      <c r="H25" s="146"/>
      <c r="I25" s="265"/>
      <c r="J25" s="269"/>
      <c r="K25" s="63"/>
      <c r="L25" s="25" t="s">
        <v>44</v>
      </c>
      <c r="M25" s="25" t="s">
        <v>44</v>
      </c>
      <c r="N25" s="36" t="s">
        <v>44</v>
      </c>
      <c r="O25" s="25" t="s">
        <v>44</v>
      </c>
      <c r="P25" s="64" t="s">
        <v>44</v>
      </c>
      <c r="Q25" s="25" t="s">
        <v>44</v>
      </c>
      <c r="R25" s="64" t="s">
        <v>44</v>
      </c>
      <c r="S25" s="25" t="s">
        <v>44</v>
      </c>
      <c r="T25" s="64" t="s">
        <v>44</v>
      </c>
      <c r="U25" s="25" t="s">
        <v>44</v>
      </c>
      <c r="V25" s="64" t="s">
        <v>44</v>
      </c>
      <c r="W25" s="25" t="s">
        <v>44</v>
      </c>
      <c r="X25" s="64" t="s">
        <v>44</v>
      </c>
      <c r="Y25" s="25" t="s">
        <v>44</v>
      </c>
      <c r="Z25" s="64" t="s">
        <v>44</v>
      </c>
      <c r="AA25" s="25" t="s">
        <v>44</v>
      </c>
      <c r="AB25" s="64" t="s">
        <v>44</v>
      </c>
      <c r="AC25" s="25" t="s">
        <v>44</v>
      </c>
      <c r="AD25" s="64" t="s">
        <v>44</v>
      </c>
      <c r="AE25" s="25" t="s">
        <v>44</v>
      </c>
      <c r="AF25" s="64" t="s">
        <v>44</v>
      </c>
      <c r="AG25" s="25" t="s">
        <v>44</v>
      </c>
      <c r="AH25" s="64" t="s">
        <v>44</v>
      </c>
      <c r="AI25" s="61"/>
      <c r="AJ25" s="271"/>
      <c r="AK25" s="274"/>
      <c r="AL25" s="230"/>
    </row>
    <row r="26" spans="1:40" s="52" customFormat="1" ht="22.9" customHeight="1" thickTop="1" x14ac:dyDescent="0.25">
      <c r="A26" s="211"/>
      <c r="B26" s="218"/>
      <c r="C26" s="129"/>
      <c r="D26" s="143"/>
      <c r="E26" s="146"/>
      <c r="F26" s="146"/>
      <c r="G26" s="146"/>
      <c r="H26" s="146"/>
      <c r="I26" s="265"/>
      <c r="J26" s="268" t="s">
        <v>42</v>
      </c>
      <c r="K26" s="65">
        <v>16124</v>
      </c>
      <c r="L26" s="66"/>
      <c r="M26" s="66"/>
      <c r="N26" s="27">
        <f>SUM(L26:M26)</f>
        <v>0</v>
      </c>
      <c r="O26" s="66"/>
      <c r="P26" s="27">
        <f>SUM(N26:O26)</f>
        <v>0</v>
      </c>
      <c r="Q26" s="66"/>
      <c r="R26" s="27">
        <f>SUM(P26:Q26)</f>
        <v>0</v>
      </c>
      <c r="S26" s="66"/>
      <c r="T26" s="27">
        <f>SUM(R26:S26)</f>
        <v>0</v>
      </c>
      <c r="U26" s="66"/>
      <c r="V26" s="27">
        <f>SUM(T26:U26)</f>
        <v>0</v>
      </c>
      <c r="W26" s="66"/>
      <c r="X26" s="27">
        <f>SUM(V26:W26)</f>
        <v>0</v>
      </c>
      <c r="Y26" s="66"/>
      <c r="Z26" s="27">
        <f>SUM(X26:Y26)</f>
        <v>0</v>
      </c>
      <c r="AA26" s="66"/>
      <c r="AB26" s="27">
        <f>SUM(Z26:AA26)</f>
        <v>0</v>
      </c>
      <c r="AC26" s="66"/>
      <c r="AD26" s="27">
        <f>SUM(AB26:AC26)</f>
        <v>0</v>
      </c>
      <c r="AE26" s="66"/>
      <c r="AF26" s="27">
        <f>SUM(AD26:AE26)</f>
        <v>0</v>
      </c>
      <c r="AG26" s="66"/>
      <c r="AH26" s="27">
        <f>SUM(AF26:AG26)</f>
        <v>0</v>
      </c>
      <c r="AI26" s="67">
        <f>+AH24/K24</f>
        <v>0</v>
      </c>
      <c r="AJ26" s="271"/>
      <c r="AK26" s="274"/>
      <c r="AL26" s="230"/>
    </row>
    <row r="27" spans="1:40" s="52" customFormat="1" ht="22.9" customHeight="1" x14ac:dyDescent="0.25">
      <c r="A27" s="211"/>
      <c r="B27" s="218"/>
      <c r="C27" s="129"/>
      <c r="D27" s="143"/>
      <c r="E27" s="146"/>
      <c r="F27" s="146"/>
      <c r="G27" s="146"/>
      <c r="H27" s="146"/>
      <c r="I27" s="265"/>
      <c r="J27" s="276"/>
      <c r="K27" s="63" t="s">
        <v>45</v>
      </c>
      <c r="L27" s="29" t="s">
        <v>45</v>
      </c>
      <c r="M27" s="29" t="s">
        <v>45</v>
      </c>
      <c r="N27" s="38" t="s">
        <v>45</v>
      </c>
      <c r="O27" s="29" t="s">
        <v>45</v>
      </c>
      <c r="P27" s="38" t="s">
        <v>45</v>
      </c>
      <c r="Q27" s="29" t="s">
        <v>45</v>
      </c>
      <c r="R27" s="38" t="s">
        <v>45</v>
      </c>
      <c r="S27" s="29" t="s">
        <v>45</v>
      </c>
      <c r="T27" s="38" t="s">
        <v>45</v>
      </c>
      <c r="U27" s="29" t="s">
        <v>45</v>
      </c>
      <c r="V27" s="38" t="s">
        <v>45</v>
      </c>
      <c r="W27" s="29" t="s">
        <v>45</v>
      </c>
      <c r="X27" s="38" t="s">
        <v>45</v>
      </c>
      <c r="Y27" s="29" t="s">
        <v>45</v>
      </c>
      <c r="Z27" s="38" t="s">
        <v>45</v>
      </c>
      <c r="AA27" s="29" t="s">
        <v>45</v>
      </c>
      <c r="AB27" s="38" t="s">
        <v>45</v>
      </c>
      <c r="AC27" s="29" t="s">
        <v>45</v>
      </c>
      <c r="AD27" s="38" t="s">
        <v>45</v>
      </c>
      <c r="AE27" s="29" t="s">
        <v>45</v>
      </c>
      <c r="AF27" s="38" t="s">
        <v>45</v>
      </c>
      <c r="AG27" s="29" t="s">
        <v>45</v>
      </c>
      <c r="AH27" s="38" t="s">
        <v>45</v>
      </c>
      <c r="AI27" s="61"/>
      <c r="AJ27" s="271"/>
      <c r="AK27" s="274"/>
      <c r="AL27" s="230"/>
    </row>
    <row r="28" spans="1:40" s="52" customFormat="1" ht="22.9" customHeight="1" thickBot="1" x14ac:dyDescent="0.3">
      <c r="A28" s="212"/>
      <c r="B28" s="219"/>
      <c r="C28" s="130"/>
      <c r="D28" s="144"/>
      <c r="E28" s="146"/>
      <c r="F28" s="146"/>
      <c r="G28" s="146"/>
      <c r="H28" s="146"/>
      <c r="I28" s="266"/>
      <c r="J28" s="269"/>
      <c r="K28" s="65">
        <v>18824</v>
      </c>
      <c r="L28" s="66"/>
      <c r="M28" s="66"/>
      <c r="N28" s="31">
        <f>SUM(L28:M28)</f>
        <v>0</v>
      </c>
      <c r="O28" s="66"/>
      <c r="P28" s="31">
        <f>SUM(N28:O28)</f>
        <v>0</v>
      </c>
      <c r="Q28" s="66"/>
      <c r="R28" s="31">
        <f>SUM(P28:Q28)</f>
        <v>0</v>
      </c>
      <c r="S28" s="66"/>
      <c r="T28" s="31">
        <f>SUM(R28:S28)</f>
        <v>0</v>
      </c>
      <c r="U28" s="66"/>
      <c r="V28" s="31">
        <f>SUM(T28:U28)</f>
        <v>0</v>
      </c>
      <c r="W28" s="66"/>
      <c r="X28" s="31">
        <f>SUM(V28:W28)</f>
        <v>0</v>
      </c>
      <c r="Y28" s="66"/>
      <c r="Z28" s="31">
        <f>SUM(X28:Y28)</f>
        <v>0</v>
      </c>
      <c r="AA28" s="66"/>
      <c r="AB28" s="31">
        <f>SUM(Z28:AA28)</f>
        <v>0</v>
      </c>
      <c r="AC28" s="66"/>
      <c r="AD28" s="31">
        <f>SUM(AB28:AC28)</f>
        <v>0</v>
      </c>
      <c r="AE28" s="66"/>
      <c r="AF28" s="31">
        <f>SUM(AD28:AE28)</f>
        <v>0</v>
      </c>
      <c r="AG28" s="66"/>
      <c r="AH28" s="31">
        <f>SUM(AF28:AG28)</f>
        <v>0</v>
      </c>
      <c r="AI28" s="71"/>
      <c r="AJ28" s="272"/>
      <c r="AK28" s="275"/>
      <c r="AL28" s="234"/>
      <c r="AN28" s="73"/>
    </row>
    <row r="29" spans="1:40" ht="13.5" thickTop="1" x14ac:dyDescent="0.2"/>
    <row r="30" spans="1:40" s="50" customFormat="1" ht="21" thickBot="1" x14ac:dyDescent="0.35">
      <c r="A30" s="72" t="s">
        <v>89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</row>
    <row r="31" spans="1:40" s="52" customFormat="1" ht="22.9" customHeight="1" thickTop="1" x14ac:dyDescent="0.25">
      <c r="A31" s="279" t="s">
        <v>51</v>
      </c>
      <c r="B31" s="279" t="s">
        <v>37</v>
      </c>
      <c r="C31" s="279" t="s">
        <v>1</v>
      </c>
      <c r="D31" s="281" t="s">
        <v>2</v>
      </c>
      <c r="E31" s="277" t="s">
        <v>32</v>
      </c>
      <c r="F31" s="277" t="s">
        <v>40</v>
      </c>
      <c r="G31" s="277" t="s">
        <v>33</v>
      </c>
      <c r="H31" s="277" t="s">
        <v>41</v>
      </c>
      <c r="I31" s="277" t="s">
        <v>136</v>
      </c>
      <c r="J31" s="281" t="s">
        <v>3</v>
      </c>
      <c r="K31" s="281" t="s">
        <v>28</v>
      </c>
      <c r="L31" s="281" t="s">
        <v>4</v>
      </c>
      <c r="M31" s="281" t="s">
        <v>5</v>
      </c>
      <c r="N31" s="279" t="s">
        <v>6</v>
      </c>
      <c r="O31" s="281" t="s">
        <v>7</v>
      </c>
      <c r="P31" s="281" t="s">
        <v>8</v>
      </c>
      <c r="Q31" s="281" t="s">
        <v>9</v>
      </c>
      <c r="R31" s="281" t="s">
        <v>10</v>
      </c>
      <c r="S31" s="281" t="s">
        <v>11</v>
      </c>
      <c r="T31" s="279" t="s">
        <v>12</v>
      </c>
      <c r="U31" s="279" t="s">
        <v>13</v>
      </c>
      <c r="V31" s="281" t="s">
        <v>14</v>
      </c>
      <c r="W31" s="285" t="s">
        <v>15</v>
      </c>
      <c r="X31" s="281" t="s">
        <v>16</v>
      </c>
      <c r="Y31" s="281" t="s">
        <v>17</v>
      </c>
      <c r="Z31" s="281" t="s">
        <v>18</v>
      </c>
      <c r="AA31" s="281" t="s">
        <v>19</v>
      </c>
      <c r="AB31" s="281" t="s">
        <v>20</v>
      </c>
      <c r="AC31" s="281" t="s">
        <v>21</v>
      </c>
      <c r="AD31" s="281" t="s">
        <v>22</v>
      </c>
      <c r="AE31" s="279" t="s">
        <v>23</v>
      </c>
      <c r="AF31" s="281" t="s">
        <v>24</v>
      </c>
      <c r="AG31" s="281" t="s">
        <v>25</v>
      </c>
      <c r="AH31" s="277" t="s">
        <v>137</v>
      </c>
      <c r="AI31" s="281" t="s">
        <v>26</v>
      </c>
      <c r="AJ31" s="281" t="s">
        <v>27</v>
      </c>
      <c r="AK31" s="277" t="s">
        <v>60</v>
      </c>
      <c r="AL31" s="277" t="s">
        <v>59</v>
      </c>
    </row>
    <row r="32" spans="1:40" s="52" customFormat="1" ht="22.9" customHeight="1" thickBot="1" x14ac:dyDescent="0.3">
      <c r="A32" s="287"/>
      <c r="B32" s="287"/>
      <c r="C32" s="287"/>
      <c r="D32" s="283"/>
      <c r="E32" s="278"/>
      <c r="F32" s="278"/>
      <c r="G32" s="278"/>
      <c r="H32" s="278"/>
      <c r="I32" s="278"/>
      <c r="J32" s="283"/>
      <c r="K32" s="288"/>
      <c r="L32" s="283"/>
      <c r="M32" s="283"/>
      <c r="N32" s="287"/>
      <c r="O32" s="283"/>
      <c r="P32" s="283"/>
      <c r="Q32" s="283"/>
      <c r="R32" s="282"/>
      <c r="S32" s="283"/>
      <c r="T32" s="280"/>
      <c r="U32" s="280"/>
      <c r="V32" s="282"/>
      <c r="W32" s="286"/>
      <c r="X32" s="283"/>
      <c r="Y32" s="282"/>
      <c r="Z32" s="282"/>
      <c r="AA32" s="282"/>
      <c r="AB32" s="282"/>
      <c r="AC32" s="282"/>
      <c r="AD32" s="282"/>
      <c r="AE32" s="280"/>
      <c r="AF32" s="282"/>
      <c r="AG32" s="283"/>
      <c r="AH32" s="278">
        <v>2018</v>
      </c>
      <c r="AI32" s="283"/>
      <c r="AJ32" s="284"/>
      <c r="AK32" s="278"/>
      <c r="AL32" s="278"/>
    </row>
    <row r="33" spans="1:38" s="52" customFormat="1" ht="22.9" customHeight="1" thickTop="1" x14ac:dyDescent="0.25">
      <c r="A33" s="210" t="s">
        <v>116</v>
      </c>
      <c r="B33" s="141" t="s">
        <v>52</v>
      </c>
      <c r="C33" s="128" t="s">
        <v>117</v>
      </c>
      <c r="D33" s="131" t="s">
        <v>65</v>
      </c>
      <c r="E33" s="145" t="s">
        <v>61</v>
      </c>
      <c r="F33" s="145" t="s">
        <v>133</v>
      </c>
      <c r="G33" s="145" t="s">
        <v>48</v>
      </c>
      <c r="H33" s="145" t="s">
        <v>68</v>
      </c>
      <c r="I33" s="264">
        <f>+K34</f>
        <v>0.83894058697208307</v>
      </c>
      <c r="J33" s="267" t="s">
        <v>62</v>
      </c>
      <c r="K33" s="53" t="s">
        <v>43</v>
      </c>
      <c r="L33" s="21" t="s">
        <v>43</v>
      </c>
      <c r="M33" s="21" t="s">
        <v>43</v>
      </c>
      <c r="N33" s="33" t="s">
        <v>43</v>
      </c>
      <c r="O33" s="21" t="s">
        <v>43</v>
      </c>
      <c r="P33" s="54" t="s">
        <v>43</v>
      </c>
      <c r="Q33" s="21" t="s">
        <v>43</v>
      </c>
      <c r="R33" s="54" t="s">
        <v>43</v>
      </c>
      <c r="S33" s="21" t="s">
        <v>43</v>
      </c>
      <c r="T33" s="54" t="s">
        <v>43</v>
      </c>
      <c r="U33" s="21" t="s">
        <v>43</v>
      </c>
      <c r="V33" s="54" t="s">
        <v>43</v>
      </c>
      <c r="W33" s="21" t="s">
        <v>43</v>
      </c>
      <c r="X33" s="54" t="s">
        <v>43</v>
      </c>
      <c r="Y33" s="21" t="s">
        <v>43</v>
      </c>
      <c r="Z33" s="54" t="s">
        <v>43</v>
      </c>
      <c r="AA33" s="21" t="s">
        <v>43</v>
      </c>
      <c r="AB33" s="54" t="s">
        <v>43</v>
      </c>
      <c r="AC33" s="21" t="s">
        <v>43</v>
      </c>
      <c r="AD33" s="54" t="s">
        <v>43</v>
      </c>
      <c r="AE33" s="21" t="s">
        <v>43</v>
      </c>
      <c r="AF33" s="54" t="s">
        <v>43</v>
      </c>
      <c r="AG33" s="21" t="s">
        <v>43</v>
      </c>
      <c r="AH33" s="54" t="s">
        <v>43</v>
      </c>
      <c r="AI33" s="55"/>
      <c r="AJ33" s="270" t="s">
        <v>87</v>
      </c>
      <c r="AK33" s="273"/>
      <c r="AL33" s="233" t="s">
        <v>57</v>
      </c>
    </row>
    <row r="34" spans="1:38" s="52" customFormat="1" ht="22.9" customHeight="1" x14ac:dyDescent="0.25">
      <c r="A34" s="211"/>
      <c r="B34" s="218"/>
      <c r="C34" s="129"/>
      <c r="D34" s="143"/>
      <c r="E34" s="146"/>
      <c r="F34" s="146"/>
      <c r="G34" s="146"/>
      <c r="H34" s="146"/>
      <c r="I34" s="265"/>
      <c r="J34" s="268"/>
      <c r="K34" s="56">
        <f>IF(K36&lt;&gt;0,+K36/K38,0%)</f>
        <v>0.83894058697208307</v>
      </c>
      <c r="L34" s="23">
        <f>IF(L36&lt;&gt;0,+L36/L38,0%)</f>
        <v>0</v>
      </c>
      <c r="M34" s="57">
        <f>IF(M36&lt;&gt;0,+M36/M38,0%)</f>
        <v>0</v>
      </c>
      <c r="N34" s="43">
        <f t="shared" ref="N34" si="42">IF(N36&lt;&gt;0,+N36/N38,0%)</f>
        <v>0</v>
      </c>
      <c r="O34" s="57">
        <f>IF(O36&lt;&gt;0,ROUND(+O36/O38,4),0%)</f>
        <v>0</v>
      </c>
      <c r="P34" s="58">
        <f t="shared" ref="P34" si="43">IF(P36&lt;&gt;0,+P36/P38,0%)</f>
        <v>0</v>
      </c>
      <c r="Q34" s="59">
        <f>IF(Q36&lt;&gt;0,ROUND(+Q36/Q38,4),0%)</f>
        <v>0</v>
      </c>
      <c r="R34" s="58">
        <f t="shared" ref="R34" si="44">IF(R36&lt;&gt;0,+R36/R38,0%)</f>
        <v>0</v>
      </c>
      <c r="S34" s="59">
        <f>IF(S36&lt;&gt;0,ROUND(+S36/S38,4),0%)</f>
        <v>0</v>
      </c>
      <c r="T34" s="58">
        <f t="shared" ref="T34" si="45">IF(T36&lt;&gt;0,+T36/T38,0%)</f>
        <v>0</v>
      </c>
      <c r="U34" s="59">
        <f>IF(U36&lt;&gt;0,ROUND(+U36/U38,4),0%)</f>
        <v>0</v>
      </c>
      <c r="V34" s="58">
        <f t="shared" ref="V34" si="46">IF(V36&lt;&gt;0,+V36/V38,0%)</f>
        <v>0</v>
      </c>
      <c r="W34" s="59">
        <f>IF(W36&lt;&gt;0,ROUND(+W36/W38,4),0%)</f>
        <v>0</v>
      </c>
      <c r="X34" s="58">
        <f t="shared" ref="X34" si="47">IF(X36&lt;&gt;0,+X36/X38,0%)</f>
        <v>0</v>
      </c>
      <c r="Y34" s="60">
        <f>IF(Y36&lt;&gt;0,ROUND(+Y36/Y38,4),0%)</f>
        <v>0</v>
      </c>
      <c r="Z34" s="58">
        <f t="shared" ref="Z34" si="48">IF(Z36&lt;&gt;0,+Z36/Z38,0%)</f>
        <v>0</v>
      </c>
      <c r="AA34" s="59">
        <f>IF(AA36&lt;&gt;0,ROUND(+AA36/AA38,4),0%)</f>
        <v>0</v>
      </c>
      <c r="AB34" s="58">
        <f t="shared" ref="AB34" si="49">IF(AB36&lt;&gt;0,+AB36/AB38,0%)</f>
        <v>0</v>
      </c>
      <c r="AC34" s="59">
        <f>IF(AC36&lt;&gt;0,ROUND(+AC36/AC38,4),0%)</f>
        <v>0</v>
      </c>
      <c r="AD34" s="58">
        <f t="shared" ref="AD34" si="50">IF(AD36&lt;&gt;0,+AD36/AD38,0%)</f>
        <v>0</v>
      </c>
      <c r="AE34" s="59">
        <f>IF(AE36&lt;&gt;0,ROUND(+AE36/AE38,4),0%)</f>
        <v>0</v>
      </c>
      <c r="AF34" s="58">
        <f t="shared" ref="AF34" si="51">IF(AF36&lt;&gt;0,+AF36/AF38,0%)</f>
        <v>0</v>
      </c>
      <c r="AG34" s="59">
        <f>IF(AG36&lt;&gt;0,ROUND(+AG36/AG38,4),0%)</f>
        <v>0</v>
      </c>
      <c r="AH34" s="58">
        <f>IF(AH36&lt;&gt;0,+AH36/AH38,0%)</f>
        <v>0</v>
      </c>
      <c r="AI34" s="61"/>
      <c r="AJ34" s="271"/>
      <c r="AK34" s="274"/>
      <c r="AL34" s="230"/>
    </row>
    <row r="35" spans="1:38" s="52" customFormat="1" ht="22.9" customHeight="1" thickBot="1" x14ac:dyDescent="0.3">
      <c r="A35" s="211"/>
      <c r="B35" s="218"/>
      <c r="C35" s="129"/>
      <c r="D35" s="143"/>
      <c r="E35" s="146"/>
      <c r="F35" s="146"/>
      <c r="G35" s="146"/>
      <c r="H35" s="146"/>
      <c r="I35" s="265"/>
      <c r="J35" s="269"/>
      <c r="K35" s="63"/>
      <c r="L35" s="25" t="s">
        <v>44</v>
      </c>
      <c r="M35" s="25" t="s">
        <v>44</v>
      </c>
      <c r="N35" s="36" t="s">
        <v>44</v>
      </c>
      <c r="O35" s="25" t="s">
        <v>44</v>
      </c>
      <c r="P35" s="64" t="s">
        <v>44</v>
      </c>
      <c r="Q35" s="25" t="s">
        <v>44</v>
      </c>
      <c r="R35" s="64" t="s">
        <v>44</v>
      </c>
      <c r="S35" s="25" t="s">
        <v>44</v>
      </c>
      <c r="T35" s="64" t="s">
        <v>44</v>
      </c>
      <c r="U35" s="25" t="s">
        <v>44</v>
      </c>
      <c r="V35" s="64" t="s">
        <v>44</v>
      </c>
      <c r="W35" s="25" t="s">
        <v>44</v>
      </c>
      <c r="X35" s="64" t="s">
        <v>44</v>
      </c>
      <c r="Y35" s="25" t="s">
        <v>44</v>
      </c>
      <c r="Z35" s="64" t="s">
        <v>44</v>
      </c>
      <c r="AA35" s="25" t="s">
        <v>44</v>
      </c>
      <c r="AB35" s="64" t="s">
        <v>44</v>
      </c>
      <c r="AC35" s="25" t="s">
        <v>44</v>
      </c>
      <c r="AD35" s="64" t="s">
        <v>44</v>
      </c>
      <c r="AE35" s="25" t="s">
        <v>44</v>
      </c>
      <c r="AF35" s="64" t="s">
        <v>44</v>
      </c>
      <c r="AG35" s="25" t="s">
        <v>44</v>
      </c>
      <c r="AH35" s="64" t="s">
        <v>44</v>
      </c>
      <c r="AI35" s="61"/>
      <c r="AJ35" s="271"/>
      <c r="AK35" s="274"/>
      <c r="AL35" s="230"/>
    </row>
    <row r="36" spans="1:38" s="52" customFormat="1" ht="22.9" customHeight="1" thickTop="1" x14ac:dyDescent="0.25">
      <c r="A36" s="211"/>
      <c r="B36" s="218"/>
      <c r="C36" s="129"/>
      <c r="D36" s="143"/>
      <c r="E36" s="146"/>
      <c r="F36" s="146"/>
      <c r="G36" s="146"/>
      <c r="H36" s="146"/>
      <c r="I36" s="265"/>
      <c r="J36" s="268" t="s">
        <v>42</v>
      </c>
      <c r="K36" s="65">
        <v>9376</v>
      </c>
      <c r="L36" s="66"/>
      <c r="M36" s="66"/>
      <c r="N36" s="27">
        <f>SUM(L36:M36)</f>
        <v>0</v>
      </c>
      <c r="O36" s="66"/>
      <c r="P36" s="27">
        <f>SUM(N36:O36)</f>
        <v>0</v>
      </c>
      <c r="Q36" s="66"/>
      <c r="R36" s="27">
        <f>SUM(P36:Q36)</f>
        <v>0</v>
      </c>
      <c r="S36" s="66"/>
      <c r="T36" s="27">
        <f>SUM(R36:S36)</f>
        <v>0</v>
      </c>
      <c r="U36" s="66"/>
      <c r="V36" s="27">
        <f>SUM(T36:U36)</f>
        <v>0</v>
      </c>
      <c r="W36" s="66"/>
      <c r="X36" s="27">
        <f>SUM(V36:W36)</f>
        <v>0</v>
      </c>
      <c r="Y36" s="66"/>
      <c r="Z36" s="27">
        <f>SUM(X36:Y36)</f>
        <v>0</v>
      </c>
      <c r="AA36" s="66"/>
      <c r="AB36" s="27">
        <f>SUM(Z36:AA36)</f>
        <v>0</v>
      </c>
      <c r="AC36" s="66"/>
      <c r="AD36" s="27">
        <f>SUM(AB36:AC36)</f>
        <v>0</v>
      </c>
      <c r="AE36" s="66"/>
      <c r="AF36" s="27">
        <f>SUM(AD36:AE36)</f>
        <v>0</v>
      </c>
      <c r="AG36" s="66"/>
      <c r="AH36" s="27">
        <f>SUM(AF36:AG36)</f>
        <v>0</v>
      </c>
      <c r="AI36" s="67">
        <f>+AH34/K34</f>
        <v>0</v>
      </c>
      <c r="AJ36" s="271"/>
      <c r="AK36" s="274"/>
      <c r="AL36" s="230"/>
    </row>
    <row r="37" spans="1:38" s="52" customFormat="1" ht="22.9" customHeight="1" x14ac:dyDescent="0.25">
      <c r="A37" s="211"/>
      <c r="B37" s="218"/>
      <c r="C37" s="129"/>
      <c r="D37" s="143"/>
      <c r="E37" s="146"/>
      <c r="F37" s="146"/>
      <c r="G37" s="146"/>
      <c r="H37" s="146"/>
      <c r="I37" s="265"/>
      <c r="J37" s="276"/>
      <c r="K37" s="63" t="s">
        <v>45</v>
      </c>
      <c r="L37" s="29" t="s">
        <v>45</v>
      </c>
      <c r="M37" s="29" t="s">
        <v>45</v>
      </c>
      <c r="N37" s="38" t="s">
        <v>45</v>
      </c>
      <c r="O37" s="29" t="s">
        <v>45</v>
      </c>
      <c r="P37" s="38" t="s">
        <v>45</v>
      </c>
      <c r="Q37" s="29" t="s">
        <v>45</v>
      </c>
      <c r="R37" s="38" t="s">
        <v>45</v>
      </c>
      <c r="S37" s="29" t="s">
        <v>45</v>
      </c>
      <c r="T37" s="38" t="s">
        <v>45</v>
      </c>
      <c r="U37" s="29" t="s">
        <v>45</v>
      </c>
      <c r="V37" s="38" t="s">
        <v>45</v>
      </c>
      <c r="W37" s="29" t="s">
        <v>45</v>
      </c>
      <c r="X37" s="38" t="s">
        <v>45</v>
      </c>
      <c r="Y37" s="29" t="s">
        <v>45</v>
      </c>
      <c r="Z37" s="38" t="s">
        <v>45</v>
      </c>
      <c r="AA37" s="29" t="s">
        <v>45</v>
      </c>
      <c r="AB37" s="38" t="s">
        <v>45</v>
      </c>
      <c r="AC37" s="29" t="s">
        <v>45</v>
      </c>
      <c r="AD37" s="38" t="s">
        <v>45</v>
      </c>
      <c r="AE37" s="29" t="s">
        <v>45</v>
      </c>
      <c r="AF37" s="38" t="s">
        <v>45</v>
      </c>
      <c r="AG37" s="29" t="s">
        <v>45</v>
      </c>
      <c r="AH37" s="38" t="s">
        <v>45</v>
      </c>
      <c r="AI37" s="61"/>
      <c r="AJ37" s="271"/>
      <c r="AK37" s="274"/>
      <c r="AL37" s="230"/>
    </row>
    <row r="38" spans="1:38" s="52" customFormat="1" ht="22.9" customHeight="1" thickBot="1" x14ac:dyDescent="0.3">
      <c r="A38" s="212"/>
      <c r="B38" s="219"/>
      <c r="C38" s="130"/>
      <c r="D38" s="144"/>
      <c r="E38" s="146"/>
      <c r="F38" s="146"/>
      <c r="G38" s="146"/>
      <c r="H38" s="146"/>
      <c r="I38" s="266"/>
      <c r="J38" s="269"/>
      <c r="K38" s="65">
        <v>11176</v>
      </c>
      <c r="L38" s="66"/>
      <c r="M38" s="66"/>
      <c r="N38" s="31">
        <f>SUM(L38:M38)</f>
        <v>0</v>
      </c>
      <c r="O38" s="66"/>
      <c r="P38" s="31">
        <f>SUM(N38:O38)</f>
        <v>0</v>
      </c>
      <c r="Q38" s="66"/>
      <c r="R38" s="31">
        <f>SUM(P38:Q38)</f>
        <v>0</v>
      </c>
      <c r="S38" s="66"/>
      <c r="T38" s="31">
        <f>SUM(R38:S38)</f>
        <v>0</v>
      </c>
      <c r="U38" s="66"/>
      <c r="V38" s="31">
        <f>SUM(T38:U38)</f>
        <v>0</v>
      </c>
      <c r="W38" s="66"/>
      <c r="X38" s="31">
        <f>SUM(V38:W38)</f>
        <v>0</v>
      </c>
      <c r="Y38" s="66"/>
      <c r="Z38" s="31">
        <f>SUM(X38:Y38)</f>
        <v>0</v>
      </c>
      <c r="AA38" s="66"/>
      <c r="AB38" s="31">
        <f>SUM(Z38:AA38)</f>
        <v>0</v>
      </c>
      <c r="AC38" s="66"/>
      <c r="AD38" s="31">
        <f>SUM(AB38:AC38)</f>
        <v>0</v>
      </c>
      <c r="AE38" s="66"/>
      <c r="AF38" s="31">
        <f>SUM(AD38:AE38)</f>
        <v>0</v>
      </c>
      <c r="AG38" s="66"/>
      <c r="AH38" s="31">
        <f>SUM(AF38:AG38)</f>
        <v>0</v>
      </c>
      <c r="AI38" s="71"/>
      <c r="AJ38" s="272"/>
      <c r="AK38" s="275"/>
      <c r="AL38" s="234"/>
    </row>
    <row r="39" spans="1:38" ht="13.5" thickTop="1" x14ac:dyDescent="0.2"/>
  </sheetData>
  <mergeCells count="165">
    <mergeCell ref="I33:I38"/>
    <mergeCell ref="J33:J35"/>
    <mergeCell ref="AJ33:AJ38"/>
    <mergeCell ref="AK33:AK38"/>
    <mergeCell ref="AL33:AL38"/>
    <mergeCell ref="J36:J38"/>
    <mergeCell ref="AK31:AK32"/>
    <mergeCell ref="AL31:AL32"/>
    <mergeCell ref="A33:A38"/>
    <mergeCell ref="B33:B38"/>
    <mergeCell ref="C33:C38"/>
    <mergeCell ref="D33:D38"/>
    <mergeCell ref="E33:E38"/>
    <mergeCell ref="F33:F38"/>
    <mergeCell ref="G33:G38"/>
    <mergeCell ref="H33:H38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H23:H28"/>
    <mergeCell ref="I23:I28"/>
    <mergeCell ref="J23:J25"/>
    <mergeCell ref="AJ23:AJ28"/>
    <mergeCell ref="AK23:AK28"/>
    <mergeCell ref="AL23:AL28"/>
    <mergeCell ref="J26:J28"/>
    <mergeCell ref="AJ21:AJ22"/>
    <mergeCell ref="AK21:AK22"/>
    <mergeCell ref="AL21:AL22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B1:D5"/>
    <mergeCell ref="E1:M5"/>
    <mergeCell ref="N1:Q1"/>
    <mergeCell ref="N2:Q2"/>
    <mergeCell ref="N3:Q3"/>
    <mergeCell ref="N5:Q5"/>
    <mergeCell ref="B6:D6"/>
    <mergeCell ref="E6:M6"/>
    <mergeCell ref="N6:Q6"/>
  </mergeCells>
  <conditionalFormatting sqref="K26:K28">
    <cfRule type="expression" dxfId="3" priority="4">
      <formula>#REF!=0</formula>
    </cfRule>
  </conditionalFormatting>
  <conditionalFormatting sqref="K36">
    <cfRule type="expression" dxfId="2" priority="3">
      <formula>#REF!=0</formula>
    </cfRule>
  </conditionalFormatting>
  <conditionalFormatting sqref="K37">
    <cfRule type="expression" dxfId="1" priority="2">
      <formula>#REF!=0</formula>
    </cfRule>
  </conditionalFormatting>
  <conditionalFormatting sqref="K38">
    <cfRule type="expression" dxfId="0" priority="1">
      <formula>#REF!=0</formula>
    </cfRule>
  </conditionalFormatting>
  <pageMargins left="0.7" right="0.7" top="0.75" bottom="0.75" header="0.3" footer="0.3"/>
  <pageSetup paperSize="28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39CD-81CB-4064-A07A-D1158BD4C239}">
  <dimension ref="A1:AN39"/>
  <sheetViews>
    <sheetView topLeftCell="A8" workbookViewId="0">
      <pane xSplit="3" ySplit="5" topLeftCell="D25" activePane="bottomRight" state="frozen"/>
      <selection activeCell="A8" sqref="A8"/>
      <selection pane="topRight" activeCell="D8" sqref="D8"/>
      <selection pane="bottomLeft" activeCell="A13" sqref="A13"/>
      <selection pane="bottomRight" activeCell="AM31" activeCellId="2" sqref="A8:XFD12 A21:XFD22 A31:XFD32"/>
    </sheetView>
  </sheetViews>
  <sheetFormatPr baseColWidth="10" defaultRowHeight="12.75" x14ac:dyDescent="0.2"/>
  <sheetData>
    <row r="1" spans="1:40" s="10" customFormat="1" ht="12.75" customHeight="1" x14ac:dyDescent="0.25">
      <c r="B1" s="155"/>
      <c r="C1" s="155"/>
      <c r="D1" s="156"/>
      <c r="E1" s="173" t="s">
        <v>0</v>
      </c>
      <c r="F1" s="179"/>
      <c r="G1" s="179"/>
      <c r="H1" s="179"/>
      <c r="I1" s="179"/>
      <c r="J1" s="179"/>
      <c r="K1" s="179"/>
      <c r="L1" s="179"/>
      <c r="M1" s="180"/>
      <c r="N1" s="173" t="s">
        <v>38</v>
      </c>
      <c r="O1" s="174"/>
      <c r="P1" s="174"/>
      <c r="Q1" s="175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40" s="10" customFormat="1" ht="12.75" customHeight="1" x14ac:dyDescent="0.25">
      <c r="B2" s="157"/>
      <c r="C2" s="157"/>
      <c r="D2" s="158"/>
      <c r="E2" s="176"/>
      <c r="F2" s="181"/>
      <c r="G2" s="181"/>
      <c r="H2" s="181"/>
      <c r="I2" s="181"/>
      <c r="J2" s="181"/>
      <c r="K2" s="181"/>
      <c r="L2" s="181"/>
      <c r="M2" s="182"/>
      <c r="N2" s="186" t="s">
        <v>39</v>
      </c>
      <c r="O2" s="187"/>
      <c r="P2" s="187"/>
      <c r="Q2" s="188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40" s="10" customFormat="1" ht="15.75" customHeight="1" x14ac:dyDescent="0.25">
      <c r="B3" s="157"/>
      <c r="C3" s="157"/>
      <c r="D3" s="158"/>
      <c r="E3" s="176"/>
      <c r="F3" s="181"/>
      <c r="G3" s="181"/>
      <c r="H3" s="181"/>
      <c r="I3" s="181"/>
      <c r="J3" s="181"/>
      <c r="K3" s="181"/>
      <c r="L3" s="181"/>
      <c r="M3" s="182"/>
      <c r="N3" s="176"/>
      <c r="O3" s="177"/>
      <c r="P3" s="177"/>
      <c r="Q3" s="178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40" s="10" customFormat="1" ht="12.75" customHeight="1" x14ac:dyDescent="0.25">
      <c r="B4" s="157"/>
      <c r="C4" s="157"/>
      <c r="D4" s="158"/>
      <c r="E4" s="176"/>
      <c r="F4" s="181"/>
      <c r="G4" s="181"/>
      <c r="H4" s="181"/>
      <c r="I4" s="181"/>
      <c r="J4" s="181"/>
      <c r="K4" s="181"/>
      <c r="L4" s="181"/>
      <c r="M4" s="182"/>
      <c r="N4" s="12"/>
      <c r="O4" s="13"/>
      <c r="P4" s="13"/>
      <c r="Q4" s="1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40" s="10" customFormat="1" ht="20.25" customHeight="1" x14ac:dyDescent="0.25">
      <c r="B5" s="159"/>
      <c r="C5" s="159"/>
      <c r="D5" s="160"/>
      <c r="E5" s="183"/>
      <c r="F5" s="184"/>
      <c r="G5" s="184"/>
      <c r="H5" s="184"/>
      <c r="I5" s="184"/>
      <c r="J5" s="184"/>
      <c r="K5" s="184"/>
      <c r="L5" s="184"/>
      <c r="M5" s="185"/>
      <c r="N5" s="190" t="s">
        <v>34</v>
      </c>
      <c r="O5" s="191"/>
      <c r="P5" s="191"/>
      <c r="Q5" s="192"/>
      <c r="R5" s="11"/>
      <c r="S5" s="11"/>
      <c r="T5" s="11"/>
      <c r="U5" s="11" t="s">
        <v>31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40" s="3" customFormat="1" ht="15.75" customHeight="1" x14ac:dyDescent="0.2">
      <c r="B6" s="167" t="s">
        <v>29</v>
      </c>
      <c r="C6" s="168"/>
      <c r="D6" s="169"/>
      <c r="E6" s="170" t="s">
        <v>36</v>
      </c>
      <c r="F6" s="171"/>
      <c r="G6" s="171"/>
      <c r="H6" s="171"/>
      <c r="I6" s="171"/>
      <c r="J6" s="171"/>
      <c r="K6" s="171"/>
      <c r="L6" s="171"/>
      <c r="M6" s="172"/>
      <c r="N6" s="170" t="s">
        <v>35</v>
      </c>
      <c r="O6" s="171"/>
      <c r="P6" s="171"/>
      <c r="Q6" s="17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40" s="10" customFormat="1" ht="16.5" customHeight="1" x14ac:dyDescent="0.25">
      <c r="E7" s="7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40" s="10" customFormat="1" ht="15" customHeight="1" x14ac:dyDescent="0.25">
      <c r="B8" s="4" t="s">
        <v>135</v>
      </c>
      <c r="C8" s="7"/>
      <c r="D8" s="8"/>
      <c r="E8" s="15"/>
      <c r="L8" s="16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7"/>
      <c r="AA8" s="11"/>
      <c r="AB8" s="11"/>
      <c r="AC8" s="11"/>
      <c r="AD8" s="11"/>
      <c r="AE8" s="17"/>
      <c r="AF8" s="11"/>
      <c r="AG8" s="11"/>
      <c r="AH8" s="11"/>
      <c r="AI8" s="11"/>
      <c r="AJ8" s="17"/>
    </row>
    <row r="9" spans="1:40" s="10" customFormat="1" ht="16.5" customHeight="1" x14ac:dyDescent="0.25">
      <c r="B9" s="4" t="s">
        <v>49</v>
      </c>
      <c r="C9" s="7"/>
      <c r="D9" s="7"/>
      <c r="E9" s="15"/>
      <c r="L9" s="16"/>
      <c r="M9" s="11"/>
      <c r="N9" s="11"/>
      <c r="O9" s="11"/>
      <c r="P9" s="11"/>
      <c r="Q9" s="17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40" s="10" customFormat="1" ht="16.5" customHeight="1" thickBot="1" x14ac:dyDescent="0.3">
      <c r="B10" s="4"/>
      <c r="C10" s="7"/>
      <c r="D10" s="7"/>
      <c r="E10" s="15"/>
      <c r="L10" s="16"/>
      <c r="M10" s="11"/>
      <c r="N10" s="11"/>
      <c r="O10" s="11"/>
      <c r="P10" s="11"/>
      <c r="Q10" s="17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40" s="52" customFormat="1" ht="22.9" customHeight="1" thickTop="1" x14ac:dyDescent="0.25">
      <c r="A11" s="279" t="s">
        <v>51</v>
      </c>
      <c r="B11" s="279" t="s">
        <v>37</v>
      </c>
      <c r="C11" s="279" t="s">
        <v>1</v>
      </c>
      <c r="D11" s="281" t="s">
        <v>2</v>
      </c>
      <c r="E11" s="277" t="s">
        <v>32</v>
      </c>
      <c r="F11" s="277" t="s">
        <v>40</v>
      </c>
      <c r="G11" s="277" t="s">
        <v>33</v>
      </c>
      <c r="H11" s="277" t="s">
        <v>41</v>
      </c>
      <c r="I11" s="277" t="s">
        <v>136</v>
      </c>
      <c r="J11" s="281" t="s">
        <v>3</v>
      </c>
      <c r="K11" s="281" t="s">
        <v>28</v>
      </c>
      <c r="L11" s="281" t="s">
        <v>4</v>
      </c>
      <c r="M11" s="281" t="s">
        <v>5</v>
      </c>
      <c r="N11" s="279" t="s">
        <v>6</v>
      </c>
      <c r="O11" s="281" t="s">
        <v>7</v>
      </c>
      <c r="P11" s="281" t="s">
        <v>8</v>
      </c>
      <c r="Q11" s="281" t="s">
        <v>9</v>
      </c>
      <c r="R11" s="281" t="s">
        <v>10</v>
      </c>
      <c r="S11" s="281" t="s">
        <v>11</v>
      </c>
      <c r="T11" s="279" t="s">
        <v>12</v>
      </c>
      <c r="U11" s="279" t="s">
        <v>13</v>
      </c>
      <c r="V11" s="281" t="s">
        <v>14</v>
      </c>
      <c r="W11" s="285" t="s">
        <v>15</v>
      </c>
      <c r="X11" s="281" t="s">
        <v>16</v>
      </c>
      <c r="Y11" s="281" t="s">
        <v>17</v>
      </c>
      <c r="Z11" s="281" t="s">
        <v>18</v>
      </c>
      <c r="AA11" s="281" t="s">
        <v>19</v>
      </c>
      <c r="AB11" s="281" t="s">
        <v>20</v>
      </c>
      <c r="AC11" s="281" t="s">
        <v>21</v>
      </c>
      <c r="AD11" s="281" t="s">
        <v>22</v>
      </c>
      <c r="AE11" s="279" t="s">
        <v>23</v>
      </c>
      <c r="AF11" s="281" t="s">
        <v>24</v>
      </c>
      <c r="AG11" s="281" t="s">
        <v>25</v>
      </c>
      <c r="AH11" s="277" t="s">
        <v>137</v>
      </c>
      <c r="AI11" s="281" t="s">
        <v>26</v>
      </c>
      <c r="AJ11" s="281" t="s">
        <v>27</v>
      </c>
      <c r="AK11" s="277" t="s">
        <v>60</v>
      </c>
      <c r="AL11" s="277" t="s">
        <v>59</v>
      </c>
    </row>
    <row r="12" spans="1:40" s="52" customFormat="1" ht="22.9" customHeight="1" thickBot="1" x14ac:dyDescent="0.3">
      <c r="A12" s="287"/>
      <c r="B12" s="287"/>
      <c r="C12" s="287"/>
      <c r="D12" s="283"/>
      <c r="E12" s="278"/>
      <c r="F12" s="278"/>
      <c r="G12" s="278"/>
      <c r="H12" s="278"/>
      <c r="I12" s="278"/>
      <c r="J12" s="283"/>
      <c r="K12" s="288"/>
      <c r="L12" s="283"/>
      <c r="M12" s="283"/>
      <c r="N12" s="287"/>
      <c r="O12" s="283"/>
      <c r="P12" s="283"/>
      <c r="Q12" s="283"/>
      <c r="R12" s="282"/>
      <c r="S12" s="283"/>
      <c r="T12" s="280"/>
      <c r="U12" s="280"/>
      <c r="V12" s="282"/>
      <c r="W12" s="286"/>
      <c r="X12" s="283"/>
      <c r="Y12" s="282"/>
      <c r="Z12" s="282"/>
      <c r="AA12" s="282"/>
      <c r="AB12" s="282"/>
      <c r="AC12" s="282"/>
      <c r="AD12" s="282"/>
      <c r="AE12" s="280"/>
      <c r="AF12" s="282"/>
      <c r="AG12" s="283"/>
      <c r="AH12" s="278">
        <v>2018</v>
      </c>
      <c r="AI12" s="283"/>
      <c r="AJ12" s="284"/>
      <c r="AK12" s="278"/>
      <c r="AL12" s="278"/>
    </row>
    <row r="13" spans="1:40" s="52" customFormat="1" ht="22.9" customHeight="1" thickTop="1" x14ac:dyDescent="0.25">
      <c r="A13" s="210" t="s">
        <v>108</v>
      </c>
      <c r="B13" s="141" t="s">
        <v>110</v>
      </c>
      <c r="C13" s="128" t="s">
        <v>109</v>
      </c>
      <c r="D13" s="131" t="s">
        <v>123</v>
      </c>
      <c r="E13" s="145" t="s">
        <v>50</v>
      </c>
      <c r="F13" s="137" t="s">
        <v>133</v>
      </c>
      <c r="G13" s="131" t="s">
        <v>48</v>
      </c>
      <c r="H13" s="145" t="s">
        <v>68</v>
      </c>
      <c r="I13" s="238">
        <f>+K14</f>
        <v>28.27008839691009</v>
      </c>
      <c r="J13" s="205" t="s">
        <v>111</v>
      </c>
      <c r="K13" s="53" t="s">
        <v>43</v>
      </c>
      <c r="L13" s="21" t="s">
        <v>43</v>
      </c>
      <c r="M13" s="21" t="s">
        <v>43</v>
      </c>
      <c r="N13" s="33" t="s">
        <v>43</v>
      </c>
      <c r="O13" s="21" t="s">
        <v>43</v>
      </c>
      <c r="P13" s="54" t="s">
        <v>43</v>
      </c>
      <c r="Q13" s="21" t="s">
        <v>43</v>
      </c>
      <c r="R13" s="54" t="s">
        <v>43</v>
      </c>
      <c r="S13" s="21" t="s">
        <v>43</v>
      </c>
      <c r="T13" s="54" t="s">
        <v>43</v>
      </c>
      <c r="U13" s="21" t="s">
        <v>43</v>
      </c>
      <c r="V13" s="54" t="s">
        <v>43</v>
      </c>
      <c r="W13" s="21" t="s">
        <v>43</v>
      </c>
      <c r="X13" s="54" t="s">
        <v>43</v>
      </c>
      <c r="Y13" s="21" t="s">
        <v>43</v>
      </c>
      <c r="Z13" s="54" t="s">
        <v>43</v>
      </c>
      <c r="AA13" s="21" t="s">
        <v>43</v>
      </c>
      <c r="AB13" s="54" t="s">
        <v>43</v>
      </c>
      <c r="AC13" s="21" t="s">
        <v>43</v>
      </c>
      <c r="AD13" s="54" t="s">
        <v>43</v>
      </c>
      <c r="AE13" s="21" t="s">
        <v>43</v>
      </c>
      <c r="AF13" s="54" t="s">
        <v>43</v>
      </c>
      <c r="AG13" s="21" t="s">
        <v>43</v>
      </c>
      <c r="AH13" s="54" t="s">
        <v>43</v>
      </c>
      <c r="AI13" s="55"/>
      <c r="AJ13" s="270" t="s">
        <v>87</v>
      </c>
      <c r="AK13" s="273"/>
      <c r="AL13" s="233" t="s">
        <v>57</v>
      </c>
    </row>
    <row r="14" spans="1:40" s="52" customFormat="1" ht="22.9" customHeight="1" x14ac:dyDescent="0.25">
      <c r="A14" s="211"/>
      <c r="B14" s="218"/>
      <c r="C14" s="147"/>
      <c r="D14" s="143"/>
      <c r="E14" s="132"/>
      <c r="F14" s="138"/>
      <c r="G14" s="132"/>
      <c r="H14" s="146"/>
      <c r="I14" s="239"/>
      <c r="J14" s="206"/>
      <c r="K14" s="103">
        <f>IF(K16&lt;&gt;0,+K16/K18,0%)</f>
        <v>28.27008839691009</v>
      </c>
      <c r="L14" s="23">
        <f>IF(L16&lt;&gt;0,+L16/L18,0%)</f>
        <v>0</v>
      </c>
      <c r="M14" s="57">
        <f>IF(M16&lt;&gt;0,+M16/M18,0%)</f>
        <v>0</v>
      </c>
      <c r="N14" s="43">
        <f t="shared" ref="N14" si="0">IF(N16&lt;&gt;0,+N16/N18,0%)</f>
        <v>0</v>
      </c>
      <c r="O14" s="57">
        <f>IF(O16&lt;&gt;0,ROUND(+O16/O18,4),0%)</f>
        <v>0</v>
      </c>
      <c r="P14" s="58">
        <f t="shared" ref="P14" si="1">IF(P16&lt;&gt;0,+P16/P18,0%)</f>
        <v>0</v>
      </c>
      <c r="Q14" s="59">
        <f>IF(Q16&lt;&gt;0,ROUND(+Q16/Q18,4),0%)</f>
        <v>0</v>
      </c>
      <c r="R14" s="58">
        <f t="shared" ref="R14" si="2">IF(R16&lt;&gt;0,+R16/R18,0%)</f>
        <v>0</v>
      </c>
      <c r="S14" s="59">
        <f>IF(S16&lt;&gt;0,ROUND(+S16/S18,4),0%)</f>
        <v>0</v>
      </c>
      <c r="T14" s="58">
        <f t="shared" ref="T14" si="3">IF(T16&lt;&gt;0,+T16/T18,0%)</f>
        <v>0</v>
      </c>
      <c r="U14" s="59">
        <f>IF(U16&lt;&gt;0,ROUND(+U16/U18,4),0%)</f>
        <v>0</v>
      </c>
      <c r="V14" s="58">
        <f t="shared" ref="V14" si="4">IF(V16&lt;&gt;0,+V16/V18,0%)</f>
        <v>0</v>
      </c>
      <c r="W14" s="59">
        <f>IF(W16&lt;&gt;0,ROUND(+W16/W18,4),0%)</f>
        <v>0</v>
      </c>
      <c r="X14" s="58">
        <f t="shared" ref="X14" si="5">IF(X16&lt;&gt;0,+X16/X18,0%)</f>
        <v>0</v>
      </c>
      <c r="Y14" s="60">
        <f>IF(Y16&lt;&gt;0,ROUND(+Y16/Y18,4),0%)</f>
        <v>0</v>
      </c>
      <c r="Z14" s="58">
        <f t="shared" ref="Z14" si="6">IF(Z16&lt;&gt;0,+Z16/Z18,0%)</f>
        <v>0</v>
      </c>
      <c r="AA14" s="59">
        <f>IF(AA16&lt;&gt;0,ROUND(+AA16/AA18,4),0%)</f>
        <v>0</v>
      </c>
      <c r="AB14" s="58">
        <f t="shared" ref="AB14" si="7">IF(AB16&lt;&gt;0,+AB16/AB18,0%)</f>
        <v>0</v>
      </c>
      <c r="AC14" s="59">
        <f>IF(AC16&lt;&gt;0,ROUND(+AC16/AC18,4),0%)</f>
        <v>0</v>
      </c>
      <c r="AD14" s="58">
        <f t="shared" ref="AD14" si="8">IF(AD16&lt;&gt;0,+AD16/AD18,0%)</f>
        <v>0</v>
      </c>
      <c r="AE14" s="59">
        <f>IF(AE16&lt;&gt;0,ROUND(+AE16/AE18,4),0%)</f>
        <v>0</v>
      </c>
      <c r="AF14" s="58">
        <f t="shared" ref="AF14" si="9">IF(AF16&lt;&gt;0,+AF16/AF18,0%)</f>
        <v>0</v>
      </c>
      <c r="AG14" s="59">
        <f>IF(AG16&lt;&gt;0,ROUND(+AG16/AG18,4),0%)</f>
        <v>0</v>
      </c>
      <c r="AH14" s="58">
        <f>IF(AH16&lt;&gt;0,+AH16/AH18,0%)</f>
        <v>0</v>
      </c>
      <c r="AI14" s="61"/>
      <c r="AJ14" s="271"/>
      <c r="AK14" s="274"/>
      <c r="AL14" s="230"/>
      <c r="AN14" s="62"/>
    </row>
    <row r="15" spans="1:40" s="52" customFormat="1" ht="22.9" customHeight="1" thickBot="1" x14ac:dyDescent="0.3">
      <c r="A15" s="211"/>
      <c r="B15" s="218"/>
      <c r="C15" s="147"/>
      <c r="D15" s="143"/>
      <c r="E15" s="132"/>
      <c r="F15" s="138"/>
      <c r="G15" s="132"/>
      <c r="H15" s="146"/>
      <c r="I15" s="239"/>
      <c r="J15" s="207"/>
      <c r="K15" s="63" t="s">
        <v>44</v>
      </c>
      <c r="L15" s="25" t="s">
        <v>44</v>
      </c>
      <c r="M15" s="25" t="s">
        <v>44</v>
      </c>
      <c r="N15" s="36" t="s">
        <v>44</v>
      </c>
      <c r="O15" s="25" t="s">
        <v>44</v>
      </c>
      <c r="P15" s="64" t="s">
        <v>44</v>
      </c>
      <c r="Q15" s="25" t="s">
        <v>44</v>
      </c>
      <c r="R15" s="64" t="s">
        <v>44</v>
      </c>
      <c r="S15" s="25" t="s">
        <v>44</v>
      </c>
      <c r="T15" s="64" t="s">
        <v>44</v>
      </c>
      <c r="U15" s="25" t="s">
        <v>44</v>
      </c>
      <c r="V15" s="64" t="s">
        <v>44</v>
      </c>
      <c r="W15" s="25" t="s">
        <v>44</v>
      </c>
      <c r="X15" s="64" t="s">
        <v>44</v>
      </c>
      <c r="Y15" s="25" t="s">
        <v>44</v>
      </c>
      <c r="Z15" s="64" t="s">
        <v>44</v>
      </c>
      <c r="AA15" s="25" t="s">
        <v>44</v>
      </c>
      <c r="AB15" s="64" t="s">
        <v>44</v>
      </c>
      <c r="AC15" s="25" t="s">
        <v>44</v>
      </c>
      <c r="AD15" s="64" t="s">
        <v>44</v>
      </c>
      <c r="AE15" s="25" t="s">
        <v>44</v>
      </c>
      <c r="AF15" s="64" t="s">
        <v>44</v>
      </c>
      <c r="AG15" s="25" t="s">
        <v>44</v>
      </c>
      <c r="AH15" s="64" t="s">
        <v>44</v>
      </c>
      <c r="AI15" s="61"/>
      <c r="AJ15" s="271"/>
      <c r="AK15" s="274"/>
      <c r="AL15" s="230"/>
    </row>
    <row r="16" spans="1:40" s="52" customFormat="1" ht="22.9" customHeight="1" thickTop="1" x14ac:dyDescent="0.25">
      <c r="A16" s="211"/>
      <c r="B16" s="218"/>
      <c r="C16" s="147"/>
      <c r="D16" s="143"/>
      <c r="E16" s="132"/>
      <c r="F16" s="138"/>
      <c r="G16" s="132"/>
      <c r="H16" s="146"/>
      <c r="I16" s="239"/>
      <c r="J16" s="205" t="s">
        <v>122</v>
      </c>
      <c r="K16" s="41">
        <v>7099750</v>
      </c>
      <c r="L16" s="66">
        <f t="shared" ref="L16:M16" si="10">+L26+L36</f>
        <v>0</v>
      </c>
      <c r="M16" s="66">
        <f t="shared" si="10"/>
        <v>0</v>
      </c>
      <c r="N16" s="27">
        <f>+L16+M16</f>
        <v>0</v>
      </c>
      <c r="O16" s="66">
        <f t="shared" ref="O16" si="11">+O26+O36</f>
        <v>0</v>
      </c>
      <c r="P16" s="27">
        <f>+N16+O16</f>
        <v>0</v>
      </c>
      <c r="Q16" s="66">
        <f t="shared" ref="Q16" si="12">+Q26+Q36</f>
        <v>0</v>
      </c>
      <c r="R16" s="27">
        <f>+P16+Q16</f>
        <v>0</v>
      </c>
      <c r="S16" s="66">
        <f t="shared" ref="S16" si="13">+S26+S36</f>
        <v>0</v>
      </c>
      <c r="T16" s="27">
        <f>+R16+S16</f>
        <v>0</v>
      </c>
      <c r="U16" s="66">
        <f t="shared" ref="U16" si="14">+U26+U36</f>
        <v>0</v>
      </c>
      <c r="V16" s="27">
        <f>+T16+U16</f>
        <v>0</v>
      </c>
      <c r="W16" s="66">
        <f t="shared" ref="W16" si="15">+W26+W36</f>
        <v>0</v>
      </c>
      <c r="X16" s="27">
        <f>+V16+W16</f>
        <v>0</v>
      </c>
      <c r="Y16" s="66">
        <f t="shared" ref="Y16" si="16">+Y26+Y36</f>
        <v>0</v>
      </c>
      <c r="Z16" s="27">
        <f>+X16+Y16</f>
        <v>0</v>
      </c>
      <c r="AA16" s="66">
        <f t="shared" ref="AA16" si="17">+AA26+AA36</f>
        <v>0</v>
      </c>
      <c r="AB16" s="27">
        <f>+Z16+AA16</f>
        <v>0</v>
      </c>
      <c r="AC16" s="66">
        <f t="shared" ref="AC16" si="18">+AC26+AC36</f>
        <v>0</v>
      </c>
      <c r="AD16" s="27">
        <f>+AB16+AC16</f>
        <v>0</v>
      </c>
      <c r="AE16" s="66">
        <f t="shared" ref="AE16" si="19">+AE26+AE36</f>
        <v>0</v>
      </c>
      <c r="AF16" s="27">
        <f>+AD16+AE16</f>
        <v>0</v>
      </c>
      <c r="AG16" s="66">
        <f t="shared" ref="AG16" si="20">+AG26+AG36</f>
        <v>0</v>
      </c>
      <c r="AH16" s="27">
        <f>+AF16+AG16</f>
        <v>0</v>
      </c>
      <c r="AI16" s="67">
        <f>AH14/K14</f>
        <v>0</v>
      </c>
      <c r="AJ16" s="271"/>
      <c r="AK16" s="274"/>
      <c r="AL16" s="230"/>
    </row>
    <row r="17" spans="1:40" s="52" customFormat="1" ht="22.9" customHeight="1" x14ac:dyDescent="0.25">
      <c r="A17" s="211"/>
      <c r="B17" s="218"/>
      <c r="C17" s="147"/>
      <c r="D17" s="143"/>
      <c r="E17" s="132"/>
      <c r="F17" s="138"/>
      <c r="G17" s="132"/>
      <c r="H17" s="146"/>
      <c r="I17" s="239"/>
      <c r="J17" s="206"/>
      <c r="K17" s="29" t="s">
        <v>45</v>
      </c>
      <c r="L17" s="29" t="s">
        <v>45</v>
      </c>
      <c r="M17" s="29" t="s">
        <v>45</v>
      </c>
      <c r="N17" s="38" t="s">
        <v>45</v>
      </c>
      <c r="O17" s="29" t="s">
        <v>45</v>
      </c>
      <c r="P17" s="68" t="s">
        <v>45</v>
      </c>
      <c r="Q17" s="29" t="s">
        <v>45</v>
      </c>
      <c r="R17" s="68" t="s">
        <v>45</v>
      </c>
      <c r="S17" s="29" t="s">
        <v>45</v>
      </c>
      <c r="T17" s="68" t="s">
        <v>45</v>
      </c>
      <c r="U17" s="29" t="s">
        <v>45</v>
      </c>
      <c r="V17" s="68" t="s">
        <v>45</v>
      </c>
      <c r="W17" s="29" t="s">
        <v>45</v>
      </c>
      <c r="X17" s="68" t="s">
        <v>45</v>
      </c>
      <c r="Y17" s="29" t="s">
        <v>45</v>
      </c>
      <c r="Z17" s="68" t="s">
        <v>45</v>
      </c>
      <c r="AA17" s="29" t="s">
        <v>45</v>
      </c>
      <c r="AB17" s="68" t="s">
        <v>45</v>
      </c>
      <c r="AC17" s="29" t="s">
        <v>45</v>
      </c>
      <c r="AD17" s="68" t="s">
        <v>45</v>
      </c>
      <c r="AE17" s="29" t="s">
        <v>45</v>
      </c>
      <c r="AF17" s="68" t="s">
        <v>45</v>
      </c>
      <c r="AG17" s="29" t="s">
        <v>45</v>
      </c>
      <c r="AH17" s="68" t="s">
        <v>45</v>
      </c>
      <c r="AI17" s="61"/>
      <c r="AJ17" s="271"/>
      <c r="AK17" s="274"/>
      <c r="AL17" s="230"/>
    </row>
    <row r="18" spans="1:40" s="52" customFormat="1" ht="22.9" customHeight="1" thickBot="1" x14ac:dyDescent="0.3">
      <c r="A18" s="212"/>
      <c r="B18" s="219"/>
      <c r="C18" s="148"/>
      <c r="D18" s="144"/>
      <c r="E18" s="133"/>
      <c r="F18" s="139"/>
      <c r="G18" s="133"/>
      <c r="H18" s="146"/>
      <c r="I18" s="240"/>
      <c r="J18" s="207"/>
      <c r="K18" s="41">
        <v>251140</v>
      </c>
      <c r="L18" s="70">
        <f t="shared" ref="L18:M18" si="21">+L28+L38</f>
        <v>0</v>
      </c>
      <c r="M18" s="70">
        <f t="shared" si="21"/>
        <v>0</v>
      </c>
      <c r="N18" s="31">
        <f>+L18+M18</f>
        <v>0</v>
      </c>
      <c r="O18" s="70">
        <f t="shared" ref="O18" si="22">+O28+O38</f>
        <v>0</v>
      </c>
      <c r="P18" s="31">
        <f>+N18+O18</f>
        <v>0</v>
      </c>
      <c r="Q18" s="70">
        <f t="shared" ref="Q18" si="23">+Q28+Q38</f>
        <v>0</v>
      </c>
      <c r="R18" s="31">
        <f>+P18+Q18</f>
        <v>0</v>
      </c>
      <c r="S18" s="70">
        <f t="shared" ref="S18" si="24">+S28+S38</f>
        <v>0</v>
      </c>
      <c r="T18" s="31">
        <f>+R18+S18</f>
        <v>0</v>
      </c>
      <c r="U18" s="70">
        <f t="shared" ref="U18" si="25">+U28+U38</f>
        <v>0</v>
      </c>
      <c r="V18" s="31">
        <f>+T18+U18</f>
        <v>0</v>
      </c>
      <c r="W18" s="70">
        <f t="shared" ref="W18" si="26">+W28+W38</f>
        <v>0</v>
      </c>
      <c r="X18" s="31">
        <f>+V18+W18</f>
        <v>0</v>
      </c>
      <c r="Y18" s="70">
        <f t="shared" ref="Y18" si="27">+Y28+Y38</f>
        <v>0</v>
      </c>
      <c r="Z18" s="31">
        <f>+X18+Y18</f>
        <v>0</v>
      </c>
      <c r="AA18" s="70">
        <f t="shared" ref="AA18" si="28">+AA28+AA38</f>
        <v>0</v>
      </c>
      <c r="AB18" s="31">
        <f>+Z18+AA18</f>
        <v>0</v>
      </c>
      <c r="AC18" s="70">
        <f t="shared" ref="AC18" si="29">+AC28+AC38</f>
        <v>0</v>
      </c>
      <c r="AD18" s="31">
        <f>+AB18+AC18</f>
        <v>0</v>
      </c>
      <c r="AE18" s="70">
        <f t="shared" ref="AE18" si="30">+AE28+AE38</f>
        <v>0</v>
      </c>
      <c r="AF18" s="31">
        <f>+AD18+AE18</f>
        <v>0</v>
      </c>
      <c r="AG18" s="70">
        <f t="shared" ref="AG18" si="31">+AG28+AG38</f>
        <v>0</v>
      </c>
      <c r="AH18" s="31">
        <f>+AF18+AG18</f>
        <v>0</v>
      </c>
      <c r="AI18" s="71"/>
      <c r="AJ18" s="272"/>
      <c r="AK18" s="275"/>
      <c r="AL18" s="234"/>
    </row>
    <row r="19" spans="1:40" ht="13.5" thickTop="1" x14ac:dyDescent="0.2"/>
    <row r="20" spans="1:40" s="50" customFormat="1" ht="21" thickBot="1" x14ac:dyDescent="0.35">
      <c r="A20" s="72" t="s">
        <v>88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</row>
    <row r="21" spans="1:40" s="52" customFormat="1" ht="22.9" customHeight="1" thickTop="1" x14ac:dyDescent="0.25">
      <c r="A21" s="279" t="s">
        <v>51</v>
      </c>
      <c r="B21" s="279" t="s">
        <v>37</v>
      </c>
      <c r="C21" s="279" t="s">
        <v>1</v>
      </c>
      <c r="D21" s="281" t="s">
        <v>2</v>
      </c>
      <c r="E21" s="277" t="s">
        <v>32</v>
      </c>
      <c r="F21" s="277" t="s">
        <v>40</v>
      </c>
      <c r="G21" s="277" t="s">
        <v>33</v>
      </c>
      <c r="H21" s="277" t="s">
        <v>41</v>
      </c>
      <c r="I21" s="277" t="s">
        <v>136</v>
      </c>
      <c r="J21" s="281" t="s">
        <v>3</v>
      </c>
      <c r="K21" s="281" t="s">
        <v>28</v>
      </c>
      <c r="L21" s="281" t="s">
        <v>4</v>
      </c>
      <c r="M21" s="281" t="s">
        <v>5</v>
      </c>
      <c r="N21" s="279" t="s">
        <v>6</v>
      </c>
      <c r="O21" s="281" t="s">
        <v>7</v>
      </c>
      <c r="P21" s="281" t="s">
        <v>8</v>
      </c>
      <c r="Q21" s="281" t="s">
        <v>9</v>
      </c>
      <c r="R21" s="281" t="s">
        <v>10</v>
      </c>
      <c r="S21" s="281" t="s">
        <v>11</v>
      </c>
      <c r="T21" s="279" t="s">
        <v>12</v>
      </c>
      <c r="U21" s="279" t="s">
        <v>13</v>
      </c>
      <c r="V21" s="281" t="s">
        <v>14</v>
      </c>
      <c r="W21" s="285" t="s">
        <v>15</v>
      </c>
      <c r="X21" s="281" t="s">
        <v>16</v>
      </c>
      <c r="Y21" s="281" t="s">
        <v>17</v>
      </c>
      <c r="Z21" s="281" t="s">
        <v>18</v>
      </c>
      <c r="AA21" s="281" t="s">
        <v>19</v>
      </c>
      <c r="AB21" s="281" t="s">
        <v>20</v>
      </c>
      <c r="AC21" s="281" t="s">
        <v>21</v>
      </c>
      <c r="AD21" s="281" t="s">
        <v>22</v>
      </c>
      <c r="AE21" s="279" t="s">
        <v>23</v>
      </c>
      <c r="AF21" s="281" t="s">
        <v>24</v>
      </c>
      <c r="AG21" s="281" t="s">
        <v>25</v>
      </c>
      <c r="AH21" s="277" t="s">
        <v>137</v>
      </c>
      <c r="AI21" s="281" t="s">
        <v>26</v>
      </c>
      <c r="AJ21" s="281" t="s">
        <v>27</v>
      </c>
      <c r="AK21" s="277" t="s">
        <v>60</v>
      </c>
      <c r="AL21" s="277" t="s">
        <v>59</v>
      </c>
    </row>
    <row r="22" spans="1:40" s="52" customFormat="1" ht="22.9" customHeight="1" thickBot="1" x14ac:dyDescent="0.3">
      <c r="A22" s="287"/>
      <c r="B22" s="287"/>
      <c r="C22" s="287"/>
      <c r="D22" s="283"/>
      <c r="E22" s="278"/>
      <c r="F22" s="278"/>
      <c r="G22" s="278"/>
      <c r="H22" s="278"/>
      <c r="I22" s="278"/>
      <c r="J22" s="283"/>
      <c r="K22" s="288"/>
      <c r="L22" s="283"/>
      <c r="M22" s="283"/>
      <c r="N22" s="287"/>
      <c r="O22" s="283"/>
      <c r="P22" s="283"/>
      <c r="Q22" s="283"/>
      <c r="R22" s="282"/>
      <c r="S22" s="283"/>
      <c r="T22" s="280"/>
      <c r="U22" s="280"/>
      <c r="V22" s="282"/>
      <c r="W22" s="286"/>
      <c r="X22" s="283"/>
      <c r="Y22" s="282"/>
      <c r="Z22" s="282"/>
      <c r="AA22" s="282"/>
      <c r="AB22" s="282"/>
      <c r="AC22" s="282"/>
      <c r="AD22" s="282"/>
      <c r="AE22" s="280"/>
      <c r="AF22" s="282"/>
      <c r="AG22" s="283"/>
      <c r="AH22" s="278">
        <v>2018</v>
      </c>
      <c r="AI22" s="283"/>
      <c r="AJ22" s="284"/>
      <c r="AK22" s="278"/>
      <c r="AL22" s="278"/>
    </row>
    <row r="23" spans="1:40" s="52" customFormat="1" ht="22.9" customHeight="1" thickTop="1" x14ac:dyDescent="0.25">
      <c r="A23" s="210" t="s">
        <v>108</v>
      </c>
      <c r="B23" s="141" t="s">
        <v>110</v>
      </c>
      <c r="C23" s="128" t="s">
        <v>109</v>
      </c>
      <c r="D23" s="131" t="s">
        <v>123</v>
      </c>
      <c r="E23" s="145" t="s">
        <v>50</v>
      </c>
      <c r="F23" s="137" t="s">
        <v>133</v>
      </c>
      <c r="G23" s="131" t="s">
        <v>48</v>
      </c>
      <c r="H23" s="145" t="s">
        <v>68</v>
      </c>
      <c r="I23" s="238">
        <f>+K24</f>
        <v>25.87024728256829</v>
      </c>
      <c r="J23" s="205" t="s">
        <v>111</v>
      </c>
      <c r="K23" s="53" t="s">
        <v>43</v>
      </c>
      <c r="L23" s="21" t="s">
        <v>43</v>
      </c>
      <c r="M23" s="21" t="s">
        <v>43</v>
      </c>
      <c r="N23" s="33" t="s">
        <v>43</v>
      </c>
      <c r="O23" s="21" t="s">
        <v>43</v>
      </c>
      <c r="P23" s="54" t="s">
        <v>43</v>
      </c>
      <c r="Q23" s="21" t="s">
        <v>43</v>
      </c>
      <c r="R23" s="54" t="s">
        <v>43</v>
      </c>
      <c r="S23" s="21" t="s">
        <v>43</v>
      </c>
      <c r="T23" s="54" t="s">
        <v>43</v>
      </c>
      <c r="U23" s="21" t="s">
        <v>43</v>
      </c>
      <c r="V23" s="54" t="s">
        <v>43</v>
      </c>
      <c r="W23" s="21" t="s">
        <v>43</v>
      </c>
      <c r="X23" s="54" t="s">
        <v>43</v>
      </c>
      <c r="Y23" s="21" t="s">
        <v>43</v>
      </c>
      <c r="Z23" s="54" t="s">
        <v>43</v>
      </c>
      <c r="AA23" s="21" t="s">
        <v>43</v>
      </c>
      <c r="AB23" s="54" t="s">
        <v>43</v>
      </c>
      <c r="AC23" s="21" t="s">
        <v>43</v>
      </c>
      <c r="AD23" s="54" t="s">
        <v>43</v>
      </c>
      <c r="AE23" s="21" t="s">
        <v>43</v>
      </c>
      <c r="AF23" s="54" t="s">
        <v>43</v>
      </c>
      <c r="AG23" s="21" t="s">
        <v>43</v>
      </c>
      <c r="AH23" s="54" t="s">
        <v>43</v>
      </c>
      <c r="AI23" s="55"/>
      <c r="AJ23" s="270" t="s">
        <v>87</v>
      </c>
      <c r="AK23" s="273"/>
      <c r="AL23" s="233" t="s">
        <v>57</v>
      </c>
    </row>
    <row r="24" spans="1:40" s="52" customFormat="1" ht="22.9" customHeight="1" x14ac:dyDescent="0.25">
      <c r="A24" s="211"/>
      <c r="B24" s="218"/>
      <c r="C24" s="129"/>
      <c r="D24" s="143"/>
      <c r="E24" s="132"/>
      <c r="F24" s="138"/>
      <c r="G24" s="132"/>
      <c r="H24" s="146"/>
      <c r="I24" s="239"/>
      <c r="J24" s="206"/>
      <c r="K24" s="103">
        <f>IF(K26&lt;&gt;0,+K26/K28,0%)</f>
        <v>25.87024728256829</v>
      </c>
      <c r="L24" s="23">
        <f>IF(L26&lt;&gt;0,+L26/L28,0%)</f>
        <v>0</v>
      </c>
      <c r="M24" s="57">
        <f>IF(M26&lt;&gt;0,+M26/M28,0%)</f>
        <v>0</v>
      </c>
      <c r="N24" s="43">
        <f t="shared" ref="N24" si="32">IF(N26&lt;&gt;0,+N26/N28,0%)</f>
        <v>0</v>
      </c>
      <c r="O24" s="57">
        <f>IF(O26&lt;&gt;0,ROUND(+O26/O28,4),0%)</f>
        <v>0</v>
      </c>
      <c r="P24" s="58">
        <f t="shared" ref="P24" si="33">IF(P26&lt;&gt;0,+P26/P28,0%)</f>
        <v>0</v>
      </c>
      <c r="Q24" s="59">
        <f>IF(Q26&lt;&gt;0,ROUND(+Q26/Q28,4),0%)</f>
        <v>0</v>
      </c>
      <c r="R24" s="58">
        <f t="shared" ref="R24" si="34">IF(R26&lt;&gt;0,+R26/R28,0%)</f>
        <v>0</v>
      </c>
      <c r="S24" s="59">
        <f>IF(S26&lt;&gt;0,ROUND(+S26/S28,4),0%)</f>
        <v>0</v>
      </c>
      <c r="T24" s="58">
        <f t="shared" ref="T24" si="35">IF(T26&lt;&gt;0,+T26/T28,0%)</f>
        <v>0</v>
      </c>
      <c r="U24" s="59">
        <f>IF(U26&lt;&gt;0,ROUND(+U26/U28,4),0%)</f>
        <v>0</v>
      </c>
      <c r="V24" s="58">
        <f t="shared" ref="V24" si="36">IF(V26&lt;&gt;0,+V26/V28,0%)</f>
        <v>0</v>
      </c>
      <c r="W24" s="59">
        <f>IF(W26&lt;&gt;0,ROUND(+W26/W28,4),0%)</f>
        <v>0</v>
      </c>
      <c r="X24" s="58">
        <f t="shared" ref="X24" si="37">IF(X26&lt;&gt;0,+X26/X28,0%)</f>
        <v>0</v>
      </c>
      <c r="Y24" s="60">
        <f>IF(Y26&lt;&gt;0,ROUND(+Y26/Y28,4),0%)</f>
        <v>0</v>
      </c>
      <c r="Z24" s="58">
        <f t="shared" ref="Z24" si="38">IF(Z26&lt;&gt;0,+Z26/Z28,0%)</f>
        <v>0</v>
      </c>
      <c r="AA24" s="59">
        <f>IF(AA26&lt;&gt;0,ROUND(+AA26/AA28,4),0%)</f>
        <v>0</v>
      </c>
      <c r="AB24" s="58">
        <f t="shared" ref="AB24" si="39">IF(AB26&lt;&gt;0,+AB26/AB28,0%)</f>
        <v>0</v>
      </c>
      <c r="AC24" s="59">
        <f>IF(AC26&lt;&gt;0,ROUND(+AC26/AC28,4),0%)</f>
        <v>0</v>
      </c>
      <c r="AD24" s="58">
        <f t="shared" ref="AD24" si="40">IF(AD26&lt;&gt;0,+AD26/AD28,0%)</f>
        <v>0</v>
      </c>
      <c r="AE24" s="59">
        <f>IF(AE26&lt;&gt;0,ROUND(+AE26/AE28,4),0%)</f>
        <v>0</v>
      </c>
      <c r="AF24" s="58">
        <f t="shared" ref="AF24" si="41">IF(AF26&lt;&gt;0,+AF26/AF28,0%)</f>
        <v>0</v>
      </c>
      <c r="AG24" s="59">
        <f>IF(AG26&lt;&gt;0,ROUND(+AG26/AG28,4),0%)</f>
        <v>0</v>
      </c>
      <c r="AH24" s="58">
        <f>IF(AH26&lt;&gt;0,+AH26/AH28,0%)</f>
        <v>0</v>
      </c>
      <c r="AI24" s="61"/>
      <c r="AJ24" s="271"/>
      <c r="AK24" s="274"/>
      <c r="AL24" s="230"/>
    </row>
    <row r="25" spans="1:40" s="52" customFormat="1" ht="22.9" customHeight="1" thickBot="1" x14ac:dyDescent="0.3">
      <c r="A25" s="211"/>
      <c r="B25" s="218"/>
      <c r="C25" s="129"/>
      <c r="D25" s="143"/>
      <c r="E25" s="132"/>
      <c r="F25" s="138"/>
      <c r="G25" s="132"/>
      <c r="H25" s="146"/>
      <c r="I25" s="239"/>
      <c r="J25" s="207"/>
      <c r="K25" s="63"/>
      <c r="L25" s="25" t="s">
        <v>44</v>
      </c>
      <c r="M25" s="25" t="s">
        <v>44</v>
      </c>
      <c r="N25" s="36" t="s">
        <v>44</v>
      </c>
      <c r="O25" s="25" t="s">
        <v>44</v>
      </c>
      <c r="P25" s="64" t="s">
        <v>44</v>
      </c>
      <c r="Q25" s="25" t="s">
        <v>44</v>
      </c>
      <c r="R25" s="64" t="s">
        <v>44</v>
      </c>
      <c r="S25" s="25" t="s">
        <v>44</v>
      </c>
      <c r="T25" s="64" t="s">
        <v>44</v>
      </c>
      <c r="U25" s="25" t="s">
        <v>44</v>
      </c>
      <c r="V25" s="64" t="s">
        <v>44</v>
      </c>
      <c r="W25" s="25" t="s">
        <v>44</v>
      </c>
      <c r="X25" s="64" t="s">
        <v>44</v>
      </c>
      <c r="Y25" s="25" t="s">
        <v>44</v>
      </c>
      <c r="Z25" s="64" t="s">
        <v>44</v>
      </c>
      <c r="AA25" s="25" t="s">
        <v>44</v>
      </c>
      <c r="AB25" s="64" t="s">
        <v>44</v>
      </c>
      <c r="AC25" s="25" t="s">
        <v>44</v>
      </c>
      <c r="AD25" s="64" t="s">
        <v>44</v>
      </c>
      <c r="AE25" s="25" t="s">
        <v>44</v>
      </c>
      <c r="AF25" s="64" t="s">
        <v>44</v>
      </c>
      <c r="AG25" s="25" t="s">
        <v>44</v>
      </c>
      <c r="AH25" s="64" t="s">
        <v>44</v>
      </c>
      <c r="AI25" s="61"/>
      <c r="AJ25" s="271"/>
      <c r="AK25" s="274"/>
      <c r="AL25" s="230"/>
    </row>
    <row r="26" spans="1:40" s="52" customFormat="1" ht="22.9" customHeight="1" thickTop="1" x14ac:dyDescent="0.25">
      <c r="A26" s="211"/>
      <c r="B26" s="218"/>
      <c r="C26" s="129"/>
      <c r="D26" s="143"/>
      <c r="E26" s="132"/>
      <c r="F26" s="138"/>
      <c r="G26" s="132"/>
      <c r="H26" s="146"/>
      <c r="I26" s="239"/>
      <c r="J26" s="205" t="s">
        <v>122</v>
      </c>
      <c r="K26" s="65">
        <v>3479600</v>
      </c>
      <c r="L26" s="66"/>
      <c r="M26" s="66"/>
      <c r="N26" s="27">
        <f>SUM(L26:M26)</f>
        <v>0</v>
      </c>
      <c r="O26" s="66"/>
      <c r="P26" s="27">
        <f>SUM(N26:O26)</f>
        <v>0</v>
      </c>
      <c r="Q26" s="66"/>
      <c r="R26" s="27">
        <f>SUM(P26:Q26)</f>
        <v>0</v>
      </c>
      <c r="S26" s="66"/>
      <c r="T26" s="27">
        <f>SUM(R26:S26)</f>
        <v>0</v>
      </c>
      <c r="U26" s="66"/>
      <c r="V26" s="27">
        <f>SUM(T26:U26)</f>
        <v>0</v>
      </c>
      <c r="W26" s="66"/>
      <c r="X26" s="27">
        <f>SUM(V26:W26)</f>
        <v>0</v>
      </c>
      <c r="Y26" s="66"/>
      <c r="Z26" s="27">
        <f>SUM(X26:Y26)</f>
        <v>0</v>
      </c>
      <c r="AA26" s="66"/>
      <c r="AB26" s="27">
        <f>SUM(Z26:AA26)</f>
        <v>0</v>
      </c>
      <c r="AC26" s="66"/>
      <c r="AD26" s="27">
        <f>SUM(AB26:AC26)</f>
        <v>0</v>
      </c>
      <c r="AE26" s="66"/>
      <c r="AF26" s="27">
        <f>SUM(AD26:AE26)</f>
        <v>0</v>
      </c>
      <c r="AG26" s="66"/>
      <c r="AH26" s="27">
        <f>SUM(AF26:AG26)</f>
        <v>0</v>
      </c>
      <c r="AI26" s="67">
        <f>+AH24/K24</f>
        <v>0</v>
      </c>
      <c r="AJ26" s="271"/>
      <c r="AK26" s="274"/>
      <c r="AL26" s="230"/>
    </row>
    <row r="27" spans="1:40" s="52" customFormat="1" ht="22.9" customHeight="1" x14ac:dyDescent="0.25">
      <c r="A27" s="211"/>
      <c r="B27" s="218"/>
      <c r="C27" s="129"/>
      <c r="D27" s="143"/>
      <c r="E27" s="132"/>
      <c r="F27" s="138"/>
      <c r="G27" s="132"/>
      <c r="H27" s="146"/>
      <c r="I27" s="239"/>
      <c r="J27" s="206"/>
      <c r="K27" s="63" t="s">
        <v>45</v>
      </c>
      <c r="L27" s="29" t="s">
        <v>45</v>
      </c>
      <c r="M27" s="29" t="s">
        <v>45</v>
      </c>
      <c r="N27" s="38" t="s">
        <v>45</v>
      </c>
      <c r="O27" s="29" t="s">
        <v>45</v>
      </c>
      <c r="P27" s="38" t="s">
        <v>45</v>
      </c>
      <c r="Q27" s="29" t="s">
        <v>45</v>
      </c>
      <c r="R27" s="38" t="s">
        <v>45</v>
      </c>
      <c r="S27" s="29" t="s">
        <v>45</v>
      </c>
      <c r="T27" s="38" t="s">
        <v>45</v>
      </c>
      <c r="U27" s="29" t="s">
        <v>45</v>
      </c>
      <c r="V27" s="38" t="s">
        <v>45</v>
      </c>
      <c r="W27" s="29" t="s">
        <v>45</v>
      </c>
      <c r="X27" s="38" t="s">
        <v>45</v>
      </c>
      <c r="Y27" s="29" t="s">
        <v>45</v>
      </c>
      <c r="Z27" s="38" t="s">
        <v>45</v>
      </c>
      <c r="AA27" s="29" t="s">
        <v>45</v>
      </c>
      <c r="AB27" s="38" t="s">
        <v>45</v>
      </c>
      <c r="AC27" s="29" t="s">
        <v>45</v>
      </c>
      <c r="AD27" s="38" t="s">
        <v>45</v>
      </c>
      <c r="AE27" s="29" t="s">
        <v>45</v>
      </c>
      <c r="AF27" s="38" t="s">
        <v>45</v>
      </c>
      <c r="AG27" s="29" t="s">
        <v>45</v>
      </c>
      <c r="AH27" s="38" t="s">
        <v>45</v>
      </c>
      <c r="AI27" s="61"/>
      <c r="AJ27" s="271"/>
      <c r="AK27" s="274"/>
      <c r="AL27" s="230"/>
    </row>
    <row r="28" spans="1:40" s="52" customFormat="1" ht="22.9" customHeight="1" thickBot="1" x14ac:dyDescent="0.3">
      <c r="A28" s="212"/>
      <c r="B28" s="219"/>
      <c r="C28" s="130"/>
      <c r="D28" s="144"/>
      <c r="E28" s="133"/>
      <c r="F28" s="139"/>
      <c r="G28" s="133"/>
      <c r="H28" s="146"/>
      <c r="I28" s="240"/>
      <c r="J28" s="207"/>
      <c r="K28" s="65">
        <v>134502</v>
      </c>
      <c r="L28" s="66"/>
      <c r="M28" s="66"/>
      <c r="N28" s="31">
        <f>SUM(L28:M28)</f>
        <v>0</v>
      </c>
      <c r="O28" s="66"/>
      <c r="P28" s="31">
        <f>SUM(N28:O28)</f>
        <v>0</v>
      </c>
      <c r="Q28" s="66"/>
      <c r="R28" s="31">
        <f>SUM(P28:Q28)</f>
        <v>0</v>
      </c>
      <c r="S28" s="66"/>
      <c r="T28" s="31">
        <f>SUM(R28:S28)</f>
        <v>0</v>
      </c>
      <c r="U28" s="66"/>
      <c r="V28" s="31">
        <f>SUM(T28:U28)</f>
        <v>0</v>
      </c>
      <c r="W28" s="66"/>
      <c r="X28" s="31">
        <f>SUM(V28:W28)</f>
        <v>0</v>
      </c>
      <c r="Y28" s="66"/>
      <c r="Z28" s="31">
        <f>SUM(X28:Y28)</f>
        <v>0</v>
      </c>
      <c r="AA28" s="66"/>
      <c r="AB28" s="31">
        <f>SUM(Z28:AA28)</f>
        <v>0</v>
      </c>
      <c r="AC28" s="66"/>
      <c r="AD28" s="31">
        <f>SUM(AB28:AC28)</f>
        <v>0</v>
      </c>
      <c r="AE28" s="66"/>
      <c r="AF28" s="31">
        <f>SUM(AD28:AE28)</f>
        <v>0</v>
      </c>
      <c r="AG28" s="66"/>
      <c r="AH28" s="31">
        <f>SUM(AF28:AG28)</f>
        <v>0</v>
      </c>
      <c r="AI28" s="71"/>
      <c r="AJ28" s="272"/>
      <c r="AK28" s="275"/>
      <c r="AL28" s="234"/>
      <c r="AN28" s="73"/>
    </row>
    <row r="29" spans="1:40" ht="13.5" thickTop="1" x14ac:dyDescent="0.2"/>
    <row r="30" spans="1:40" s="50" customFormat="1" ht="21" thickBot="1" x14ac:dyDescent="0.35">
      <c r="A30" s="72" t="s">
        <v>89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</row>
    <row r="31" spans="1:40" s="52" customFormat="1" ht="22.9" customHeight="1" thickTop="1" x14ac:dyDescent="0.25">
      <c r="A31" s="279" t="s">
        <v>51</v>
      </c>
      <c r="B31" s="279" t="s">
        <v>37</v>
      </c>
      <c r="C31" s="279" t="s">
        <v>1</v>
      </c>
      <c r="D31" s="281" t="s">
        <v>2</v>
      </c>
      <c r="E31" s="277" t="s">
        <v>32</v>
      </c>
      <c r="F31" s="277" t="s">
        <v>40</v>
      </c>
      <c r="G31" s="277" t="s">
        <v>33</v>
      </c>
      <c r="H31" s="277" t="s">
        <v>41</v>
      </c>
      <c r="I31" s="277" t="s">
        <v>136</v>
      </c>
      <c r="J31" s="281" t="s">
        <v>3</v>
      </c>
      <c r="K31" s="281" t="s">
        <v>28</v>
      </c>
      <c r="L31" s="281" t="s">
        <v>4</v>
      </c>
      <c r="M31" s="281" t="s">
        <v>5</v>
      </c>
      <c r="N31" s="279" t="s">
        <v>6</v>
      </c>
      <c r="O31" s="281" t="s">
        <v>7</v>
      </c>
      <c r="P31" s="281" t="s">
        <v>8</v>
      </c>
      <c r="Q31" s="281" t="s">
        <v>9</v>
      </c>
      <c r="R31" s="281" t="s">
        <v>10</v>
      </c>
      <c r="S31" s="281" t="s">
        <v>11</v>
      </c>
      <c r="T31" s="279" t="s">
        <v>12</v>
      </c>
      <c r="U31" s="279" t="s">
        <v>13</v>
      </c>
      <c r="V31" s="281" t="s">
        <v>14</v>
      </c>
      <c r="W31" s="285" t="s">
        <v>15</v>
      </c>
      <c r="X31" s="281" t="s">
        <v>16</v>
      </c>
      <c r="Y31" s="281" t="s">
        <v>17</v>
      </c>
      <c r="Z31" s="281" t="s">
        <v>18</v>
      </c>
      <c r="AA31" s="281" t="s">
        <v>19</v>
      </c>
      <c r="AB31" s="281" t="s">
        <v>20</v>
      </c>
      <c r="AC31" s="281" t="s">
        <v>21</v>
      </c>
      <c r="AD31" s="281" t="s">
        <v>22</v>
      </c>
      <c r="AE31" s="279" t="s">
        <v>23</v>
      </c>
      <c r="AF31" s="281" t="s">
        <v>24</v>
      </c>
      <c r="AG31" s="281" t="s">
        <v>25</v>
      </c>
      <c r="AH31" s="277" t="s">
        <v>137</v>
      </c>
      <c r="AI31" s="281" t="s">
        <v>26</v>
      </c>
      <c r="AJ31" s="281" t="s">
        <v>27</v>
      </c>
      <c r="AK31" s="277" t="s">
        <v>60</v>
      </c>
      <c r="AL31" s="277" t="s">
        <v>59</v>
      </c>
    </row>
    <row r="32" spans="1:40" s="52" customFormat="1" ht="22.9" customHeight="1" thickBot="1" x14ac:dyDescent="0.3">
      <c r="A32" s="287"/>
      <c r="B32" s="287"/>
      <c r="C32" s="287"/>
      <c r="D32" s="283"/>
      <c r="E32" s="278"/>
      <c r="F32" s="278"/>
      <c r="G32" s="278"/>
      <c r="H32" s="278"/>
      <c r="I32" s="278"/>
      <c r="J32" s="283"/>
      <c r="K32" s="288"/>
      <c r="L32" s="283"/>
      <c r="M32" s="283"/>
      <c r="N32" s="287"/>
      <c r="O32" s="283"/>
      <c r="P32" s="283"/>
      <c r="Q32" s="283"/>
      <c r="R32" s="282"/>
      <c r="S32" s="283"/>
      <c r="T32" s="280"/>
      <c r="U32" s="280"/>
      <c r="V32" s="282"/>
      <c r="W32" s="286"/>
      <c r="X32" s="283"/>
      <c r="Y32" s="282"/>
      <c r="Z32" s="282"/>
      <c r="AA32" s="282"/>
      <c r="AB32" s="282"/>
      <c r="AC32" s="282"/>
      <c r="AD32" s="282"/>
      <c r="AE32" s="280"/>
      <c r="AF32" s="282"/>
      <c r="AG32" s="283"/>
      <c r="AH32" s="278">
        <v>2018</v>
      </c>
      <c r="AI32" s="283"/>
      <c r="AJ32" s="284"/>
      <c r="AK32" s="278"/>
      <c r="AL32" s="278"/>
    </row>
    <row r="33" spans="1:38" s="52" customFormat="1" ht="22.9" customHeight="1" thickTop="1" x14ac:dyDescent="0.25">
      <c r="A33" s="210" t="s">
        <v>108</v>
      </c>
      <c r="B33" s="141" t="s">
        <v>110</v>
      </c>
      <c r="C33" s="128" t="s">
        <v>109</v>
      </c>
      <c r="D33" s="131" t="s">
        <v>123</v>
      </c>
      <c r="E33" s="145" t="s">
        <v>50</v>
      </c>
      <c r="F33" s="137" t="s">
        <v>133</v>
      </c>
      <c r="G33" s="131" t="s">
        <v>48</v>
      </c>
      <c r="H33" s="145" t="s">
        <v>68</v>
      </c>
      <c r="I33" s="238">
        <f>+K34</f>
        <v>31.037483495944716</v>
      </c>
      <c r="J33" s="205" t="s">
        <v>111</v>
      </c>
      <c r="K33" s="53" t="s">
        <v>43</v>
      </c>
      <c r="L33" s="21" t="s">
        <v>43</v>
      </c>
      <c r="M33" s="21" t="s">
        <v>43</v>
      </c>
      <c r="N33" s="33" t="s">
        <v>43</v>
      </c>
      <c r="O33" s="21" t="s">
        <v>43</v>
      </c>
      <c r="P33" s="54" t="s">
        <v>43</v>
      </c>
      <c r="Q33" s="21" t="s">
        <v>43</v>
      </c>
      <c r="R33" s="54" t="s">
        <v>43</v>
      </c>
      <c r="S33" s="21" t="s">
        <v>43</v>
      </c>
      <c r="T33" s="54" t="s">
        <v>43</v>
      </c>
      <c r="U33" s="21" t="s">
        <v>43</v>
      </c>
      <c r="V33" s="54" t="s">
        <v>43</v>
      </c>
      <c r="W33" s="21" t="s">
        <v>43</v>
      </c>
      <c r="X33" s="54" t="s">
        <v>43</v>
      </c>
      <c r="Y33" s="21" t="s">
        <v>43</v>
      </c>
      <c r="Z33" s="54" t="s">
        <v>43</v>
      </c>
      <c r="AA33" s="21" t="s">
        <v>43</v>
      </c>
      <c r="AB33" s="54" t="s">
        <v>43</v>
      </c>
      <c r="AC33" s="21" t="s">
        <v>43</v>
      </c>
      <c r="AD33" s="54" t="s">
        <v>43</v>
      </c>
      <c r="AE33" s="21" t="s">
        <v>43</v>
      </c>
      <c r="AF33" s="54" t="s">
        <v>43</v>
      </c>
      <c r="AG33" s="21" t="s">
        <v>43</v>
      </c>
      <c r="AH33" s="54" t="s">
        <v>43</v>
      </c>
      <c r="AI33" s="55"/>
      <c r="AJ33" s="270" t="s">
        <v>87</v>
      </c>
      <c r="AK33" s="273"/>
      <c r="AL33" s="233" t="s">
        <v>57</v>
      </c>
    </row>
    <row r="34" spans="1:38" s="52" customFormat="1" ht="22.9" customHeight="1" x14ac:dyDescent="0.25">
      <c r="A34" s="211"/>
      <c r="B34" s="218"/>
      <c r="C34" s="129"/>
      <c r="D34" s="143"/>
      <c r="E34" s="132"/>
      <c r="F34" s="138"/>
      <c r="G34" s="132"/>
      <c r="H34" s="146"/>
      <c r="I34" s="239"/>
      <c r="J34" s="206"/>
      <c r="K34" s="103">
        <f>IF(K36&lt;&gt;0,+K36/K38,0%)</f>
        <v>31.037483495944716</v>
      </c>
      <c r="L34" s="23">
        <f>IF(L36&lt;&gt;0,+L36/L38,0%)</f>
        <v>0</v>
      </c>
      <c r="M34" s="57">
        <f>IF(M36&lt;&gt;0,+M36/M38,0%)</f>
        <v>0</v>
      </c>
      <c r="N34" s="43">
        <f t="shared" ref="N34" si="42">IF(N36&lt;&gt;0,+N36/N38,0%)</f>
        <v>0</v>
      </c>
      <c r="O34" s="57">
        <f>IF(O36&lt;&gt;0,ROUND(+O36/O38,4),0%)</f>
        <v>0</v>
      </c>
      <c r="P34" s="58">
        <f t="shared" ref="P34" si="43">IF(P36&lt;&gt;0,+P36/P38,0%)</f>
        <v>0</v>
      </c>
      <c r="Q34" s="59">
        <f>IF(Q36&lt;&gt;0,ROUND(+Q36/Q38,4),0%)</f>
        <v>0</v>
      </c>
      <c r="R34" s="58">
        <f t="shared" ref="R34" si="44">IF(R36&lt;&gt;0,+R36/R38,0%)</f>
        <v>0</v>
      </c>
      <c r="S34" s="59">
        <f>IF(S36&lt;&gt;0,ROUND(+S36/S38,4),0%)</f>
        <v>0</v>
      </c>
      <c r="T34" s="58">
        <f t="shared" ref="T34" si="45">IF(T36&lt;&gt;0,+T36/T38,0%)</f>
        <v>0</v>
      </c>
      <c r="U34" s="59">
        <f>IF(U36&lt;&gt;0,ROUND(+U36/U38,4),0%)</f>
        <v>0</v>
      </c>
      <c r="V34" s="58">
        <f t="shared" ref="V34" si="46">IF(V36&lt;&gt;0,+V36/V38,0%)</f>
        <v>0</v>
      </c>
      <c r="W34" s="59">
        <f>IF(W36&lt;&gt;0,ROUND(+W36/W38,4),0%)</f>
        <v>0</v>
      </c>
      <c r="X34" s="58">
        <f t="shared" ref="X34" si="47">IF(X36&lt;&gt;0,+X36/X38,0%)</f>
        <v>0</v>
      </c>
      <c r="Y34" s="60">
        <f>IF(Y36&lt;&gt;0,ROUND(+Y36/Y38,4),0%)</f>
        <v>0</v>
      </c>
      <c r="Z34" s="58">
        <f t="shared" ref="Z34" si="48">IF(Z36&lt;&gt;0,+Z36/Z38,0%)</f>
        <v>0</v>
      </c>
      <c r="AA34" s="59">
        <f>IF(AA36&lt;&gt;0,ROUND(+AA36/AA38,4),0%)</f>
        <v>0</v>
      </c>
      <c r="AB34" s="58">
        <f t="shared" ref="AB34" si="49">IF(AB36&lt;&gt;0,+AB36/AB38,0%)</f>
        <v>0</v>
      </c>
      <c r="AC34" s="59">
        <f>IF(AC36&lt;&gt;0,ROUND(+AC36/AC38,4),0%)</f>
        <v>0</v>
      </c>
      <c r="AD34" s="58">
        <f t="shared" ref="AD34" si="50">IF(AD36&lt;&gt;0,+AD36/AD38,0%)</f>
        <v>0</v>
      </c>
      <c r="AE34" s="59">
        <f>IF(AE36&lt;&gt;0,ROUND(+AE36/AE38,4),0%)</f>
        <v>0</v>
      </c>
      <c r="AF34" s="58">
        <f t="shared" ref="AF34" si="51">IF(AF36&lt;&gt;0,+AF36/AF38,0%)</f>
        <v>0</v>
      </c>
      <c r="AG34" s="59">
        <f>IF(AG36&lt;&gt;0,ROUND(+AG36/AG38,4),0%)</f>
        <v>0</v>
      </c>
      <c r="AH34" s="58">
        <f>IF(AH36&lt;&gt;0,+AH36/AH38,0%)</f>
        <v>0</v>
      </c>
      <c r="AI34" s="61"/>
      <c r="AJ34" s="271"/>
      <c r="AK34" s="274"/>
      <c r="AL34" s="230"/>
    </row>
    <row r="35" spans="1:38" s="52" customFormat="1" ht="22.9" customHeight="1" thickBot="1" x14ac:dyDescent="0.3">
      <c r="A35" s="211"/>
      <c r="B35" s="218"/>
      <c r="C35" s="129"/>
      <c r="D35" s="143"/>
      <c r="E35" s="132"/>
      <c r="F35" s="138"/>
      <c r="G35" s="132"/>
      <c r="H35" s="146"/>
      <c r="I35" s="239"/>
      <c r="J35" s="207"/>
      <c r="K35" s="63"/>
      <c r="L35" s="25" t="s">
        <v>44</v>
      </c>
      <c r="M35" s="25" t="s">
        <v>44</v>
      </c>
      <c r="N35" s="36" t="s">
        <v>44</v>
      </c>
      <c r="O35" s="25" t="s">
        <v>44</v>
      </c>
      <c r="P35" s="64" t="s">
        <v>44</v>
      </c>
      <c r="Q35" s="25" t="s">
        <v>44</v>
      </c>
      <c r="R35" s="64" t="s">
        <v>44</v>
      </c>
      <c r="S35" s="25" t="s">
        <v>44</v>
      </c>
      <c r="T35" s="64" t="s">
        <v>44</v>
      </c>
      <c r="U35" s="25" t="s">
        <v>44</v>
      </c>
      <c r="V35" s="64" t="s">
        <v>44</v>
      </c>
      <c r="W35" s="25" t="s">
        <v>44</v>
      </c>
      <c r="X35" s="64" t="s">
        <v>44</v>
      </c>
      <c r="Y35" s="25" t="s">
        <v>44</v>
      </c>
      <c r="Z35" s="64" t="s">
        <v>44</v>
      </c>
      <c r="AA35" s="25" t="s">
        <v>44</v>
      </c>
      <c r="AB35" s="64" t="s">
        <v>44</v>
      </c>
      <c r="AC35" s="25" t="s">
        <v>44</v>
      </c>
      <c r="AD35" s="64" t="s">
        <v>44</v>
      </c>
      <c r="AE35" s="25" t="s">
        <v>44</v>
      </c>
      <c r="AF35" s="64" t="s">
        <v>44</v>
      </c>
      <c r="AG35" s="25" t="s">
        <v>44</v>
      </c>
      <c r="AH35" s="64" t="s">
        <v>44</v>
      </c>
      <c r="AI35" s="61"/>
      <c r="AJ35" s="271"/>
      <c r="AK35" s="274"/>
      <c r="AL35" s="230"/>
    </row>
    <row r="36" spans="1:38" s="52" customFormat="1" ht="22.9" customHeight="1" thickTop="1" x14ac:dyDescent="0.25">
      <c r="A36" s="211"/>
      <c r="B36" s="218"/>
      <c r="C36" s="129"/>
      <c r="D36" s="143"/>
      <c r="E36" s="132"/>
      <c r="F36" s="138"/>
      <c r="G36" s="132"/>
      <c r="H36" s="146"/>
      <c r="I36" s="239"/>
      <c r="J36" s="205" t="s">
        <v>122</v>
      </c>
      <c r="K36" s="65">
        <v>3620150</v>
      </c>
      <c r="L36" s="66"/>
      <c r="M36" s="66"/>
      <c r="N36" s="27">
        <f>SUM(L36:M36)</f>
        <v>0</v>
      </c>
      <c r="O36" s="66"/>
      <c r="P36" s="27">
        <f>SUM(N36:O36)</f>
        <v>0</v>
      </c>
      <c r="Q36" s="66"/>
      <c r="R36" s="27">
        <f>SUM(P36:Q36)</f>
        <v>0</v>
      </c>
      <c r="S36" s="66"/>
      <c r="T36" s="27">
        <f>SUM(R36:S36)</f>
        <v>0</v>
      </c>
      <c r="U36" s="66"/>
      <c r="V36" s="27">
        <f>SUM(T36:U36)</f>
        <v>0</v>
      </c>
      <c r="W36" s="66"/>
      <c r="X36" s="27">
        <f>SUM(V36:W36)</f>
        <v>0</v>
      </c>
      <c r="Y36" s="66"/>
      <c r="Z36" s="27">
        <f>SUM(X36:Y36)</f>
        <v>0</v>
      </c>
      <c r="AA36" s="66"/>
      <c r="AB36" s="27">
        <f>SUM(Z36:AA36)</f>
        <v>0</v>
      </c>
      <c r="AC36" s="66"/>
      <c r="AD36" s="27">
        <f>SUM(AB36:AC36)</f>
        <v>0</v>
      </c>
      <c r="AE36" s="66"/>
      <c r="AF36" s="27">
        <f>SUM(AD36:AE36)</f>
        <v>0</v>
      </c>
      <c r="AG36" s="66"/>
      <c r="AH36" s="27">
        <f>SUM(AF36:AG36)</f>
        <v>0</v>
      </c>
      <c r="AI36" s="67">
        <f>+AH34/K34</f>
        <v>0</v>
      </c>
      <c r="AJ36" s="271"/>
      <c r="AK36" s="274"/>
      <c r="AL36" s="230"/>
    </row>
    <row r="37" spans="1:38" s="52" customFormat="1" ht="22.9" customHeight="1" x14ac:dyDescent="0.25">
      <c r="A37" s="211"/>
      <c r="B37" s="218"/>
      <c r="C37" s="129"/>
      <c r="D37" s="143"/>
      <c r="E37" s="132"/>
      <c r="F37" s="138"/>
      <c r="G37" s="132"/>
      <c r="H37" s="146"/>
      <c r="I37" s="239"/>
      <c r="J37" s="206"/>
      <c r="K37" s="63" t="s">
        <v>45</v>
      </c>
      <c r="L37" s="29" t="s">
        <v>45</v>
      </c>
      <c r="M37" s="29" t="s">
        <v>45</v>
      </c>
      <c r="N37" s="38" t="s">
        <v>45</v>
      </c>
      <c r="O37" s="29" t="s">
        <v>45</v>
      </c>
      <c r="P37" s="38" t="s">
        <v>45</v>
      </c>
      <c r="Q37" s="29" t="s">
        <v>45</v>
      </c>
      <c r="R37" s="38" t="s">
        <v>45</v>
      </c>
      <c r="S37" s="29" t="s">
        <v>45</v>
      </c>
      <c r="T37" s="38" t="s">
        <v>45</v>
      </c>
      <c r="U37" s="29" t="s">
        <v>45</v>
      </c>
      <c r="V37" s="38" t="s">
        <v>45</v>
      </c>
      <c r="W37" s="29" t="s">
        <v>45</v>
      </c>
      <c r="X37" s="38" t="s">
        <v>45</v>
      </c>
      <c r="Y37" s="29" t="s">
        <v>45</v>
      </c>
      <c r="Z37" s="38" t="s">
        <v>45</v>
      </c>
      <c r="AA37" s="29" t="s">
        <v>45</v>
      </c>
      <c r="AB37" s="38" t="s">
        <v>45</v>
      </c>
      <c r="AC37" s="29" t="s">
        <v>45</v>
      </c>
      <c r="AD37" s="38" t="s">
        <v>45</v>
      </c>
      <c r="AE37" s="29" t="s">
        <v>45</v>
      </c>
      <c r="AF37" s="38" t="s">
        <v>45</v>
      </c>
      <c r="AG37" s="29" t="s">
        <v>45</v>
      </c>
      <c r="AH37" s="38" t="s">
        <v>45</v>
      </c>
      <c r="AI37" s="61"/>
      <c r="AJ37" s="271"/>
      <c r="AK37" s="274"/>
      <c r="AL37" s="230"/>
    </row>
    <row r="38" spans="1:38" s="52" customFormat="1" ht="22.9" customHeight="1" thickBot="1" x14ac:dyDescent="0.3">
      <c r="A38" s="212"/>
      <c r="B38" s="219"/>
      <c r="C38" s="130"/>
      <c r="D38" s="144"/>
      <c r="E38" s="133"/>
      <c r="F38" s="139"/>
      <c r="G38" s="133"/>
      <c r="H38" s="146"/>
      <c r="I38" s="240"/>
      <c r="J38" s="207"/>
      <c r="K38" s="65">
        <v>116638</v>
      </c>
      <c r="L38" s="66"/>
      <c r="M38" s="66"/>
      <c r="N38" s="31">
        <f>SUM(L38:M38)</f>
        <v>0</v>
      </c>
      <c r="O38" s="66"/>
      <c r="P38" s="31">
        <f>SUM(N38:O38)</f>
        <v>0</v>
      </c>
      <c r="Q38" s="66"/>
      <c r="R38" s="31">
        <f>SUM(P38:Q38)</f>
        <v>0</v>
      </c>
      <c r="S38" s="66"/>
      <c r="T38" s="31">
        <f>SUM(R38:S38)</f>
        <v>0</v>
      </c>
      <c r="U38" s="66"/>
      <c r="V38" s="31">
        <f>SUM(T38:U38)</f>
        <v>0</v>
      </c>
      <c r="W38" s="66"/>
      <c r="X38" s="31">
        <f>SUM(V38:W38)</f>
        <v>0</v>
      </c>
      <c r="Y38" s="66"/>
      <c r="Z38" s="31">
        <f>SUM(X38:Y38)</f>
        <v>0</v>
      </c>
      <c r="AA38" s="66"/>
      <c r="AB38" s="31">
        <f>SUM(Z38:AA38)</f>
        <v>0</v>
      </c>
      <c r="AC38" s="66"/>
      <c r="AD38" s="31">
        <f>SUM(AB38:AC38)</f>
        <v>0</v>
      </c>
      <c r="AE38" s="66"/>
      <c r="AF38" s="31">
        <f>SUM(AD38:AE38)</f>
        <v>0</v>
      </c>
      <c r="AG38" s="66"/>
      <c r="AH38" s="31">
        <f>SUM(AF38:AG38)</f>
        <v>0</v>
      </c>
      <c r="AI38" s="71"/>
      <c r="AJ38" s="272"/>
      <c r="AK38" s="275"/>
      <c r="AL38" s="234"/>
    </row>
    <row r="39" spans="1:38" ht="13.5" thickTop="1" x14ac:dyDescent="0.2"/>
  </sheetData>
  <mergeCells count="165">
    <mergeCell ref="I33:I38"/>
    <mergeCell ref="J33:J35"/>
    <mergeCell ref="AJ33:AJ38"/>
    <mergeCell ref="AK33:AK38"/>
    <mergeCell ref="AL33:AL38"/>
    <mergeCell ref="J36:J38"/>
    <mergeCell ref="AK31:AK32"/>
    <mergeCell ref="AL31:AL32"/>
    <mergeCell ref="A33:A38"/>
    <mergeCell ref="B33:B38"/>
    <mergeCell ref="C33:C38"/>
    <mergeCell ref="D33:D38"/>
    <mergeCell ref="E33:E38"/>
    <mergeCell ref="F33:F38"/>
    <mergeCell ref="G33:G38"/>
    <mergeCell ref="H33:H38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H23:H28"/>
    <mergeCell ref="I23:I28"/>
    <mergeCell ref="J23:J25"/>
    <mergeCell ref="AJ23:AJ28"/>
    <mergeCell ref="AK23:AK28"/>
    <mergeCell ref="AL23:AL28"/>
    <mergeCell ref="J26:J28"/>
    <mergeCell ref="AJ21:AJ22"/>
    <mergeCell ref="AK21:AK22"/>
    <mergeCell ref="AL21:AL22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AF21:AF22"/>
    <mergeCell ref="AG21:AG22"/>
    <mergeCell ref="AH21:AH22"/>
    <mergeCell ref="AI21:AI22"/>
    <mergeCell ref="X21:X22"/>
    <mergeCell ref="Y21:Y22"/>
    <mergeCell ref="Z21:Z22"/>
    <mergeCell ref="AA21:AA2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B1:D5"/>
    <mergeCell ref="E1:M5"/>
    <mergeCell ref="N1:Q1"/>
    <mergeCell ref="N2:Q2"/>
    <mergeCell ref="N3:Q3"/>
    <mergeCell ref="N5:Q5"/>
    <mergeCell ref="B6:D6"/>
    <mergeCell ref="E6:M6"/>
    <mergeCell ref="N6:Q6"/>
  </mergeCells>
  <conditionalFormatting sqref="K26:K28">
    <cfRule type="expression" dxfId="7" priority="4">
      <formula>#REF!=0</formula>
    </cfRule>
  </conditionalFormatting>
  <conditionalFormatting sqref="K36">
    <cfRule type="expression" dxfId="6" priority="3">
      <formula>#REF!=0</formula>
    </cfRule>
  </conditionalFormatting>
  <conditionalFormatting sqref="K37">
    <cfRule type="expression" dxfId="5" priority="2">
      <formula>#REF!=0</formula>
    </cfRule>
  </conditionalFormatting>
  <conditionalFormatting sqref="K38">
    <cfRule type="expression" dxfId="4" priority="1">
      <formula>#REF!=0</formula>
    </cfRule>
  </conditionalFormatting>
  <pageMargins left="0.7" right="0.7" top="0.75" bottom="0.75" header="0.3" footer="0.3"/>
  <pageSetup paperSize="2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CDC 2025</vt:lpstr>
      <vt:lpstr>ind 14 dias desagr por sexo CDC</vt:lpstr>
      <vt:lpstr>Formulario H</vt:lpstr>
      <vt:lpstr>ind cargas fam desagr por sexo</vt:lpstr>
      <vt:lpstr>ind 14 dias desagr por sexo</vt:lpstr>
      <vt:lpstr>ind PGU desagr por sexo</vt:lpstr>
      <vt:lpstr>'CDC 2025'!Área_de_impresión</vt:lpstr>
      <vt:lpstr>'CDC 2025'!Títulos_a_imprimir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Cesar Francisco Alfaro Valdes</cp:lastModifiedBy>
  <cp:lastPrinted>2012-03-08T20:51:00Z</cp:lastPrinted>
  <dcterms:created xsi:type="dcterms:W3CDTF">2008-08-20T14:03:15Z</dcterms:created>
  <dcterms:modified xsi:type="dcterms:W3CDTF">2024-12-09T20:18:33Z</dcterms:modified>
</cp:coreProperties>
</file>