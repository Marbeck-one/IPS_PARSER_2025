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.sharepoint.com/sites/GestindeIndicadores-DivisinPlanificacin/Documentos compartidos/2026/ADP 2026/ADP ARBOL-LOGIK/CONVENIO DESEMPEÑO ALTA DIRECCIÓN PÚBLICA/JEFE DIVISIÓN BENEFICIOS/"/>
    </mc:Choice>
  </mc:AlternateContent>
  <xr:revisionPtr revIDLastSave="0" documentId="8_{FED3C16E-49BD-4450-A16E-992623E588D4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Plantilla SIG" sheetId="7" r:id="rId1"/>
    <sheet name="Proyección" sheetId="9" r:id="rId2"/>
    <sheet name="Consolidado" sheetId="10" r:id="rId3"/>
  </sheets>
  <definedNames>
    <definedName name="_xlnm._FilterDatabase" localSheetId="1" hidden="1">Proyección!$B$1:$AE$55</definedName>
    <definedName name="_xlnm.Print_Titles" localSheetId="0">'Plantilla SIG'!$B:$B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9" l="1"/>
  <c r="S34" i="9"/>
  <c r="S32" i="9" s="1"/>
  <c r="J52" i="7"/>
  <c r="L52" i="7" s="1"/>
  <c r="N52" i="7" s="1"/>
  <c r="P52" i="7" s="1"/>
  <c r="R52" i="7" s="1"/>
  <c r="T52" i="7" s="1"/>
  <c r="V52" i="7" s="1"/>
  <c r="X52" i="7" s="1"/>
  <c r="Z52" i="7" s="1"/>
  <c r="AB52" i="7" s="1"/>
  <c r="AD52" i="7" s="1"/>
  <c r="J46" i="7"/>
  <c r="L46" i="7" s="1"/>
  <c r="N46" i="7" s="1"/>
  <c r="P46" i="7" s="1"/>
  <c r="R46" i="7" s="1"/>
  <c r="T46" i="7" s="1"/>
  <c r="V46" i="7" s="1"/>
  <c r="X46" i="7" s="1"/>
  <c r="Z46" i="7" s="1"/>
  <c r="AB46" i="7" s="1"/>
  <c r="AD46" i="7" s="1"/>
  <c r="J40" i="7"/>
  <c r="L40" i="7" s="1"/>
  <c r="N40" i="7" s="1"/>
  <c r="P40" i="7" s="1"/>
  <c r="R40" i="7" s="1"/>
  <c r="T40" i="7" s="1"/>
  <c r="V40" i="7" s="1"/>
  <c r="X40" i="7" s="1"/>
  <c r="Z40" i="7" s="1"/>
  <c r="AB40" i="7" s="1"/>
  <c r="AD40" i="7" s="1"/>
  <c r="J34" i="7"/>
  <c r="L34" i="7" s="1"/>
  <c r="N34" i="7" s="1"/>
  <c r="P34" i="7" s="1"/>
  <c r="R34" i="7" s="1"/>
  <c r="T34" i="7" s="1"/>
  <c r="V34" i="7" s="1"/>
  <c r="X34" i="7" s="1"/>
  <c r="Z34" i="7" s="1"/>
  <c r="AB34" i="7" s="1"/>
  <c r="AD34" i="7" s="1"/>
  <c r="J28" i="7"/>
  <c r="L28" i="7" s="1"/>
  <c r="N28" i="7" s="1"/>
  <c r="P28" i="7" s="1"/>
  <c r="R28" i="7" s="1"/>
  <c r="T28" i="7" s="1"/>
  <c r="V28" i="7" s="1"/>
  <c r="X28" i="7" s="1"/>
  <c r="Z28" i="7" s="1"/>
  <c r="AB28" i="7" s="1"/>
  <c r="AD28" i="7" s="1"/>
  <c r="J22" i="7"/>
  <c r="L22" i="7" s="1"/>
  <c r="N22" i="7" s="1"/>
  <c r="P22" i="7" s="1"/>
  <c r="R22" i="7" s="1"/>
  <c r="T22" i="7" s="1"/>
  <c r="V22" i="7" s="1"/>
  <c r="X22" i="7" s="1"/>
  <c r="Z22" i="7" s="1"/>
  <c r="AB22" i="7" s="1"/>
  <c r="J52" i="9"/>
  <c r="L52" i="9" s="1"/>
  <c r="AC50" i="9"/>
  <c r="AA50" i="9"/>
  <c r="Y50" i="9"/>
  <c r="W50" i="9"/>
  <c r="U50" i="9"/>
  <c r="S50" i="9"/>
  <c r="Q50" i="9"/>
  <c r="O50" i="9"/>
  <c r="M50" i="9"/>
  <c r="K50" i="9"/>
  <c r="I50" i="9"/>
  <c r="H50" i="9"/>
  <c r="J46" i="9"/>
  <c r="J44" i="9" s="1"/>
  <c r="AC44" i="9"/>
  <c r="AA44" i="9"/>
  <c r="Y44" i="9"/>
  <c r="W44" i="9"/>
  <c r="U44" i="9"/>
  <c r="S44" i="9"/>
  <c r="Q44" i="9"/>
  <c r="O44" i="9"/>
  <c r="M44" i="9"/>
  <c r="K44" i="9"/>
  <c r="I44" i="9"/>
  <c r="H44" i="9"/>
  <c r="G44" i="9"/>
  <c r="J40" i="9"/>
  <c r="L40" i="9" s="1"/>
  <c r="AC38" i="9"/>
  <c r="AA38" i="9"/>
  <c r="Y38" i="9"/>
  <c r="W38" i="9"/>
  <c r="U38" i="9"/>
  <c r="S38" i="9"/>
  <c r="Q38" i="9"/>
  <c r="O38" i="9"/>
  <c r="M38" i="9"/>
  <c r="K38" i="9"/>
  <c r="I38" i="9"/>
  <c r="H38" i="9"/>
  <c r="J34" i="9"/>
  <c r="L34" i="9" s="1"/>
  <c r="AC32" i="9"/>
  <c r="AA32" i="9"/>
  <c r="Y32" i="9"/>
  <c r="W32" i="9"/>
  <c r="U32" i="9"/>
  <c r="Q32" i="9"/>
  <c r="O32" i="9"/>
  <c r="K32" i="9"/>
  <c r="J32" i="9"/>
  <c r="I32" i="9"/>
  <c r="H32" i="9"/>
  <c r="J28" i="9"/>
  <c r="L28" i="9" s="1"/>
  <c r="N28" i="9" s="1"/>
  <c r="AC26" i="9"/>
  <c r="AA26" i="9"/>
  <c r="Y26" i="9"/>
  <c r="W26" i="9"/>
  <c r="U26" i="9"/>
  <c r="S26" i="9"/>
  <c r="Q26" i="9"/>
  <c r="O26" i="9"/>
  <c r="M26" i="9"/>
  <c r="K26" i="9"/>
  <c r="J26" i="9"/>
  <c r="I26" i="9"/>
  <c r="H26" i="9"/>
  <c r="G26" i="9"/>
  <c r="J22" i="9"/>
  <c r="J20" i="9" s="1"/>
  <c r="AC20" i="9"/>
  <c r="AA20" i="9"/>
  <c r="Y20" i="9"/>
  <c r="W20" i="9"/>
  <c r="U20" i="9"/>
  <c r="S20" i="9"/>
  <c r="Q20" i="9"/>
  <c r="O20" i="9"/>
  <c r="M20" i="9"/>
  <c r="K20" i="9"/>
  <c r="I20" i="9"/>
  <c r="H20" i="9"/>
  <c r="G20" i="9"/>
  <c r="J16" i="9"/>
  <c r="J14" i="9" s="1"/>
  <c r="AC14" i="9"/>
  <c r="AA14" i="9"/>
  <c r="Y14" i="9"/>
  <c r="W14" i="9"/>
  <c r="U14" i="9"/>
  <c r="S14" i="9"/>
  <c r="Q14" i="9"/>
  <c r="O14" i="9"/>
  <c r="M14" i="9"/>
  <c r="K14" i="9"/>
  <c r="I14" i="9"/>
  <c r="H14" i="9"/>
  <c r="L46" i="9" l="1"/>
  <c r="J50" i="9"/>
  <c r="J38" i="9"/>
  <c r="M32" i="9"/>
  <c r="N52" i="9"/>
  <c r="L50" i="9"/>
  <c r="N26" i="9"/>
  <c r="P28" i="9"/>
  <c r="N34" i="9"/>
  <c r="L32" i="9"/>
  <c r="N40" i="9"/>
  <c r="L38" i="9"/>
  <c r="L22" i="9"/>
  <c r="L16" i="9"/>
  <c r="L26" i="9"/>
  <c r="N46" i="9" l="1"/>
  <c r="L44" i="9"/>
  <c r="N32" i="9"/>
  <c r="P34" i="9"/>
  <c r="N22" i="9"/>
  <c r="L20" i="9"/>
  <c r="L14" i="9"/>
  <c r="N16" i="9"/>
  <c r="R28" i="9"/>
  <c r="P26" i="9"/>
  <c r="N38" i="9"/>
  <c r="P40" i="9"/>
  <c r="P52" i="9"/>
  <c r="N50" i="9"/>
  <c r="AC50" i="7"/>
  <c r="AA50" i="7"/>
  <c r="Y50" i="7"/>
  <c r="W50" i="7"/>
  <c r="U50" i="7"/>
  <c r="S50" i="7"/>
  <c r="Q50" i="7"/>
  <c r="O50" i="7"/>
  <c r="M50" i="7"/>
  <c r="K50" i="7"/>
  <c r="J50" i="7"/>
  <c r="I50" i="7"/>
  <c r="H50" i="7"/>
  <c r="G50" i="7"/>
  <c r="P46" i="9" l="1"/>
  <c r="N44" i="9"/>
  <c r="N14" i="9"/>
  <c r="P16" i="9"/>
  <c r="N20" i="9"/>
  <c r="P22" i="9"/>
  <c r="R52" i="9"/>
  <c r="P50" i="9"/>
  <c r="P38" i="9"/>
  <c r="R40" i="9"/>
  <c r="P32" i="9"/>
  <c r="R34" i="9"/>
  <c r="T34" i="9" s="1"/>
  <c r="V34" i="9" s="1"/>
  <c r="R26" i="9"/>
  <c r="T28" i="9"/>
  <c r="L50" i="7"/>
  <c r="Q14" i="7"/>
  <c r="O14" i="7"/>
  <c r="M14" i="7"/>
  <c r="K14" i="7"/>
  <c r="H14" i="7"/>
  <c r="R46" i="9" l="1"/>
  <c r="P44" i="9"/>
  <c r="R38" i="9"/>
  <c r="T40" i="9"/>
  <c r="R32" i="9"/>
  <c r="V28" i="9"/>
  <c r="T26" i="9"/>
  <c r="T52" i="9"/>
  <c r="V52" i="9" s="1"/>
  <c r="X52" i="9" s="1"/>
  <c r="R50" i="9"/>
  <c r="R16" i="9"/>
  <c r="P14" i="9"/>
  <c r="P20" i="9"/>
  <c r="R22" i="9"/>
  <c r="N50" i="7"/>
  <c r="R44" i="9" l="1"/>
  <c r="T46" i="9"/>
  <c r="T50" i="9"/>
  <c r="X28" i="9"/>
  <c r="V26" i="9"/>
  <c r="T22" i="9"/>
  <c r="R20" i="9"/>
  <c r="T32" i="9"/>
  <c r="V40" i="9"/>
  <c r="T38" i="9"/>
  <c r="T16" i="9"/>
  <c r="R14" i="9"/>
  <c r="P50" i="7"/>
  <c r="T44" i="9" l="1"/>
  <c r="V46" i="9"/>
  <c r="V22" i="9"/>
  <c r="T20" i="9"/>
  <c r="V16" i="9"/>
  <c r="T14" i="9"/>
  <c r="Z28" i="9"/>
  <c r="X26" i="9"/>
  <c r="X40" i="9"/>
  <c r="V38" i="9"/>
  <c r="X34" i="9"/>
  <c r="V32" i="9"/>
  <c r="V50" i="9"/>
  <c r="R50" i="7"/>
  <c r="V44" i="9" l="1"/>
  <c r="X46" i="9"/>
  <c r="X50" i="9"/>
  <c r="Z52" i="9"/>
  <c r="X38" i="9"/>
  <c r="Z40" i="9"/>
  <c r="Z26" i="9"/>
  <c r="AB28" i="9"/>
  <c r="AD28" i="9" s="1"/>
  <c r="X32" i="9"/>
  <c r="Z34" i="9"/>
  <c r="X16" i="9"/>
  <c r="V14" i="9"/>
  <c r="X22" i="9"/>
  <c r="V20" i="9"/>
  <c r="T50" i="7"/>
  <c r="X44" i="9" l="1"/>
  <c r="Z46" i="9"/>
  <c r="AD26" i="9"/>
  <c r="AE28" i="9" s="1"/>
  <c r="AB26" i="9"/>
  <c r="AB40" i="9"/>
  <c r="Z38" i="9"/>
  <c r="X20" i="9"/>
  <c r="Z22" i="9"/>
  <c r="X14" i="9"/>
  <c r="Z16" i="9"/>
  <c r="AB34" i="9"/>
  <c r="Z32" i="9"/>
  <c r="Z50" i="9"/>
  <c r="AB52" i="9"/>
  <c r="V50" i="7"/>
  <c r="Z44" i="9" l="1"/>
  <c r="AB46" i="9"/>
  <c r="AB50" i="9"/>
  <c r="AD52" i="9"/>
  <c r="AD50" i="9" s="1"/>
  <c r="AE52" i="9" s="1"/>
  <c r="AB22" i="9"/>
  <c r="Z20" i="9"/>
  <c r="AD34" i="9"/>
  <c r="AD32" i="9" s="1"/>
  <c r="AE34" i="9" s="1"/>
  <c r="AB32" i="9"/>
  <c r="AD40" i="9"/>
  <c r="AD38" i="9" s="1"/>
  <c r="AE40" i="9" s="1"/>
  <c r="AB38" i="9"/>
  <c r="Z14" i="9"/>
  <c r="AB16" i="9"/>
  <c r="X50" i="7"/>
  <c r="AD46" i="9" l="1"/>
  <c r="AD44" i="9" s="1"/>
  <c r="AE46" i="9" s="1"/>
  <c r="AB44" i="9"/>
  <c r="AB20" i="9"/>
  <c r="AD22" i="9"/>
  <c r="AD20" i="9" s="1"/>
  <c r="AE22" i="9" s="1"/>
  <c r="AB14" i="9"/>
  <c r="AD16" i="9"/>
  <c r="AD14" i="9" s="1"/>
  <c r="AE16" i="9" s="1"/>
  <c r="Z50" i="7"/>
  <c r="AB50" i="7" l="1"/>
  <c r="AD50" i="7" l="1"/>
  <c r="AE52" i="7" s="1"/>
  <c r="J16" i="7"/>
  <c r="L16" i="7" s="1"/>
  <c r="N16" i="7" s="1"/>
  <c r="N14" i="7" s="1"/>
  <c r="AC14" i="7"/>
  <c r="AA14" i="7"/>
  <c r="Y14" i="7"/>
  <c r="W14" i="7"/>
  <c r="U14" i="7"/>
  <c r="S14" i="7"/>
  <c r="I14" i="7"/>
  <c r="J14" i="7" l="1"/>
  <c r="P16" i="7"/>
  <c r="L14" i="7"/>
  <c r="P14" i="7" l="1"/>
  <c r="R16" i="7"/>
  <c r="R14" i="7" l="1"/>
  <c r="T16" i="7"/>
  <c r="V16" i="7" l="1"/>
  <c r="T14" i="7"/>
  <c r="V14" i="7" l="1"/>
  <c r="X16" i="7"/>
  <c r="X14" i="7" l="1"/>
  <c r="Z16" i="7"/>
  <c r="AB16" i="7" l="1"/>
  <c r="Z14" i="7"/>
  <c r="AB14" i="7" l="1"/>
  <c r="AD16" i="7"/>
  <c r="AD14" i="7" l="1"/>
  <c r="AE16" i="7" s="1"/>
  <c r="AC44" i="7"/>
  <c r="AA44" i="7"/>
  <c r="Y44" i="7"/>
  <c r="W44" i="7"/>
  <c r="U44" i="7"/>
  <c r="S44" i="7"/>
  <c r="Q44" i="7"/>
  <c r="O44" i="7"/>
  <c r="M44" i="7"/>
  <c r="K44" i="7"/>
  <c r="J44" i="7"/>
  <c r="I44" i="7"/>
  <c r="H44" i="7"/>
  <c r="G44" i="7"/>
  <c r="J38" i="7"/>
  <c r="AC38" i="7"/>
  <c r="AA38" i="7"/>
  <c r="Y38" i="7"/>
  <c r="W38" i="7"/>
  <c r="U38" i="7"/>
  <c r="S38" i="7"/>
  <c r="Q38" i="7"/>
  <c r="O38" i="7"/>
  <c r="M38" i="7"/>
  <c r="K38" i="7"/>
  <c r="I38" i="7"/>
  <c r="H38" i="7"/>
  <c r="J32" i="7"/>
  <c r="AC32" i="7"/>
  <c r="AA32" i="7"/>
  <c r="Y32" i="7"/>
  <c r="W32" i="7"/>
  <c r="U32" i="7"/>
  <c r="S32" i="7"/>
  <c r="Q32" i="7"/>
  <c r="O32" i="7"/>
  <c r="M32" i="7"/>
  <c r="K32" i="7"/>
  <c r="I32" i="7"/>
  <c r="H32" i="7"/>
  <c r="AC26" i="7"/>
  <c r="AA26" i="7"/>
  <c r="Y26" i="7"/>
  <c r="W26" i="7"/>
  <c r="U26" i="7"/>
  <c r="S26" i="7"/>
  <c r="Q26" i="7"/>
  <c r="O26" i="7"/>
  <c r="M26" i="7"/>
  <c r="K26" i="7"/>
  <c r="I26" i="7"/>
  <c r="H26" i="7"/>
  <c r="G26" i="7"/>
  <c r="AC20" i="7"/>
  <c r="AA20" i="7"/>
  <c r="Y20" i="7"/>
  <c r="W20" i="7"/>
  <c r="U20" i="7"/>
  <c r="S20" i="7"/>
  <c r="Q20" i="7"/>
  <c r="O20" i="7"/>
  <c r="M20" i="7"/>
  <c r="K20" i="7"/>
  <c r="I20" i="7"/>
  <c r="H20" i="7"/>
  <c r="G20" i="7"/>
  <c r="J20" i="7" l="1"/>
  <c r="L26" i="7"/>
  <c r="L44" i="7"/>
  <c r="J26" i="7"/>
  <c r="L20" i="7" l="1"/>
  <c r="L32" i="7"/>
  <c r="N44" i="7"/>
  <c r="L38" i="7"/>
  <c r="N26" i="7"/>
  <c r="N20" i="7" l="1"/>
  <c r="N38" i="7"/>
  <c r="P44" i="7"/>
  <c r="N32" i="7"/>
  <c r="P26" i="7"/>
  <c r="P20" i="7" l="1"/>
  <c r="P38" i="7"/>
  <c r="R44" i="7"/>
  <c r="P32" i="7"/>
  <c r="R26" i="7"/>
  <c r="R20" i="7" l="1"/>
  <c r="R32" i="7"/>
  <c r="T44" i="7"/>
  <c r="T26" i="7"/>
  <c r="R38" i="7"/>
  <c r="T20" i="7" l="1"/>
  <c r="T32" i="7"/>
  <c r="V26" i="7"/>
  <c r="T38" i="7"/>
  <c r="V44" i="7"/>
  <c r="V20" i="7" l="1"/>
  <c r="V38" i="7"/>
  <c r="X26" i="7"/>
  <c r="X44" i="7"/>
  <c r="V32" i="7"/>
  <c r="X20" i="7" l="1"/>
  <c r="X38" i="7"/>
  <c r="AB44" i="7"/>
  <c r="Z44" i="7"/>
  <c r="Z26" i="7"/>
  <c r="X32" i="7"/>
  <c r="Z20" i="7" l="1"/>
  <c r="AB20" i="7"/>
  <c r="Z38" i="7"/>
  <c r="AB38" i="7"/>
  <c r="AB26" i="7"/>
  <c r="AD26" i="7"/>
  <c r="AE28" i="7" s="1"/>
  <c r="Z32" i="7"/>
  <c r="AB32" i="7"/>
  <c r="AD38" i="7" l="1"/>
  <c r="AD22" i="7"/>
  <c r="AD20" i="7" s="1"/>
  <c r="AE22" i="7" s="1"/>
  <c r="AD32" i="7"/>
  <c r="AE34" i="7" l="1"/>
  <c r="AE40" i="7"/>
  <c r="AD44" i="7" l="1"/>
  <c r="AE46" i="7" l="1"/>
</calcChain>
</file>

<file path=xl/sharedStrings.xml><?xml version="1.0" encoding="utf-8"?>
<sst xmlns="http://schemas.openxmlformats.org/spreadsheetml/2006/main" count="1176" uniqueCount="92">
  <si>
    <t>PLANTILLA SIG COMPROMISOS INSTITUCIONALES</t>
  </si>
  <si>
    <t>DIVISIÓN PLANIFICACION  Y DESARROLLO</t>
  </si>
  <si>
    <t>DEPARTAMENTO COMPROMISOS INSTITUCIONALES</t>
  </si>
  <si>
    <t>SUBDEPARTAMENTO GESTION DE INDICADORES INSTITUCIONALES</t>
  </si>
  <si>
    <t>Fecha: agosto 2025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</si>
  <si>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</si>
  <si>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</si>
  <si>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</si>
  <si>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Alta Dirección Pública</t>
  </si>
  <si>
    <t>Director Regional - Región de Araucanía, Sr. Joaquín Ignacio Núñez Leal</t>
  </si>
  <si>
    <t>Renovado.Segundo Período, tercer año enero 2025 hasta diciembre 2025</t>
  </si>
  <si>
    <t>NUMERO</t>
  </si>
  <si>
    <t xml:space="preserve">INDICADOR </t>
  </si>
  <si>
    <t>FORMULA</t>
  </si>
  <si>
    <t xml:space="preserve">PONDERACIÓN </t>
  </si>
  <si>
    <t>Meta dic. 2025</t>
  </si>
  <si>
    <t>Operandos</t>
  </si>
  <si>
    <t>Operandos  Estimados Meta</t>
  </si>
  <si>
    <t>Acum.</t>
  </si>
  <si>
    <t>Cumplimiento
Efectivo
a la fecha</t>
  </si>
  <si>
    <t>% Cumplimiento de Meta</t>
  </si>
  <si>
    <t>ADP_JDBENEF_01</t>
  </si>
  <si>
    <t>1.	Porcentaje de proyectos priorizados por la División Beneficios finalizados al año t</t>
  </si>
  <si>
    <t>(Sumatoria de proyectos priorizados por la División Beneficios finalizados al año t / Número total de proyectos priorizados por la División Beneficios planificados para el periodo) *100</t>
  </si>
  <si>
    <t>LB</t>
  </si>
  <si>
    <t>(Sumatoria de proyectos priorizados por la División Beneficios finalizados al año t</t>
  </si>
  <si>
    <t xml:space="preserve">Valor indicador=   </t>
  </si>
  <si>
    <t xml:space="preserve">Operando 1=   </t>
  </si>
  <si>
    <t>Número total de proyectos priorizados por la División Beneficios planificados para el periodo) *100</t>
  </si>
  <si>
    <t xml:space="preserve">Operando 2=    </t>
  </si>
  <si>
    <t>ADP_JDBENEF_02</t>
  </si>
  <si>
    <t>2.	Plan para automatizar y digitalizar procesos de la División Beneficios</t>
  </si>
  <si>
    <t>(Porcentaje de actividades del plan para automatizar y digitalizar procesos de la División Beneficios/ N° total de actividades definidas en el plan para automatizar y digitalizar procesos de la División Beneficios) *100</t>
  </si>
  <si>
    <t>(Porcentaje de actividades del plan para automatizar y digitalizar procesos de la División Beneficios</t>
  </si>
  <si>
    <t>N° total de actividades definidas en el plan para automatizar y digitalizar procesos de la División Beneficios) *100</t>
  </si>
  <si>
    <t>ADP_JDBENEF_03</t>
  </si>
  <si>
    <t>3.	Porcentaje de actividades de Sensibilización  en aspectos de la NCh3262 realizadas en la División Beneficios</t>
  </si>
  <si>
    <t>(N° de actividades de Sensibilización implementadas en el periodo / N° de actividades de Sensibilización planificadas para el periodo) *100.</t>
  </si>
  <si>
    <t>(N° de actividades de Sensibilización implementadas en el periodo</t>
  </si>
  <si>
    <t>N° de actividades de Sensibilización planificadas para el periodo) *100.</t>
  </si>
  <si>
    <t>ADP_JDBENEF_04</t>
  </si>
  <si>
    <t>4.	Porcentaje de Iniciativas desarrolladas con metodología de innovación, finalizadas en el año t</t>
  </si>
  <si>
    <t>(Sumatoria de iniciativas desarrolladas con metodología de innovación, finalizados en el año t / Número total de iniciativas planificadas en el periodo) *100</t>
  </si>
  <si>
    <t>(Sumatoria de iniciativas desarrolladas con metodología de innovación, finalizados en el año t</t>
  </si>
  <si>
    <t>Número total de iniciativas planificadas en el periodo) *100</t>
  </si>
  <si>
    <t>ADP_JDBENEF_05</t>
  </si>
  <si>
    <t>5.	Porcentaje de actividades realizadas de acuerdo con el plan trienal para mejorar la eficacia y eficiencia de la gestión de continuidad operacional en la División Beneficios</t>
  </si>
  <si>
    <t>(N°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Beneficios) *100</t>
  </si>
  <si>
    <t xml:space="preserve">(N° de actividades cumplidas de acuerdo con el plan trienal para mejorar la eficacia y eficiencia de la gestión de continuidad operacional en la División Beneficios </t>
  </si>
  <si>
    <t>N° de actividades definidas en el plan trienal para mejorar la eficacia y eficiencia de la gestión de continuidad operacional en la División Beneficios) *100</t>
  </si>
  <si>
    <t>ADP_JDBENEF_06</t>
  </si>
  <si>
    <t>6.	Porcentaje de actividades cumplidas del plan de trabajo anual para mejorar la Satisfacción Laboral el año t.</t>
  </si>
  <si>
    <t>(Sumatoria de actividades cumplidas del plan de trabajo anual para mejorar la Satisfacción Laboral en el año t / Nº total de actividades planificadas del plan de trabajo anual para mejorar la Satisfacción Laboral en el año t) *100</t>
  </si>
  <si>
    <t xml:space="preserve">(Sumatoria de actividades cumplidas del plan de trabajo anual para mejorar la Satisfacción Laboral en el año t </t>
  </si>
  <si>
    <t>Nº total de actividades planificadas del plan de trabajo anual para mejorar la Satisfacción Laboral en el año t) *100</t>
  </si>
  <si>
    <t>ADP_JDBENEF_07</t>
  </si>
  <si>
    <t>7.	Porcentaje de funcionarios/as capacitados en la División en temáticas de Integridad en el año t</t>
  </si>
  <si>
    <t>(Sumatoria de funcionarios/as capacitados en la División en temáticas de Integridad en el año t / Dotación de funcionarios/as de la División en el año t) *100</t>
  </si>
  <si>
    <t xml:space="preserve">(Sumatoria de funcionarios/as capacitados en la División en temáticas de Integridad en el año t </t>
  </si>
  <si>
    <t>Dotación de funcionarios/as de la División en el año t) *100</t>
  </si>
  <si>
    <t>Fecha: abril 2025</t>
  </si>
  <si>
    <t>PROYECCIONES</t>
  </si>
  <si>
    <t>PONDERACIÓN</t>
  </si>
  <si>
    <t>Meta abril. 2026</t>
  </si>
  <si>
    <t xml:space="preserve">4.	Porcentaje de Iniciativas desarrolladas con metodología de innovación, finalizadas en el año </t>
  </si>
  <si>
    <t xml:space="preserve"> (Sumatoria de iniciativas desarrolladas con metodología de innovación, finalizados en el año t / Número total de iniciativas planificadas en el periodo) *100</t>
  </si>
  <si>
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Beneficios) *100</t>
  </si>
  <si>
    <t>Sumatoria de funcionarios/as capacitados en la División en temáticas de Integridad en el año t / Dotación de funcionarios/as de la División en el año t) *100</t>
  </si>
  <si>
    <t>CONVENIO DE DESEMPEÑO ALTA DIRECCIÓN PÚBLICA</t>
  </si>
  <si>
    <t>JEFE DIVISIÓN BENEFICIOS - , Sr.  Reinaldo Manuel Zuñiga Herrera.</t>
  </si>
  <si>
    <t>Indicador</t>
  </si>
  <si>
    <t>Fórmula de Cálculo</t>
  </si>
  <si>
    <t>Pond.</t>
  </si>
  <si>
    <t>Meta diciembre 2025</t>
  </si>
  <si>
    <t>Valores según Fórmula de Cálculo</t>
  </si>
  <si>
    <t>% Cumpli- miento</t>
  </si>
  <si>
    <t>Total Pond.</t>
  </si>
  <si>
    <t>Proyección</t>
  </si>
  <si>
    <t>Efectivo a DICIEMBRE 2025</t>
  </si>
  <si>
    <t>Resultado a ENERO 2026</t>
  </si>
  <si>
    <t>1. Porcentaje de proyectos priorizados por la División Beneficios finalizados al año t</t>
  </si>
  <si>
    <t>2. Plan para automatizar y digitalizar procesos de la División Beneficios</t>
  </si>
  <si>
    <t>3. Porcentaje de actividades de Sensibilización  en aspectos de la NCh3262 realizadas en la División Beneficios</t>
  </si>
  <si>
    <t>4. Porcentaje de Iniciativas desarrolladas con metodología de innovación, finalizadas en el año t</t>
  </si>
  <si>
    <t>5. Porcentaje de actividades realizadas de acuerdo con el plan trienal para mejorar la eficacia y eficiencia de la gestión de continuidad operacional en la División Beneficios</t>
  </si>
  <si>
    <t>6. Porcentaje de actividades cumplidas del plan de trabajo anual para mejorar la Satisfacción Laboral el año t.</t>
  </si>
  <si>
    <t>7. Porcentaje de funcionarios/as capacitados en la División en temáticas de Integridad en el año t</t>
  </si>
  <si>
    <t>% de cumplimiernto informado</t>
  </si>
  <si>
    <t xml:space="preserve"> </t>
  </si>
  <si>
    <t>% de cumplimiento por informar</t>
  </si>
  <si>
    <t>% de cumplimiento esperado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</si>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</sst>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>
    <font>
      <sz val="10"/>
      <name val="Arial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14"/>
      <name val="Arial Narrow"/>
      <family val="2"/>
    </font>
    <font>
      <b/>
      <sz val="15"/>
      <name val="Arial Narrow"/>
      <family val="2"/>
    </font>
    <font>
      <u/>
      <sz val="10"/>
      <name val="Arial Narrow"/>
      <family val="2"/>
    </font>
    <font>
      <u/>
      <sz val="8"/>
      <name val="Arial Narrow"/>
      <family val="2"/>
    </font>
    <font>
      <b/>
      <sz val="14"/>
      <color rgb="FF0F243E"/>
      <name val="Arial Narrow"/>
      <family val="2"/>
    </font>
    <font>
      <sz val="9"/>
      <color rgb="FF0F243E"/>
      <name val="Arial Narrow"/>
      <family val="2"/>
    </font>
    <font>
      <b/>
      <sz val="9"/>
      <color rgb="FF0F243E"/>
      <name val="Arial Narrow"/>
      <family val="2"/>
    </font>
    <font>
      <b/>
      <sz val="10"/>
      <color rgb="FF0F243E"/>
      <name val="Arial Narrow"/>
      <family val="2"/>
    </font>
    <font>
      <u/>
      <sz val="9"/>
      <color rgb="FF0F243E"/>
      <name val="Arial Narrow"/>
      <family val="2"/>
    </font>
    <font>
      <b/>
      <sz val="12"/>
      <color rgb="FF0F243E"/>
      <name val="Arial Narrow"/>
      <family val="2"/>
    </font>
    <font>
      <u/>
      <sz val="10"/>
      <name val="Arial"/>
    </font>
    <font>
      <u/>
      <sz val="9"/>
      <name val="Arial Narrow"/>
      <family val="2"/>
    </font>
    <font>
      <b/>
      <u/>
      <sz val="12"/>
      <name val="Arial Narrow"/>
      <family val="2"/>
    </font>
    <font>
      <b/>
      <u/>
      <sz val="8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1">
    <xf numFmtId="0" fontId="0" fillId="0" borderId="0" xfId="0"/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9" fontId="2" fillId="0" borderId="8" xfId="1" applyFont="1" applyFill="1" applyBorder="1" applyAlignment="1" applyProtection="1">
      <alignment horizontal="right" vertical="center"/>
    </xf>
    <xf numFmtId="3" fontId="3" fillId="7" borderId="8" xfId="0" applyNumberFormat="1" applyFont="1" applyFill="1" applyBorder="1" applyAlignment="1">
      <alignment horizontal="right" vertical="center" wrapText="1"/>
    </xf>
    <xf numFmtId="3" fontId="3" fillId="7" borderId="10" xfId="0" applyNumberFormat="1" applyFont="1" applyFill="1" applyBorder="1" applyAlignment="1">
      <alignment horizontal="right" vertical="center" wrapText="1"/>
    </xf>
    <xf numFmtId="3" fontId="3" fillId="0" borderId="8" xfId="0" applyNumberFormat="1" applyFont="1" applyBorder="1" applyAlignment="1">
      <alignment horizontal="left" vertical="center" wrapText="1"/>
    </xf>
    <xf numFmtId="0" fontId="5" fillId="0" borderId="0" xfId="0" applyFont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3" fillId="5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10" fontId="3" fillId="4" borderId="8" xfId="1" applyNumberFormat="1" applyFont="1" applyFill="1" applyBorder="1" applyAlignment="1">
      <alignment vertical="center"/>
    </xf>
    <xf numFmtId="10" fontId="3" fillId="5" borderId="8" xfId="1" applyNumberFormat="1" applyFont="1" applyFill="1" applyBorder="1" applyAlignment="1">
      <alignment vertical="center"/>
    </xf>
    <xf numFmtId="0" fontId="3" fillId="5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3" fontId="3" fillId="5" borderId="8" xfId="0" applyNumberFormat="1" applyFont="1" applyFill="1" applyBorder="1" applyAlignment="1">
      <alignment horizontal="left" vertical="center" wrapText="1"/>
    </xf>
    <xf numFmtId="3" fontId="3" fillId="4" borderId="9" xfId="0" applyNumberFormat="1" applyFont="1" applyFill="1" applyBorder="1" applyAlignment="1">
      <alignment horizontal="left" vertical="center" wrapText="1"/>
    </xf>
    <xf numFmtId="3" fontId="3" fillId="4" borderId="8" xfId="0" applyNumberFormat="1" applyFont="1" applyFill="1" applyBorder="1" applyAlignment="1">
      <alignment horizontal="left" vertical="center" wrapText="1"/>
    </xf>
    <xf numFmtId="3" fontId="3" fillId="8" borderId="10" xfId="0" applyNumberFormat="1" applyFont="1" applyFill="1" applyBorder="1" applyAlignment="1">
      <alignment horizontal="right" vertical="center" wrapText="1"/>
    </xf>
    <xf numFmtId="3" fontId="3" fillId="4" borderId="11" xfId="0" applyNumberFormat="1" applyFont="1" applyFill="1" applyBorder="1" applyAlignment="1">
      <alignment horizontal="right" vertical="center" wrapText="1"/>
    </xf>
    <xf numFmtId="3" fontId="3" fillId="9" borderId="0" xfId="0" applyNumberFormat="1" applyFont="1" applyFill="1"/>
    <xf numFmtId="3" fontId="3" fillId="2" borderId="8" xfId="0" applyNumberFormat="1" applyFont="1" applyFill="1" applyBorder="1" applyAlignment="1">
      <alignment horizontal="right" vertical="center" wrapText="1"/>
    </xf>
    <xf numFmtId="3" fontId="3" fillId="10" borderId="10" xfId="0" applyNumberFormat="1" applyFont="1" applyFill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10" fontId="3" fillId="0" borderId="28" xfId="1" applyNumberFormat="1" applyFont="1" applyBorder="1" applyAlignment="1">
      <alignment vertical="center"/>
    </xf>
    <xf numFmtId="10" fontId="2" fillId="0" borderId="8" xfId="1" applyNumberFormat="1" applyFont="1" applyFill="1" applyBorder="1" applyAlignment="1" applyProtection="1">
      <alignment horizontal="right" vertical="center"/>
    </xf>
    <xf numFmtId="10" fontId="3" fillId="3" borderId="8" xfId="1" applyNumberFormat="1" applyFont="1" applyFill="1" applyBorder="1" applyAlignment="1" applyProtection="1">
      <alignment horizontal="right" vertical="center"/>
    </xf>
    <xf numFmtId="10" fontId="3" fillId="2" borderId="9" xfId="1" applyNumberFormat="1" applyFont="1" applyFill="1" applyBorder="1" applyAlignment="1" applyProtection="1">
      <alignment vertical="center"/>
    </xf>
    <xf numFmtId="10" fontId="3" fillId="0" borderId="30" xfId="1" applyNumberFormat="1" applyFont="1" applyBorder="1" applyAlignment="1">
      <alignment vertic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3" fontId="3" fillId="3" borderId="8" xfId="0" applyNumberFormat="1" applyFont="1" applyFill="1" applyBorder="1" applyAlignment="1">
      <alignment horizontal="right" vertical="center" wrapText="1"/>
    </xf>
    <xf numFmtId="3" fontId="3" fillId="4" borderId="8" xfId="0" applyNumberFormat="1" applyFont="1" applyFill="1" applyBorder="1" applyAlignment="1">
      <alignment horizontal="right" vertical="center" wrapText="1"/>
    </xf>
    <xf numFmtId="10" fontId="3" fillId="0" borderId="30" xfId="1" applyNumberFormat="1" applyFont="1" applyBorder="1" applyAlignment="1">
      <alignment horizontal="center" vertical="center"/>
    </xf>
    <xf numFmtId="3" fontId="3" fillId="3" borderId="10" xfId="0" applyNumberFormat="1" applyFont="1" applyFill="1" applyBorder="1" applyAlignment="1">
      <alignment horizontal="righ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  <xf numFmtId="3" fontId="3" fillId="5" borderId="0" xfId="0" applyNumberFormat="1" applyFont="1" applyFill="1" applyAlignment="1">
      <alignment horizontal="left" vertical="center" wrapText="1"/>
    </xf>
    <xf numFmtId="3" fontId="3" fillId="4" borderId="10" xfId="0" applyNumberFormat="1" applyFont="1" applyFill="1" applyBorder="1" applyAlignment="1">
      <alignment horizontal="right" vertical="center" wrapText="1"/>
    </xf>
    <xf numFmtId="3" fontId="3" fillId="4" borderId="9" xfId="0" applyNumberFormat="1" applyFont="1" applyFill="1" applyBorder="1" applyAlignment="1">
      <alignment horizontal="right" vertical="center" wrapText="1"/>
    </xf>
    <xf numFmtId="3" fontId="3" fillId="8" borderId="8" xfId="0" applyNumberFormat="1" applyFont="1" applyFill="1" applyBorder="1" applyAlignment="1" applyProtection="1">
      <alignment horizontal="right" vertical="center" wrapText="1"/>
      <protection locked="0"/>
    </xf>
    <xf numFmtId="3" fontId="3" fillId="8" borderId="10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9" xfId="0" applyNumberFormat="1" applyFont="1" applyFill="1" applyBorder="1" applyAlignment="1">
      <alignment horizontal="left" vertical="center" wrapText="1"/>
    </xf>
    <xf numFmtId="3" fontId="3" fillId="2" borderId="8" xfId="0" applyNumberFormat="1" applyFont="1" applyFill="1" applyBorder="1" applyAlignment="1">
      <alignment horizontal="left" vertical="center" wrapText="1"/>
    </xf>
    <xf numFmtId="3" fontId="3" fillId="2" borderId="11" xfId="0" applyNumberFormat="1" applyFont="1" applyFill="1" applyBorder="1" applyAlignment="1">
      <alignment horizontal="right" vertical="center" wrapText="1"/>
    </xf>
    <xf numFmtId="0" fontId="3" fillId="4" borderId="26" xfId="0" applyFont="1" applyFill="1" applyBorder="1" applyAlignment="1">
      <alignment horizontal="left" vertical="center" wrapText="1"/>
    </xf>
    <xf numFmtId="10" fontId="3" fillId="4" borderId="27" xfId="1" applyNumberFormat="1" applyFont="1" applyFill="1" applyBorder="1" applyAlignment="1">
      <alignment vertical="center"/>
    </xf>
    <xf numFmtId="0" fontId="3" fillId="4" borderId="27" xfId="0" applyFont="1" applyFill="1" applyBorder="1" applyAlignment="1">
      <alignment horizontal="left" vertical="center" wrapText="1"/>
    </xf>
    <xf numFmtId="3" fontId="3" fillId="4" borderId="27" xfId="0" applyNumberFormat="1" applyFont="1" applyFill="1" applyBorder="1" applyAlignment="1">
      <alignment horizontal="right" vertical="center" wrapText="1"/>
    </xf>
    <xf numFmtId="3" fontId="3" fillId="4" borderId="27" xfId="0" applyNumberFormat="1" applyFont="1" applyFill="1" applyBorder="1" applyAlignment="1">
      <alignment horizontal="left" vertical="center" wrapText="1"/>
    </xf>
    <xf numFmtId="3" fontId="3" fillId="4" borderId="5" xfId="0" applyNumberFormat="1" applyFont="1" applyFill="1" applyBorder="1" applyAlignment="1">
      <alignment horizontal="right" vertical="center" wrapText="1"/>
    </xf>
    <xf numFmtId="10" fontId="3" fillId="5" borderId="24" xfId="1" applyNumberFormat="1" applyFont="1" applyFill="1" applyBorder="1" applyAlignment="1">
      <alignment vertical="center"/>
    </xf>
    <xf numFmtId="10" fontId="3" fillId="5" borderId="32" xfId="1" applyNumberFormat="1" applyFont="1" applyFill="1" applyBorder="1" applyAlignment="1">
      <alignment vertical="center"/>
    </xf>
    <xf numFmtId="0" fontId="5" fillId="0" borderId="24" xfId="0" applyFont="1" applyBorder="1"/>
    <xf numFmtId="10" fontId="3" fillId="5" borderId="2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1" fillId="0" borderId="0" xfId="0" applyFont="1"/>
    <xf numFmtId="9" fontId="3" fillId="5" borderId="28" xfId="1" applyFont="1" applyFill="1" applyBorder="1" applyAlignment="1">
      <alignment vertical="center"/>
    </xf>
    <xf numFmtId="10" fontId="3" fillId="5" borderId="8" xfId="1" applyNumberFormat="1" applyFont="1" applyFill="1" applyBorder="1" applyAlignment="1" applyProtection="1">
      <alignment horizontal="right" vertical="center"/>
    </xf>
    <xf numFmtId="10" fontId="3" fillId="4" borderId="9" xfId="1" applyNumberFormat="1" applyFont="1" applyFill="1" applyBorder="1" applyAlignment="1" applyProtection="1">
      <alignment vertical="center"/>
    </xf>
    <xf numFmtId="10" fontId="3" fillId="6" borderId="8" xfId="1" applyNumberFormat="1" applyFont="1" applyFill="1" applyBorder="1" applyAlignment="1">
      <alignment vertical="center"/>
    </xf>
    <xf numFmtId="9" fontId="3" fillId="5" borderId="30" xfId="1" applyFont="1" applyFill="1" applyBorder="1" applyAlignment="1">
      <alignment vertical="center"/>
    </xf>
    <xf numFmtId="3" fontId="3" fillId="8" borderId="8" xfId="0" applyNumberFormat="1" applyFont="1" applyFill="1" applyBorder="1" applyAlignment="1">
      <alignment horizontal="right" vertical="center" wrapText="1"/>
    </xf>
    <xf numFmtId="10" fontId="3" fillId="5" borderId="30" xfId="1" applyNumberFormat="1" applyFont="1" applyFill="1" applyBorder="1" applyAlignment="1">
      <alignment horizontal="center" vertical="center"/>
    </xf>
    <xf numFmtId="9" fontId="3" fillId="5" borderId="29" xfId="1" applyFont="1" applyFill="1" applyBorder="1" applyAlignment="1">
      <alignment vertical="center"/>
    </xf>
    <xf numFmtId="10" fontId="3" fillId="7" borderId="8" xfId="0" applyNumberFormat="1" applyFont="1" applyFill="1" applyBorder="1" applyAlignment="1">
      <alignment horizontal="right" vertical="center" wrapText="1"/>
    </xf>
    <xf numFmtId="164" fontId="7" fillId="8" borderId="0" xfId="13" applyNumberFormat="1" applyFont="1" applyFill="1" applyBorder="1" applyAlignment="1">
      <alignment horizontal="right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10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4" fontId="3" fillId="8" borderId="8" xfId="0" applyNumberFormat="1" applyFont="1" applyFill="1" applyBorder="1" applyAlignment="1" applyProtection="1">
      <alignment horizontal="right" vertical="center" wrapText="1"/>
      <protection locked="0"/>
    </xf>
    <xf numFmtId="4" fontId="3" fillId="4" borderId="8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3" fillId="0" borderId="0" xfId="0" applyFont="1"/>
    <xf numFmtId="0" fontId="14" fillId="13" borderId="3" xfId="0" applyFont="1" applyFill="1" applyBorder="1" applyAlignment="1">
      <alignment wrapText="1"/>
    </xf>
    <xf numFmtId="0" fontId="14" fillId="14" borderId="3" xfId="0" applyFont="1" applyFill="1" applyBorder="1" applyAlignment="1">
      <alignment wrapText="1"/>
    </xf>
    <xf numFmtId="0" fontId="16" fillId="0" borderId="0" xfId="0" applyFont="1"/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10" fontId="17" fillId="16" borderId="3" xfId="0" applyNumberFormat="1" applyFont="1" applyFill="1" applyBorder="1" applyAlignment="1">
      <alignment wrapText="1"/>
    </xf>
    <xf numFmtId="10" fontId="17" fillId="14" borderId="4" xfId="0" applyNumberFormat="1" applyFont="1" applyFill="1" applyBorder="1" applyAlignment="1">
      <alignment wrapText="1"/>
    </xf>
    <xf numFmtId="10" fontId="13" fillId="0" borderId="3" xfId="0" applyNumberFormat="1" applyFont="1" applyBorder="1" applyAlignment="1">
      <alignment wrapText="1"/>
    </xf>
    <xf numFmtId="0" fontId="17" fillId="14" borderId="25" xfId="0" applyFont="1" applyFill="1" applyBorder="1" applyAlignment="1">
      <alignment wrapText="1"/>
    </xf>
    <xf numFmtId="0" fontId="18" fillId="0" borderId="0" xfId="0" applyFont="1"/>
    <xf numFmtId="0" fontId="19" fillId="0" borderId="0" xfId="0" applyFont="1" applyAlignment="1">
      <alignment horizontal="left" wrapText="1"/>
    </xf>
    <xf numFmtId="17" fontId="20" fillId="0" borderId="0" xfId="0" applyNumberFormat="1" applyFont="1" applyAlignment="1">
      <alignment horizontal="center"/>
    </xf>
    <xf numFmtId="0" fontId="11" fillId="5" borderId="6" xfId="0" applyFont="1" applyFill="1" applyBorder="1" applyAlignment="1">
      <alignment horizontal="left" vertical="center" wrapText="1"/>
    </xf>
    <xf numFmtId="10" fontId="11" fillId="5" borderId="8" xfId="1" applyNumberFormat="1" applyFont="1" applyFill="1" applyBorder="1" applyAlignment="1" applyProtection="1">
      <alignment horizontal="right" vertical="center"/>
    </xf>
    <xf numFmtId="0" fontId="11" fillId="5" borderId="8" xfId="0" applyFont="1" applyFill="1" applyBorder="1" applyAlignment="1">
      <alignment horizontal="left" vertical="center" wrapText="1"/>
    </xf>
    <xf numFmtId="3" fontId="11" fillId="8" borderId="8" xfId="0" applyNumberFormat="1" applyFont="1" applyFill="1" applyBorder="1" applyAlignment="1">
      <alignment horizontal="right" vertical="center" wrapText="1"/>
    </xf>
    <xf numFmtId="3" fontId="11" fillId="5" borderId="8" xfId="0" applyNumberFormat="1" applyFont="1" applyFill="1" applyBorder="1" applyAlignment="1">
      <alignment horizontal="left" vertical="center" wrapText="1"/>
    </xf>
    <xf numFmtId="3" fontId="11" fillId="8" borderId="10" xfId="0" applyNumberFormat="1" applyFont="1" applyFill="1" applyBorder="1" applyAlignment="1">
      <alignment horizontal="right" vertical="center" wrapText="1"/>
    </xf>
    <xf numFmtId="0" fontId="11" fillId="0" borderId="21" xfId="0" applyFont="1" applyBorder="1" applyAlignment="1">
      <alignment horizontal="left" vertical="center" wrapText="1"/>
    </xf>
    <xf numFmtId="10" fontId="11" fillId="3" borderId="8" xfId="1" applyNumberFormat="1" applyFont="1" applyFill="1" applyBorder="1" applyAlignment="1" applyProtection="1">
      <alignment horizontal="right" vertical="center"/>
    </xf>
    <xf numFmtId="0" fontId="11" fillId="0" borderId="8" xfId="0" applyFont="1" applyBorder="1" applyAlignment="1">
      <alignment horizontal="left" vertical="center" wrapText="1"/>
    </xf>
    <xf numFmtId="3" fontId="11" fillId="3" borderId="8" xfId="0" applyNumberFormat="1" applyFont="1" applyFill="1" applyBorder="1" applyAlignment="1">
      <alignment horizontal="right" vertical="center" wrapText="1"/>
    </xf>
    <xf numFmtId="3" fontId="11" fillId="0" borderId="8" xfId="0" applyNumberFormat="1" applyFont="1" applyBorder="1" applyAlignment="1">
      <alignment horizontal="left" vertical="center" wrapText="1"/>
    </xf>
    <xf numFmtId="3" fontId="11" fillId="3" borderId="10" xfId="0" applyNumberFormat="1" applyFont="1" applyFill="1" applyBorder="1" applyAlignment="1">
      <alignment horizontal="right" vertical="center" wrapText="1"/>
    </xf>
    <xf numFmtId="3" fontId="11" fillId="8" borderId="8" xfId="0" applyNumberFormat="1" applyFont="1" applyFill="1" applyBorder="1" applyAlignment="1" applyProtection="1">
      <alignment horizontal="right" vertical="center" wrapText="1"/>
      <protection locked="0"/>
    </xf>
    <xf numFmtId="10" fontId="11" fillId="5" borderId="8" xfId="1" applyNumberFormat="1" applyFont="1" applyFill="1" applyBorder="1" applyAlignment="1">
      <alignment vertical="center"/>
    </xf>
    <xf numFmtId="10" fontId="3" fillId="5" borderId="24" xfId="1" applyNumberFormat="1" applyFont="1" applyFill="1" applyBorder="1" applyAlignment="1">
      <alignment horizontal="center" vertical="center"/>
    </xf>
    <xf numFmtId="10" fontId="3" fillId="5" borderId="4" xfId="1" applyNumberFormat="1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justify" vertical="top" wrapText="1"/>
    </xf>
    <xf numFmtId="0" fontId="3" fillId="11" borderId="24" xfId="0" applyFont="1" applyFill="1" applyBorder="1" applyAlignment="1">
      <alignment horizontal="justify" vertical="top" wrapText="1"/>
    </xf>
    <xf numFmtId="0" fontId="3" fillId="11" borderId="4" xfId="0" applyFont="1" applyFill="1" applyBorder="1" applyAlignment="1">
      <alignment horizontal="justify" vertical="top" wrapText="1"/>
    </xf>
    <xf numFmtId="10" fontId="3" fillId="11" borderId="25" xfId="0" applyNumberFormat="1" applyFont="1" applyFill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left" vertical="top" wrapText="1"/>
    </xf>
    <xf numFmtId="0" fontId="0" fillId="11" borderId="24" xfId="0" applyFill="1" applyBorder="1" applyAlignment="1">
      <alignment horizontal="left" vertical="top" wrapText="1"/>
    </xf>
    <xf numFmtId="0" fontId="0" fillId="11" borderId="4" xfId="0" applyFill="1" applyBorder="1" applyAlignment="1">
      <alignment horizontal="left" vertical="top" wrapText="1"/>
    </xf>
    <xf numFmtId="9" fontId="3" fillId="11" borderId="33" xfId="0" applyNumberFormat="1" applyFont="1" applyFill="1" applyBorder="1" applyAlignment="1">
      <alignment horizontal="left" vertical="top" wrapText="1"/>
    </xf>
    <xf numFmtId="0" fontId="3" fillId="11" borderId="34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justify" vertical="top" wrapText="1"/>
    </xf>
    <xf numFmtId="0" fontId="3" fillId="2" borderId="24" xfId="0" applyFont="1" applyFill="1" applyBorder="1" applyAlignment="1">
      <alignment horizontal="justify" vertical="top" wrapText="1"/>
    </xf>
    <xf numFmtId="0" fontId="3" fillId="2" borderId="4" xfId="0" applyFont="1" applyFill="1" applyBorder="1" applyAlignment="1">
      <alignment horizontal="justify" vertical="top" wrapText="1"/>
    </xf>
    <xf numFmtId="10" fontId="3" fillId="2" borderId="25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9" fontId="3" fillId="2" borderId="33" xfId="0" applyNumberFormat="1" applyFont="1" applyFill="1" applyBorder="1" applyAlignment="1">
      <alignment horizontal="left" vertical="center" wrapText="1"/>
    </xf>
    <xf numFmtId="0" fontId="3" fillId="2" borderId="34" xfId="0" applyFont="1" applyFill="1" applyBorder="1" applyAlignment="1">
      <alignment horizontal="left" vertical="center" wrapText="1"/>
    </xf>
    <xf numFmtId="17" fontId="2" fillId="4" borderId="6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6" applyFont="1" applyFill="1" applyBorder="1" applyAlignment="1">
      <alignment horizontal="center" vertical="center" wrapText="1"/>
    </xf>
    <xf numFmtId="0" fontId="2" fillId="2" borderId="10" xfId="6" applyFont="1" applyFill="1" applyBorder="1" applyAlignment="1">
      <alignment horizontal="center" vertical="center" wrapText="1"/>
    </xf>
    <xf numFmtId="17" fontId="2" fillId="4" borderId="12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10" fontId="3" fillId="5" borderId="31" xfId="1" applyNumberFormat="1" applyFont="1" applyFill="1" applyBorder="1" applyAlignment="1">
      <alignment horizontal="center" vertical="center"/>
    </xf>
    <xf numFmtId="17" fontId="2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7" fontId="2" fillId="4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0" fontId="3" fillId="2" borderId="23" xfId="0" applyNumberFormat="1" applyFont="1" applyFill="1" applyBorder="1" applyAlignment="1">
      <alignment horizontal="center" vertical="center" wrapText="1"/>
    </xf>
    <xf numFmtId="10" fontId="3" fillId="2" borderId="24" xfId="0" applyNumberFormat="1" applyFont="1" applyFill="1" applyBorder="1" applyAlignment="1">
      <alignment horizontal="center" vertical="center" wrapText="1"/>
    </xf>
    <xf numFmtId="10" fontId="3" fillId="2" borderId="4" xfId="0" applyNumberFormat="1" applyFont="1" applyFill="1" applyBorder="1" applyAlignment="1">
      <alignment horizontal="center" vertical="center" wrapText="1"/>
    </xf>
    <xf numFmtId="0" fontId="2" fillId="11" borderId="24" xfId="0" applyFont="1" applyFill="1" applyBorder="1" applyAlignment="1">
      <alignment horizontal="justify" vertical="top" wrapText="1"/>
    </xf>
    <xf numFmtId="0" fontId="2" fillId="11" borderId="4" xfId="0" applyFont="1" applyFill="1" applyBorder="1" applyAlignment="1">
      <alignment horizontal="justify" vertical="top" wrapText="1"/>
    </xf>
    <xf numFmtId="0" fontId="1" fillId="11" borderId="24" xfId="0" applyFont="1" applyFill="1" applyBorder="1" applyAlignment="1">
      <alignment horizontal="left" vertical="top" wrapText="1"/>
    </xf>
    <xf numFmtId="0" fontId="1" fillId="11" borderId="4" xfId="0" applyFont="1" applyFill="1" applyBorder="1" applyAlignment="1">
      <alignment horizontal="left" vertical="top" wrapText="1"/>
    </xf>
    <xf numFmtId="0" fontId="3" fillId="11" borderId="25" xfId="0" applyFont="1" applyFill="1" applyBorder="1" applyAlignment="1">
      <alignment horizontal="left" vertical="top" wrapText="1"/>
    </xf>
    <xf numFmtId="0" fontId="1" fillId="11" borderId="25" xfId="0" applyFont="1" applyFill="1" applyBorder="1" applyAlignment="1">
      <alignment horizontal="left" vertical="top" wrapText="1"/>
    </xf>
    <xf numFmtId="10" fontId="3" fillId="11" borderId="23" xfId="0" applyNumberFormat="1" applyFont="1" applyFill="1" applyBorder="1" applyAlignment="1">
      <alignment horizontal="center" vertical="center" wrapText="1"/>
    </xf>
    <xf numFmtId="10" fontId="3" fillId="11" borderId="24" xfId="0" applyNumberFormat="1" applyFont="1" applyFill="1" applyBorder="1" applyAlignment="1">
      <alignment horizontal="center" vertical="center" wrapText="1"/>
    </xf>
    <xf numFmtId="10" fontId="3" fillId="11" borderId="4" xfId="0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2" fillId="2" borderId="24" xfId="0" applyFont="1" applyFill="1" applyBorder="1" applyAlignment="1">
      <alignment horizontal="justify" vertical="top" wrapText="1"/>
    </xf>
    <xf numFmtId="0" fontId="2" fillId="2" borderId="4" xfId="0" applyFont="1" applyFill="1" applyBorder="1" applyAlignment="1">
      <alignment horizontal="justify" vertical="top" wrapText="1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8" fillId="0" borderId="0" xfId="0" applyFont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3" fillId="11" borderId="14" xfId="0" applyFont="1" applyFill="1" applyBorder="1" applyAlignment="1">
      <alignment horizontal="left" vertical="top" wrapText="1"/>
    </xf>
    <xf numFmtId="0" fontId="0" fillId="11" borderId="14" xfId="0" applyFill="1" applyBorder="1" applyAlignment="1">
      <alignment horizontal="left" vertical="top" wrapText="1"/>
    </xf>
    <xf numFmtId="9" fontId="3" fillId="11" borderId="18" xfId="0" applyNumberFormat="1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23" xfId="0" applyFont="1" applyFill="1" applyBorder="1" applyAlignment="1">
      <alignment horizontal="center" vertical="top" wrapText="1"/>
    </xf>
    <xf numFmtId="0" fontId="3" fillId="11" borderId="24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24" xfId="0" applyFont="1" applyFill="1" applyBorder="1" applyAlignment="1">
      <alignment horizontal="left" vertical="top" wrapText="1"/>
    </xf>
    <xf numFmtId="0" fontId="3" fillId="11" borderId="4" xfId="0" applyFont="1" applyFill="1" applyBorder="1" applyAlignment="1">
      <alignment horizontal="left" vertical="top" wrapText="1"/>
    </xf>
    <xf numFmtId="9" fontId="3" fillId="11" borderId="33" xfId="0" applyNumberFormat="1" applyFont="1" applyFill="1" applyBorder="1" applyAlignment="1">
      <alignment horizontal="left" vertical="center" wrapText="1"/>
    </xf>
    <xf numFmtId="0" fontId="3" fillId="11" borderId="34" xfId="0" applyFont="1" applyFill="1" applyBorder="1" applyAlignment="1">
      <alignment horizontal="left" vertical="center" wrapText="1"/>
    </xf>
    <xf numFmtId="9" fontId="3" fillId="2" borderId="23" xfId="0" applyNumberFormat="1" applyFont="1" applyFill="1" applyBorder="1" applyAlignment="1">
      <alignment horizontal="center" vertical="center" wrapText="1"/>
    </xf>
    <xf numFmtId="9" fontId="3" fillId="2" borderId="24" xfId="0" applyNumberFormat="1" applyFont="1" applyFill="1" applyBorder="1" applyAlignment="1">
      <alignment horizontal="center" vertical="center" wrapText="1"/>
    </xf>
    <xf numFmtId="9" fontId="3" fillId="2" borderId="4" xfId="0" applyNumberFormat="1" applyFont="1" applyFill="1" applyBorder="1" applyAlignment="1">
      <alignment horizontal="center" vertical="center" wrapText="1"/>
    </xf>
    <xf numFmtId="10" fontId="3" fillId="4" borderId="23" xfId="0" applyNumberFormat="1" applyFont="1" applyFill="1" applyBorder="1" applyAlignment="1">
      <alignment horizontal="center" vertical="center" wrapText="1"/>
    </xf>
    <xf numFmtId="10" fontId="3" fillId="4" borderId="24" xfId="0" applyNumberFormat="1" applyFont="1" applyFill="1" applyBorder="1" applyAlignment="1">
      <alignment horizontal="center" vertical="center" wrapText="1"/>
    </xf>
    <xf numFmtId="10" fontId="3" fillId="4" borderId="4" xfId="0" applyNumberFormat="1" applyFont="1" applyFill="1" applyBorder="1" applyAlignment="1">
      <alignment horizontal="center" vertical="center" wrapText="1"/>
    </xf>
    <xf numFmtId="10" fontId="3" fillId="12" borderId="23" xfId="0" applyNumberFormat="1" applyFont="1" applyFill="1" applyBorder="1" applyAlignment="1">
      <alignment horizontal="center" vertical="center" wrapText="1"/>
    </xf>
    <xf numFmtId="10" fontId="3" fillId="12" borderId="24" xfId="0" applyNumberFormat="1" applyFont="1" applyFill="1" applyBorder="1" applyAlignment="1">
      <alignment horizontal="center" vertical="center" wrapText="1"/>
    </xf>
    <xf numFmtId="10" fontId="3" fillId="12" borderId="4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justify" vertical="top" wrapText="1"/>
    </xf>
    <xf numFmtId="0" fontId="11" fillId="2" borderId="24" xfId="0" applyFont="1" applyFill="1" applyBorder="1" applyAlignment="1">
      <alignment horizontal="justify" vertical="top" wrapText="1"/>
    </xf>
    <xf numFmtId="0" fontId="11" fillId="2" borderId="4" xfId="0" applyFont="1" applyFill="1" applyBorder="1" applyAlignment="1">
      <alignment horizontal="justify" vertical="top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justify" vertical="center" wrapText="1"/>
    </xf>
    <xf numFmtId="0" fontId="3" fillId="4" borderId="8" xfId="0" applyFont="1" applyFill="1" applyBorder="1" applyAlignment="1">
      <alignment horizontal="justify" vertical="center"/>
    </xf>
    <xf numFmtId="0" fontId="3" fillId="4" borderId="10" xfId="0" applyFont="1" applyFill="1" applyBorder="1" applyAlignment="1">
      <alignment horizontal="justify" vertical="center"/>
    </xf>
    <xf numFmtId="9" fontId="3" fillId="4" borderId="6" xfId="1" applyFont="1" applyFill="1" applyBorder="1" applyAlignment="1">
      <alignment horizontal="center" vertical="center" wrapText="1"/>
    </xf>
    <xf numFmtId="9" fontId="3" fillId="4" borderId="8" xfId="1" applyFont="1" applyFill="1" applyBorder="1" applyAlignment="1">
      <alignment horizontal="center" vertical="center" wrapText="1"/>
    </xf>
    <xf numFmtId="9" fontId="3" fillId="4" borderId="10" xfId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justify" vertical="center" wrapText="1"/>
    </xf>
    <xf numFmtId="0" fontId="3" fillId="4" borderId="10" xfId="0" applyFont="1" applyFill="1" applyBorder="1" applyAlignment="1">
      <alignment horizontal="justify" vertical="center" wrapText="1"/>
    </xf>
    <xf numFmtId="10" fontId="3" fillId="4" borderId="6" xfId="1" applyNumberFormat="1" applyFont="1" applyFill="1" applyBorder="1" applyAlignment="1">
      <alignment horizontal="center" vertical="center" wrapText="1"/>
    </xf>
    <xf numFmtId="10" fontId="3" fillId="4" borderId="8" xfId="1" applyNumberFormat="1" applyFont="1" applyFill="1" applyBorder="1" applyAlignment="1">
      <alignment horizontal="center" vertical="center" wrapText="1"/>
    </xf>
    <xf numFmtId="10" fontId="3" fillId="4" borderId="10" xfId="1" applyNumberFormat="1" applyFont="1" applyFill="1" applyBorder="1" applyAlignment="1">
      <alignment horizontal="center" vertical="center" wrapText="1"/>
    </xf>
    <xf numFmtId="10" fontId="3" fillId="4" borderId="6" xfId="0" applyNumberFormat="1" applyFont="1" applyFill="1" applyBorder="1" applyAlignment="1">
      <alignment horizontal="center" vertical="center" wrapText="1"/>
    </xf>
    <xf numFmtId="10" fontId="3" fillId="4" borderId="8" xfId="0" applyNumberFormat="1" applyFont="1" applyFill="1" applyBorder="1" applyAlignment="1">
      <alignment horizontal="center" vertical="center" wrapText="1"/>
    </xf>
    <xf numFmtId="10" fontId="3" fillId="4" borderId="10" xfId="0" applyNumberFormat="1" applyFont="1" applyFill="1" applyBorder="1" applyAlignment="1">
      <alignment horizontal="center" vertical="center" wrapText="1"/>
    </xf>
    <xf numFmtId="17" fontId="21" fillId="2" borderId="6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10" fontId="13" fillId="15" borderId="24" xfId="0" applyNumberFormat="1" applyFont="1" applyFill="1" applyBorder="1" applyAlignment="1">
      <alignment wrapText="1"/>
    </xf>
    <xf numFmtId="0" fontId="13" fillId="15" borderId="35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4" fillId="13" borderId="23" xfId="0" applyFont="1" applyFill="1" applyBorder="1" applyAlignment="1">
      <alignment wrapText="1"/>
    </xf>
    <xf numFmtId="0" fontId="14" fillId="13" borderId="24" xfId="0" applyFont="1" applyFill="1" applyBorder="1" applyAlignment="1">
      <alignment wrapText="1"/>
    </xf>
    <xf numFmtId="0" fontId="14" fillId="13" borderId="4" xfId="0" applyFont="1" applyFill="1" applyBorder="1" applyAlignment="1">
      <alignment wrapText="1"/>
    </xf>
    <xf numFmtId="0" fontId="14" fillId="13" borderId="18" xfId="0" applyFont="1" applyFill="1" applyBorder="1" applyAlignment="1">
      <alignment wrapText="1"/>
    </xf>
    <xf numFmtId="0" fontId="14" fillId="13" borderId="20" xfId="0" applyFont="1" applyFill="1" applyBorder="1" applyAlignment="1">
      <alignment wrapText="1"/>
    </xf>
    <xf numFmtId="0" fontId="14" fillId="13" borderId="1" xfId="0" applyFont="1" applyFill="1" applyBorder="1" applyAlignment="1">
      <alignment wrapText="1"/>
    </xf>
    <xf numFmtId="0" fontId="14" fillId="13" borderId="3" xfId="0" applyFont="1" applyFill="1" applyBorder="1" applyAlignment="1">
      <alignment wrapText="1"/>
    </xf>
    <xf numFmtId="0" fontId="15" fillId="14" borderId="18" xfId="0" applyFont="1" applyFill="1" applyBorder="1" applyAlignment="1">
      <alignment wrapText="1"/>
    </xf>
    <xf numFmtId="0" fontId="15" fillId="14" borderId="19" xfId="0" applyFont="1" applyFill="1" applyBorder="1" applyAlignment="1">
      <alignment wrapText="1"/>
    </xf>
    <xf numFmtId="0" fontId="15" fillId="14" borderId="20" xfId="0" applyFont="1" applyFill="1" applyBorder="1" applyAlignment="1">
      <alignment wrapText="1"/>
    </xf>
    <xf numFmtId="0" fontId="15" fillId="14" borderId="1" xfId="0" applyFont="1" applyFill="1" applyBorder="1" applyAlignment="1">
      <alignment wrapText="1"/>
    </xf>
    <xf numFmtId="0" fontId="15" fillId="14" borderId="2" xfId="0" applyFont="1" applyFill="1" applyBorder="1" applyAlignment="1">
      <alignment wrapText="1"/>
    </xf>
    <xf numFmtId="0" fontId="15" fillId="14" borderId="3" xfId="0" applyFont="1" applyFill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9" fontId="13" fillId="0" borderId="24" xfId="0" applyNumberFormat="1" applyFont="1" applyBorder="1" applyAlignment="1">
      <alignment wrapText="1"/>
    </xf>
    <xf numFmtId="10" fontId="13" fillId="0" borderId="24" xfId="0" applyNumberFormat="1" applyFont="1" applyBorder="1" applyAlignment="1">
      <alignment wrapText="1"/>
    </xf>
    <xf numFmtId="10" fontId="13" fillId="14" borderId="24" xfId="0" applyNumberFormat="1" applyFont="1" applyFill="1" applyBorder="1" applyAlignment="1">
      <alignment wrapText="1"/>
    </xf>
    <xf numFmtId="0" fontId="13" fillId="14" borderId="35" xfId="0" applyFont="1" applyFill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2" fillId="0" borderId="14" xfId="0" applyFont="1" applyBorder="1" applyAlignment="1"/>
    <xf numFmtId="0" fontId="12" fillId="0" borderId="0" xfId="0" applyFont="1" applyAlignment="1"/>
    <xf numFmtId="10" fontId="13" fillId="15" borderId="24" xfId="0" applyNumberFormat="1" applyFont="1" applyFill="1" applyBorder="1" applyAlignment="1"/>
    <xf numFmtId="10" fontId="13" fillId="14" borderId="24" xfId="0" applyNumberFormat="1" applyFont="1" applyFill="1" applyBorder="1" applyAlignment="1"/>
    <xf numFmtId="0" fontId="13" fillId="15" borderId="35" xfId="0" applyFont="1" applyFill="1" applyBorder="1" applyAlignment="1"/>
    <xf numFmtId="0" fontId="13" fillId="14" borderId="35" xfId="0" applyFont="1" applyFill="1" applyBorder="1" applyAlignment="1"/>
    <xf numFmtId="0" fontId="13" fillId="0" borderId="0" xfId="0" applyFont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00000000-0005-0000-0000-000003000000}"/>
    <cellStyle name="Millares 2 2 3" xfId="15" xr:uid="{00000000-0005-0000-0000-000004000000}"/>
    <cellStyle name="Millares 2 3" xfId="7" xr:uid="{00000000-0005-0000-0000-000005000000}"/>
    <cellStyle name="Millares 2 3 2" xfId="16" xr:uid="{00000000-0005-0000-0000-000006000000}"/>
    <cellStyle name="Millares 2 4" xfId="14" xr:uid="{00000000-0005-0000-0000-000007000000}"/>
    <cellStyle name="Millares 3" xfId="12" xr:uid="{00000000-0005-0000-0000-000008000000}"/>
    <cellStyle name="Millares 3 2" xfId="18" xr:uid="{00000000-0005-0000-0000-000009000000}"/>
    <cellStyle name="Millares 4" xfId="13" xr:uid="{00000000-0005-0000-0000-00000A000000}"/>
    <cellStyle name="Millares 4 2" xfId="19" xr:uid="{00000000-0005-0000-0000-00000B000000}"/>
    <cellStyle name="Normal" xfId="0" builtinId="0"/>
    <cellStyle name="Normal 2" xfId="6" xr:uid="{00000000-0005-0000-0000-00000D000000}"/>
    <cellStyle name="Normal 3" xfId="11" xr:uid="{00000000-0005-0000-0000-00000E000000}"/>
    <cellStyle name="Porcentaje" xfId="1" builtinId="5"/>
    <cellStyle name="Porcentaje 2" xfId="3" xr:uid="{00000000-0005-0000-0000-000010000000}"/>
    <cellStyle name="Porcentaje 2 2" xfId="5" xr:uid="{00000000-0005-0000-0000-000011000000}"/>
    <cellStyle name="Porcentaje 2 2 2" xfId="10" xr:uid="{00000000-0005-0000-0000-000012000000}"/>
    <cellStyle name="Porcentaje 2 3" xfId="8" xr:uid="{00000000-0005-0000-0000-000013000000}"/>
  </cellStyles>
  <dxfs count="0"/>
  <tableStyles count="0" defaultTableStyle="TableStyleMedium9" defaultPivotStyle="PivotStyleLight16"/>
  <colors>
    <mruColors>
      <color rgb="FFCCFFFF"/>
      <color rgb="FFB8CCE4"/>
      <color rgb="FFD5F9F8"/>
      <color rgb="FF66FF33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165300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" name="Picture 67" descr="image002">
          <a:extLst>
            <a:ext uri="{FF2B5EF4-FFF2-40B4-BE49-F238E27FC236}">
              <a16:creationId xmlns:a16="http://schemas.microsoft.com/office/drawing/2014/main" id="{2E9FF931-37BD-4DB4-9083-AACFDBAF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" name="Picture 67" descr="image002">
          <a:extLst>
            <a:ext uri="{FF2B5EF4-FFF2-40B4-BE49-F238E27FC236}">
              <a16:creationId xmlns:a16="http://schemas.microsoft.com/office/drawing/2014/main" id="{95BFD4D1-6ED2-4830-916C-6DF817FD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" name="Picture 67" descr="image002">
          <a:extLst>
            <a:ext uri="{FF2B5EF4-FFF2-40B4-BE49-F238E27FC236}">
              <a16:creationId xmlns:a16="http://schemas.microsoft.com/office/drawing/2014/main" id="{575D5ED6-1D13-4899-984F-60723AD9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" name="Picture 67" descr="image002">
          <a:extLst>
            <a:ext uri="{FF2B5EF4-FFF2-40B4-BE49-F238E27FC236}">
              <a16:creationId xmlns:a16="http://schemas.microsoft.com/office/drawing/2014/main" id="{5B2746C2-E57D-4B67-B068-335B4B903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B4AC6F2F-DB4A-47C4-B5A5-F113BAA8A42C}"/>
            </a:ext>
          </a:extLst>
        </xdr:cNvPr>
        <xdr:cNvSpPr txBox="1"/>
      </xdr:nvSpPr>
      <xdr:spPr>
        <a:xfrm rot="18892825" flipV="1">
          <a:off x="25869899" y="127939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" name="Picture 67" descr="image002">
          <a:extLst>
            <a:ext uri="{FF2B5EF4-FFF2-40B4-BE49-F238E27FC236}">
              <a16:creationId xmlns:a16="http://schemas.microsoft.com/office/drawing/2014/main" id="{B58A931A-219F-485C-8A56-68F35D37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" name="Picture 67" descr="image002">
          <a:extLst>
            <a:ext uri="{FF2B5EF4-FFF2-40B4-BE49-F238E27FC236}">
              <a16:creationId xmlns:a16="http://schemas.microsoft.com/office/drawing/2014/main" id="{D4752ABC-A05B-41C5-90F4-EB7402356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" name="9 CuadroTexto">
          <a:extLst>
            <a:ext uri="{FF2B5EF4-FFF2-40B4-BE49-F238E27FC236}">
              <a16:creationId xmlns:a16="http://schemas.microsoft.com/office/drawing/2014/main" id="{24E4736E-D7B4-49DE-A7B9-1AC3C8FA67CC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" name="Picture 67" descr="image002">
          <a:extLst>
            <a:ext uri="{FF2B5EF4-FFF2-40B4-BE49-F238E27FC236}">
              <a16:creationId xmlns:a16="http://schemas.microsoft.com/office/drawing/2014/main" id="{7616E46C-3FD3-4860-8577-7C63466A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" name="Picture 67" descr="image002">
          <a:extLst>
            <a:ext uri="{FF2B5EF4-FFF2-40B4-BE49-F238E27FC236}">
              <a16:creationId xmlns:a16="http://schemas.microsoft.com/office/drawing/2014/main" id="{92B0C030-6BEA-45D1-8E7F-E5DFBD3D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6" name="12 CuadroTexto">
          <a:extLst>
            <a:ext uri="{FF2B5EF4-FFF2-40B4-BE49-F238E27FC236}">
              <a16:creationId xmlns:a16="http://schemas.microsoft.com/office/drawing/2014/main" id="{1A42C4EF-1256-465F-9C51-A7C614FB4138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4" name="Picture 67" descr="image00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" name="Picture 67" descr="image00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" name="Picture 67" descr="image00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" name="Picture 67" descr="image00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1" name="Picture 67" descr="image00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" name="Picture 67" descr="image00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" name="Picture 67" descr="image002">
          <a:extLst>
            <a:ext uri="{FF2B5EF4-FFF2-40B4-BE49-F238E27FC236}">
              <a16:creationId xmlns:a16="http://schemas.microsoft.com/office/drawing/2014/main" id="{8274F0F9-2AD2-498E-9F5D-078E30BD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" name="Picture 67" descr="image002">
          <a:extLst>
            <a:ext uri="{FF2B5EF4-FFF2-40B4-BE49-F238E27FC236}">
              <a16:creationId xmlns:a16="http://schemas.microsoft.com/office/drawing/2014/main" id="{2AA1FB22-9FD3-40B9-B789-8492AB7F0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16" name="10 CuadroTexto">
          <a:extLst>
            <a:ext uri="{FF2B5EF4-FFF2-40B4-BE49-F238E27FC236}">
              <a16:creationId xmlns:a16="http://schemas.microsoft.com/office/drawing/2014/main" id="{5C610B33-94C5-47A8-B4E9-BB23A034624D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7" name="Picture 67" descr="image002">
          <a:extLst>
            <a:ext uri="{FF2B5EF4-FFF2-40B4-BE49-F238E27FC236}">
              <a16:creationId xmlns:a16="http://schemas.microsoft.com/office/drawing/2014/main" id="{2320F915-3208-4283-978E-0A024342D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" name="Picture 67" descr="image002">
          <a:extLst>
            <a:ext uri="{FF2B5EF4-FFF2-40B4-BE49-F238E27FC236}">
              <a16:creationId xmlns:a16="http://schemas.microsoft.com/office/drawing/2014/main" id="{D55988FB-B41E-45DD-95CB-BCBF5E590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" name="Picture 67" descr="image002">
          <a:extLst>
            <a:ext uri="{FF2B5EF4-FFF2-40B4-BE49-F238E27FC236}">
              <a16:creationId xmlns:a16="http://schemas.microsoft.com/office/drawing/2014/main" id="{CF91B7D8-D011-499C-A487-5E86F81C4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0" name="Picture 67" descr="image002">
          <a:extLst>
            <a:ext uri="{FF2B5EF4-FFF2-40B4-BE49-F238E27FC236}">
              <a16:creationId xmlns:a16="http://schemas.microsoft.com/office/drawing/2014/main" id="{787F6CE8-5759-41C1-81CE-17D3CA3D6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2" name="Picture 67" descr="image002">
          <a:extLst>
            <a:ext uri="{FF2B5EF4-FFF2-40B4-BE49-F238E27FC236}">
              <a16:creationId xmlns:a16="http://schemas.microsoft.com/office/drawing/2014/main" id="{E452BE83-0510-4330-AD84-C1F6C658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3" name="Picture 67" descr="image002">
          <a:extLst>
            <a:ext uri="{FF2B5EF4-FFF2-40B4-BE49-F238E27FC236}">
              <a16:creationId xmlns:a16="http://schemas.microsoft.com/office/drawing/2014/main" id="{E6CB6F49-A4F1-4906-BE4C-7F22528A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24" name="9 CuadroTexto">
          <a:extLst>
            <a:ext uri="{FF2B5EF4-FFF2-40B4-BE49-F238E27FC236}">
              <a16:creationId xmlns:a16="http://schemas.microsoft.com/office/drawing/2014/main" id="{44652278-B540-4EB7-B7ED-488A65DCFB7F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5" name="Picture 67" descr="image002">
          <a:extLst>
            <a:ext uri="{FF2B5EF4-FFF2-40B4-BE49-F238E27FC236}">
              <a16:creationId xmlns:a16="http://schemas.microsoft.com/office/drawing/2014/main" id="{34ED4B20-DCD1-4BDC-93EC-E2FD2B2E1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6" name="Picture 67" descr="image002">
          <a:extLst>
            <a:ext uri="{FF2B5EF4-FFF2-40B4-BE49-F238E27FC236}">
              <a16:creationId xmlns:a16="http://schemas.microsoft.com/office/drawing/2014/main" id="{087EB6DD-4996-4FD9-8716-28E49DECD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27" name="12 CuadroTexto">
          <a:extLst>
            <a:ext uri="{FF2B5EF4-FFF2-40B4-BE49-F238E27FC236}">
              <a16:creationId xmlns:a16="http://schemas.microsoft.com/office/drawing/2014/main" id="{8FD28043-B18D-44D3-A6BB-9701B052FC14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8" name="Picture 67" descr="image002">
          <a:extLst>
            <a:ext uri="{FF2B5EF4-FFF2-40B4-BE49-F238E27FC236}">
              <a16:creationId xmlns:a16="http://schemas.microsoft.com/office/drawing/2014/main" id="{440F9707-B936-4C6F-84E6-9852559BD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9" name="Picture 67" descr="image002">
          <a:extLst>
            <a:ext uri="{FF2B5EF4-FFF2-40B4-BE49-F238E27FC236}">
              <a16:creationId xmlns:a16="http://schemas.microsoft.com/office/drawing/2014/main" id="{A8A8A92B-CAAF-4600-9CB9-DFDECF7A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30" name="10 CuadroTexto">
          <a:extLst>
            <a:ext uri="{FF2B5EF4-FFF2-40B4-BE49-F238E27FC236}">
              <a16:creationId xmlns:a16="http://schemas.microsoft.com/office/drawing/2014/main" id="{9C452036-F0D5-4BCB-9134-D4F9DCA1C2E4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31" name="Picture 67" descr="image002">
          <a:extLst>
            <a:ext uri="{FF2B5EF4-FFF2-40B4-BE49-F238E27FC236}">
              <a16:creationId xmlns:a16="http://schemas.microsoft.com/office/drawing/2014/main" id="{CA535561-ACD9-4CF3-9318-D77EDF0B3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2" name="Picture 67" descr="image002">
          <a:extLst>
            <a:ext uri="{FF2B5EF4-FFF2-40B4-BE49-F238E27FC236}">
              <a16:creationId xmlns:a16="http://schemas.microsoft.com/office/drawing/2014/main" id="{A584B10C-A272-48BA-952D-4F09D6A7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33" name="Picture 67" descr="image002">
          <a:extLst>
            <a:ext uri="{FF2B5EF4-FFF2-40B4-BE49-F238E27FC236}">
              <a16:creationId xmlns:a16="http://schemas.microsoft.com/office/drawing/2014/main" id="{3C3DA735-3F71-4DF3-A6BF-CCD7086D9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4" name="Picture 67" descr="image002">
          <a:extLst>
            <a:ext uri="{FF2B5EF4-FFF2-40B4-BE49-F238E27FC236}">
              <a16:creationId xmlns:a16="http://schemas.microsoft.com/office/drawing/2014/main" id="{447ACF53-D82F-4C94-90F6-782D22D9F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57</xdr:row>
      <xdr:rowOff>0</xdr:rowOff>
    </xdr:from>
    <xdr:ext cx="207877" cy="217560"/>
    <xdr:sp macro="" textlink="">
      <xdr:nvSpPr>
        <xdr:cNvPr id="35" name="7 CuadroTexto">
          <a:extLst>
            <a:ext uri="{FF2B5EF4-FFF2-40B4-BE49-F238E27FC236}">
              <a16:creationId xmlns:a16="http://schemas.microsoft.com/office/drawing/2014/main" id="{E5E1B6DA-1787-49B0-AB36-9C39C97758CB}"/>
            </a:ext>
          </a:extLst>
        </xdr:cNvPr>
        <xdr:cNvSpPr txBox="1"/>
      </xdr:nvSpPr>
      <xdr:spPr>
        <a:xfrm>
          <a:off x="25938480" y="12900660"/>
          <a:ext cx="20787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L" sz="800" baseline="0">
              <a:solidFill>
                <a:srgbClr val="FF0000"/>
              </a:solidFill>
            </a:rPr>
            <a:t> </a:t>
          </a:r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36" name="Picture 67" descr="image002">
          <a:extLst>
            <a:ext uri="{FF2B5EF4-FFF2-40B4-BE49-F238E27FC236}">
              <a16:creationId xmlns:a16="http://schemas.microsoft.com/office/drawing/2014/main" id="{BD14144D-8A3C-42C6-948B-33D0320CC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7" name="Picture 67" descr="image002">
          <a:extLst>
            <a:ext uri="{FF2B5EF4-FFF2-40B4-BE49-F238E27FC236}">
              <a16:creationId xmlns:a16="http://schemas.microsoft.com/office/drawing/2014/main" id="{B8439656-34C5-4379-80B3-8A0F5AD06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38" name="9 CuadroTexto">
          <a:extLst>
            <a:ext uri="{FF2B5EF4-FFF2-40B4-BE49-F238E27FC236}">
              <a16:creationId xmlns:a16="http://schemas.microsoft.com/office/drawing/2014/main" id="{25968FF8-22B4-4D79-B204-FC8B71ADC0C2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39" name="Picture 67" descr="image002">
          <a:extLst>
            <a:ext uri="{FF2B5EF4-FFF2-40B4-BE49-F238E27FC236}">
              <a16:creationId xmlns:a16="http://schemas.microsoft.com/office/drawing/2014/main" id="{BC461084-0500-402F-8AC6-513A286E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40" name="Picture 67" descr="image002">
          <a:extLst>
            <a:ext uri="{FF2B5EF4-FFF2-40B4-BE49-F238E27FC236}">
              <a16:creationId xmlns:a16="http://schemas.microsoft.com/office/drawing/2014/main" id="{8A19FA1A-D711-4DAF-A53A-A6057B34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41" name="12 CuadroTexto">
          <a:extLst>
            <a:ext uri="{FF2B5EF4-FFF2-40B4-BE49-F238E27FC236}">
              <a16:creationId xmlns:a16="http://schemas.microsoft.com/office/drawing/2014/main" id="{BB986E77-6DB5-4C7F-8342-6F72C8FCF243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42" name="Picture 67" descr="image002">
          <a:extLst>
            <a:ext uri="{FF2B5EF4-FFF2-40B4-BE49-F238E27FC236}">
              <a16:creationId xmlns:a16="http://schemas.microsoft.com/office/drawing/2014/main" id="{2DDBE0CE-7278-4C11-8D01-D416694A1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43" name="Picture 67" descr="image002">
          <a:extLst>
            <a:ext uri="{FF2B5EF4-FFF2-40B4-BE49-F238E27FC236}">
              <a16:creationId xmlns:a16="http://schemas.microsoft.com/office/drawing/2014/main" id="{1953C5A8-3CF8-4B9A-A8E6-A86841F0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44" name="Picture 67" descr="image002">
          <a:extLst>
            <a:ext uri="{FF2B5EF4-FFF2-40B4-BE49-F238E27FC236}">
              <a16:creationId xmlns:a16="http://schemas.microsoft.com/office/drawing/2014/main" id="{95C85A0C-8FC8-4EFB-B9FF-5E19F1CB0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45" name="Picture 67" descr="image002">
          <a:extLst>
            <a:ext uri="{FF2B5EF4-FFF2-40B4-BE49-F238E27FC236}">
              <a16:creationId xmlns:a16="http://schemas.microsoft.com/office/drawing/2014/main" id="{5AEB4C2F-30D1-4DF6-A051-0B07BAE8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57</xdr:row>
      <xdr:rowOff>0</xdr:rowOff>
    </xdr:from>
    <xdr:ext cx="184731" cy="217560"/>
    <xdr:sp macro="" textlink="">
      <xdr:nvSpPr>
        <xdr:cNvPr id="46" name="7 CuadroTexto">
          <a:extLst>
            <a:ext uri="{FF2B5EF4-FFF2-40B4-BE49-F238E27FC236}">
              <a16:creationId xmlns:a16="http://schemas.microsoft.com/office/drawing/2014/main" id="{5FF169E6-22A8-48EF-9876-B665146D9470}"/>
            </a:ext>
          </a:extLst>
        </xdr:cNvPr>
        <xdr:cNvSpPr txBox="1"/>
      </xdr:nvSpPr>
      <xdr:spPr>
        <a:xfrm>
          <a:off x="25938480" y="1290066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47" name="Picture 67" descr="image002">
          <a:extLst>
            <a:ext uri="{FF2B5EF4-FFF2-40B4-BE49-F238E27FC236}">
              <a16:creationId xmlns:a16="http://schemas.microsoft.com/office/drawing/2014/main" id="{B4A21A1E-29A5-4CE0-A02B-E7B54CA17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48" name="Picture 67" descr="image002">
          <a:extLst>
            <a:ext uri="{FF2B5EF4-FFF2-40B4-BE49-F238E27FC236}">
              <a16:creationId xmlns:a16="http://schemas.microsoft.com/office/drawing/2014/main" id="{87C553C8-FFE4-4494-AFA0-4FE42DA2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49" name="9 CuadroTexto">
          <a:extLst>
            <a:ext uri="{FF2B5EF4-FFF2-40B4-BE49-F238E27FC236}">
              <a16:creationId xmlns:a16="http://schemas.microsoft.com/office/drawing/2014/main" id="{D41485B1-18C1-4A55-A7D4-85177E9A51EF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0" name="Picture 67" descr="image002">
          <a:extLst>
            <a:ext uri="{FF2B5EF4-FFF2-40B4-BE49-F238E27FC236}">
              <a16:creationId xmlns:a16="http://schemas.microsoft.com/office/drawing/2014/main" id="{AE49AC83-3484-4903-ABD1-0C4F0C6A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1" name="Picture 67" descr="image002">
          <a:extLst>
            <a:ext uri="{FF2B5EF4-FFF2-40B4-BE49-F238E27FC236}">
              <a16:creationId xmlns:a16="http://schemas.microsoft.com/office/drawing/2014/main" id="{9A4E2A2E-B105-4069-8A97-F2FC97AA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52" name="12 CuadroTexto">
          <a:extLst>
            <a:ext uri="{FF2B5EF4-FFF2-40B4-BE49-F238E27FC236}">
              <a16:creationId xmlns:a16="http://schemas.microsoft.com/office/drawing/2014/main" id="{3B4BEA7A-FB6F-496D-97F9-316F180FB806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3" name="Picture 67" descr="image002">
          <a:extLst>
            <a:ext uri="{FF2B5EF4-FFF2-40B4-BE49-F238E27FC236}">
              <a16:creationId xmlns:a16="http://schemas.microsoft.com/office/drawing/2014/main" id="{3393CC77-9B52-4452-A512-4523CFBA2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4" name="Picture 67" descr="image002">
          <a:extLst>
            <a:ext uri="{FF2B5EF4-FFF2-40B4-BE49-F238E27FC236}">
              <a16:creationId xmlns:a16="http://schemas.microsoft.com/office/drawing/2014/main" id="{9CAA3359-3A79-4CFC-8DF2-72A2D4DF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55" name="10 CuadroTexto">
          <a:extLst>
            <a:ext uri="{FF2B5EF4-FFF2-40B4-BE49-F238E27FC236}">
              <a16:creationId xmlns:a16="http://schemas.microsoft.com/office/drawing/2014/main" id="{7C2707AC-5246-4544-9A31-779188043F8E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6" name="Picture 67" descr="image002">
          <a:extLst>
            <a:ext uri="{FF2B5EF4-FFF2-40B4-BE49-F238E27FC236}">
              <a16:creationId xmlns:a16="http://schemas.microsoft.com/office/drawing/2014/main" id="{0F8015CD-EC2F-45F9-9D57-402AEBBE4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7" name="Picture 67" descr="image002">
          <a:extLst>
            <a:ext uri="{FF2B5EF4-FFF2-40B4-BE49-F238E27FC236}">
              <a16:creationId xmlns:a16="http://schemas.microsoft.com/office/drawing/2014/main" id="{EB23E9EC-E937-41C8-B8A5-264EF96C0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8" name="Picture 67" descr="image002">
          <a:extLst>
            <a:ext uri="{FF2B5EF4-FFF2-40B4-BE49-F238E27FC236}">
              <a16:creationId xmlns:a16="http://schemas.microsoft.com/office/drawing/2014/main" id="{29501032-AECC-452D-9012-14719A0A8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9" name="Picture 67" descr="image002">
          <a:extLst>
            <a:ext uri="{FF2B5EF4-FFF2-40B4-BE49-F238E27FC236}">
              <a16:creationId xmlns:a16="http://schemas.microsoft.com/office/drawing/2014/main" id="{E64BF6E9-1EAA-4C75-B298-CE8201462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57</xdr:row>
      <xdr:rowOff>0</xdr:rowOff>
    </xdr:from>
    <xdr:ext cx="184731" cy="217560"/>
    <xdr:sp macro="" textlink="">
      <xdr:nvSpPr>
        <xdr:cNvPr id="60" name="7 CuadroTexto">
          <a:extLst>
            <a:ext uri="{FF2B5EF4-FFF2-40B4-BE49-F238E27FC236}">
              <a16:creationId xmlns:a16="http://schemas.microsoft.com/office/drawing/2014/main" id="{CB67329A-AD8D-4CCA-8121-E96DD4C8BC0B}"/>
            </a:ext>
          </a:extLst>
        </xdr:cNvPr>
        <xdr:cNvSpPr txBox="1"/>
      </xdr:nvSpPr>
      <xdr:spPr>
        <a:xfrm>
          <a:off x="25938480" y="1290066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61" name="Picture 67" descr="image002">
          <a:extLst>
            <a:ext uri="{FF2B5EF4-FFF2-40B4-BE49-F238E27FC236}">
              <a16:creationId xmlns:a16="http://schemas.microsoft.com/office/drawing/2014/main" id="{D243C42E-F800-41C2-BB24-938D6CD0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2" name="Picture 67" descr="image002">
          <a:extLst>
            <a:ext uri="{FF2B5EF4-FFF2-40B4-BE49-F238E27FC236}">
              <a16:creationId xmlns:a16="http://schemas.microsoft.com/office/drawing/2014/main" id="{DBAB3179-9922-418F-A237-3B8BEC0F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63" name="9 CuadroTexto">
          <a:extLst>
            <a:ext uri="{FF2B5EF4-FFF2-40B4-BE49-F238E27FC236}">
              <a16:creationId xmlns:a16="http://schemas.microsoft.com/office/drawing/2014/main" id="{F853C47B-3E62-4237-B0CA-D87D1425DE01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64" name="Picture 67" descr="image002">
          <a:extLst>
            <a:ext uri="{FF2B5EF4-FFF2-40B4-BE49-F238E27FC236}">
              <a16:creationId xmlns:a16="http://schemas.microsoft.com/office/drawing/2014/main" id="{330C6E2A-A7F4-4103-9E40-7A5BB6A19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5" name="Picture 67" descr="image002">
          <a:extLst>
            <a:ext uri="{FF2B5EF4-FFF2-40B4-BE49-F238E27FC236}">
              <a16:creationId xmlns:a16="http://schemas.microsoft.com/office/drawing/2014/main" id="{97DF2BA1-341C-4DE2-A1AD-39B002C05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66" name="12 CuadroTexto">
          <a:extLst>
            <a:ext uri="{FF2B5EF4-FFF2-40B4-BE49-F238E27FC236}">
              <a16:creationId xmlns:a16="http://schemas.microsoft.com/office/drawing/2014/main" id="{00418D6C-F9DE-442E-876E-96E8D0BA4D83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67" name="Picture 67" descr="image002">
          <a:extLst>
            <a:ext uri="{FF2B5EF4-FFF2-40B4-BE49-F238E27FC236}">
              <a16:creationId xmlns:a16="http://schemas.microsoft.com/office/drawing/2014/main" id="{A4C17707-81C2-4E4A-8C8B-7B30624CC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8" name="Picture 67" descr="image002">
          <a:extLst>
            <a:ext uri="{FF2B5EF4-FFF2-40B4-BE49-F238E27FC236}">
              <a16:creationId xmlns:a16="http://schemas.microsoft.com/office/drawing/2014/main" id="{DEAF5DC4-4772-4021-9FDE-F6D018810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69" name="10 CuadroTexto">
          <a:extLst>
            <a:ext uri="{FF2B5EF4-FFF2-40B4-BE49-F238E27FC236}">
              <a16:creationId xmlns:a16="http://schemas.microsoft.com/office/drawing/2014/main" id="{525716F7-E438-4DBC-863B-6713498B9428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0" name="Picture 67" descr="image002">
          <a:extLst>
            <a:ext uri="{FF2B5EF4-FFF2-40B4-BE49-F238E27FC236}">
              <a16:creationId xmlns:a16="http://schemas.microsoft.com/office/drawing/2014/main" id="{24BF8E6D-8C4F-4FE2-AD58-70008844D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1" name="Picture 67" descr="image002">
          <a:extLst>
            <a:ext uri="{FF2B5EF4-FFF2-40B4-BE49-F238E27FC236}">
              <a16:creationId xmlns:a16="http://schemas.microsoft.com/office/drawing/2014/main" id="{CED5AA14-69EF-427D-B92C-9B9ACDEE2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2" name="Picture 67" descr="image002">
          <a:extLst>
            <a:ext uri="{FF2B5EF4-FFF2-40B4-BE49-F238E27FC236}">
              <a16:creationId xmlns:a16="http://schemas.microsoft.com/office/drawing/2014/main" id="{CC09EAFA-2F88-4E90-BB9F-1E8076B70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3" name="Picture 67" descr="image002">
          <a:extLst>
            <a:ext uri="{FF2B5EF4-FFF2-40B4-BE49-F238E27FC236}">
              <a16:creationId xmlns:a16="http://schemas.microsoft.com/office/drawing/2014/main" id="{2FDAC2D5-0913-403C-86B7-712274DC0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5" name="Picture 67" descr="image002">
          <a:extLst>
            <a:ext uri="{FF2B5EF4-FFF2-40B4-BE49-F238E27FC236}">
              <a16:creationId xmlns:a16="http://schemas.microsoft.com/office/drawing/2014/main" id="{E13DDBB3-E2AC-44E4-BA2B-D84188FE0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6" name="Picture 67" descr="image002">
          <a:extLst>
            <a:ext uri="{FF2B5EF4-FFF2-40B4-BE49-F238E27FC236}">
              <a16:creationId xmlns:a16="http://schemas.microsoft.com/office/drawing/2014/main" id="{29A93D7D-70BD-46A9-B367-B66220FD6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77" name="9 CuadroTexto">
          <a:extLst>
            <a:ext uri="{FF2B5EF4-FFF2-40B4-BE49-F238E27FC236}">
              <a16:creationId xmlns:a16="http://schemas.microsoft.com/office/drawing/2014/main" id="{9870B4D4-18C0-4C7D-88B6-9DD62AC1530C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8" name="Picture 67" descr="image002">
          <a:extLst>
            <a:ext uri="{FF2B5EF4-FFF2-40B4-BE49-F238E27FC236}">
              <a16:creationId xmlns:a16="http://schemas.microsoft.com/office/drawing/2014/main" id="{B06ED573-DBA3-4527-B983-716FCFBE3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9" name="Picture 67" descr="image002">
          <a:extLst>
            <a:ext uri="{FF2B5EF4-FFF2-40B4-BE49-F238E27FC236}">
              <a16:creationId xmlns:a16="http://schemas.microsoft.com/office/drawing/2014/main" id="{2DEF7489-BC37-489F-B350-D881C441D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80" name="12 CuadroTexto">
          <a:extLst>
            <a:ext uri="{FF2B5EF4-FFF2-40B4-BE49-F238E27FC236}">
              <a16:creationId xmlns:a16="http://schemas.microsoft.com/office/drawing/2014/main" id="{F8739396-FEF7-4397-B9AC-2D1C2436695F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81" name="Picture 67" descr="image002">
          <a:extLst>
            <a:ext uri="{FF2B5EF4-FFF2-40B4-BE49-F238E27FC236}">
              <a16:creationId xmlns:a16="http://schemas.microsoft.com/office/drawing/2014/main" id="{353D7D0F-36AB-4503-A930-F6F812BCD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2" name="Picture 67" descr="image002">
          <a:extLst>
            <a:ext uri="{FF2B5EF4-FFF2-40B4-BE49-F238E27FC236}">
              <a16:creationId xmlns:a16="http://schemas.microsoft.com/office/drawing/2014/main" id="{1D59A143-6CAC-400A-8B1C-1B488B146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39</xdr:row>
      <xdr:rowOff>0</xdr:rowOff>
    </xdr:from>
    <xdr:ext cx="171450" cy="361950"/>
    <xdr:sp macro="" textlink="">
      <xdr:nvSpPr>
        <xdr:cNvPr id="83" name="10 CuadroTexto">
          <a:extLst>
            <a:ext uri="{FF2B5EF4-FFF2-40B4-BE49-F238E27FC236}">
              <a16:creationId xmlns:a16="http://schemas.microsoft.com/office/drawing/2014/main" id="{78103705-E3F9-47FC-8420-8A97C403583D}"/>
            </a:ext>
          </a:extLst>
        </xdr:cNvPr>
        <xdr:cNvSpPr txBox="1"/>
      </xdr:nvSpPr>
      <xdr:spPr>
        <a:xfrm>
          <a:off x="27287220" y="89154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84" name="Picture 67" descr="image002">
          <a:extLst>
            <a:ext uri="{FF2B5EF4-FFF2-40B4-BE49-F238E27FC236}">
              <a16:creationId xmlns:a16="http://schemas.microsoft.com/office/drawing/2014/main" id="{B92B565F-BF75-4835-BD4C-B6E7779A0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5" name="Picture 67" descr="image002">
          <a:extLst>
            <a:ext uri="{FF2B5EF4-FFF2-40B4-BE49-F238E27FC236}">
              <a16:creationId xmlns:a16="http://schemas.microsoft.com/office/drawing/2014/main" id="{3AB49A19-EE26-4BB0-ACAD-B1DF7A33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86" name="Picture 67" descr="image002">
          <a:extLst>
            <a:ext uri="{FF2B5EF4-FFF2-40B4-BE49-F238E27FC236}">
              <a16:creationId xmlns:a16="http://schemas.microsoft.com/office/drawing/2014/main" id="{FE4FCE23-8A91-4D9B-8E6A-C02E06F1E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7" name="Picture 67" descr="image002">
          <a:extLst>
            <a:ext uri="{FF2B5EF4-FFF2-40B4-BE49-F238E27FC236}">
              <a16:creationId xmlns:a16="http://schemas.microsoft.com/office/drawing/2014/main" id="{B7855216-052D-4C17-A7BC-60DE20009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1318260</xdr:colOff>
      <xdr:row>51</xdr:row>
      <xdr:rowOff>15240</xdr:rowOff>
    </xdr:from>
    <xdr:ext cx="184731" cy="217560"/>
    <xdr:sp macro="" textlink="">
      <xdr:nvSpPr>
        <xdr:cNvPr id="88" name="7 CuadroTexto">
          <a:extLst>
            <a:ext uri="{FF2B5EF4-FFF2-40B4-BE49-F238E27FC236}">
              <a16:creationId xmlns:a16="http://schemas.microsoft.com/office/drawing/2014/main" id="{A9AA89DB-6810-4DE3-9F66-1813610C168F}"/>
            </a:ext>
          </a:extLst>
        </xdr:cNvPr>
        <xdr:cNvSpPr txBox="1"/>
      </xdr:nvSpPr>
      <xdr:spPr>
        <a:xfrm>
          <a:off x="27256740" y="1181100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89" name="Picture 67" descr="image002">
          <a:extLst>
            <a:ext uri="{FF2B5EF4-FFF2-40B4-BE49-F238E27FC236}">
              <a16:creationId xmlns:a16="http://schemas.microsoft.com/office/drawing/2014/main" id="{334187E3-6386-4BC1-8C3B-0246B8DE4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0" name="Picture 67" descr="image002">
          <a:extLst>
            <a:ext uri="{FF2B5EF4-FFF2-40B4-BE49-F238E27FC236}">
              <a16:creationId xmlns:a16="http://schemas.microsoft.com/office/drawing/2014/main" id="{19009592-AA93-4659-90F7-AF3AFD22A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39</xdr:row>
      <xdr:rowOff>0</xdr:rowOff>
    </xdr:from>
    <xdr:ext cx="171450" cy="361950"/>
    <xdr:sp macro="" textlink="">
      <xdr:nvSpPr>
        <xdr:cNvPr id="91" name="9 CuadroTexto">
          <a:extLst>
            <a:ext uri="{FF2B5EF4-FFF2-40B4-BE49-F238E27FC236}">
              <a16:creationId xmlns:a16="http://schemas.microsoft.com/office/drawing/2014/main" id="{2A6FEA9A-9438-46B0-A716-EA3738A9B5CC}"/>
            </a:ext>
          </a:extLst>
        </xdr:cNvPr>
        <xdr:cNvSpPr txBox="1"/>
      </xdr:nvSpPr>
      <xdr:spPr>
        <a:xfrm>
          <a:off x="27287220" y="89154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92" name="Picture 67" descr="image002">
          <a:extLst>
            <a:ext uri="{FF2B5EF4-FFF2-40B4-BE49-F238E27FC236}">
              <a16:creationId xmlns:a16="http://schemas.microsoft.com/office/drawing/2014/main" id="{BF76C3CC-42E4-40DF-9479-2B99DA6F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3" name="Picture 67" descr="image002">
          <a:extLst>
            <a:ext uri="{FF2B5EF4-FFF2-40B4-BE49-F238E27FC236}">
              <a16:creationId xmlns:a16="http://schemas.microsoft.com/office/drawing/2014/main" id="{5D9F0CC7-57EC-4B73-9AD7-2B5F0B517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39</xdr:row>
      <xdr:rowOff>0</xdr:rowOff>
    </xdr:from>
    <xdr:ext cx="171450" cy="361950"/>
    <xdr:sp macro="" textlink="">
      <xdr:nvSpPr>
        <xdr:cNvPr id="94" name="12 CuadroTexto">
          <a:extLst>
            <a:ext uri="{FF2B5EF4-FFF2-40B4-BE49-F238E27FC236}">
              <a16:creationId xmlns:a16="http://schemas.microsoft.com/office/drawing/2014/main" id="{92E02C0C-6AA0-4553-AA7D-27E545F78421}"/>
            </a:ext>
          </a:extLst>
        </xdr:cNvPr>
        <xdr:cNvSpPr txBox="1"/>
      </xdr:nvSpPr>
      <xdr:spPr>
        <a:xfrm>
          <a:off x="27287220" y="89154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95" name="Picture 67" descr="image002">
          <a:extLst>
            <a:ext uri="{FF2B5EF4-FFF2-40B4-BE49-F238E27FC236}">
              <a16:creationId xmlns:a16="http://schemas.microsoft.com/office/drawing/2014/main" id="{DF65C95F-3525-452E-9AD6-081DB3CAB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6" name="Picture 67" descr="image002">
          <a:extLst>
            <a:ext uri="{FF2B5EF4-FFF2-40B4-BE49-F238E27FC236}">
              <a16:creationId xmlns:a16="http://schemas.microsoft.com/office/drawing/2014/main" id="{3B233573-FA75-4953-A4D5-406899438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97" name="10 CuadroTexto">
          <a:extLst>
            <a:ext uri="{FF2B5EF4-FFF2-40B4-BE49-F238E27FC236}">
              <a16:creationId xmlns:a16="http://schemas.microsoft.com/office/drawing/2014/main" id="{3B99E015-8D1A-4C8C-B1EE-21AAE822EB62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98" name="Picture 67" descr="image002">
          <a:extLst>
            <a:ext uri="{FF2B5EF4-FFF2-40B4-BE49-F238E27FC236}">
              <a16:creationId xmlns:a16="http://schemas.microsoft.com/office/drawing/2014/main" id="{EF6B38B7-B2AD-41FB-95BA-5C1CFCAE9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9" name="Picture 67" descr="image002">
          <a:extLst>
            <a:ext uri="{FF2B5EF4-FFF2-40B4-BE49-F238E27FC236}">
              <a16:creationId xmlns:a16="http://schemas.microsoft.com/office/drawing/2014/main" id="{36358B05-21A3-48A7-9017-36882853B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0" name="Picture 67" descr="image002">
          <a:extLst>
            <a:ext uri="{FF2B5EF4-FFF2-40B4-BE49-F238E27FC236}">
              <a16:creationId xmlns:a16="http://schemas.microsoft.com/office/drawing/2014/main" id="{5F090A4D-8429-46B5-8340-DFF9EBEAA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01" name="Picture 67" descr="image002">
          <a:extLst>
            <a:ext uri="{FF2B5EF4-FFF2-40B4-BE49-F238E27FC236}">
              <a16:creationId xmlns:a16="http://schemas.microsoft.com/office/drawing/2014/main" id="{31399841-0ED4-44AA-8A4D-DCFB24C5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02" name="7 CuadroTexto">
          <a:extLst>
            <a:ext uri="{FF2B5EF4-FFF2-40B4-BE49-F238E27FC236}">
              <a16:creationId xmlns:a16="http://schemas.microsoft.com/office/drawing/2014/main" id="{D3D5FE27-BDEA-4118-AC3D-03E4614FDC13}"/>
            </a:ext>
          </a:extLst>
        </xdr:cNvPr>
        <xdr:cNvSpPr txBox="1"/>
      </xdr:nvSpPr>
      <xdr:spPr>
        <a:xfrm rot="18892825" flipV="1">
          <a:off x="25869899" y="1167383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3" name="Picture 67" descr="image002">
          <a:extLst>
            <a:ext uri="{FF2B5EF4-FFF2-40B4-BE49-F238E27FC236}">
              <a16:creationId xmlns:a16="http://schemas.microsoft.com/office/drawing/2014/main" id="{8B8C6281-6410-4B66-BD91-9A98C875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04" name="Picture 67" descr="image002">
          <a:extLst>
            <a:ext uri="{FF2B5EF4-FFF2-40B4-BE49-F238E27FC236}">
              <a16:creationId xmlns:a16="http://schemas.microsoft.com/office/drawing/2014/main" id="{5E037BAF-2E9D-4B71-BD51-3F447F28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05" name="9 CuadroTexto">
          <a:extLst>
            <a:ext uri="{FF2B5EF4-FFF2-40B4-BE49-F238E27FC236}">
              <a16:creationId xmlns:a16="http://schemas.microsoft.com/office/drawing/2014/main" id="{D3214E61-FB8A-4A83-A867-9593BF287672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6" name="Picture 67" descr="image002">
          <a:extLst>
            <a:ext uri="{FF2B5EF4-FFF2-40B4-BE49-F238E27FC236}">
              <a16:creationId xmlns:a16="http://schemas.microsoft.com/office/drawing/2014/main" id="{E39D6832-7554-462C-AAD3-078062A53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07" name="Picture 67" descr="image002">
          <a:extLst>
            <a:ext uri="{FF2B5EF4-FFF2-40B4-BE49-F238E27FC236}">
              <a16:creationId xmlns:a16="http://schemas.microsoft.com/office/drawing/2014/main" id="{D6044686-84E4-4E0B-912C-B02E06F82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08" name="12 CuadroTexto">
          <a:extLst>
            <a:ext uri="{FF2B5EF4-FFF2-40B4-BE49-F238E27FC236}">
              <a16:creationId xmlns:a16="http://schemas.microsoft.com/office/drawing/2014/main" id="{049DC920-B2A7-428D-91EF-D943A292890B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9" name="Picture 67" descr="image002">
          <a:extLst>
            <a:ext uri="{FF2B5EF4-FFF2-40B4-BE49-F238E27FC236}">
              <a16:creationId xmlns:a16="http://schemas.microsoft.com/office/drawing/2014/main" id="{79C8315E-B67A-4C49-86E3-E4280DDD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0" name="Picture 67" descr="image002">
          <a:extLst>
            <a:ext uri="{FF2B5EF4-FFF2-40B4-BE49-F238E27FC236}">
              <a16:creationId xmlns:a16="http://schemas.microsoft.com/office/drawing/2014/main" id="{E5C0F5CA-0496-4FE0-9C19-C9172C97F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11" name="10 CuadroTexto">
          <a:extLst>
            <a:ext uri="{FF2B5EF4-FFF2-40B4-BE49-F238E27FC236}">
              <a16:creationId xmlns:a16="http://schemas.microsoft.com/office/drawing/2014/main" id="{CFB7198A-6AFD-4DE2-BE3C-E5F0F6559B6A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12" name="Picture 67" descr="image002">
          <a:extLst>
            <a:ext uri="{FF2B5EF4-FFF2-40B4-BE49-F238E27FC236}">
              <a16:creationId xmlns:a16="http://schemas.microsoft.com/office/drawing/2014/main" id="{F4360309-81DD-4B03-8C77-B415D3E0F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3" name="Picture 67" descr="image002">
          <a:extLst>
            <a:ext uri="{FF2B5EF4-FFF2-40B4-BE49-F238E27FC236}">
              <a16:creationId xmlns:a16="http://schemas.microsoft.com/office/drawing/2014/main" id="{EE2EF1B4-F141-412B-B4FB-7E2905BF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14" name="Picture 67" descr="image002">
          <a:extLst>
            <a:ext uri="{FF2B5EF4-FFF2-40B4-BE49-F238E27FC236}">
              <a16:creationId xmlns:a16="http://schemas.microsoft.com/office/drawing/2014/main" id="{2E63CE17-B925-4DB9-A489-3C36D473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5" name="Picture 67" descr="image002">
          <a:extLst>
            <a:ext uri="{FF2B5EF4-FFF2-40B4-BE49-F238E27FC236}">
              <a16:creationId xmlns:a16="http://schemas.microsoft.com/office/drawing/2014/main" id="{81F62416-9DD2-4182-BFBE-83DACE52C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16" name="7 CuadroTexto">
          <a:extLst>
            <a:ext uri="{FF2B5EF4-FFF2-40B4-BE49-F238E27FC236}">
              <a16:creationId xmlns:a16="http://schemas.microsoft.com/office/drawing/2014/main" id="{CF130816-C93A-4A54-B593-4798F5416C4F}"/>
            </a:ext>
          </a:extLst>
        </xdr:cNvPr>
        <xdr:cNvSpPr txBox="1"/>
      </xdr:nvSpPr>
      <xdr:spPr>
        <a:xfrm rot="18892825" flipV="1">
          <a:off x="25869899" y="1167383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17" name="Picture 67" descr="image002">
          <a:extLst>
            <a:ext uri="{FF2B5EF4-FFF2-40B4-BE49-F238E27FC236}">
              <a16:creationId xmlns:a16="http://schemas.microsoft.com/office/drawing/2014/main" id="{A20FFD52-469E-464E-AD67-EF5731326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8" name="Picture 67" descr="image002">
          <a:extLst>
            <a:ext uri="{FF2B5EF4-FFF2-40B4-BE49-F238E27FC236}">
              <a16:creationId xmlns:a16="http://schemas.microsoft.com/office/drawing/2014/main" id="{272BA711-2F7C-4229-8C2E-8A91FD7C1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19" name="9 CuadroTexto">
          <a:extLst>
            <a:ext uri="{FF2B5EF4-FFF2-40B4-BE49-F238E27FC236}">
              <a16:creationId xmlns:a16="http://schemas.microsoft.com/office/drawing/2014/main" id="{0484D302-E816-47DB-9F52-9BD4207FE7C3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20" name="Picture 67" descr="image002">
          <a:extLst>
            <a:ext uri="{FF2B5EF4-FFF2-40B4-BE49-F238E27FC236}">
              <a16:creationId xmlns:a16="http://schemas.microsoft.com/office/drawing/2014/main" id="{D3E1FC7B-893E-45B7-BDC7-5F7B29F02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1" name="Picture 67" descr="image002">
          <a:extLst>
            <a:ext uri="{FF2B5EF4-FFF2-40B4-BE49-F238E27FC236}">
              <a16:creationId xmlns:a16="http://schemas.microsoft.com/office/drawing/2014/main" id="{FF246482-622D-485C-B7BF-BC374192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22" name="12 CuadroTexto">
          <a:extLst>
            <a:ext uri="{FF2B5EF4-FFF2-40B4-BE49-F238E27FC236}">
              <a16:creationId xmlns:a16="http://schemas.microsoft.com/office/drawing/2014/main" id="{DD0C1DA0-2E61-41AE-9127-2FC745A0505F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23" name="Picture 67" descr="image002">
          <a:extLst>
            <a:ext uri="{FF2B5EF4-FFF2-40B4-BE49-F238E27FC236}">
              <a16:creationId xmlns:a16="http://schemas.microsoft.com/office/drawing/2014/main" id="{F61B03F2-D1AC-4201-A5C4-43B065B1E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4" name="Picture 67" descr="image002">
          <a:extLst>
            <a:ext uri="{FF2B5EF4-FFF2-40B4-BE49-F238E27FC236}">
              <a16:creationId xmlns:a16="http://schemas.microsoft.com/office/drawing/2014/main" id="{0AD06F18-EF0B-4617-9B12-A8ECEB214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25" name="10 CuadroTexto">
          <a:extLst>
            <a:ext uri="{FF2B5EF4-FFF2-40B4-BE49-F238E27FC236}">
              <a16:creationId xmlns:a16="http://schemas.microsoft.com/office/drawing/2014/main" id="{CA52B903-548F-4570-A2A8-ED425CBA1824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26" name="Picture 67" descr="image002">
          <a:extLst>
            <a:ext uri="{FF2B5EF4-FFF2-40B4-BE49-F238E27FC236}">
              <a16:creationId xmlns:a16="http://schemas.microsoft.com/office/drawing/2014/main" id="{3D7B7A1C-605E-41C0-9D2A-DD76E2AAD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7" name="Picture 67" descr="image002">
          <a:extLst>
            <a:ext uri="{FF2B5EF4-FFF2-40B4-BE49-F238E27FC236}">
              <a16:creationId xmlns:a16="http://schemas.microsoft.com/office/drawing/2014/main" id="{52BE28D8-2466-4A4F-9D50-CFDA8BA3D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28" name="Picture 67" descr="image002">
          <a:extLst>
            <a:ext uri="{FF2B5EF4-FFF2-40B4-BE49-F238E27FC236}">
              <a16:creationId xmlns:a16="http://schemas.microsoft.com/office/drawing/2014/main" id="{A4FA30E3-3447-4DDD-B368-DA98B0E16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9" name="Picture 67" descr="image002">
          <a:extLst>
            <a:ext uri="{FF2B5EF4-FFF2-40B4-BE49-F238E27FC236}">
              <a16:creationId xmlns:a16="http://schemas.microsoft.com/office/drawing/2014/main" id="{C7F6519E-1834-4D31-A936-D5D12EC99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30" name="7 CuadroTexto">
          <a:extLst>
            <a:ext uri="{FF2B5EF4-FFF2-40B4-BE49-F238E27FC236}">
              <a16:creationId xmlns:a16="http://schemas.microsoft.com/office/drawing/2014/main" id="{A9E37EF4-7D21-4F9F-B65F-85769B600EAC}"/>
            </a:ext>
          </a:extLst>
        </xdr:cNvPr>
        <xdr:cNvSpPr txBox="1"/>
      </xdr:nvSpPr>
      <xdr:spPr>
        <a:xfrm rot="18892825" flipV="1">
          <a:off x="25869899" y="1167383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31" name="Picture 67" descr="image002">
          <a:extLst>
            <a:ext uri="{FF2B5EF4-FFF2-40B4-BE49-F238E27FC236}">
              <a16:creationId xmlns:a16="http://schemas.microsoft.com/office/drawing/2014/main" id="{886BB449-FF66-456B-BCA7-481DACCC7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32" name="Picture 67" descr="image002">
          <a:extLst>
            <a:ext uri="{FF2B5EF4-FFF2-40B4-BE49-F238E27FC236}">
              <a16:creationId xmlns:a16="http://schemas.microsoft.com/office/drawing/2014/main" id="{24FE14CD-49B2-4F2D-A68E-E4F5FCE7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3" name="9 CuadroTexto">
          <a:extLst>
            <a:ext uri="{FF2B5EF4-FFF2-40B4-BE49-F238E27FC236}">
              <a16:creationId xmlns:a16="http://schemas.microsoft.com/office/drawing/2014/main" id="{D6DFFD6A-2A9E-4AC1-A70A-AC2E9114FD43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34" name="Picture 67" descr="image002">
          <a:extLst>
            <a:ext uri="{FF2B5EF4-FFF2-40B4-BE49-F238E27FC236}">
              <a16:creationId xmlns:a16="http://schemas.microsoft.com/office/drawing/2014/main" id="{C6BCA2C1-DA8D-4142-A841-779F3114E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35" name="Picture 67" descr="image002">
          <a:extLst>
            <a:ext uri="{FF2B5EF4-FFF2-40B4-BE49-F238E27FC236}">
              <a16:creationId xmlns:a16="http://schemas.microsoft.com/office/drawing/2014/main" id="{13A4975D-7E8B-4876-A19A-D70549BF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6" name="12 CuadroTexto">
          <a:extLst>
            <a:ext uri="{FF2B5EF4-FFF2-40B4-BE49-F238E27FC236}">
              <a16:creationId xmlns:a16="http://schemas.microsoft.com/office/drawing/2014/main" id="{8307624B-5F7C-4593-B877-CACA73F4A78B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37" name="Picture 67" descr="image002">
          <a:extLst>
            <a:ext uri="{FF2B5EF4-FFF2-40B4-BE49-F238E27FC236}">
              <a16:creationId xmlns:a16="http://schemas.microsoft.com/office/drawing/2014/main" id="{F774D601-4278-475F-8E07-E72119C0E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38" name="Picture 67" descr="image002">
          <a:extLst>
            <a:ext uri="{FF2B5EF4-FFF2-40B4-BE49-F238E27FC236}">
              <a16:creationId xmlns:a16="http://schemas.microsoft.com/office/drawing/2014/main" id="{F2BD62D3-4B86-498E-9C56-A3FA5B46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9" name="10 CuadroTexto">
          <a:extLst>
            <a:ext uri="{FF2B5EF4-FFF2-40B4-BE49-F238E27FC236}">
              <a16:creationId xmlns:a16="http://schemas.microsoft.com/office/drawing/2014/main" id="{0CE9E391-0E4B-4292-B615-1B975AE081B1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0" name="Picture 67" descr="image002">
          <a:extLst>
            <a:ext uri="{FF2B5EF4-FFF2-40B4-BE49-F238E27FC236}">
              <a16:creationId xmlns:a16="http://schemas.microsoft.com/office/drawing/2014/main" id="{65D61E6A-E146-4911-9D9F-23D098434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1" name="Picture 67" descr="image002">
          <a:extLst>
            <a:ext uri="{FF2B5EF4-FFF2-40B4-BE49-F238E27FC236}">
              <a16:creationId xmlns:a16="http://schemas.microsoft.com/office/drawing/2014/main" id="{1D889370-3B59-4121-BE7D-B74D88B23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2" name="Picture 67" descr="image002">
          <a:extLst>
            <a:ext uri="{FF2B5EF4-FFF2-40B4-BE49-F238E27FC236}">
              <a16:creationId xmlns:a16="http://schemas.microsoft.com/office/drawing/2014/main" id="{170EF3A3-EC52-4C30-9E6A-16E14CAF7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3" name="Picture 67" descr="image002">
          <a:extLst>
            <a:ext uri="{FF2B5EF4-FFF2-40B4-BE49-F238E27FC236}">
              <a16:creationId xmlns:a16="http://schemas.microsoft.com/office/drawing/2014/main" id="{0274DA43-30BF-49E1-A737-E6836F8B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44" name="7 CuadroTexto">
          <a:extLst>
            <a:ext uri="{FF2B5EF4-FFF2-40B4-BE49-F238E27FC236}">
              <a16:creationId xmlns:a16="http://schemas.microsoft.com/office/drawing/2014/main" id="{997CC330-A44D-417B-8089-F3B000D84B9B}"/>
            </a:ext>
          </a:extLst>
        </xdr:cNvPr>
        <xdr:cNvSpPr txBox="1"/>
      </xdr:nvSpPr>
      <xdr:spPr>
        <a:xfrm rot="18892825" flipV="1">
          <a:off x="25869899" y="1167383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5" name="Picture 67" descr="image002">
          <a:extLst>
            <a:ext uri="{FF2B5EF4-FFF2-40B4-BE49-F238E27FC236}">
              <a16:creationId xmlns:a16="http://schemas.microsoft.com/office/drawing/2014/main" id="{6161B563-92D1-45A1-95BB-0F0F663B8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6" name="Picture 67" descr="image002">
          <a:extLst>
            <a:ext uri="{FF2B5EF4-FFF2-40B4-BE49-F238E27FC236}">
              <a16:creationId xmlns:a16="http://schemas.microsoft.com/office/drawing/2014/main" id="{1D3A3702-AC35-4072-ABD4-82EC68709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47" name="9 CuadroTexto">
          <a:extLst>
            <a:ext uri="{FF2B5EF4-FFF2-40B4-BE49-F238E27FC236}">
              <a16:creationId xmlns:a16="http://schemas.microsoft.com/office/drawing/2014/main" id="{1EE8190E-B4F0-4B8A-A1E2-B81312472EFD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8" name="Picture 67" descr="image002">
          <a:extLst>
            <a:ext uri="{FF2B5EF4-FFF2-40B4-BE49-F238E27FC236}">
              <a16:creationId xmlns:a16="http://schemas.microsoft.com/office/drawing/2014/main" id="{B88C7048-00C8-4074-9D54-4E10B8B5E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9" name="Picture 67" descr="image002">
          <a:extLst>
            <a:ext uri="{FF2B5EF4-FFF2-40B4-BE49-F238E27FC236}">
              <a16:creationId xmlns:a16="http://schemas.microsoft.com/office/drawing/2014/main" id="{D1CEC0CA-D0D6-459A-B74E-629A4F4FA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50" name="12 CuadroTexto">
          <a:extLst>
            <a:ext uri="{FF2B5EF4-FFF2-40B4-BE49-F238E27FC236}">
              <a16:creationId xmlns:a16="http://schemas.microsoft.com/office/drawing/2014/main" id="{AB543801-FD7D-43AA-99F2-5698FA423C37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6" name="Picture 67" descr="image002">
          <a:extLst>
            <a:ext uri="{FF2B5EF4-FFF2-40B4-BE49-F238E27FC236}">
              <a16:creationId xmlns:a16="http://schemas.microsoft.com/office/drawing/2014/main" id="{4328E80D-7C35-4C58-BC48-46410FBF7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4" name="Picture 67" descr="image002">
          <a:extLst>
            <a:ext uri="{FF2B5EF4-FFF2-40B4-BE49-F238E27FC236}">
              <a16:creationId xmlns:a16="http://schemas.microsoft.com/office/drawing/2014/main" id="{CE4B3A22-1E6E-4407-8170-204D88DEA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51" name="10 CuadroTexto">
          <a:extLst>
            <a:ext uri="{FF2B5EF4-FFF2-40B4-BE49-F238E27FC236}">
              <a16:creationId xmlns:a16="http://schemas.microsoft.com/office/drawing/2014/main" id="{D3CCCCD7-46D2-48FC-84BF-EBE5E5B6D3FF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52" name="Picture 67" descr="image002">
          <a:extLst>
            <a:ext uri="{FF2B5EF4-FFF2-40B4-BE49-F238E27FC236}">
              <a16:creationId xmlns:a16="http://schemas.microsoft.com/office/drawing/2014/main" id="{DE809CEF-4351-4FA7-BFB6-7B3330768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3" name="Picture 67" descr="image002">
          <a:extLst>
            <a:ext uri="{FF2B5EF4-FFF2-40B4-BE49-F238E27FC236}">
              <a16:creationId xmlns:a16="http://schemas.microsoft.com/office/drawing/2014/main" id="{2CDF0615-6F0B-43DB-83C9-9A962B11D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54" name="Picture 67" descr="image002">
          <a:extLst>
            <a:ext uri="{FF2B5EF4-FFF2-40B4-BE49-F238E27FC236}">
              <a16:creationId xmlns:a16="http://schemas.microsoft.com/office/drawing/2014/main" id="{246FD951-015F-4E61-A2B4-448E0BBB8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5" name="Picture 67" descr="image002">
          <a:extLst>
            <a:ext uri="{FF2B5EF4-FFF2-40B4-BE49-F238E27FC236}">
              <a16:creationId xmlns:a16="http://schemas.microsoft.com/office/drawing/2014/main" id="{E706AF78-03B0-4565-8D1D-6530F5A76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56" name="7 CuadroTexto">
          <a:extLst>
            <a:ext uri="{FF2B5EF4-FFF2-40B4-BE49-F238E27FC236}">
              <a16:creationId xmlns:a16="http://schemas.microsoft.com/office/drawing/2014/main" id="{09CC8EC2-D138-4760-BF59-900F812103E8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57" name="Picture 67" descr="image002">
          <a:extLst>
            <a:ext uri="{FF2B5EF4-FFF2-40B4-BE49-F238E27FC236}">
              <a16:creationId xmlns:a16="http://schemas.microsoft.com/office/drawing/2014/main" id="{A76CD6C6-B61B-40B7-B6F8-CAE29929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8" name="Picture 67" descr="image002">
          <a:extLst>
            <a:ext uri="{FF2B5EF4-FFF2-40B4-BE49-F238E27FC236}">
              <a16:creationId xmlns:a16="http://schemas.microsoft.com/office/drawing/2014/main" id="{1E89E573-81F1-4FCB-8534-0EDB3BA85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59" name="9 CuadroTexto">
          <a:extLst>
            <a:ext uri="{FF2B5EF4-FFF2-40B4-BE49-F238E27FC236}">
              <a16:creationId xmlns:a16="http://schemas.microsoft.com/office/drawing/2014/main" id="{6DE1E52E-ACEF-4D65-8C85-1DC0B5535BAA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60" name="Picture 67" descr="image002">
          <a:extLst>
            <a:ext uri="{FF2B5EF4-FFF2-40B4-BE49-F238E27FC236}">
              <a16:creationId xmlns:a16="http://schemas.microsoft.com/office/drawing/2014/main" id="{68D2B297-F2A0-4D8C-B770-6A1AAB410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61" name="Picture 67" descr="image002">
          <a:extLst>
            <a:ext uri="{FF2B5EF4-FFF2-40B4-BE49-F238E27FC236}">
              <a16:creationId xmlns:a16="http://schemas.microsoft.com/office/drawing/2014/main" id="{EAFEF42F-6FFB-4503-B024-03B983048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62" name="12 CuadroTexto">
          <a:extLst>
            <a:ext uri="{FF2B5EF4-FFF2-40B4-BE49-F238E27FC236}">
              <a16:creationId xmlns:a16="http://schemas.microsoft.com/office/drawing/2014/main" id="{A7C626F1-66A7-4FE7-B1F6-ED39CEA96487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63" name="Picture 67" descr="image002">
          <a:extLst>
            <a:ext uri="{FF2B5EF4-FFF2-40B4-BE49-F238E27FC236}">
              <a16:creationId xmlns:a16="http://schemas.microsoft.com/office/drawing/2014/main" id="{F550C828-CC7D-454D-8F15-4B143E0F6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64" name="Picture 67" descr="image002">
          <a:extLst>
            <a:ext uri="{FF2B5EF4-FFF2-40B4-BE49-F238E27FC236}">
              <a16:creationId xmlns:a16="http://schemas.microsoft.com/office/drawing/2014/main" id="{194968DF-95D3-45B7-9460-A6CE4F57A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65" name="10 CuadroTexto">
          <a:extLst>
            <a:ext uri="{FF2B5EF4-FFF2-40B4-BE49-F238E27FC236}">
              <a16:creationId xmlns:a16="http://schemas.microsoft.com/office/drawing/2014/main" id="{A3693C46-49E7-40B5-9A41-030AD4512676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66" name="Picture 67" descr="image002">
          <a:extLst>
            <a:ext uri="{FF2B5EF4-FFF2-40B4-BE49-F238E27FC236}">
              <a16:creationId xmlns:a16="http://schemas.microsoft.com/office/drawing/2014/main" id="{5D620C67-EDC5-4FB3-8091-8C68C379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67" name="Picture 67" descr="image002">
          <a:extLst>
            <a:ext uri="{FF2B5EF4-FFF2-40B4-BE49-F238E27FC236}">
              <a16:creationId xmlns:a16="http://schemas.microsoft.com/office/drawing/2014/main" id="{1D04F509-F383-4CE3-A275-4856835B2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68" name="Picture 67" descr="image002">
          <a:extLst>
            <a:ext uri="{FF2B5EF4-FFF2-40B4-BE49-F238E27FC236}">
              <a16:creationId xmlns:a16="http://schemas.microsoft.com/office/drawing/2014/main" id="{61B93CFD-F3AE-4F6E-AC1F-ABA89116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69" name="Picture 67" descr="image002">
          <a:extLst>
            <a:ext uri="{FF2B5EF4-FFF2-40B4-BE49-F238E27FC236}">
              <a16:creationId xmlns:a16="http://schemas.microsoft.com/office/drawing/2014/main" id="{62B98D9D-B818-4D33-9E89-62B2BFC6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70" name="7 CuadroTexto">
          <a:extLst>
            <a:ext uri="{FF2B5EF4-FFF2-40B4-BE49-F238E27FC236}">
              <a16:creationId xmlns:a16="http://schemas.microsoft.com/office/drawing/2014/main" id="{0DA57824-A747-4A3F-B0E5-0962CA6FE543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71" name="Picture 67" descr="image002">
          <a:extLst>
            <a:ext uri="{FF2B5EF4-FFF2-40B4-BE49-F238E27FC236}">
              <a16:creationId xmlns:a16="http://schemas.microsoft.com/office/drawing/2014/main" id="{4CAC658E-F563-4248-8E47-7E6A065C6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72" name="Picture 67" descr="image002">
          <a:extLst>
            <a:ext uri="{FF2B5EF4-FFF2-40B4-BE49-F238E27FC236}">
              <a16:creationId xmlns:a16="http://schemas.microsoft.com/office/drawing/2014/main" id="{5BAA2470-B56A-407C-8F12-06C1F571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73" name="9 CuadroTexto">
          <a:extLst>
            <a:ext uri="{FF2B5EF4-FFF2-40B4-BE49-F238E27FC236}">
              <a16:creationId xmlns:a16="http://schemas.microsoft.com/office/drawing/2014/main" id="{04E7B157-E501-4220-9714-A764B4437B59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74" name="Picture 67" descr="image002">
          <a:extLst>
            <a:ext uri="{FF2B5EF4-FFF2-40B4-BE49-F238E27FC236}">
              <a16:creationId xmlns:a16="http://schemas.microsoft.com/office/drawing/2014/main" id="{14AB19C9-5329-47EA-95B1-1B674B6E5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75" name="Picture 67" descr="image002">
          <a:extLst>
            <a:ext uri="{FF2B5EF4-FFF2-40B4-BE49-F238E27FC236}">
              <a16:creationId xmlns:a16="http://schemas.microsoft.com/office/drawing/2014/main" id="{D9182574-800B-43B3-B9CE-4361691B0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76" name="12 CuadroTexto">
          <a:extLst>
            <a:ext uri="{FF2B5EF4-FFF2-40B4-BE49-F238E27FC236}">
              <a16:creationId xmlns:a16="http://schemas.microsoft.com/office/drawing/2014/main" id="{03948DF8-920F-48D0-9621-5067E014B03D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77" name="Picture 67" descr="image002">
          <a:extLst>
            <a:ext uri="{FF2B5EF4-FFF2-40B4-BE49-F238E27FC236}">
              <a16:creationId xmlns:a16="http://schemas.microsoft.com/office/drawing/2014/main" id="{BB9E972B-1106-4DFC-9BD9-A3C15745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78" name="Picture 67" descr="image002">
          <a:extLst>
            <a:ext uri="{FF2B5EF4-FFF2-40B4-BE49-F238E27FC236}">
              <a16:creationId xmlns:a16="http://schemas.microsoft.com/office/drawing/2014/main" id="{5EE381CB-71B2-43DC-8171-9FD38493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79" name="10 CuadroTexto">
          <a:extLst>
            <a:ext uri="{FF2B5EF4-FFF2-40B4-BE49-F238E27FC236}">
              <a16:creationId xmlns:a16="http://schemas.microsoft.com/office/drawing/2014/main" id="{3C742A30-BD2A-4DB1-9AF5-F80444F816E1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80" name="Picture 67" descr="image002">
          <a:extLst>
            <a:ext uri="{FF2B5EF4-FFF2-40B4-BE49-F238E27FC236}">
              <a16:creationId xmlns:a16="http://schemas.microsoft.com/office/drawing/2014/main" id="{B89BA3A7-7C5C-4676-8455-643291E91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1" name="Picture 67" descr="image002">
          <a:extLst>
            <a:ext uri="{FF2B5EF4-FFF2-40B4-BE49-F238E27FC236}">
              <a16:creationId xmlns:a16="http://schemas.microsoft.com/office/drawing/2014/main" id="{FC28F1CB-2D90-4B44-8516-636FA756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82" name="Picture 67" descr="image002">
          <a:extLst>
            <a:ext uri="{FF2B5EF4-FFF2-40B4-BE49-F238E27FC236}">
              <a16:creationId xmlns:a16="http://schemas.microsoft.com/office/drawing/2014/main" id="{6E5BC746-00F8-46BC-B2A0-49C6E2898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3" name="Picture 67" descr="image002">
          <a:extLst>
            <a:ext uri="{FF2B5EF4-FFF2-40B4-BE49-F238E27FC236}">
              <a16:creationId xmlns:a16="http://schemas.microsoft.com/office/drawing/2014/main" id="{E449366E-0C1A-4F1C-9D51-98E0CE18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84" name="7 CuadroTexto">
          <a:extLst>
            <a:ext uri="{FF2B5EF4-FFF2-40B4-BE49-F238E27FC236}">
              <a16:creationId xmlns:a16="http://schemas.microsoft.com/office/drawing/2014/main" id="{814ED654-1439-40D4-A8B1-73A5D406B93C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85" name="Picture 67" descr="image002">
          <a:extLst>
            <a:ext uri="{FF2B5EF4-FFF2-40B4-BE49-F238E27FC236}">
              <a16:creationId xmlns:a16="http://schemas.microsoft.com/office/drawing/2014/main" id="{F515DEE3-1376-4866-AC15-B01469D4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6" name="Picture 67" descr="image002">
          <a:extLst>
            <a:ext uri="{FF2B5EF4-FFF2-40B4-BE49-F238E27FC236}">
              <a16:creationId xmlns:a16="http://schemas.microsoft.com/office/drawing/2014/main" id="{9B67BAF9-A7A9-4826-B214-E45F401B6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87" name="9 CuadroTexto">
          <a:extLst>
            <a:ext uri="{FF2B5EF4-FFF2-40B4-BE49-F238E27FC236}">
              <a16:creationId xmlns:a16="http://schemas.microsoft.com/office/drawing/2014/main" id="{026F189F-FCAD-4DFC-B8C2-79FDC0E71DFD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88" name="Picture 67" descr="image002">
          <a:extLst>
            <a:ext uri="{FF2B5EF4-FFF2-40B4-BE49-F238E27FC236}">
              <a16:creationId xmlns:a16="http://schemas.microsoft.com/office/drawing/2014/main" id="{8C3ADDF9-7F68-4A77-80EC-A1F494ED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9" name="Picture 67" descr="image002">
          <a:extLst>
            <a:ext uri="{FF2B5EF4-FFF2-40B4-BE49-F238E27FC236}">
              <a16:creationId xmlns:a16="http://schemas.microsoft.com/office/drawing/2014/main" id="{CD4A5053-5C36-4844-A4B8-BFE4F23C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90" name="12 CuadroTexto">
          <a:extLst>
            <a:ext uri="{FF2B5EF4-FFF2-40B4-BE49-F238E27FC236}">
              <a16:creationId xmlns:a16="http://schemas.microsoft.com/office/drawing/2014/main" id="{BD8D5FBC-85B5-4A43-93B6-0603E0B4ACF9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1" name="Picture 67" descr="image002">
          <a:extLst>
            <a:ext uri="{FF2B5EF4-FFF2-40B4-BE49-F238E27FC236}">
              <a16:creationId xmlns:a16="http://schemas.microsoft.com/office/drawing/2014/main" id="{CA588465-BD2E-4BA0-B237-687AC9317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92" name="Picture 67" descr="image002">
          <a:extLst>
            <a:ext uri="{FF2B5EF4-FFF2-40B4-BE49-F238E27FC236}">
              <a16:creationId xmlns:a16="http://schemas.microsoft.com/office/drawing/2014/main" id="{AD749272-9D32-4C16-A476-7EEEFC00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93" name="10 CuadroTexto">
          <a:extLst>
            <a:ext uri="{FF2B5EF4-FFF2-40B4-BE49-F238E27FC236}">
              <a16:creationId xmlns:a16="http://schemas.microsoft.com/office/drawing/2014/main" id="{F341B604-FD88-41FA-B6F4-4728658D42DB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4" name="Picture 67" descr="image002">
          <a:extLst>
            <a:ext uri="{FF2B5EF4-FFF2-40B4-BE49-F238E27FC236}">
              <a16:creationId xmlns:a16="http://schemas.microsoft.com/office/drawing/2014/main" id="{1C2F62AE-541C-4AC9-A593-17F84099E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95" name="Picture 67" descr="image002">
          <a:extLst>
            <a:ext uri="{FF2B5EF4-FFF2-40B4-BE49-F238E27FC236}">
              <a16:creationId xmlns:a16="http://schemas.microsoft.com/office/drawing/2014/main" id="{065BADC8-261A-41CE-B838-80397D2DD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6" name="Picture 67" descr="image002">
          <a:extLst>
            <a:ext uri="{FF2B5EF4-FFF2-40B4-BE49-F238E27FC236}">
              <a16:creationId xmlns:a16="http://schemas.microsoft.com/office/drawing/2014/main" id="{15DDB20A-5C37-4933-915F-2C8F606E7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97" name="Picture 67" descr="image002">
          <a:extLst>
            <a:ext uri="{FF2B5EF4-FFF2-40B4-BE49-F238E27FC236}">
              <a16:creationId xmlns:a16="http://schemas.microsoft.com/office/drawing/2014/main" id="{286C3460-B4BC-46A4-9136-16FB9591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98" name="7 CuadroTexto">
          <a:extLst>
            <a:ext uri="{FF2B5EF4-FFF2-40B4-BE49-F238E27FC236}">
              <a16:creationId xmlns:a16="http://schemas.microsoft.com/office/drawing/2014/main" id="{0E28A75F-6B3E-4522-B530-521994776B1A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9" name="Picture 67" descr="image002">
          <a:extLst>
            <a:ext uri="{FF2B5EF4-FFF2-40B4-BE49-F238E27FC236}">
              <a16:creationId xmlns:a16="http://schemas.microsoft.com/office/drawing/2014/main" id="{1A7EED7C-76F9-4C03-B3CD-BAAF2DF24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00" name="Picture 67" descr="image002">
          <a:extLst>
            <a:ext uri="{FF2B5EF4-FFF2-40B4-BE49-F238E27FC236}">
              <a16:creationId xmlns:a16="http://schemas.microsoft.com/office/drawing/2014/main" id="{99A0840E-2B2B-41DF-B78F-5902D7086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201" name="9 CuadroTexto">
          <a:extLst>
            <a:ext uri="{FF2B5EF4-FFF2-40B4-BE49-F238E27FC236}">
              <a16:creationId xmlns:a16="http://schemas.microsoft.com/office/drawing/2014/main" id="{FBD563B4-88F1-4497-B36A-F3072D86B86D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02" name="Picture 67" descr="image002">
          <a:extLst>
            <a:ext uri="{FF2B5EF4-FFF2-40B4-BE49-F238E27FC236}">
              <a16:creationId xmlns:a16="http://schemas.microsoft.com/office/drawing/2014/main" id="{43C078E2-D49D-46E7-97FC-45E274C2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03" name="Picture 67" descr="image002">
          <a:extLst>
            <a:ext uri="{FF2B5EF4-FFF2-40B4-BE49-F238E27FC236}">
              <a16:creationId xmlns:a16="http://schemas.microsoft.com/office/drawing/2014/main" id="{21DC8015-6C21-457D-B549-6416A8E57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204" name="12 CuadroTexto">
          <a:extLst>
            <a:ext uri="{FF2B5EF4-FFF2-40B4-BE49-F238E27FC236}">
              <a16:creationId xmlns:a16="http://schemas.microsoft.com/office/drawing/2014/main" id="{41FC68FC-6E20-4B48-BA02-F740FA2DF6DD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4"/>
  <sheetViews>
    <sheetView showGridLines="0" topLeftCell="A11" zoomScaleNormal="100" workbookViewId="0">
      <pane xSplit="6" ySplit="3" topLeftCell="G14" activePane="bottomRight" state="frozen"/>
      <selection pane="bottomRight" activeCell="H1" sqref="H1:H1048576"/>
      <selection pane="bottomLeft" activeCell="A13" sqref="A13"/>
      <selection pane="topRight" activeCell="E11" sqref="E11"/>
    </sheetView>
  </sheetViews>
  <sheetFormatPr defaultColWidth="11.42578125" defaultRowHeight="12.75" customHeight="1"/>
  <cols>
    <col min="1" max="1" width="12.7109375" style="7" customWidth="1"/>
    <col min="2" max="3" width="25.7109375" style="7" customWidth="1"/>
    <col min="4" max="5" width="19.28515625" style="7" customWidth="1"/>
    <col min="6" max="6" width="28.140625" style="7" customWidth="1"/>
    <col min="7" max="7" width="13.42578125" style="7" customWidth="1"/>
    <col min="8" max="30" width="11.42578125" style="7"/>
    <col min="31" max="31" width="12.7109375" style="7" customWidth="1"/>
    <col min="32" max="16384" width="11.42578125" style="7"/>
  </cols>
  <sheetData>
    <row r="1" spans="1:32" ht="15.75" customHeight="1">
      <c r="B1" s="178"/>
      <c r="C1" s="181" t="s">
        <v>0</v>
      </c>
      <c r="D1" s="182"/>
      <c r="E1" s="182"/>
      <c r="F1" s="183"/>
      <c r="G1" s="181" t="s">
        <v>1</v>
      </c>
      <c r="H1" s="182"/>
      <c r="I1" s="182"/>
      <c r="J1" s="182"/>
      <c r="K1" s="182"/>
      <c r="L1" s="183"/>
    </row>
    <row r="2" spans="1:32" ht="15.75" customHeight="1">
      <c r="B2" s="179"/>
      <c r="C2" s="184"/>
      <c r="D2" s="185"/>
      <c r="E2" s="185"/>
      <c r="F2" s="186"/>
      <c r="G2" s="184" t="s">
        <v>2</v>
      </c>
      <c r="H2" s="185"/>
      <c r="I2" s="185"/>
      <c r="J2" s="185"/>
      <c r="K2" s="185"/>
      <c r="L2" s="186"/>
    </row>
    <row r="3" spans="1:32" ht="15.75" customHeight="1">
      <c r="B3" s="179"/>
      <c r="C3" s="184"/>
      <c r="D3" s="185"/>
      <c r="E3" s="185"/>
      <c r="F3" s="186"/>
      <c r="G3" s="184" t="s">
        <v>3</v>
      </c>
      <c r="H3" s="185"/>
      <c r="I3" s="185"/>
      <c r="J3" s="185"/>
      <c r="K3" s="185"/>
      <c r="L3" s="186"/>
    </row>
    <row r="4" spans="1:32">
      <c r="B4" s="179"/>
      <c r="C4" s="184"/>
      <c r="D4" s="185"/>
      <c r="E4" s="185"/>
      <c r="F4" s="186"/>
      <c r="G4" s="190"/>
      <c r="H4" s="191"/>
      <c r="I4" s="191"/>
      <c r="J4" s="191"/>
      <c r="K4" s="191"/>
      <c r="L4" s="192"/>
    </row>
    <row r="5" spans="1:32" ht="13.5" customHeight="1">
      <c r="B5" s="180"/>
      <c r="C5" s="187"/>
      <c r="D5" s="188"/>
      <c r="E5" s="188"/>
      <c r="F5" s="189"/>
      <c r="G5" s="193" t="s">
        <v>4</v>
      </c>
      <c r="H5" s="194"/>
      <c r="I5" s="194"/>
      <c r="J5" s="194"/>
      <c r="K5" s="194"/>
      <c r="L5" s="195"/>
    </row>
    <row r="6" spans="1:32" ht="13.5">
      <c r="B6" s="8" t="s">
        <v>5</v>
      </c>
      <c r="C6" s="174" t="s">
        <v>6</v>
      </c>
      <c r="D6" s="175"/>
      <c r="E6" s="175"/>
      <c r="F6" s="176"/>
      <c r="G6" s="174" t="s">
        <v>7</v>
      </c>
      <c r="H6" s="175"/>
      <c r="I6" s="175"/>
      <c r="J6" s="175"/>
      <c r="K6" s="175"/>
      <c r="L6" s="176"/>
    </row>
    <row r="7" spans="1:32" ht="20.10000000000000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32" ht="20.100000000000001" customHeight="1">
      <c r="B8" s="177" t="s">
        <v>8</v>
      </c>
      <c r="C8" s="177"/>
      <c r="D8" s="177"/>
      <c r="E8" s="177"/>
      <c r="F8" s="177"/>
    </row>
    <row r="9" spans="1:32" ht="20.100000000000001" customHeight="1">
      <c r="B9" s="177" t="s">
        <v>9</v>
      </c>
      <c r="C9" s="177"/>
      <c r="D9" s="177"/>
      <c r="E9" s="177"/>
      <c r="F9" s="177"/>
      <c r="G9" s="65"/>
      <c r="H9" s="66"/>
      <c r="I9" s="67"/>
      <c r="J9" s="68"/>
      <c r="P9" s="69"/>
      <c r="Q9" s="69"/>
      <c r="R9" s="69"/>
      <c r="S9" s="69"/>
      <c r="T9" s="69"/>
      <c r="U9" s="69"/>
      <c r="V9" s="69"/>
      <c r="W9" s="69"/>
    </row>
    <row r="10" spans="1:32" ht="20.100000000000001" customHeight="1">
      <c r="B10" s="11" t="s">
        <v>10</v>
      </c>
    </row>
    <row r="11" spans="1:32" ht="24.95" customHeight="1">
      <c r="A11" s="124" t="s">
        <v>11</v>
      </c>
      <c r="B11" s="124" t="s">
        <v>12</v>
      </c>
      <c r="C11" s="124" t="s">
        <v>13</v>
      </c>
      <c r="D11" s="140" t="s">
        <v>14</v>
      </c>
      <c r="E11" s="140" t="s">
        <v>15</v>
      </c>
      <c r="F11" s="124" t="s">
        <v>16</v>
      </c>
      <c r="G11" s="124" t="s">
        <v>17</v>
      </c>
      <c r="H11" s="126">
        <v>45658</v>
      </c>
      <c r="I11" s="126">
        <v>45689</v>
      </c>
      <c r="J11" s="156" t="s">
        <v>18</v>
      </c>
      <c r="K11" s="135">
        <v>45717</v>
      </c>
      <c r="L11" s="137" t="s">
        <v>18</v>
      </c>
      <c r="M11" s="135">
        <v>45748</v>
      </c>
      <c r="N11" s="137" t="s">
        <v>18</v>
      </c>
      <c r="O11" s="135">
        <v>45778</v>
      </c>
      <c r="P11" s="150" t="s">
        <v>18</v>
      </c>
      <c r="Q11" s="155">
        <v>45809</v>
      </c>
      <c r="R11" s="137" t="s">
        <v>18</v>
      </c>
      <c r="S11" s="142">
        <v>45839</v>
      </c>
      <c r="T11" s="124" t="s">
        <v>18</v>
      </c>
      <c r="U11" s="142">
        <v>45870</v>
      </c>
      <c r="V11" s="137" t="s">
        <v>18</v>
      </c>
      <c r="W11" s="126">
        <v>45901</v>
      </c>
      <c r="X11" s="124" t="s">
        <v>18</v>
      </c>
      <c r="Y11" s="126">
        <v>45931</v>
      </c>
      <c r="Z11" s="124" t="s">
        <v>18</v>
      </c>
      <c r="AA11" s="147">
        <v>45962</v>
      </c>
      <c r="AB11" s="124" t="s">
        <v>18</v>
      </c>
      <c r="AC11" s="126">
        <v>45992</v>
      </c>
      <c r="AD11" s="140" t="s">
        <v>19</v>
      </c>
      <c r="AE11" s="144" t="s">
        <v>20</v>
      </c>
    </row>
    <row r="12" spans="1:32" ht="24.95" customHeight="1">
      <c r="A12" s="139"/>
      <c r="B12" s="139"/>
      <c r="C12" s="139"/>
      <c r="D12" s="141"/>
      <c r="E12" s="141"/>
      <c r="F12" s="139"/>
      <c r="G12" s="149"/>
      <c r="H12" s="139"/>
      <c r="I12" s="139"/>
      <c r="J12" s="157"/>
      <c r="K12" s="136"/>
      <c r="L12" s="136"/>
      <c r="M12" s="136"/>
      <c r="N12" s="138"/>
      <c r="O12" s="136"/>
      <c r="P12" s="151"/>
      <c r="Q12" s="151"/>
      <c r="R12" s="138"/>
      <c r="S12" s="143"/>
      <c r="T12" s="139"/>
      <c r="U12" s="143"/>
      <c r="V12" s="136"/>
      <c r="W12" s="125"/>
      <c r="X12" s="125"/>
      <c r="Y12" s="125"/>
      <c r="Z12" s="125"/>
      <c r="AA12" s="148"/>
      <c r="AB12" s="125"/>
      <c r="AC12" s="139"/>
      <c r="AD12" s="141"/>
      <c r="AE12" s="145"/>
    </row>
    <row r="13" spans="1:32" ht="41.25" customHeight="1">
      <c r="A13" s="115" t="s">
        <v>21</v>
      </c>
      <c r="B13" s="115" t="s">
        <v>22</v>
      </c>
      <c r="C13" s="115" t="s">
        <v>23</v>
      </c>
      <c r="D13" s="167">
        <v>0.15</v>
      </c>
      <c r="E13" s="167" t="s">
        <v>24</v>
      </c>
      <c r="F13" s="119" t="s">
        <v>25</v>
      </c>
      <c r="G13" s="1" t="s">
        <v>26</v>
      </c>
      <c r="H13" s="12" t="s">
        <v>26</v>
      </c>
      <c r="I13" s="12" t="s">
        <v>26</v>
      </c>
      <c r="J13" s="13" t="s">
        <v>26</v>
      </c>
      <c r="K13" s="12" t="s">
        <v>26</v>
      </c>
      <c r="L13" s="14" t="s">
        <v>26</v>
      </c>
      <c r="M13" s="12" t="s">
        <v>26</v>
      </c>
      <c r="N13" s="14" t="s">
        <v>26</v>
      </c>
      <c r="O13" s="12" t="s">
        <v>26</v>
      </c>
      <c r="P13" s="14" t="s">
        <v>26</v>
      </c>
      <c r="Q13" s="12" t="s">
        <v>26</v>
      </c>
      <c r="R13" s="14" t="s">
        <v>26</v>
      </c>
      <c r="S13" s="12" t="s">
        <v>26</v>
      </c>
      <c r="T13" s="14" t="s">
        <v>26</v>
      </c>
      <c r="U13" s="12" t="s">
        <v>26</v>
      </c>
      <c r="V13" s="14" t="s">
        <v>26</v>
      </c>
      <c r="W13" s="12" t="s">
        <v>26</v>
      </c>
      <c r="X13" s="14" t="s">
        <v>26</v>
      </c>
      <c r="Y13" s="12" t="s">
        <v>26</v>
      </c>
      <c r="Z13" s="14" t="s">
        <v>26</v>
      </c>
      <c r="AA13" s="12" t="s">
        <v>26</v>
      </c>
      <c r="AB13" s="14" t="s">
        <v>26</v>
      </c>
      <c r="AC13" s="12" t="s">
        <v>26</v>
      </c>
      <c r="AD13" s="14" t="s">
        <v>26</v>
      </c>
      <c r="AE13" s="70"/>
    </row>
    <row r="14" spans="1:32" ht="9" customHeight="1">
      <c r="A14" s="161"/>
      <c r="B14" s="161"/>
      <c r="C14" s="116"/>
      <c r="D14" s="168"/>
      <c r="E14" s="168"/>
      <c r="F14" s="163"/>
      <c r="G14" s="3" t="s">
        <v>24</v>
      </c>
      <c r="H14" s="71">
        <f>IF(H16&lt;&gt;0,+H16/H18,0%)</f>
        <v>0</v>
      </c>
      <c r="I14" s="71">
        <f>IF(I16&lt;&gt;0,+I16/I18,0%)</f>
        <v>0</v>
      </c>
      <c r="J14" s="72">
        <f>IF(J16&lt;&gt;0,ROUND(+J16/J18,4),0%)</f>
        <v>0</v>
      </c>
      <c r="K14" s="71">
        <f>IF(K16&lt;&gt;0,+K16/K18,0%)</f>
        <v>0</v>
      </c>
      <c r="L14" s="15">
        <f>IF(L16&lt;&gt;0,ROUND(+L16/L18,4),0%)</f>
        <v>0</v>
      </c>
      <c r="M14" s="16">
        <f>IF(M16&lt;&gt;0,+M16/M18,0%)</f>
        <v>0</v>
      </c>
      <c r="N14" s="15">
        <f>IF(N16&lt;&gt;0,ROUND(+N16/N18,4),0%)</f>
        <v>0</v>
      </c>
      <c r="O14" s="16">
        <f>IF(O16&lt;&gt;0,+O16/O18,0%)</f>
        <v>0</v>
      </c>
      <c r="P14" s="15">
        <f t="shared" ref="P14:AC14" si="0">IF(P16&lt;&gt;0,ROUND(+P16/P18,4),0%)</f>
        <v>0</v>
      </c>
      <c r="Q14" s="16">
        <f>IF(Q16&lt;&gt;0,+Q16/Q18,0%)</f>
        <v>0</v>
      </c>
      <c r="R14" s="15">
        <f t="shared" si="0"/>
        <v>0</v>
      </c>
      <c r="S14" s="16">
        <f t="shared" si="0"/>
        <v>0</v>
      </c>
      <c r="T14" s="15">
        <f t="shared" si="0"/>
        <v>0</v>
      </c>
      <c r="U14" s="73">
        <f t="shared" si="0"/>
        <v>0</v>
      </c>
      <c r="V14" s="15">
        <f t="shared" si="0"/>
        <v>0</v>
      </c>
      <c r="W14" s="16">
        <f t="shared" si="0"/>
        <v>0</v>
      </c>
      <c r="X14" s="15">
        <f t="shared" si="0"/>
        <v>0</v>
      </c>
      <c r="Y14" s="16">
        <f t="shared" si="0"/>
        <v>0</v>
      </c>
      <c r="Z14" s="15">
        <f t="shared" si="0"/>
        <v>0</v>
      </c>
      <c r="AA14" s="16">
        <f t="shared" si="0"/>
        <v>0</v>
      </c>
      <c r="AB14" s="15">
        <f t="shared" si="0"/>
        <v>0</v>
      </c>
      <c r="AC14" s="16">
        <f t="shared" si="0"/>
        <v>0</v>
      </c>
      <c r="AD14" s="15">
        <f>IF(AD16&lt;&gt;0,+AD16/AD18,0%)</f>
        <v>0</v>
      </c>
      <c r="AE14" s="74"/>
    </row>
    <row r="15" spans="1:32" ht="18" customHeight="1">
      <c r="A15" s="161"/>
      <c r="B15" s="161"/>
      <c r="C15" s="116"/>
      <c r="D15" s="168"/>
      <c r="E15" s="168"/>
      <c r="F15" s="164"/>
      <c r="G15" s="2" t="s">
        <v>27</v>
      </c>
      <c r="H15" s="17" t="s">
        <v>27</v>
      </c>
      <c r="I15" s="17" t="s">
        <v>27</v>
      </c>
      <c r="J15" s="18" t="s">
        <v>27</v>
      </c>
      <c r="K15" s="17" t="s">
        <v>27</v>
      </c>
      <c r="L15" s="19" t="s">
        <v>27</v>
      </c>
      <c r="M15" s="17" t="s">
        <v>27</v>
      </c>
      <c r="N15" s="19" t="s">
        <v>27</v>
      </c>
      <c r="O15" s="17" t="s">
        <v>27</v>
      </c>
      <c r="P15" s="19" t="s">
        <v>27</v>
      </c>
      <c r="Q15" s="17" t="s">
        <v>27</v>
      </c>
      <c r="R15" s="19" t="s">
        <v>27</v>
      </c>
      <c r="S15" s="17" t="s">
        <v>27</v>
      </c>
      <c r="T15" s="19" t="s">
        <v>27</v>
      </c>
      <c r="U15" s="17" t="s">
        <v>27</v>
      </c>
      <c r="V15" s="19" t="s">
        <v>27</v>
      </c>
      <c r="W15" s="17" t="s">
        <v>27</v>
      </c>
      <c r="X15" s="19" t="s">
        <v>27</v>
      </c>
      <c r="Y15" s="17" t="s">
        <v>27</v>
      </c>
      <c r="Z15" s="19" t="s">
        <v>27</v>
      </c>
      <c r="AA15" s="17" t="s">
        <v>27</v>
      </c>
      <c r="AB15" s="19" t="s">
        <v>27</v>
      </c>
      <c r="AC15" s="17" t="s">
        <v>27</v>
      </c>
      <c r="AD15" s="19" t="s">
        <v>27</v>
      </c>
      <c r="AE15" s="74"/>
    </row>
    <row r="16" spans="1:32" ht="18" customHeight="1">
      <c r="A16" s="161"/>
      <c r="B16" s="161"/>
      <c r="C16" s="116"/>
      <c r="D16" s="168"/>
      <c r="E16" s="168"/>
      <c r="F16" s="165" t="s">
        <v>28</v>
      </c>
      <c r="G16" s="4">
        <v>1</v>
      </c>
      <c r="H16" s="75">
        <v>0</v>
      </c>
      <c r="I16" s="75">
        <v>0</v>
      </c>
      <c r="J16" s="41">
        <f>+H16+I16</f>
        <v>0</v>
      </c>
      <c r="K16" s="75">
        <v>0</v>
      </c>
      <c r="L16" s="41">
        <f>+J16+K16</f>
        <v>0</v>
      </c>
      <c r="M16" s="75">
        <v>0</v>
      </c>
      <c r="N16" s="41">
        <f>+L16+M16</f>
        <v>0</v>
      </c>
      <c r="O16" s="75">
        <v>0</v>
      </c>
      <c r="P16" s="41">
        <f>+N16+O16</f>
        <v>0</v>
      </c>
      <c r="Q16" s="75">
        <v>0</v>
      </c>
      <c r="R16" s="41">
        <f>+P16+Q16</f>
        <v>0</v>
      </c>
      <c r="S16" s="75">
        <v>0</v>
      </c>
      <c r="T16" s="41">
        <f>+R16+S16</f>
        <v>0</v>
      </c>
      <c r="U16" s="75">
        <v>0</v>
      </c>
      <c r="V16" s="41">
        <f>+T16+U16</f>
        <v>0</v>
      </c>
      <c r="W16" s="75">
        <v>0</v>
      </c>
      <c r="X16" s="41">
        <f>+V16+W16</f>
        <v>0</v>
      </c>
      <c r="Y16" s="75">
        <v>0</v>
      </c>
      <c r="Z16" s="41">
        <f>+X16+Y16</f>
        <v>0</v>
      </c>
      <c r="AA16" s="75">
        <v>0</v>
      </c>
      <c r="AB16" s="41">
        <f>+Z16+AA16</f>
        <v>0</v>
      </c>
      <c r="AC16" s="75">
        <v>0</v>
      </c>
      <c r="AD16" s="41">
        <f>+AB16+AC16</f>
        <v>0</v>
      </c>
      <c r="AE16" s="76" t="e">
        <f>AD14/E13</f>
        <v>#VALUE!</v>
      </c>
      <c r="AF16" s="85"/>
    </row>
    <row r="17" spans="1:31" ht="18" customHeight="1">
      <c r="A17" s="161"/>
      <c r="B17" s="161"/>
      <c r="C17" s="116"/>
      <c r="D17" s="168"/>
      <c r="E17" s="168"/>
      <c r="F17" s="166"/>
      <c r="G17" s="6" t="s">
        <v>29</v>
      </c>
      <c r="H17" s="20" t="s">
        <v>29</v>
      </c>
      <c r="I17" s="20" t="s">
        <v>29</v>
      </c>
      <c r="J17" s="21" t="s">
        <v>29</v>
      </c>
      <c r="K17" s="20" t="s">
        <v>29</v>
      </c>
      <c r="L17" s="22" t="s">
        <v>29</v>
      </c>
      <c r="M17" s="20" t="s">
        <v>29</v>
      </c>
      <c r="N17" s="22" t="s">
        <v>29</v>
      </c>
      <c r="O17" s="20" t="s">
        <v>29</v>
      </c>
      <c r="P17" s="22" t="s">
        <v>29</v>
      </c>
      <c r="Q17" s="20" t="s">
        <v>29</v>
      </c>
      <c r="R17" s="22" t="s">
        <v>29</v>
      </c>
      <c r="S17" s="20" t="s">
        <v>29</v>
      </c>
      <c r="T17" s="22" t="s">
        <v>29</v>
      </c>
      <c r="U17" s="20" t="s">
        <v>29</v>
      </c>
      <c r="V17" s="22" t="s">
        <v>29</v>
      </c>
      <c r="W17" s="20" t="s">
        <v>29</v>
      </c>
      <c r="X17" s="22" t="s">
        <v>29</v>
      </c>
      <c r="Y17" s="20" t="s">
        <v>29</v>
      </c>
      <c r="Z17" s="22" t="s">
        <v>29</v>
      </c>
      <c r="AA17" s="20" t="s">
        <v>29</v>
      </c>
      <c r="AB17" s="22" t="s">
        <v>29</v>
      </c>
      <c r="AC17" s="20" t="s">
        <v>29</v>
      </c>
      <c r="AD17" s="22" t="s">
        <v>29</v>
      </c>
      <c r="AE17" s="74"/>
    </row>
    <row r="18" spans="1:31" ht="18" customHeight="1">
      <c r="A18" s="162"/>
      <c r="B18" s="162"/>
      <c r="C18" s="117"/>
      <c r="D18" s="169"/>
      <c r="E18" s="169"/>
      <c r="F18" s="166"/>
      <c r="G18" s="5">
        <v>1</v>
      </c>
      <c r="H18" s="23">
        <v>1</v>
      </c>
      <c r="I18" s="23">
        <v>1</v>
      </c>
      <c r="J18" s="24">
        <v>1</v>
      </c>
      <c r="K18" s="23">
        <v>1</v>
      </c>
      <c r="L18" s="24">
        <v>1</v>
      </c>
      <c r="M18" s="23">
        <v>1</v>
      </c>
      <c r="N18" s="24">
        <v>1</v>
      </c>
      <c r="O18" s="23">
        <v>1</v>
      </c>
      <c r="P18" s="24">
        <v>1</v>
      </c>
      <c r="Q18" s="23">
        <v>1</v>
      </c>
      <c r="R18" s="24">
        <v>1</v>
      </c>
      <c r="S18" s="23">
        <v>1</v>
      </c>
      <c r="T18" s="24">
        <v>1</v>
      </c>
      <c r="U18" s="23">
        <v>1</v>
      </c>
      <c r="V18" s="24">
        <v>1</v>
      </c>
      <c r="W18" s="23">
        <v>1</v>
      </c>
      <c r="X18" s="24">
        <v>1</v>
      </c>
      <c r="Y18" s="23">
        <v>1</v>
      </c>
      <c r="Z18" s="24">
        <v>1</v>
      </c>
      <c r="AA18" s="23">
        <v>1</v>
      </c>
      <c r="AB18" s="24">
        <v>1</v>
      </c>
      <c r="AC18" s="23">
        <v>1</v>
      </c>
      <c r="AD18" s="24">
        <v>1</v>
      </c>
      <c r="AE18" s="77"/>
    </row>
    <row r="19" spans="1:31" ht="18" customHeight="1">
      <c r="A19" s="127" t="s">
        <v>30</v>
      </c>
      <c r="B19" s="127" t="s">
        <v>31</v>
      </c>
      <c r="C19" s="127" t="s">
        <v>32</v>
      </c>
      <c r="D19" s="158">
        <v>0.15</v>
      </c>
      <c r="E19" s="158">
        <v>1</v>
      </c>
      <c r="F19" s="152" t="s">
        <v>33</v>
      </c>
      <c r="G19" s="1" t="s">
        <v>26</v>
      </c>
      <c r="H19" s="12" t="s">
        <v>26</v>
      </c>
      <c r="I19" s="12" t="s">
        <v>26</v>
      </c>
      <c r="J19" s="13" t="s">
        <v>26</v>
      </c>
      <c r="K19" s="12" t="s">
        <v>26</v>
      </c>
      <c r="L19" s="14" t="s">
        <v>26</v>
      </c>
      <c r="M19" s="12" t="s">
        <v>26</v>
      </c>
      <c r="N19" s="14" t="s">
        <v>26</v>
      </c>
      <c r="O19" s="12" t="s">
        <v>26</v>
      </c>
      <c r="P19" s="14" t="s">
        <v>26</v>
      </c>
      <c r="Q19" s="12" t="s">
        <v>26</v>
      </c>
      <c r="R19" s="14" t="s">
        <v>26</v>
      </c>
      <c r="S19" s="12" t="s">
        <v>26</v>
      </c>
      <c r="T19" s="14" t="s">
        <v>26</v>
      </c>
      <c r="U19" s="12" t="s">
        <v>26</v>
      </c>
      <c r="V19" s="14" t="s">
        <v>26</v>
      </c>
      <c r="W19" s="12" t="s">
        <v>26</v>
      </c>
      <c r="X19" s="14" t="s">
        <v>26</v>
      </c>
      <c r="Y19" s="12" t="s">
        <v>26</v>
      </c>
      <c r="Z19" s="14" t="s">
        <v>26</v>
      </c>
      <c r="AA19" s="12" t="s">
        <v>26</v>
      </c>
      <c r="AB19" s="14" t="s">
        <v>26</v>
      </c>
      <c r="AC19" s="12" t="s">
        <v>26</v>
      </c>
      <c r="AD19" s="14" t="s">
        <v>26</v>
      </c>
      <c r="AE19" s="70"/>
    </row>
    <row r="20" spans="1:31" ht="18" customHeight="1">
      <c r="A20" s="172"/>
      <c r="B20" s="172"/>
      <c r="C20" s="128"/>
      <c r="D20" s="159"/>
      <c r="E20" s="159"/>
      <c r="F20" s="153"/>
      <c r="G20" s="78">
        <f>IF(G22&lt;&gt;0,+G22/G24,0)</f>
        <v>1</v>
      </c>
      <c r="H20" s="71">
        <f>IF(H22&lt;&gt;0,+H22/H24,0%)</f>
        <v>0</v>
      </c>
      <c r="I20" s="71">
        <f>IF(I22&lt;&gt;0,+I22/I24,0%)</f>
        <v>0</v>
      </c>
      <c r="J20" s="72">
        <f>IF(J22&lt;&gt;0,ROUND(+J22/J24,4),0%)</f>
        <v>0</v>
      </c>
      <c r="K20" s="16">
        <f>IF(K22&lt;&gt;0,+K22/K24,0%)</f>
        <v>0</v>
      </c>
      <c r="L20" s="15">
        <f>IF(L22&lt;&gt;0,ROUND(+L22/L24,4),0%)</f>
        <v>0</v>
      </c>
      <c r="M20" s="16">
        <f>IF(M22&lt;&gt;0,+M22/M24,0%)</f>
        <v>0</v>
      </c>
      <c r="N20" s="15">
        <f>IF(N22&lt;&gt;0,ROUND(+N22/N24,4),0%)</f>
        <v>0</v>
      </c>
      <c r="O20" s="16">
        <f>IF(O22&lt;&gt;0,+O22/O24,0%)</f>
        <v>0</v>
      </c>
      <c r="P20" s="15">
        <f>IF(P22&lt;&gt;0,ROUND(+P22/P24,4),0%)</f>
        <v>0</v>
      </c>
      <c r="Q20" s="16">
        <f>IF(Q22&lt;&gt;0,+Q22/Q24,0%)</f>
        <v>0</v>
      </c>
      <c r="R20" s="15">
        <f>IF(R22&lt;&gt;0,ROUND(+R22/R24,4),0%)</f>
        <v>0</v>
      </c>
      <c r="S20" s="16">
        <f>IF(S22&lt;&gt;0,+S22/S24,0%)</f>
        <v>0</v>
      </c>
      <c r="T20" s="15">
        <f>IF(T22&lt;&gt;0,ROUND(+T22/T24,4),0%)</f>
        <v>0</v>
      </c>
      <c r="U20" s="73">
        <f>IF(U22&lt;&gt;0,+U22/U24,0%)</f>
        <v>0</v>
      </c>
      <c r="V20" s="15">
        <f>IF(V22&lt;&gt;0,ROUND(+V22/V24,4),0%)</f>
        <v>0</v>
      </c>
      <c r="W20" s="16">
        <f>IF(W22&lt;&gt;0,+W22/W24,0%)</f>
        <v>0</v>
      </c>
      <c r="X20" s="15">
        <f>IF(X22&lt;&gt;0,ROUND(+X22/X24,4),0%)</f>
        <v>0</v>
      </c>
      <c r="Y20" s="16">
        <f>IF(Y22&lt;&gt;0,+Y22/Y24,0%)</f>
        <v>0</v>
      </c>
      <c r="Z20" s="15">
        <f>IF(Z22&lt;&gt;0,ROUND(+Z22/Z24,4),0%)</f>
        <v>0</v>
      </c>
      <c r="AA20" s="16">
        <f>IF(AA22&lt;&gt;0,+AA22/AA24,0%)</f>
        <v>0</v>
      </c>
      <c r="AB20" s="15">
        <f>IF(AB22&lt;&gt;0,ROUND(+AB22/AB24,4),0%)</f>
        <v>0</v>
      </c>
      <c r="AC20" s="16">
        <f>IF(AC22&lt;&gt;0,+AC22/AC24,0%)</f>
        <v>0</v>
      </c>
      <c r="AD20" s="15">
        <f>IF(AD22&lt;&gt;0,+AD22/AD24,0%)</f>
        <v>0</v>
      </c>
      <c r="AE20" s="74"/>
    </row>
    <row r="21" spans="1:31" ht="18" customHeight="1">
      <c r="A21" s="172"/>
      <c r="B21" s="172"/>
      <c r="C21" s="128"/>
      <c r="D21" s="159"/>
      <c r="E21" s="159"/>
      <c r="F21" s="154"/>
      <c r="G21" s="2" t="s">
        <v>27</v>
      </c>
      <c r="H21" s="17" t="s">
        <v>27</v>
      </c>
      <c r="I21" s="17" t="s">
        <v>27</v>
      </c>
      <c r="J21" s="18" t="s">
        <v>27</v>
      </c>
      <c r="K21" s="17" t="s">
        <v>27</v>
      </c>
      <c r="L21" s="19" t="s">
        <v>27</v>
      </c>
      <c r="M21" s="17" t="s">
        <v>27</v>
      </c>
      <c r="N21" s="19" t="s">
        <v>27</v>
      </c>
      <c r="O21" s="17" t="s">
        <v>27</v>
      </c>
      <c r="P21" s="19" t="s">
        <v>27</v>
      </c>
      <c r="Q21" s="17" t="s">
        <v>27</v>
      </c>
      <c r="R21" s="19" t="s">
        <v>27</v>
      </c>
      <c r="S21" s="17" t="s">
        <v>27</v>
      </c>
      <c r="T21" s="19" t="s">
        <v>27</v>
      </c>
      <c r="U21" s="17" t="s">
        <v>27</v>
      </c>
      <c r="V21" s="19" t="s">
        <v>27</v>
      </c>
      <c r="W21" s="17" t="s">
        <v>27</v>
      </c>
      <c r="X21" s="19" t="s">
        <v>27</v>
      </c>
      <c r="Y21" s="17" t="s">
        <v>27</v>
      </c>
      <c r="Z21" s="19" t="s">
        <v>27</v>
      </c>
      <c r="AA21" s="17" t="s">
        <v>27</v>
      </c>
      <c r="AB21" s="19" t="s">
        <v>27</v>
      </c>
      <c r="AC21" s="17" t="s">
        <v>27</v>
      </c>
      <c r="AD21" s="19" t="s">
        <v>27</v>
      </c>
      <c r="AE21" s="74"/>
    </row>
    <row r="22" spans="1:31" ht="18" customHeight="1">
      <c r="A22" s="172"/>
      <c r="B22" s="172"/>
      <c r="C22" s="128"/>
      <c r="D22" s="159"/>
      <c r="E22" s="159"/>
      <c r="F22" s="170" t="s">
        <v>34</v>
      </c>
      <c r="G22" s="25">
        <v>2</v>
      </c>
      <c r="H22" s="75">
        <v>0</v>
      </c>
      <c r="I22" s="75">
        <v>0</v>
      </c>
      <c r="J22" s="41">
        <f>+H22+I22</f>
        <v>0</v>
      </c>
      <c r="K22" s="75">
        <v>0</v>
      </c>
      <c r="L22" s="41">
        <f>+J22+K22</f>
        <v>0</v>
      </c>
      <c r="M22" s="75">
        <v>0</v>
      </c>
      <c r="N22" s="41">
        <f>+L22+M22</f>
        <v>0</v>
      </c>
      <c r="O22" s="75">
        <v>0</v>
      </c>
      <c r="P22" s="41">
        <f>+N22+O22</f>
        <v>0</v>
      </c>
      <c r="Q22" s="75">
        <v>0</v>
      </c>
      <c r="R22" s="41">
        <f>+P22+Q22</f>
        <v>0</v>
      </c>
      <c r="S22" s="75">
        <v>0</v>
      </c>
      <c r="T22" s="41">
        <f>+R22+S22</f>
        <v>0</v>
      </c>
      <c r="U22" s="75">
        <v>0</v>
      </c>
      <c r="V22" s="41">
        <f>+T22+U22</f>
        <v>0</v>
      </c>
      <c r="W22" s="75">
        <v>0</v>
      </c>
      <c r="X22" s="41">
        <f>+V22+W22</f>
        <v>0</v>
      </c>
      <c r="Y22" s="75">
        <v>0</v>
      </c>
      <c r="Z22" s="41">
        <f>+X22+Y22</f>
        <v>0</v>
      </c>
      <c r="AA22" s="75">
        <v>0</v>
      </c>
      <c r="AB22" s="41">
        <f>+Z22+AA22</f>
        <v>0</v>
      </c>
      <c r="AC22" s="75">
        <v>0</v>
      </c>
      <c r="AD22" s="41">
        <f>AB22+AC22</f>
        <v>0</v>
      </c>
      <c r="AE22" s="76">
        <f>AD20/E19</f>
        <v>0</v>
      </c>
    </row>
    <row r="23" spans="1:31" ht="18" customHeight="1">
      <c r="A23" s="172"/>
      <c r="B23" s="172"/>
      <c r="C23" s="128"/>
      <c r="D23" s="159"/>
      <c r="E23" s="159"/>
      <c r="F23" s="171"/>
      <c r="G23" s="2" t="s">
        <v>29</v>
      </c>
      <c r="H23" s="20" t="s">
        <v>29</v>
      </c>
      <c r="I23" s="20" t="s">
        <v>29</v>
      </c>
      <c r="J23" s="53" t="s">
        <v>29</v>
      </c>
      <c r="K23" s="20" t="s">
        <v>29</v>
      </c>
      <c r="L23" s="53" t="s">
        <v>29</v>
      </c>
      <c r="M23" s="20" t="s">
        <v>29</v>
      </c>
      <c r="N23" s="53" t="s">
        <v>29</v>
      </c>
      <c r="O23" s="20" t="s">
        <v>29</v>
      </c>
      <c r="P23" s="53" t="s">
        <v>29</v>
      </c>
      <c r="Q23" s="6" t="s">
        <v>29</v>
      </c>
      <c r="R23" s="53" t="s">
        <v>29</v>
      </c>
      <c r="S23" s="6" t="s">
        <v>29</v>
      </c>
      <c r="T23" s="53" t="s">
        <v>29</v>
      </c>
      <c r="U23" s="6" t="s">
        <v>29</v>
      </c>
      <c r="V23" s="53" t="s">
        <v>29</v>
      </c>
      <c r="W23" s="6" t="s">
        <v>29</v>
      </c>
      <c r="X23" s="53" t="s">
        <v>29</v>
      </c>
      <c r="Y23" s="6" t="s">
        <v>29</v>
      </c>
      <c r="Z23" s="53" t="s">
        <v>29</v>
      </c>
      <c r="AA23" s="6" t="s">
        <v>29</v>
      </c>
      <c r="AB23" s="22" t="s">
        <v>29</v>
      </c>
      <c r="AC23" s="20" t="s">
        <v>29</v>
      </c>
      <c r="AD23" s="22" t="s">
        <v>29</v>
      </c>
      <c r="AE23" s="74"/>
    </row>
    <row r="24" spans="1:31" ht="18" customHeight="1">
      <c r="A24" s="173"/>
      <c r="B24" s="173"/>
      <c r="C24" s="129"/>
      <c r="D24" s="160"/>
      <c r="E24" s="160"/>
      <c r="F24" s="171"/>
      <c r="G24" s="27">
        <v>2</v>
      </c>
      <c r="H24" s="23">
        <v>2</v>
      </c>
      <c r="I24" s="23">
        <v>2</v>
      </c>
      <c r="J24" s="80">
        <v>2</v>
      </c>
      <c r="K24" s="23">
        <v>2</v>
      </c>
      <c r="L24" s="80">
        <v>2</v>
      </c>
      <c r="M24" s="23">
        <v>2</v>
      </c>
      <c r="N24" s="80">
        <v>2</v>
      </c>
      <c r="O24" s="23">
        <v>2</v>
      </c>
      <c r="P24" s="80">
        <v>2</v>
      </c>
      <c r="Q24" s="79">
        <v>2</v>
      </c>
      <c r="R24" s="80">
        <v>2</v>
      </c>
      <c r="S24" s="79">
        <v>2</v>
      </c>
      <c r="T24" s="80">
        <v>2</v>
      </c>
      <c r="U24" s="79">
        <v>2</v>
      </c>
      <c r="V24" s="80">
        <v>2</v>
      </c>
      <c r="W24" s="79">
        <v>2</v>
      </c>
      <c r="X24" s="80">
        <v>2</v>
      </c>
      <c r="Y24" s="79">
        <v>2</v>
      </c>
      <c r="Z24" s="80">
        <v>2</v>
      </c>
      <c r="AA24" s="79">
        <v>2</v>
      </c>
      <c r="AB24" s="24">
        <v>2</v>
      </c>
      <c r="AC24" s="23">
        <v>2</v>
      </c>
      <c r="AD24" s="24">
        <v>2</v>
      </c>
      <c r="AE24" s="77"/>
    </row>
    <row r="25" spans="1:31" ht="18" customHeight="1">
      <c r="A25" s="200" t="s">
        <v>35</v>
      </c>
      <c r="B25" s="200" t="s">
        <v>36</v>
      </c>
      <c r="C25" s="119" t="s">
        <v>37</v>
      </c>
      <c r="D25" s="167">
        <v>0.1</v>
      </c>
      <c r="E25" s="167">
        <v>1</v>
      </c>
      <c r="F25" s="119" t="s">
        <v>38</v>
      </c>
      <c r="G25" s="1" t="s">
        <v>26</v>
      </c>
      <c r="H25" s="28" t="s">
        <v>26</v>
      </c>
      <c r="I25" s="28" t="s">
        <v>26</v>
      </c>
      <c r="J25" s="29" t="s">
        <v>26</v>
      </c>
      <c r="K25" s="28" t="s">
        <v>26</v>
      </c>
      <c r="L25" s="30" t="s">
        <v>26</v>
      </c>
      <c r="M25" s="28" t="s">
        <v>26</v>
      </c>
      <c r="N25" s="30" t="s">
        <v>26</v>
      </c>
      <c r="O25" s="28" t="s">
        <v>26</v>
      </c>
      <c r="P25" s="30" t="s">
        <v>26</v>
      </c>
      <c r="Q25" s="28" t="s">
        <v>26</v>
      </c>
      <c r="R25" s="30" t="s">
        <v>26</v>
      </c>
      <c r="S25" s="28" t="s">
        <v>26</v>
      </c>
      <c r="T25" s="30" t="s">
        <v>26</v>
      </c>
      <c r="U25" s="28" t="s">
        <v>26</v>
      </c>
      <c r="V25" s="30" t="s">
        <v>26</v>
      </c>
      <c r="W25" s="28" t="s">
        <v>26</v>
      </c>
      <c r="X25" s="31" t="s">
        <v>26</v>
      </c>
      <c r="Y25" s="28" t="s">
        <v>26</v>
      </c>
      <c r="Z25" s="32" t="s">
        <v>26</v>
      </c>
      <c r="AA25" s="28" t="s">
        <v>26</v>
      </c>
      <c r="AB25" s="32" t="s">
        <v>26</v>
      </c>
      <c r="AC25" s="28" t="s">
        <v>26</v>
      </c>
      <c r="AD25" s="29" t="s">
        <v>26</v>
      </c>
      <c r="AE25" s="33"/>
    </row>
    <row r="26" spans="1:31" ht="18" customHeight="1">
      <c r="A26" s="201"/>
      <c r="B26" s="201"/>
      <c r="C26" s="203"/>
      <c r="D26" s="168"/>
      <c r="E26" s="168"/>
      <c r="F26" s="120"/>
      <c r="G26" s="34">
        <f>IF(G28&lt;&gt;0,+G28/G30,0%)</f>
        <v>1</v>
      </c>
      <c r="H26" s="35">
        <f>IF(H28&lt;&gt;0,+H28/H30,0%)</f>
        <v>0</v>
      </c>
      <c r="I26" s="35">
        <f>IF(I28&lt;&gt;0,+I28/I30,0%)</f>
        <v>0</v>
      </c>
      <c r="J26" s="36">
        <f>IF(J28&lt;&gt;0,ROUND(+J28/J30,4),0%)</f>
        <v>0</v>
      </c>
      <c r="K26" s="35">
        <f>IF(K28&lt;&gt;0,+K28/K30,0%)</f>
        <v>0</v>
      </c>
      <c r="L26" s="36">
        <f>IF(L28&lt;&gt;0,ROUND(+L28/L30,4),0%)</f>
        <v>0</v>
      </c>
      <c r="M26" s="35">
        <f>IF(M28&lt;&gt;0,+M28/M30,0%)</f>
        <v>0</v>
      </c>
      <c r="N26" s="36">
        <f>IF(N28&lt;&gt;0,ROUND(+N28/N30,4),0%)</f>
        <v>0</v>
      </c>
      <c r="O26" s="35">
        <f>IF(O28&lt;&gt;0,+O28/O30,0%)</f>
        <v>0</v>
      </c>
      <c r="P26" s="36">
        <f>IF(P28&lt;&gt;0,ROUND(+P28/P30,4),0%)</f>
        <v>0</v>
      </c>
      <c r="Q26" s="35">
        <f>IF(Q28&lt;&gt;0,+Q28/Q30,0%)</f>
        <v>0</v>
      </c>
      <c r="R26" s="36">
        <f>IF(R28&lt;&gt;0,ROUND(+R28/R30,4),0%)</f>
        <v>0</v>
      </c>
      <c r="S26" s="35">
        <f>IF(S28&lt;&gt;0,+S28/S30,0%)</f>
        <v>0.5</v>
      </c>
      <c r="T26" s="36">
        <f>IF(T28&lt;&gt;0,ROUND(+T28/T30,4),0%)</f>
        <v>0.5</v>
      </c>
      <c r="U26" s="35">
        <f>IF(U28&lt;&gt;0,+U28/U30,0%)</f>
        <v>0</v>
      </c>
      <c r="V26" s="36">
        <f>IF(V28&lt;&gt;0,ROUND(+V28/V30,4),0%)</f>
        <v>0.5</v>
      </c>
      <c r="W26" s="35">
        <f>IF(W28&lt;&gt;0,+W28/W30,0%)</f>
        <v>0</v>
      </c>
      <c r="X26" s="36">
        <f>IF(X28&lt;&gt;0,ROUND(+X28/X30,4),0%)</f>
        <v>0.5</v>
      </c>
      <c r="Y26" s="35">
        <f>IF(Y28&lt;&gt;0,+Y28/Y30,0%)</f>
        <v>0</v>
      </c>
      <c r="Z26" s="36">
        <f>IF(Z28&lt;&gt;0,ROUND(+Z28/Z30,4),0%)</f>
        <v>0.5</v>
      </c>
      <c r="AA26" s="35">
        <f>IF(AA28&lt;&gt;0,+AA28/AA30,0%)</f>
        <v>0</v>
      </c>
      <c r="AB26" s="36">
        <f>IF(AB28&lt;&gt;0,ROUND(+AB28/AB30,4),0%)</f>
        <v>0.5</v>
      </c>
      <c r="AC26" s="35">
        <f>IF(AC28&lt;&gt;0,+AC28/AC30,0%)</f>
        <v>0</v>
      </c>
      <c r="AD26" s="36">
        <f>IF(AD28&lt;&gt;0,ROUND(+AD28/AD30,4),0%)</f>
        <v>0.5</v>
      </c>
      <c r="AE26" s="37"/>
    </row>
    <row r="27" spans="1:31" ht="18" customHeight="1">
      <c r="A27" s="201"/>
      <c r="B27" s="201"/>
      <c r="C27" s="203"/>
      <c r="D27" s="168"/>
      <c r="E27" s="168"/>
      <c r="F27" s="120"/>
      <c r="G27" s="2" t="s">
        <v>27</v>
      </c>
      <c r="H27" s="2" t="s">
        <v>27</v>
      </c>
      <c r="I27" s="2" t="s">
        <v>27</v>
      </c>
      <c r="J27" s="38" t="s">
        <v>27</v>
      </c>
      <c r="K27" s="2" t="s">
        <v>27</v>
      </c>
      <c r="L27" s="39" t="s">
        <v>27</v>
      </c>
      <c r="M27" s="2" t="s">
        <v>27</v>
      </c>
      <c r="N27" s="39" t="s">
        <v>27</v>
      </c>
      <c r="O27" s="2" t="s">
        <v>27</v>
      </c>
      <c r="P27" s="39" t="s">
        <v>27</v>
      </c>
      <c r="Q27" s="2" t="s">
        <v>27</v>
      </c>
      <c r="R27" s="39" t="s">
        <v>27</v>
      </c>
      <c r="S27" s="2" t="s">
        <v>27</v>
      </c>
      <c r="T27" s="39" t="s">
        <v>27</v>
      </c>
      <c r="U27" s="2" t="s">
        <v>27</v>
      </c>
      <c r="V27" s="39" t="s">
        <v>27</v>
      </c>
      <c r="W27" s="2" t="s">
        <v>27</v>
      </c>
      <c r="X27" s="39" t="s">
        <v>27</v>
      </c>
      <c r="Y27" s="2" t="s">
        <v>27</v>
      </c>
      <c r="Z27" s="39" t="s">
        <v>27</v>
      </c>
      <c r="AA27" s="2" t="s">
        <v>27</v>
      </c>
      <c r="AB27" s="39" t="s">
        <v>27</v>
      </c>
      <c r="AC27" s="2" t="s">
        <v>27</v>
      </c>
      <c r="AD27" s="39" t="s">
        <v>27</v>
      </c>
      <c r="AE27" s="37"/>
    </row>
    <row r="28" spans="1:31" ht="18" customHeight="1">
      <c r="A28" s="201"/>
      <c r="B28" s="201"/>
      <c r="C28" s="203"/>
      <c r="D28" s="168"/>
      <c r="E28" s="168"/>
      <c r="F28" s="121"/>
      <c r="G28" s="25">
        <v>2</v>
      </c>
      <c r="H28" s="75">
        <v>0</v>
      </c>
      <c r="I28" s="75">
        <v>0</v>
      </c>
      <c r="J28" s="41">
        <f>+H28+I28</f>
        <v>0</v>
      </c>
      <c r="K28" s="75">
        <v>0</v>
      </c>
      <c r="L28" s="41">
        <f>+J28+K28</f>
        <v>0</v>
      </c>
      <c r="M28" s="75">
        <v>0</v>
      </c>
      <c r="N28" s="41">
        <f>+L28+M28</f>
        <v>0</v>
      </c>
      <c r="O28" s="75">
        <v>0</v>
      </c>
      <c r="P28" s="41">
        <f>+N28+O28</f>
        <v>0</v>
      </c>
      <c r="Q28" s="75">
        <v>0</v>
      </c>
      <c r="R28" s="41">
        <f>+P28+Q28</f>
        <v>0</v>
      </c>
      <c r="S28" s="75">
        <v>1</v>
      </c>
      <c r="T28" s="41">
        <f>+R28+S28</f>
        <v>1</v>
      </c>
      <c r="U28" s="75">
        <v>0</v>
      </c>
      <c r="V28" s="41">
        <f>+T28+U28</f>
        <v>1</v>
      </c>
      <c r="W28" s="75">
        <v>0</v>
      </c>
      <c r="X28" s="41">
        <f>+V28+W28</f>
        <v>1</v>
      </c>
      <c r="Y28" s="75"/>
      <c r="Z28" s="41">
        <f>+X28+Y28</f>
        <v>1</v>
      </c>
      <c r="AA28" s="75"/>
      <c r="AB28" s="41">
        <f>+Z28+AA28</f>
        <v>1</v>
      </c>
      <c r="AC28" s="75"/>
      <c r="AD28" s="26">
        <f>AB28+AC28</f>
        <v>1</v>
      </c>
      <c r="AE28" s="42">
        <f>AD26/E25</f>
        <v>0.5</v>
      </c>
    </row>
    <row r="29" spans="1:31" ht="18" customHeight="1">
      <c r="A29" s="201"/>
      <c r="B29" s="201"/>
      <c r="C29" s="203"/>
      <c r="D29" s="168"/>
      <c r="E29" s="168"/>
      <c r="F29" s="205" t="s">
        <v>39</v>
      </c>
      <c r="G29" s="2" t="s">
        <v>29</v>
      </c>
      <c r="H29" s="6" t="s">
        <v>29</v>
      </c>
      <c r="I29" s="6" t="s">
        <v>29</v>
      </c>
      <c r="J29" s="52" t="s">
        <v>29</v>
      </c>
      <c r="K29" s="6" t="s">
        <v>29</v>
      </c>
      <c r="L29" s="53" t="s">
        <v>29</v>
      </c>
      <c r="M29" s="6" t="s">
        <v>29</v>
      </c>
      <c r="N29" s="53"/>
      <c r="O29" s="6"/>
      <c r="P29" s="53"/>
      <c r="Q29" s="6"/>
      <c r="R29" s="53" t="s">
        <v>29</v>
      </c>
      <c r="S29" s="6" t="s">
        <v>29</v>
      </c>
      <c r="T29" s="53" t="s">
        <v>29</v>
      </c>
      <c r="U29" s="6" t="s">
        <v>29</v>
      </c>
      <c r="V29" s="53" t="s">
        <v>29</v>
      </c>
      <c r="W29" s="6" t="s">
        <v>29</v>
      </c>
      <c r="X29" s="53" t="s">
        <v>29</v>
      </c>
      <c r="Y29" s="6" t="s">
        <v>29</v>
      </c>
      <c r="Z29" s="53" t="s">
        <v>29</v>
      </c>
      <c r="AA29" s="6" t="s">
        <v>29</v>
      </c>
      <c r="AB29" s="53" t="s">
        <v>29</v>
      </c>
      <c r="AC29" s="6" t="s">
        <v>29</v>
      </c>
      <c r="AD29" s="53" t="s">
        <v>29</v>
      </c>
      <c r="AE29" s="37"/>
    </row>
    <row r="30" spans="1:31" ht="18" customHeight="1">
      <c r="A30" s="202"/>
      <c r="B30" s="202"/>
      <c r="C30" s="204"/>
      <c r="D30" s="169"/>
      <c r="E30" s="169"/>
      <c r="F30" s="206"/>
      <c r="G30" s="27">
        <v>2</v>
      </c>
      <c r="H30" s="43">
        <v>2</v>
      </c>
      <c r="I30" s="43">
        <v>2</v>
      </c>
      <c r="J30" s="54">
        <v>2</v>
      </c>
      <c r="K30" s="43">
        <v>2</v>
      </c>
      <c r="L30" s="54">
        <v>2</v>
      </c>
      <c r="M30" s="43">
        <v>2</v>
      </c>
      <c r="N30" s="54">
        <v>2</v>
      </c>
      <c r="O30" s="43">
        <v>2</v>
      </c>
      <c r="P30" s="54">
        <v>2</v>
      </c>
      <c r="Q30" s="43">
        <v>2</v>
      </c>
      <c r="R30" s="54">
        <v>2</v>
      </c>
      <c r="S30" s="43">
        <v>2</v>
      </c>
      <c r="T30" s="54">
        <v>2</v>
      </c>
      <c r="U30" s="43">
        <v>2</v>
      </c>
      <c r="V30" s="54">
        <v>2</v>
      </c>
      <c r="W30" s="43">
        <v>2</v>
      </c>
      <c r="X30" s="54">
        <v>2</v>
      </c>
      <c r="Y30" s="43">
        <v>2</v>
      </c>
      <c r="Z30" s="54">
        <v>2</v>
      </c>
      <c r="AA30" s="43">
        <v>2</v>
      </c>
      <c r="AB30" s="54">
        <v>2</v>
      </c>
      <c r="AC30" s="43">
        <v>2</v>
      </c>
      <c r="AD30" s="54">
        <v>2</v>
      </c>
      <c r="AE30" s="37"/>
    </row>
    <row r="31" spans="1:31" ht="18" customHeight="1">
      <c r="A31" s="216" t="s">
        <v>40</v>
      </c>
      <c r="B31" s="127" t="s">
        <v>41</v>
      </c>
      <c r="C31" s="127" t="s">
        <v>42</v>
      </c>
      <c r="D31" s="210">
        <v>0.2</v>
      </c>
      <c r="E31" s="207" t="s">
        <v>24</v>
      </c>
      <c r="F31" s="131" t="s">
        <v>43</v>
      </c>
      <c r="G31" s="1" t="s">
        <v>26</v>
      </c>
      <c r="H31" s="12" t="s">
        <v>26</v>
      </c>
      <c r="I31" s="12" t="s">
        <v>26</v>
      </c>
      <c r="J31" s="14" t="s">
        <v>26</v>
      </c>
      <c r="K31" s="44" t="s">
        <v>26</v>
      </c>
      <c r="L31" s="14" t="s">
        <v>26</v>
      </c>
      <c r="M31" s="44" t="s">
        <v>26</v>
      </c>
      <c r="N31" s="14" t="s">
        <v>26</v>
      </c>
      <c r="O31" s="44" t="s">
        <v>26</v>
      </c>
      <c r="P31" s="14" t="s">
        <v>26</v>
      </c>
      <c r="Q31" s="44" t="s">
        <v>26</v>
      </c>
      <c r="R31" s="14" t="s">
        <v>26</v>
      </c>
      <c r="S31" s="44" t="s">
        <v>26</v>
      </c>
      <c r="T31" s="14" t="s">
        <v>26</v>
      </c>
      <c r="U31" s="44" t="s">
        <v>26</v>
      </c>
      <c r="V31" s="14" t="s">
        <v>26</v>
      </c>
      <c r="W31" s="12" t="s">
        <v>26</v>
      </c>
      <c r="X31" s="14" t="s">
        <v>26</v>
      </c>
      <c r="Y31" s="12" t="s">
        <v>26</v>
      </c>
      <c r="Z31" s="14" t="s">
        <v>26</v>
      </c>
      <c r="AA31" s="12" t="s">
        <v>26</v>
      </c>
      <c r="AB31" s="14" t="s">
        <v>26</v>
      </c>
      <c r="AC31" s="12" t="s">
        <v>26</v>
      </c>
      <c r="AD31" s="55" t="s">
        <v>26</v>
      </c>
      <c r="AE31" s="62"/>
    </row>
    <row r="32" spans="1:31" ht="18" customHeight="1">
      <c r="A32" s="217"/>
      <c r="B32" s="128"/>
      <c r="C32" s="128"/>
      <c r="D32" s="211"/>
      <c r="E32" s="208"/>
      <c r="F32" s="132"/>
      <c r="G32" s="78" t="s">
        <v>24</v>
      </c>
      <c r="H32" s="35">
        <f>IF(H34&lt;&gt;0,+H34/H36,0%)</f>
        <v>0</v>
      </c>
      <c r="I32" s="35">
        <f>IF(I34&lt;&gt;0,+I34/I36,0%)</f>
        <v>0</v>
      </c>
      <c r="J32" s="15">
        <f>IF(J34&lt;&gt;0,+J34/J36,0%)</f>
        <v>0</v>
      </c>
      <c r="K32" s="35">
        <f t="shared" ref="K32:AC32" si="1">IF(K34&lt;&gt;0,+K34/K36,0%)</f>
        <v>0</v>
      </c>
      <c r="L32" s="15">
        <f t="shared" si="1"/>
        <v>0</v>
      </c>
      <c r="M32" s="35">
        <f t="shared" si="1"/>
        <v>0</v>
      </c>
      <c r="N32" s="15">
        <f t="shared" si="1"/>
        <v>0</v>
      </c>
      <c r="O32" s="35">
        <f t="shared" si="1"/>
        <v>0</v>
      </c>
      <c r="P32" s="15">
        <f t="shared" si="1"/>
        <v>0</v>
      </c>
      <c r="Q32" s="35">
        <f t="shared" si="1"/>
        <v>0</v>
      </c>
      <c r="R32" s="15">
        <f t="shared" si="1"/>
        <v>0</v>
      </c>
      <c r="S32" s="35">
        <f t="shared" si="1"/>
        <v>0</v>
      </c>
      <c r="T32" s="15">
        <f t="shared" si="1"/>
        <v>0</v>
      </c>
      <c r="U32" s="35">
        <f t="shared" si="1"/>
        <v>0</v>
      </c>
      <c r="V32" s="15">
        <f t="shared" si="1"/>
        <v>0</v>
      </c>
      <c r="W32" s="35">
        <f t="shared" si="1"/>
        <v>0</v>
      </c>
      <c r="X32" s="15">
        <f t="shared" si="1"/>
        <v>0</v>
      </c>
      <c r="Y32" s="35">
        <f t="shared" si="1"/>
        <v>0</v>
      </c>
      <c r="Z32" s="15">
        <f t="shared" si="1"/>
        <v>0</v>
      </c>
      <c r="AA32" s="16">
        <f t="shared" si="1"/>
        <v>0</v>
      </c>
      <c r="AB32" s="15">
        <f t="shared" si="1"/>
        <v>0</v>
      </c>
      <c r="AC32" s="16">
        <f t="shared" si="1"/>
        <v>0</v>
      </c>
      <c r="AD32" s="56">
        <f t="shared" ref="AD32" si="2">IF(AD34&lt;&gt;0,+AD34/AD36,0%)</f>
        <v>0</v>
      </c>
      <c r="AE32" s="61"/>
    </row>
    <row r="33" spans="1:31" ht="18" customHeight="1">
      <c r="A33" s="217"/>
      <c r="B33" s="128"/>
      <c r="C33" s="128"/>
      <c r="D33" s="211"/>
      <c r="E33" s="208"/>
      <c r="F33" s="132"/>
      <c r="G33" s="2" t="s">
        <v>27</v>
      </c>
      <c r="H33" s="17" t="s">
        <v>27</v>
      </c>
      <c r="I33" s="17"/>
      <c r="J33" s="19" t="s">
        <v>27</v>
      </c>
      <c r="K33" s="45" t="s">
        <v>27</v>
      </c>
      <c r="L33" s="19" t="s">
        <v>27</v>
      </c>
      <c r="M33" s="45" t="s">
        <v>27</v>
      </c>
      <c r="N33" s="19" t="s">
        <v>27</v>
      </c>
      <c r="O33" s="45" t="s">
        <v>27</v>
      </c>
      <c r="P33" s="19" t="s">
        <v>27</v>
      </c>
      <c r="Q33" s="45" t="s">
        <v>27</v>
      </c>
      <c r="R33" s="19" t="s">
        <v>27</v>
      </c>
      <c r="S33" s="45" t="s">
        <v>27</v>
      </c>
      <c r="T33" s="19" t="s">
        <v>27</v>
      </c>
      <c r="U33" s="45" t="s">
        <v>27</v>
      </c>
      <c r="V33" s="19" t="s">
        <v>27</v>
      </c>
      <c r="W33" s="46" t="s">
        <v>27</v>
      </c>
      <c r="X33" s="19" t="s">
        <v>27</v>
      </c>
      <c r="Y33" s="17" t="s">
        <v>27</v>
      </c>
      <c r="Z33" s="19" t="s">
        <v>27</v>
      </c>
      <c r="AA33" s="17" t="s">
        <v>27</v>
      </c>
      <c r="AB33" s="19" t="s">
        <v>27</v>
      </c>
      <c r="AC33" s="17" t="s">
        <v>27</v>
      </c>
      <c r="AD33" s="57" t="s">
        <v>27</v>
      </c>
      <c r="AE33" s="63"/>
    </row>
    <row r="34" spans="1:31" ht="18" customHeight="1">
      <c r="A34" s="217"/>
      <c r="B34" s="128"/>
      <c r="C34" s="128"/>
      <c r="D34" s="211"/>
      <c r="E34" s="208"/>
      <c r="F34" s="132"/>
      <c r="G34" s="81">
        <v>1</v>
      </c>
      <c r="H34" s="75">
        <v>0</v>
      </c>
      <c r="I34" s="75">
        <v>0</v>
      </c>
      <c r="J34" s="41">
        <f>+H34+I34</f>
        <v>0</v>
      </c>
      <c r="K34" s="75">
        <v>0</v>
      </c>
      <c r="L34" s="41">
        <f>+J34+K34</f>
        <v>0</v>
      </c>
      <c r="M34" s="75">
        <v>0</v>
      </c>
      <c r="N34" s="41">
        <f>+L34+M34</f>
        <v>0</v>
      </c>
      <c r="O34" s="75">
        <v>0</v>
      </c>
      <c r="P34" s="41">
        <f>+N34+O34</f>
        <v>0</v>
      </c>
      <c r="Q34" s="75">
        <v>0</v>
      </c>
      <c r="R34" s="41">
        <f>+P34+Q34</f>
        <v>0</v>
      </c>
      <c r="S34" s="75">
        <v>0</v>
      </c>
      <c r="T34" s="41">
        <f>+R34+S34</f>
        <v>0</v>
      </c>
      <c r="U34" s="75">
        <v>0</v>
      </c>
      <c r="V34" s="41">
        <f>+T34+U34</f>
        <v>0</v>
      </c>
      <c r="W34" s="75">
        <v>0</v>
      </c>
      <c r="X34" s="41">
        <f>+V34+W34</f>
        <v>0</v>
      </c>
      <c r="Y34" s="75">
        <v>0</v>
      </c>
      <c r="Z34" s="41">
        <f>+X34+Y34</f>
        <v>0</v>
      </c>
      <c r="AA34" s="75">
        <v>0</v>
      </c>
      <c r="AB34" s="41">
        <f>+Z34+AA34</f>
        <v>0</v>
      </c>
      <c r="AC34" s="75">
        <v>0</v>
      </c>
      <c r="AD34" s="26">
        <f>AB34+AC34</f>
        <v>0</v>
      </c>
      <c r="AE34" s="64" t="e">
        <f>AD32/E31</f>
        <v>#VALUE!</v>
      </c>
    </row>
    <row r="35" spans="1:31" ht="18" customHeight="1">
      <c r="A35" s="217"/>
      <c r="B35" s="128"/>
      <c r="C35" s="128"/>
      <c r="D35" s="211"/>
      <c r="E35" s="208"/>
      <c r="F35" s="133" t="s">
        <v>44</v>
      </c>
      <c r="G35" s="6" t="s">
        <v>29</v>
      </c>
      <c r="H35" s="20" t="s">
        <v>29</v>
      </c>
      <c r="I35" s="20" t="s">
        <v>29</v>
      </c>
      <c r="J35" s="22" t="s">
        <v>29</v>
      </c>
      <c r="K35" s="47" t="s">
        <v>29</v>
      </c>
      <c r="L35" s="22" t="s">
        <v>29</v>
      </c>
      <c r="M35" s="47" t="s">
        <v>29</v>
      </c>
      <c r="N35" s="22" t="s">
        <v>29</v>
      </c>
      <c r="O35" s="47" t="s">
        <v>29</v>
      </c>
      <c r="P35" s="22" t="s">
        <v>29</v>
      </c>
      <c r="Q35" s="47" t="s">
        <v>29</v>
      </c>
      <c r="R35" s="22" t="s">
        <v>29</v>
      </c>
      <c r="S35" s="47" t="s">
        <v>29</v>
      </c>
      <c r="T35" s="22" t="s">
        <v>29</v>
      </c>
      <c r="U35" s="47" t="s">
        <v>29</v>
      </c>
      <c r="V35" s="22" t="s">
        <v>29</v>
      </c>
      <c r="W35" s="20" t="s">
        <v>29</v>
      </c>
      <c r="X35" s="22" t="s">
        <v>29</v>
      </c>
      <c r="Y35" s="20" t="s">
        <v>29</v>
      </c>
      <c r="Z35" s="22" t="s">
        <v>29</v>
      </c>
      <c r="AA35" s="20" t="s">
        <v>29</v>
      </c>
      <c r="AB35" s="22" t="s">
        <v>29</v>
      </c>
      <c r="AC35" s="20" t="s">
        <v>29</v>
      </c>
      <c r="AD35" s="59" t="s">
        <v>29</v>
      </c>
      <c r="AE35" s="113"/>
    </row>
    <row r="36" spans="1:31" ht="18" customHeight="1">
      <c r="A36" s="218"/>
      <c r="B36" s="129"/>
      <c r="C36" s="129"/>
      <c r="D36" s="212"/>
      <c r="E36" s="209"/>
      <c r="F36" s="134"/>
      <c r="G36" s="27">
        <v>1</v>
      </c>
      <c r="H36" s="23">
        <v>1</v>
      </c>
      <c r="I36" s="23">
        <v>1</v>
      </c>
      <c r="J36" s="48">
        <v>1</v>
      </c>
      <c r="K36" s="51">
        <v>1</v>
      </c>
      <c r="L36" s="24">
        <v>1</v>
      </c>
      <c r="M36" s="51">
        <v>1</v>
      </c>
      <c r="N36" s="24">
        <v>1</v>
      </c>
      <c r="O36" s="51">
        <v>1</v>
      </c>
      <c r="P36" s="24">
        <v>1</v>
      </c>
      <c r="Q36" s="51">
        <v>1</v>
      </c>
      <c r="R36" s="24">
        <v>1</v>
      </c>
      <c r="S36" s="51">
        <v>1</v>
      </c>
      <c r="T36" s="24">
        <v>1</v>
      </c>
      <c r="U36" s="51">
        <v>1</v>
      </c>
      <c r="V36" s="24">
        <v>1</v>
      </c>
      <c r="W36" s="51">
        <v>1</v>
      </c>
      <c r="X36" s="24">
        <v>1</v>
      </c>
      <c r="Y36" s="51">
        <v>1</v>
      </c>
      <c r="Z36" s="24">
        <v>1</v>
      </c>
      <c r="AA36" s="51">
        <v>1</v>
      </c>
      <c r="AB36" s="24">
        <v>1</v>
      </c>
      <c r="AC36" s="51">
        <v>1</v>
      </c>
      <c r="AD36" s="60">
        <v>1</v>
      </c>
      <c r="AE36" s="146"/>
    </row>
    <row r="37" spans="1:31" ht="19.899999999999999" customHeight="1">
      <c r="A37" s="115" t="s">
        <v>45</v>
      </c>
      <c r="B37" s="115" t="s">
        <v>46</v>
      </c>
      <c r="C37" s="115" t="s">
        <v>47</v>
      </c>
      <c r="D37" s="213">
        <v>0.2</v>
      </c>
      <c r="E37" s="118" t="s">
        <v>24</v>
      </c>
      <c r="F37" s="196" t="s">
        <v>48</v>
      </c>
      <c r="G37" s="1" t="s">
        <v>26</v>
      </c>
      <c r="H37" s="12" t="s">
        <v>26</v>
      </c>
      <c r="I37" s="12" t="s">
        <v>26</v>
      </c>
      <c r="J37" s="13" t="s">
        <v>26</v>
      </c>
      <c r="K37" s="44" t="s">
        <v>26</v>
      </c>
      <c r="L37" s="14" t="s">
        <v>26</v>
      </c>
      <c r="M37" s="44" t="s">
        <v>26</v>
      </c>
      <c r="N37" s="14" t="s">
        <v>26</v>
      </c>
      <c r="O37" s="44" t="s">
        <v>26</v>
      </c>
      <c r="P37" s="14" t="s">
        <v>26</v>
      </c>
      <c r="Q37" s="44" t="s">
        <v>26</v>
      </c>
      <c r="R37" s="14" t="s">
        <v>26</v>
      </c>
      <c r="S37" s="44" t="s">
        <v>26</v>
      </c>
      <c r="T37" s="14" t="s">
        <v>26</v>
      </c>
      <c r="U37" s="44" t="s">
        <v>26</v>
      </c>
      <c r="V37" s="14" t="s">
        <v>26</v>
      </c>
      <c r="W37" s="12" t="s">
        <v>26</v>
      </c>
      <c r="X37" s="14" t="s">
        <v>26</v>
      </c>
      <c r="Y37" s="12" t="s">
        <v>26</v>
      </c>
      <c r="Z37" s="14" t="s">
        <v>26</v>
      </c>
      <c r="AA37" s="12" t="s">
        <v>26</v>
      </c>
      <c r="AB37" s="14" t="s">
        <v>26</v>
      </c>
      <c r="AC37" s="12" t="s">
        <v>26</v>
      </c>
      <c r="AD37" s="55" t="s">
        <v>26</v>
      </c>
      <c r="AE37" s="62"/>
    </row>
    <row r="38" spans="1:31" ht="19.899999999999999" customHeight="1">
      <c r="A38" s="116"/>
      <c r="B38" s="116"/>
      <c r="C38" s="116"/>
      <c r="D38" s="214"/>
      <c r="E38" s="118"/>
      <c r="F38" s="197"/>
      <c r="G38" s="3" t="s">
        <v>24</v>
      </c>
      <c r="H38" s="16">
        <f>IF(H40&lt;&gt;0,+H40/H42,0%)</f>
        <v>0</v>
      </c>
      <c r="I38" s="16">
        <f>IF(I40&lt;&gt;0,+I40/I42,0%)</f>
        <v>0</v>
      </c>
      <c r="J38" s="15">
        <f>IF(J40&lt;&gt;0,+J40/J42,0%)</f>
        <v>0</v>
      </c>
      <c r="K38" s="16">
        <f t="shared" ref="K38:AC38" si="3">IF(K40&lt;&gt;0,+K40/K42,0%)</f>
        <v>0</v>
      </c>
      <c r="L38" s="15">
        <f t="shared" si="3"/>
        <v>0</v>
      </c>
      <c r="M38" s="16">
        <f t="shared" si="3"/>
        <v>0</v>
      </c>
      <c r="N38" s="15">
        <f t="shared" si="3"/>
        <v>0</v>
      </c>
      <c r="O38" s="16">
        <f t="shared" si="3"/>
        <v>0</v>
      </c>
      <c r="P38" s="15">
        <f t="shared" si="3"/>
        <v>0</v>
      </c>
      <c r="Q38" s="16">
        <f t="shared" si="3"/>
        <v>0</v>
      </c>
      <c r="R38" s="15">
        <f t="shared" si="3"/>
        <v>0</v>
      </c>
      <c r="S38" s="16">
        <f t="shared" si="3"/>
        <v>0</v>
      </c>
      <c r="T38" s="15">
        <f t="shared" si="3"/>
        <v>0</v>
      </c>
      <c r="U38" s="16">
        <f t="shared" si="3"/>
        <v>0</v>
      </c>
      <c r="V38" s="15">
        <f t="shared" si="3"/>
        <v>0</v>
      </c>
      <c r="W38" s="16">
        <f t="shared" si="3"/>
        <v>0</v>
      </c>
      <c r="X38" s="15">
        <f t="shared" si="3"/>
        <v>0</v>
      </c>
      <c r="Y38" s="16">
        <f t="shared" si="3"/>
        <v>0</v>
      </c>
      <c r="Z38" s="15">
        <f t="shared" si="3"/>
        <v>0</v>
      </c>
      <c r="AA38" s="16">
        <f t="shared" si="3"/>
        <v>0</v>
      </c>
      <c r="AB38" s="15">
        <f t="shared" si="3"/>
        <v>0</v>
      </c>
      <c r="AC38" s="16">
        <f t="shared" si="3"/>
        <v>0.33333333333333331</v>
      </c>
      <c r="AD38" s="56">
        <f t="shared" ref="AD38" si="4">IF(AD40&lt;&gt;0,+AD40/AD42,0%)</f>
        <v>0.33333333333333331</v>
      </c>
      <c r="AE38" s="61"/>
    </row>
    <row r="39" spans="1:31" ht="19.899999999999999" customHeight="1">
      <c r="A39" s="116"/>
      <c r="B39" s="116"/>
      <c r="C39" s="116"/>
      <c r="D39" s="214"/>
      <c r="E39" s="118"/>
      <c r="F39" s="197"/>
      <c r="G39" s="2" t="s">
        <v>27</v>
      </c>
      <c r="H39" s="17" t="s">
        <v>27</v>
      </c>
      <c r="I39" s="17"/>
      <c r="J39" s="18" t="s">
        <v>27</v>
      </c>
      <c r="K39" s="45" t="s">
        <v>27</v>
      </c>
      <c r="L39" s="19" t="s">
        <v>27</v>
      </c>
      <c r="M39" s="45" t="s">
        <v>27</v>
      </c>
      <c r="N39" s="19" t="s">
        <v>27</v>
      </c>
      <c r="O39" s="45" t="s">
        <v>27</v>
      </c>
      <c r="P39" s="19" t="s">
        <v>27</v>
      </c>
      <c r="Q39" s="45" t="s">
        <v>27</v>
      </c>
      <c r="R39" s="19" t="s">
        <v>27</v>
      </c>
      <c r="S39" s="45" t="s">
        <v>27</v>
      </c>
      <c r="T39" s="19" t="s">
        <v>27</v>
      </c>
      <c r="U39" s="45" t="s">
        <v>27</v>
      </c>
      <c r="V39" s="19" t="s">
        <v>27</v>
      </c>
      <c r="W39" s="46" t="s">
        <v>27</v>
      </c>
      <c r="X39" s="19" t="s">
        <v>27</v>
      </c>
      <c r="Y39" s="17" t="s">
        <v>27</v>
      </c>
      <c r="Z39" s="19" t="s">
        <v>27</v>
      </c>
      <c r="AA39" s="17" t="s">
        <v>27</v>
      </c>
      <c r="AB39" s="19" t="s">
        <v>27</v>
      </c>
      <c r="AC39" s="17" t="s">
        <v>27</v>
      </c>
      <c r="AD39" s="57" t="s">
        <v>27</v>
      </c>
      <c r="AE39" s="63"/>
    </row>
    <row r="40" spans="1:31" ht="19.899999999999999" customHeight="1">
      <c r="A40" s="116"/>
      <c r="B40" s="116"/>
      <c r="C40" s="116"/>
      <c r="D40" s="214"/>
      <c r="E40" s="118"/>
      <c r="F40" s="197"/>
      <c r="G40" s="4">
        <v>6</v>
      </c>
      <c r="H40" s="75">
        <v>0</v>
      </c>
      <c r="I40" s="75">
        <v>0</v>
      </c>
      <c r="J40" s="41">
        <f>+H40+I40</f>
        <v>0</v>
      </c>
      <c r="K40" s="75">
        <v>0</v>
      </c>
      <c r="L40" s="41">
        <f>+J40+K40</f>
        <v>0</v>
      </c>
      <c r="M40" s="75">
        <v>0</v>
      </c>
      <c r="N40" s="41">
        <f>+L40+M40</f>
        <v>0</v>
      </c>
      <c r="O40" s="75">
        <v>0</v>
      </c>
      <c r="P40" s="41">
        <f>+N40+O40</f>
        <v>0</v>
      </c>
      <c r="Q40" s="75">
        <v>0</v>
      </c>
      <c r="R40" s="41">
        <f>+P40+Q40</f>
        <v>0</v>
      </c>
      <c r="S40" s="75">
        <v>0</v>
      </c>
      <c r="T40" s="41">
        <f>+R40+S40</f>
        <v>0</v>
      </c>
      <c r="U40" s="75">
        <v>0</v>
      </c>
      <c r="V40" s="41">
        <f>+T40+U40</f>
        <v>0</v>
      </c>
      <c r="W40" s="75">
        <v>0</v>
      </c>
      <c r="X40" s="41">
        <f>+V40+W40</f>
        <v>0</v>
      </c>
      <c r="Y40" s="75">
        <v>0</v>
      </c>
      <c r="Z40" s="41">
        <f>+X40+Y40</f>
        <v>0</v>
      </c>
      <c r="AA40" s="75">
        <v>0</v>
      </c>
      <c r="AB40" s="41">
        <f>+Z40+AA40</f>
        <v>0</v>
      </c>
      <c r="AC40" s="75">
        <v>2</v>
      </c>
      <c r="AD40" s="26">
        <f>AB40+AC40</f>
        <v>2</v>
      </c>
      <c r="AE40" s="64" t="e">
        <f>AD38/E37</f>
        <v>#VALUE!</v>
      </c>
    </row>
    <row r="41" spans="1:31" ht="19.899999999999999" customHeight="1">
      <c r="A41" s="116"/>
      <c r="B41" s="116"/>
      <c r="C41" s="116"/>
      <c r="D41" s="214"/>
      <c r="E41" s="118"/>
      <c r="F41" s="198" t="s">
        <v>49</v>
      </c>
      <c r="G41" s="6" t="s">
        <v>29</v>
      </c>
      <c r="H41" s="20" t="s">
        <v>29</v>
      </c>
      <c r="I41" s="20" t="s">
        <v>29</v>
      </c>
      <c r="J41" s="21" t="s">
        <v>29</v>
      </c>
      <c r="K41" s="47" t="s">
        <v>29</v>
      </c>
      <c r="L41" s="22"/>
      <c r="M41" s="47" t="s">
        <v>29</v>
      </c>
      <c r="N41" s="22" t="s">
        <v>29</v>
      </c>
      <c r="O41" s="47" t="s">
        <v>29</v>
      </c>
      <c r="P41" s="22" t="s">
        <v>29</v>
      </c>
      <c r="Q41" s="47" t="s">
        <v>29</v>
      </c>
      <c r="R41" s="22" t="s">
        <v>29</v>
      </c>
      <c r="S41" s="47" t="s">
        <v>29</v>
      </c>
      <c r="T41" s="22" t="s">
        <v>29</v>
      </c>
      <c r="U41" s="47" t="s">
        <v>29</v>
      </c>
      <c r="V41" s="22" t="s">
        <v>29</v>
      </c>
      <c r="W41" s="20" t="s">
        <v>29</v>
      </c>
      <c r="X41" s="22" t="s">
        <v>29</v>
      </c>
      <c r="Y41" s="20" t="s">
        <v>29</v>
      </c>
      <c r="Z41" s="22" t="s">
        <v>29</v>
      </c>
      <c r="AA41" s="20" t="s">
        <v>29</v>
      </c>
      <c r="AB41" s="22" t="s">
        <v>29</v>
      </c>
      <c r="AC41" s="20" t="s">
        <v>29</v>
      </c>
      <c r="AD41" s="59" t="s">
        <v>29</v>
      </c>
      <c r="AE41" s="113"/>
    </row>
    <row r="42" spans="1:31" ht="19.899999999999999" customHeight="1">
      <c r="A42" s="117"/>
      <c r="B42" s="117"/>
      <c r="C42" s="117"/>
      <c r="D42" s="215"/>
      <c r="E42" s="118"/>
      <c r="F42" s="199"/>
      <c r="G42" s="5">
        <v>6</v>
      </c>
      <c r="H42" s="43">
        <v>6</v>
      </c>
      <c r="I42" s="43">
        <v>6</v>
      </c>
      <c r="J42" s="54">
        <v>6</v>
      </c>
      <c r="K42" s="43">
        <v>6</v>
      </c>
      <c r="L42" s="54">
        <v>6</v>
      </c>
      <c r="M42" s="43">
        <v>6</v>
      </c>
      <c r="N42" s="54">
        <v>6</v>
      </c>
      <c r="O42" s="43">
        <v>6</v>
      </c>
      <c r="P42" s="54">
        <v>6</v>
      </c>
      <c r="Q42" s="43">
        <v>6</v>
      </c>
      <c r="R42" s="54">
        <v>6</v>
      </c>
      <c r="S42" s="43">
        <v>6</v>
      </c>
      <c r="T42" s="54">
        <v>6</v>
      </c>
      <c r="U42" s="43">
        <v>6</v>
      </c>
      <c r="V42" s="54">
        <v>6</v>
      </c>
      <c r="W42" s="43">
        <v>6</v>
      </c>
      <c r="X42" s="54">
        <v>6</v>
      </c>
      <c r="Y42" s="43">
        <v>6</v>
      </c>
      <c r="Z42" s="54">
        <v>6</v>
      </c>
      <c r="AA42" s="43">
        <v>6</v>
      </c>
      <c r="AB42" s="54">
        <v>6</v>
      </c>
      <c r="AC42" s="43">
        <v>6</v>
      </c>
      <c r="AD42" s="54">
        <v>6</v>
      </c>
      <c r="AE42" s="114"/>
    </row>
    <row r="43" spans="1:31" ht="19.899999999999999" customHeight="1">
      <c r="A43" s="127" t="s">
        <v>50</v>
      </c>
      <c r="B43" s="127" t="s">
        <v>51</v>
      </c>
      <c r="C43" s="127" t="s">
        <v>52</v>
      </c>
      <c r="D43" s="210">
        <v>0.1</v>
      </c>
      <c r="E43" s="130">
        <v>1</v>
      </c>
      <c r="F43" s="131" t="s">
        <v>53</v>
      </c>
      <c r="G43" s="1" t="s">
        <v>26</v>
      </c>
      <c r="H43" s="12" t="s">
        <v>26</v>
      </c>
      <c r="I43" s="12" t="s">
        <v>26</v>
      </c>
      <c r="J43" s="13" t="s">
        <v>26</v>
      </c>
      <c r="K43" s="44" t="s">
        <v>26</v>
      </c>
      <c r="L43" s="14" t="s">
        <v>26</v>
      </c>
      <c r="M43" s="44" t="s">
        <v>26</v>
      </c>
      <c r="N43" s="14" t="s">
        <v>26</v>
      </c>
      <c r="O43" s="44" t="s">
        <v>26</v>
      </c>
      <c r="P43" s="14" t="s">
        <v>26</v>
      </c>
      <c r="Q43" s="44" t="s">
        <v>26</v>
      </c>
      <c r="R43" s="14" t="s">
        <v>26</v>
      </c>
      <c r="S43" s="44" t="s">
        <v>26</v>
      </c>
      <c r="T43" s="14" t="s">
        <v>26</v>
      </c>
      <c r="U43" s="44" t="s">
        <v>26</v>
      </c>
      <c r="V43" s="14" t="s">
        <v>26</v>
      </c>
      <c r="W43" s="12" t="s">
        <v>26</v>
      </c>
      <c r="X43" s="14" t="s">
        <v>26</v>
      </c>
      <c r="Y43" s="12" t="s">
        <v>26</v>
      </c>
      <c r="Z43" s="14" t="s">
        <v>26</v>
      </c>
      <c r="AA43" s="12" t="s">
        <v>26</v>
      </c>
      <c r="AB43" s="14" t="s">
        <v>26</v>
      </c>
      <c r="AC43" s="12" t="s">
        <v>26</v>
      </c>
      <c r="AD43" s="55" t="s">
        <v>26</v>
      </c>
      <c r="AE43" s="62"/>
    </row>
    <row r="44" spans="1:31" ht="19.899999999999999" customHeight="1">
      <c r="A44" s="128"/>
      <c r="B44" s="128"/>
      <c r="C44" s="128"/>
      <c r="D44" s="211"/>
      <c r="E44" s="130"/>
      <c r="F44" s="132"/>
      <c r="G44" s="3">
        <f>IF(G46&lt;&gt;0,+G46/G48,0%)</f>
        <v>1</v>
      </c>
      <c r="H44" s="16">
        <f>IF(H46&lt;&gt;0,+H46/H48,0%)</f>
        <v>0</v>
      </c>
      <c r="I44" s="16">
        <f>IF(I46&lt;&gt;0,+I46/I48,0%)</f>
        <v>0</v>
      </c>
      <c r="J44" s="15">
        <f>IF(J46&lt;&gt;0,+J46/J48,0%)</f>
        <v>0</v>
      </c>
      <c r="K44" s="16">
        <f t="shared" ref="K44:AC44" si="5">IF(K46&lt;&gt;0,+K46/K48,0%)</f>
        <v>0</v>
      </c>
      <c r="L44" s="15">
        <f t="shared" si="5"/>
        <v>0</v>
      </c>
      <c r="M44" s="16">
        <f t="shared" si="5"/>
        <v>0</v>
      </c>
      <c r="N44" s="15">
        <f t="shared" si="5"/>
        <v>0</v>
      </c>
      <c r="O44" s="16">
        <f t="shared" si="5"/>
        <v>0</v>
      </c>
      <c r="P44" s="15">
        <f t="shared" si="5"/>
        <v>0</v>
      </c>
      <c r="Q44" s="16">
        <f t="shared" si="5"/>
        <v>0</v>
      </c>
      <c r="R44" s="15">
        <f t="shared" si="5"/>
        <v>0</v>
      </c>
      <c r="S44" s="16">
        <f t="shared" si="5"/>
        <v>0</v>
      </c>
      <c r="T44" s="15">
        <f t="shared" si="5"/>
        <v>0</v>
      </c>
      <c r="U44" s="16">
        <f t="shared" si="5"/>
        <v>0</v>
      </c>
      <c r="V44" s="15">
        <f t="shared" si="5"/>
        <v>0</v>
      </c>
      <c r="W44" s="16">
        <f t="shared" si="5"/>
        <v>0</v>
      </c>
      <c r="X44" s="15">
        <f t="shared" si="5"/>
        <v>0</v>
      </c>
      <c r="Y44" s="16">
        <f t="shared" si="5"/>
        <v>0.33333333333333331</v>
      </c>
      <c r="Z44" s="15">
        <f t="shared" si="5"/>
        <v>0.33333333333333331</v>
      </c>
      <c r="AA44" s="16">
        <f t="shared" si="5"/>
        <v>0</v>
      </c>
      <c r="AB44" s="15">
        <f t="shared" si="5"/>
        <v>0.33333333333333331</v>
      </c>
      <c r="AC44" s="16">
        <f t="shared" si="5"/>
        <v>0</v>
      </c>
      <c r="AD44" s="56">
        <f t="shared" ref="AD44" si="6">IF(AD46&lt;&gt;0,+AD46/AD48,0%)</f>
        <v>0.33333333333333331</v>
      </c>
      <c r="AE44" s="61"/>
    </row>
    <row r="45" spans="1:31" ht="19.899999999999999" customHeight="1">
      <c r="A45" s="128"/>
      <c r="B45" s="128"/>
      <c r="C45" s="128"/>
      <c r="D45" s="211"/>
      <c r="E45" s="130"/>
      <c r="F45" s="132"/>
      <c r="G45" s="2" t="s">
        <v>27</v>
      </c>
      <c r="H45" s="17" t="s">
        <v>27</v>
      </c>
      <c r="I45" s="17"/>
      <c r="J45" s="18" t="s">
        <v>27</v>
      </c>
      <c r="K45" s="45" t="s">
        <v>27</v>
      </c>
      <c r="L45" s="19" t="s">
        <v>27</v>
      </c>
      <c r="M45" s="45" t="s">
        <v>27</v>
      </c>
      <c r="N45" s="19" t="s">
        <v>27</v>
      </c>
      <c r="O45" s="45" t="s">
        <v>27</v>
      </c>
      <c r="P45" s="19" t="s">
        <v>27</v>
      </c>
      <c r="Q45" s="45" t="s">
        <v>27</v>
      </c>
      <c r="R45" s="19" t="s">
        <v>27</v>
      </c>
      <c r="S45" s="45" t="s">
        <v>27</v>
      </c>
      <c r="T45" s="19" t="s">
        <v>27</v>
      </c>
      <c r="U45" s="45" t="s">
        <v>27</v>
      </c>
      <c r="V45" s="19" t="s">
        <v>27</v>
      </c>
      <c r="W45" s="46" t="s">
        <v>27</v>
      </c>
      <c r="X45" s="19" t="s">
        <v>27</v>
      </c>
      <c r="Y45" s="17" t="s">
        <v>27</v>
      </c>
      <c r="Z45" s="19" t="s">
        <v>27</v>
      </c>
      <c r="AA45" s="17" t="s">
        <v>27</v>
      </c>
      <c r="AB45" s="19" t="s">
        <v>27</v>
      </c>
      <c r="AC45" s="17" t="s">
        <v>27</v>
      </c>
      <c r="AD45" s="57" t="s">
        <v>27</v>
      </c>
      <c r="AE45" s="63"/>
    </row>
    <row r="46" spans="1:31" ht="19.899999999999999" customHeight="1">
      <c r="A46" s="128"/>
      <c r="B46" s="128"/>
      <c r="C46" s="128"/>
      <c r="D46" s="211"/>
      <c r="E46" s="130"/>
      <c r="F46" s="132"/>
      <c r="G46" s="4">
        <v>3</v>
      </c>
      <c r="H46" s="75">
        <v>0</v>
      </c>
      <c r="I46" s="75">
        <v>0</v>
      </c>
      <c r="J46" s="41">
        <f>+H46+I46</f>
        <v>0</v>
      </c>
      <c r="K46" s="75">
        <v>0</v>
      </c>
      <c r="L46" s="41">
        <f>+J46+K46</f>
        <v>0</v>
      </c>
      <c r="M46" s="75">
        <v>0</v>
      </c>
      <c r="N46" s="41">
        <f>+L46+M46</f>
        <v>0</v>
      </c>
      <c r="O46" s="75">
        <v>0</v>
      </c>
      <c r="P46" s="41">
        <f>+N46+O46</f>
        <v>0</v>
      </c>
      <c r="Q46" s="75">
        <v>0</v>
      </c>
      <c r="R46" s="41">
        <f>+P46+Q46</f>
        <v>0</v>
      </c>
      <c r="S46" s="75">
        <v>0</v>
      </c>
      <c r="T46" s="41">
        <f>+R46+S46</f>
        <v>0</v>
      </c>
      <c r="U46" s="75">
        <v>0</v>
      </c>
      <c r="V46" s="41">
        <f>+T46+U46</f>
        <v>0</v>
      </c>
      <c r="W46" s="75">
        <v>0</v>
      </c>
      <c r="X46" s="41">
        <f>+V46+W46</f>
        <v>0</v>
      </c>
      <c r="Y46" s="75">
        <v>1</v>
      </c>
      <c r="Z46" s="41">
        <f>+X46+Y46</f>
        <v>1</v>
      </c>
      <c r="AA46" s="75">
        <v>0</v>
      </c>
      <c r="AB46" s="41">
        <f>+Z46+AA46</f>
        <v>1</v>
      </c>
      <c r="AC46" s="75">
        <v>0</v>
      </c>
      <c r="AD46" s="26">
        <f>AB46+AC46</f>
        <v>1</v>
      </c>
      <c r="AE46" s="64">
        <f>AD44/E43</f>
        <v>0.33333333333333331</v>
      </c>
    </row>
    <row r="47" spans="1:31" ht="19.899999999999999" customHeight="1">
      <c r="A47" s="128"/>
      <c r="B47" s="128"/>
      <c r="C47" s="128"/>
      <c r="D47" s="211"/>
      <c r="E47" s="130"/>
      <c r="F47" s="133" t="s">
        <v>54</v>
      </c>
      <c r="G47" s="6" t="s">
        <v>29</v>
      </c>
      <c r="H47" s="20" t="s">
        <v>29</v>
      </c>
      <c r="I47" s="20" t="s">
        <v>29</v>
      </c>
      <c r="J47" s="21" t="s">
        <v>29</v>
      </c>
      <c r="K47" s="47" t="s">
        <v>29</v>
      </c>
      <c r="L47" s="22" t="s">
        <v>29</v>
      </c>
      <c r="M47" s="47" t="s">
        <v>29</v>
      </c>
      <c r="N47" s="22" t="s">
        <v>29</v>
      </c>
      <c r="O47" s="47" t="s">
        <v>29</v>
      </c>
      <c r="P47" s="22" t="s">
        <v>29</v>
      </c>
      <c r="Q47" s="47" t="s">
        <v>29</v>
      </c>
      <c r="R47" s="22" t="s">
        <v>29</v>
      </c>
      <c r="S47" s="47" t="s">
        <v>29</v>
      </c>
      <c r="T47" s="22" t="s">
        <v>29</v>
      </c>
      <c r="U47" s="47" t="s">
        <v>29</v>
      </c>
      <c r="V47" s="22" t="s">
        <v>29</v>
      </c>
      <c r="W47" s="20" t="s">
        <v>29</v>
      </c>
      <c r="X47" s="22" t="s">
        <v>29</v>
      </c>
      <c r="Y47" s="20" t="s">
        <v>29</v>
      </c>
      <c r="Z47" s="22" t="s">
        <v>29</v>
      </c>
      <c r="AA47" s="20" t="s">
        <v>29</v>
      </c>
      <c r="AB47" s="22" t="s">
        <v>29</v>
      </c>
      <c r="AC47" s="20" t="s">
        <v>29</v>
      </c>
      <c r="AD47" s="59" t="s">
        <v>29</v>
      </c>
      <c r="AE47" s="113"/>
    </row>
    <row r="48" spans="1:31" ht="19.899999999999999" customHeight="1">
      <c r="A48" s="129"/>
      <c r="B48" s="129"/>
      <c r="C48" s="129"/>
      <c r="D48" s="212"/>
      <c r="E48" s="130"/>
      <c r="F48" s="134"/>
      <c r="G48" s="5">
        <v>3</v>
      </c>
      <c r="H48" s="23">
        <v>3</v>
      </c>
      <c r="I48" s="23">
        <v>3</v>
      </c>
      <c r="J48" s="48">
        <v>3</v>
      </c>
      <c r="K48" s="51">
        <v>3</v>
      </c>
      <c r="L48" s="24">
        <v>3</v>
      </c>
      <c r="M48" s="51">
        <v>3</v>
      </c>
      <c r="N48" s="24">
        <v>3</v>
      </c>
      <c r="O48" s="51">
        <v>3</v>
      </c>
      <c r="P48" s="24">
        <v>3</v>
      </c>
      <c r="Q48" s="23">
        <v>3</v>
      </c>
      <c r="R48" s="48">
        <v>3</v>
      </c>
      <c r="S48" s="51">
        <v>3</v>
      </c>
      <c r="T48" s="24">
        <v>3</v>
      </c>
      <c r="U48" s="51">
        <v>3</v>
      </c>
      <c r="V48" s="24">
        <v>3</v>
      </c>
      <c r="W48" s="51">
        <v>3</v>
      </c>
      <c r="X48" s="24">
        <v>3</v>
      </c>
      <c r="Y48" s="51">
        <v>3</v>
      </c>
      <c r="Z48" s="24">
        <v>3</v>
      </c>
      <c r="AA48" s="51">
        <v>3</v>
      </c>
      <c r="AB48" s="24">
        <v>3</v>
      </c>
      <c r="AC48" s="51">
        <v>3</v>
      </c>
      <c r="AD48" s="60">
        <v>3</v>
      </c>
      <c r="AE48" s="114"/>
    </row>
    <row r="49" spans="1:31" ht="19.899999999999999" customHeight="1">
      <c r="A49" s="115" t="s">
        <v>55</v>
      </c>
      <c r="B49" s="115" t="s">
        <v>56</v>
      </c>
      <c r="C49" s="115" t="s">
        <v>57</v>
      </c>
      <c r="D49" s="118">
        <v>0.2</v>
      </c>
      <c r="E49" s="118">
        <v>0.2</v>
      </c>
      <c r="F49" s="119" t="s">
        <v>58</v>
      </c>
      <c r="G49" s="1" t="s">
        <v>26</v>
      </c>
      <c r="H49" s="12" t="s">
        <v>26</v>
      </c>
      <c r="I49" s="12" t="s">
        <v>26</v>
      </c>
      <c r="J49" s="13" t="s">
        <v>26</v>
      </c>
      <c r="K49" s="44" t="s">
        <v>26</v>
      </c>
      <c r="L49" s="14" t="s">
        <v>26</v>
      </c>
      <c r="M49" s="44" t="s">
        <v>26</v>
      </c>
      <c r="N49" s="14" t="s">
        <v>26</v>
      </c>
      <c r="O49" s="44" t="s">
        <v>26</v>
      </c>
      <c r="P49" s="14" t="s">
        <v>26</v>
      </c>
      <c r="Q49" s="44" t="s">
        <v>26</v>
      </c>
      <c r="R49" s="14" t="s">
        <v>26</v>
      </c>
      <c r="S49" s="44" t="s">
        <v>26</v>
      </c>
      <c r="T49" s="14" t="s">
        <v>26</v>
      </c>
      <c r="U49" s="44" t="s">
        <v>26</v>
      </c>
      <c r="V49" s="14" t="s">
        <v>26</v>
      </c>
      <c r="W49" s="12" t="s">
        <v>26</v>
      </c>
      <c r="X49" s="14" t="s">
        <v>26</v>
      </c>
      <c r="Y49" s="12" t="s">
        <v>26</v>
      </c>
      <c r="Z49" s="14" t="s">
        <v>26</v>
      </c>
      <c r="AA49" s="12" t="s">
        <v>26</v>
      </c>
      <c r="AB49" s="14" t="s">
        <v>26</v>
      </c>
      <c r="AC49" s="12" t="s">
        <v>26</v>
      </c>
      <c r="AD49" s="55" t="s">
        <v>26</v>
      </c>
      <c r="AE49" s="62"/>
    </row>
    <row r="50" spans="1:31" ht="19.899999999999999" customHeight="1">
      <c r="A50" s="116"/>
      <c r="B50" s="116"/>
      <c r="C50" s="116"/>
      <c r="D50" s="118"/>
      <c r="E50" s="118"/>
      <c r="F50" s="120"/>
      <c r="G50" s="3">
        <f>IF(G52&lt;&gt;0,+G52/G54,0%)</f>
        <v>0.1991869918699187</v>
      </c>
      <c r="H50" s="16">
        <f>IF(H52&lt;&gt;0,+H52/H54,0%)</f>
        <v>0</v>
      </c>
      <c r="I50" s="16">
        <f>IF(I52&lt;&gt;0,+I52/I54,0%)</f>
        <v>0</v>
      </c>
      <c r="J50" s="15">
        <f>IF(J52&lt;&gt;0,+J52/J54,0%)</f>
        <v>0</v>
      </c>
      <c r="K50" s="16">
        <f t="shared" ref="K50:AD50" si="7">IF(K52&lt;&gt;0,+K52/K54,0%)</f>
        <v>0</v>
      </c>
      <c r="L50" s="15">
        <f t="shared" si="7"/>
        <v>0</v>
      </c>
      <c r="M50" s="16">
        <f t="shared" si="7"/>
        <v>0</v>
      </c>
      <c r="N50" s="15">
        <f t="shared" si="7"/>
        <v>0</v>
      </c>
      <c r="O50" s="16">
        <f t="shared" si="7"/>
        <v>0</v>
      </c>
      <c r="P50" s="15">
        <f t="shared" si="7"/>
        <v>0</v>
      </c>
      <c r="Q50" s="16">
        <f t="shared" si="7"/>
        <v>0</v>
      </c>
      <c r="R50" s="15">
        <f t="shared" si="7"/>
        <v>0</v>
      </c>
      <c r="S50" s="16">
        <f t="shared" si="7"/>
        <v>0</v>
      </c>
      <c r="T50" s="15">
        <f t="shared" si="7"/>
        <v>0</v>
      </c>
      <c r="U50" s="16">
        <f t="shared" si="7"/>
        <v>0</v>
      </c>
      <c r="V50" s="15">
        <f t="shared" si="7"/>
        <v>0</v>
      </c>
      <c r="W50" s="16">
        <f t="shared" si="7"/>
        <v>0</v>
      </c>
      <c r="X50" s="15">
        <f t="shared" si="7"/>
        <v>0</v>
      </c>
      <c r="Y50" s="16">
        <f t="shared" si="7"/>
        <v>0</v>
      </c>
      <c r="Z50" s="15">
        <f t="shared" si="7"/>
        <v>0</v>
      </c>
      <c r="AA50" s="16">
        <f t="shared" si="7"/>
        <v>0</v>
      </c>
      <c r="AB50" s="15">
        <f t="shared" si="7"/>
        <v>0</v>
      </c>
      <c r="AC50" s="16">
        <f t="shared" si="7"/>
        <v>0</v>
      </c>
      <c r="AD50" s="56">
        <f t="shared" si="7"/>
        <v>0</v>
      </c>
      <c r="AE50" s="61"/>
    </row>
    <row r="51" spans="1:31" ht="19.899999999999999" customHeight="1">
      <c r="A51" s="116"/>
      <c r="B51" s="116"/>
      <c r="C51" s="116"/>
      <c r="D51" s="118"/>
      <c r="E51" s="118"/>
      <c r="F51" s="120"/>
      <c r="G51" s="2" t="s">
        <v>27</v>
      </c>
      <c r="H51" s="17" t="s">
        <v>27</v>
      </c>
      <c r="I51" s="17"/>
      <c r="J51" s="18" t="s">
        <v>27</v>
      </c>
      <c r="K51" s="45" t="s">
        <v>27</v>
      </c>
      <c r="L51" s="19" t="s">
        <v>27</v>
      </c>
      <c r="M51" s="45" t="s">
        <v>27</v>
      </c>
      <c r="N51" s="19" t="s">
        <v>27</v>
      </c>
      <c r="O51" s="45" t="s">
        <v>27</v>
      </c>
      <c r="P51" s="19" t="s">
        <v>27</v>
      </c>
      <c r="Q51" s="45" t="s">
        <v>27</v>
      </c>
      <c r="R51" s="19" t="s">
        <v>27</v>
      </c>
      <c r="S51" s="45" t="s">
        <v>27</v>
      </c>
      <c r="T51" s="19" t="s">
        <v>27</v>
      </c>
      <c r="U51" s="45" t="s">
        <v>27</v>
      </c>
      <c r="V51" s="19" t="s">
        <v>27</v>
      </c>
      <c r="W51" s="46" t="s">
        <v>27</v>
      </c>
      <c r="X51" s="19" t="s">
        <v>27</v>
      </c>
      <c r="Y51" s="17" t="s">
        <v>27</v>
      </c>
      <c r="Z51" s="19" t="s">
        <v>27</v>
      </c>
      <c r="AA51" s="17" t="s">
        <v>27</v>
      </c>
      <c r="AB51" s="19" t="s">
        <v>27</v>
      </c>
      <c r="AC51" s="17" t="s">
        <v>27</v>
      </c>
      <c r="AD51" s="57" t="s">
        <v>27</v>
      </c>
      <c r="AE51" s="63"/>
    </row>
    <row r="52" spans="1:31" ht="19.899999999999999" customHeight="1">
      <c r="A52" s="116"/>
      <c r="B52" s="116"/>
      <c r="C52" s="116"/>
      <c r="D52" s="118"/>
      <c r="E52" s="118"/>
      <c r="F52" s="121"/>
      <c r="G52" s="4">
        <v>49</v>
      </c>
      <c r="H52" s="75">
        <v>0</v>
      </c>
      <c r="I52" s="75">
        <v>0</v>
      </c>
      <c r="J52" s="41">
        <f>+H52+I52</f>
        <v>0</v>
      </c>
      <c r="K52" s="75">
        <v>0</v>
      </c>
      <c r="L52" s="41">
        <f>+J52+K52</f>
        <v>0</v>
      </c>
      <c r="M52" s="75">
        <v>0</v>
      </c>
      <c r="N52" s="41">
        <f>+L52+M52</f>
        <v>0</v>
      </c>
      <c r="O52" s="75">
        <v>0</v>
      </c>
      <c r="P52" s="41">
        <f>+N52+O52</f>
        <v>0</v>
      </c>
      <c r="Q52" s="75">
        <v>0</v>
      </c>
      <c r="R52" s="41">
        <f>+P52+Q52</f>
        <v>0</v>
      </c>
      <c r="S52" s="75">
        <v>0</v>
      </c>
      <c r="T52" s="41">
        <f>+R52+S52</f>
        <v>0</v>
      </c>
      <c r="U52" s="75">
        <v>0</v>
      </c>
      <c r="V52" s="41">
        <f>+T52+U52</f>
        <v>0</v>
      </c>
      <c r="W52" s="75">
        <v>0</v>
      </c>
      <c r="X52" s="41">
        <f>+V52+W52</f>
        <v>0</v>
      </c>
      <c r="Y52" s="75">
        <v>0</v>
      </c>
      <c r="Z52" s="41">
        <f>+X52+Y52</f>
        <v>0</v>
      </c>
      <c r="AA52" s="75">
        <v>0</v>
      </c>
      <c r="AB52" s="41">
        <f>+Z52+AA52</f>
        <v>0</v>
      </c>
      <c r="AC52" s="75">
        <v>0</v>
      </c>
      <c r="AD52" s="26">
        <f>AB52+AC52</f>
        <v>0</v>
      </c>
      <c r="AE52" s="64">
        <f>AD50/E49</f>
        <v>0</v>
      </c>
    </row>
    <row r="53" spans="1:31" ht="19.899999999999999" customHeight="1">
      <c r="A53" s="116"/>
      <c r="B53" s="116"/>
      <c r="C53" s="116"/>
      <c r="D53" s="118"/>
      <c r="E53" s="118"/>
      <c r="F53" s="122" t="s">
        <v>59</v>
      </c>
      <c r="G53" s="6" t="s">
        <v>29</v>
      </c>
      <c r="H53" s="20" t="s">
        <v>29</v>
      </c>
      <c r="I53" s="20" t="s">
        <v>29</v>
      </c>
      <c r="J53" s="21" t="s">
        <v>29</v>
      </c>
      <c r="K53" s="47" t="s">
        <v>29</v>
      </c>
      <c r="L53" s="22" t="s">
        <v>29</v>
      </c>
      <c r="M53" s="47" t="s">
        <v>29</v>
      </c>
      <c r="N53" s="22" t="s">
        <v>29</v>
      </c>
      <c r="O53" s="47" t="s">
        <v>29</v>
      </c>
      <c r="P53" s="22" t="s">
        <v>29</v>
      </c>
      <c r="Q53" s="47" t="s">
        <v>29</v>
      </c>
      <c r="R53" s="22" t="s">
        <v>29</v>
      </c>
      <c r="S53" s="47" t="s">
        <v>29</v>
      </c>
      <c r="T53" s="22" t="s">
        <v>29</v>
      </c>
      <c r="U53" s="47" t="s">
        <v>29</v>
      </c>
      <c r="V53" s="22" t="s">
        <v>29</v>
      </c>
      <c r="W53" s="20" t="s">
        <v>29</v>
      </c>
      <c r="X53" s="22" t="s">
        <v>29</v>
      </c>
      <c r="Y53" s="20" t="s">
        <v>29</v>
      </c>
      <c r="Z53" s="22" t="s">
        <v>29</v>
      </c>
      <c r="AA53" s="20" t="s">
        <v>29</v>
      </c>
      <c r="AB53" s="22" t="s">
        <v>29</v>
      </c>
      <c r="AC53" s="20" t="s">
        <v>29</v>
      </c>
      <c r="AD53" s="59" t="s">
        <v>29</v>
      </c>
      <c r="AE53" s="113"/>
    </row>
    <row r="54" spans="1:31" ht="19.899999999999999" customHeight="1">
      <c r="A54" s="117"/>
      <c r="B54" s="117"/>
      <c r="C54" s="117"/>
      <c r="D54" s="118"/>
      <c r="E54" s="118"/>
      <c r="F54" s="123"/>
      <c r="G54" s="5">
        <v>246</v>
      </c>
      <c r="H54" s="23">
        <v>246</v>
      </c>
      <c r="I54" s="23">
        <v>246</v>
      </c>
      <c r="J54" s="48">
        <v>246</v>
      </c>
      <c r="K54" s="51">
        <v>246</v>
      </c>
      <c r="L54" s="24">
        <v>246</v>
      </c>
      <c r="M54" s="51">
        <v>246</v>
      </c>
      <c r="N54" s="24">
        <v>246</v>
      </c>
      <c r="O54" s="51">
        <v>246</v>
      </c>
      <c r="P54" s="24">
        <v>246</v>
      </c>
      <c r="Q54" s="23">
        <v>246</v>
      </c>
      <c r="R54" s="48">
        <v>246</v>
      </c>
      <c r="S54" s="51">
        <v>246</v>
      </c>
      <c r="T54" s="24">
        <v>246</v>
      </c>
      <c r="U54" s="51">
        <v>246</v>
      </c>
      <c r="V54" s="24">
        <v>246</v>
      </c>
      <c r="W54" s="51">
        <v>246</v>
      </c>
      <c r="X54" s="24">
        <v>246</v>
      </c>
      <c r="Y54" s="51">
        <v>246</v>
      </c>
      <c r="Z54" s="24">
        <v>246</v>
      </c>
      <c r="AA54" s="51">
        <v>246</v>
      </c>
      <c r="AB54" s="24">
        <v>246</v>
      </c>
      <c r="AC54" s="51">
        <v>246</v>
      </c>
      <c r="AD54" s="60">
        <v>246</v>
      </c>
      <c r="AE54" s="114"/>
    </row>
  </sheetData>
  <mergeCells count="95">
    <mergeCell ref="A37:A42"/>
    <mergeCell ref="A43:A48"/>
    <mergeCell ref="A49:A54"/>
    <mergeCell ref="D11:D12"/>
    <mergeCell ref="D13:D18"/>
    <mergeCell ref="D19:D24"/>
    <mergeCell ref="D25:D30"/>
    <mergeCell ref="D31:D36"/>
    <mergeCell ref="D37:D42"/>
    <mergeCell ref="D43:D48"/>
    <mergeCell ref="D49:D54"/>
    <mergeCell ref="A11:A12"/>
    <mergeCell ref="A13:A18"/>
    <mergeCell ref="A19:A24"/>
    <mergeCell ref="A25:A30"/>
    <mergeCell ref="A31:A36"/>
    <mergeCell ref="F25:F28"/>
    <mergeCell ref="F29:F30"/>
    <mergeCell ref="F31:F34"/>
    <mergeCell ref="F35:F36"/>
    <mergeCell ref="E31:E36"/>
    <mergeCell ref="B31:B36"/>
    <mergeCell ref="C31:C36"/>
    <mergeCell ref="B25:B30"/>
    <mergeCell ref="C25:C30"/>
    <mergeCell ref="E25:E30"/>
    <mergeCell ref="B37:B42"/>
    <mergeCell ref="C37:C42"/>
    <mergeCell ref="E37:E42"/>
    <mergeCell ref="F37:F40"/>
    <mergeCell ref="F41:F42"/>
    <mergeCell ref="G6:L6"/>
    <mergeCell ref="B8:F8"/>
    <mergeCell ref="B9:F9"/>
    <mergeCell ref="B1:B5"/>
    <mergeCell ref="C1:F5"/>
    <mergeCell ref="C6:F6"/>
    <mergeCell ref="G1:L1"/>
    <mergeCell ref="G2:L2"/>
    <mergeCell ref="G3:L3"/>
    <mergeCell ref="G4:L4"/>
    <mergeCell ref="G5:L5"/>
    <mergeCell ref="B11:B12"/>
    <mergeCell ref="C11:C12"/>
    <mergeCell ref="E11:E12"/>
    <mergeCell ref="F11:F12"/>
    <mergeCell ref="E19:E24"/>
    <mergeCell ref="B13:B18"/>
    <mergeCell ref="C13:C18"/>
    <mergeCell ref="F13:F15"/>
    <mergeCell ref="F16:F18"/>
    <mergeCell ref="E13:E18"/>
    <mergeCell ref="F22:F24"/>
    <mergeCell ref="B19:B24"/>
    <mergeCell ref="G11:G12"/>
    <mergeCell ref="P11:P12"/>
    <mergeCell ref="V11:V12"/>
    <mergeCell ref="W11:W12"/>
    <mergeCell ref="C19:C24"/>
    <mergeCell ref="F19:F21"/>
    <mergeCell ref="Q11:Q12"/>
    <mergeCell ref="R11:R12"/>
    <mergeCell ref="S11:S12"/>
    <mergeCell ref="J11:J12"/>
    <mergeCell ref="T11:T12"/>
    <mergeCell ref="AD11:AD12"/>
    <mergeCell ref="U11:U12"/>
    <mergeCell ref="X11:X12"/>
    <mergeCell ref="AE11:AE12"/>
    <mergeCell ref="AE35:AE36"/>
    <mergeCell ref="AA11:AA12"/>
    <mergeCell ref="AB11:AB12"/>
    <mergeCell ref="AC11:AC12"/>
    <mergeCell ref="AE47:AE48"/>
    <mergeCell ref="Z11:Z12"/>
    <mergeCell ref="Y11:Y12"/>
    <mergeCell ref="B43:B48"/>
    <mergeCell ref="C43:C48"/>
    <mergeCell ref="E43:E48"/>
    <mergeCell ref="F43:F46"/>
    <mergeCell ref="F47:F48"/>
    <mergeCell ref="K11:K12"/>
    <mergeCell ref="L11:L12"/>
    <mergeCell ref="M11:M12"/>
    <mergeCell ref="N11:N12"/>
    <mergeCell ref="O11:O12"/>
    <mergeCell ref="AE41:AE42"/>
    <mergeCell ref="H11:H12"/>
    <mergeCell ref="I11:I12"/>
    <mergeCell ref="AE53:AE54"/>
    <mergeCell ref="B49:B54"/>
    <mergeCell ref="C49:C54"/>
    <mergeCell ref="E49:E54"/>
    <mergeCell ref="F49:F52"/>
    <mergeCell ref="F53:F54"/>
  </mergeCells>
  <pageMargins left="0.70866141732283472" right="0.70866141732283472" top="0.74803149606299213" bottom="0.74803149606299213" header="0.31496062992125984" footer="0.31496062992125984"/>
  <pageSetup paperSize="120" scale="30" orientation="landscape" horizontalDpi="1200" verticalDpi="1200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0"/>
  <sheetViews>
    <sheetView topLeftCell="A11" workbookViewId="0">
      <pane xSplit="5" ySplit="5" topLeftCell="F49" activePane="bottomRight" state="frozen"/>
      <selection pane="bottomRight" activeCell="H1" sqref="H1:H1048576"/>
      <selection pane="bottomLeft" activeCell="A13" sqref="A13"/>
      <selection pane="topRight" activeCell="D11" sqref="D11"/>
    </sheetView>
  </sheetViews>
  <sheetFormatPr defaultColWidth="11.42578125" defaultRowHeight="12.75" customHeight="1"/>
  <cols>
    <col min="1" max="1" width="12.5703125" style="7" customWidth="1"/>
    <col min="2" max="3" width="25.7109375" style="7" customWidth="1"/>
    <col min="4" max="4" width="11.7109375" style="7" customWidth="1"/>
    <col min="5" max="5" width="9.42578125" style="7" customWidth="1"/>
    <col min="6" max="6" width="28.140625" style="7" customWidth="1"/>
    <col min="7" max="7" width="13.42578125" style="7" customWidth="1"/>
    <col min="8" max="8" width="11.42578125" style="85"/>
    <col min="9" max="30" width="11.42578125" style="7"/>
    <col min="31" max="31" width="12.7109375" style="7" customWidth="1"/>
    <col min="32" max="16384" width="11.42578125" style="7"/>
  </cols>
  <sheetData>
    <row r="1" spans="1:31" ht="15.75" customHeight="1">
      <c r="B1" s="178"/>
      <c r="C1" s="181" t="s">
        <v>0</v>
      </c>
      <c r="D1" s="182"/>
      <c r="E1" s="182"/>
      <c r="F1" s="183"/>
      <c r="G1" s="181" t="s">
        <v>1</v>
      </c>
      <c r="H1" s="182"/>
      <c r="I1" s="182"/>
      <c r="J1" s="182"/>
      <c r="K1" s="182"/>
      <c r="L1" s="183"/>
    </row>
    <row r="2" spans="1:31" ht="15.75" customHeight="1">
      <c r="B2" s="179"/>
      <c r="C2" s="184"/>
      <c r="D2" s="185"/>
      <c r="E2" s="185"/>
      <c r="F2" s="186"/>
      <c r="G2" s="184" t="s">
        <v>2</v>
      </c>
      <c r="H2" s="185"/>
      <c r="I2" s="185"/>
      <c r="J2" s="185"/>
      <c r="K2" s="185"/>
      <c r="L2" s="186"/>
    </row>
    <row r="3" spans="1:31" ht="15.75" customHeight="1">
      <c r="B3" s="179"/>
      <c r="C3" s="184"/>
      <c r="D3" s="185"/>
      <c r="E3" s="185"/>
      <c r="F3" s="186"/>
      <c r="G3" s="184" t="s">
        <v>3</v>
      </c>
      <c r="H3" s="185"/>
      <c r="I3" s="185"/>
      <c r="J3" s="185"/>
      <c r="K3" s="185"/>
      <c r="L3" s="186"/>
    </row>
    <row r="4" spans="1:31">
      <c r="B4" s="179"/>
      <c r="C4" s="184"/>
      <c r="D4" s="185"/>
      <c r="E4" s="185"/>
      <c r="F4" s="186"/>
      <c r="G4" s="190"/>
      <c r="H4" s="191"/>
      <c r="I4" s="191"/>
      <c r="J4" s="191"/>
      <c r="K4" s="191"/>
      <c r="L4" s="192"/>
    </row>
    <row r="5" spans="1:31" ht="13.5" customHeight="1">
      <c r="B5" s="180"/>
      <c r="C5" s="187"/>
      <c r="D5" s="188"/>
      <c r="E5" s="188"/>
      <c r="F5" s="189"/>
      <c r="G5" s="193" t="s">
        <v>60</v>
      </c>
      <c r="H5" s="194"/>
      <c r="I5" s="194"/>
      <c r="J5" s="194"/>
      <c r="K5" s="194"/>
      <c r="L5" s="195"/>
    </row>
    <row r="6" spans="1:31" ht="13.5">
      <c r="B6" s="8" t="s">
        <v>5</v>
      </c>
      <c r="C6" s="174" t="s">
        <v>6</v>
      </c>
      <c r="D6" s="175"/>
      <c r="E6" s="175"/>
      <c r="F6" s="176"/>
      <c r="G6" s="174" t="s">
        <v>7</v>
      </c>
      <c r="H6" s="175"/>
      <c r="I6" s="175"/>
      <c r="J6" s="175"/>
      <c r="K6" s="175"/>
      <c r="L6" s="176"/>
    </row>
    <row r="7" spans="1:31" ht="20.100000000000001" customHeight="1">
      <c r="B7" s="82" t="s">
        <v>61</v>
      </c>
      <c r="C7" s="10"/>
      <c r="D7" s="10"/>
      <c r="E7" s="10"/>
      <c r="F7" s="10"/>
      <c r="G7" s="10"/>
      <c r="H7" s="97"/>
      <c r="I7" s="10"/>
      <c r="J7" s="10"/>
      <c r="K7" s="10"/>
      <c r="L7" s="10"/>
    </row>
    <row r="8" spans="1:31" ht="20.100000000000001" customHeight="1">
      <c r="B8" s="177" t="s">
        <v>8</v>
      </c>
      <c r="C8" s="177"/>
      <c r="D8" s="177"/>
      <c r="E8" s="177"/>
      <c r="F8" s="177"/>
    </row>
    <row r="9" spans="1:31" ht="20.100000000000001" customHeight="1">
      <c r="B9" s="177" t="s">
        <v>9</v>
      </c>
      <c r="C9" s="177"/>
      <c r="D9" s="177"/>
      <c r="E9" s="177"/>
      <c r="F9" s="177"/>
      <c r="G9" s="65"/>
      <c r="H9" s="98"/>
      <c r="I9" s="67"/>
      <c r="J9" s="68"/>
      <c r="P9" s="69"/>
      <c r="Q9" s="69"/>
      <c r="R9" s="69"/>
      <c r="S9" s="69"/>
      <c r="T9" s="69"/>
      <c r="U9" s="69"/>
      <c r="V9" s="69"/>
      <c r="W9" s="69"/>
    </row>
    <row r="10" spans="1:31" ht="20.100000000000001" customHeight="1">
      <c r="B10" s="11" t="s">
        <v>10</v>
      </c>
    </row>
    <row r="11" spans="1:31" ht="15" customHeight="1">
      <c r="A11" s="124" t="s">
        <v>11</v>
      </c>
      <c r="B11" s="124" t="s">
        <v>12</v>
      </c>
      <c r="C11" s="124" t="s">
        <v>13</v>
      </c>
      <c r="D11" s="124" t="s">
        <v>62</v>
      </c>
      <c r="E11" s="140" t="s">
        <v>63</v>
      </c>
      <c r="F11" s="124" t="s">
        <v>16</v>
      </c>
      <c r="G11" s="124" t="s">
        <v>17</v>
      </c>
      <c r="H11" s="236">
        <v>45778</v>
      </c>
      <c r="I11" s="126">
        <v>45809</v>
      </c>
      <c r="J11" s="156" t="s">
        <v>18</v>
      </c>
      <c r="K11" s="135">
        <v>45839</v>
      </c>
      <c r="L11" s="137" t="s">
        <v>18</v>
      </c>
      <c r="M11" s="135">
        <v>45870</v>
      </c>
      <c r="N11" s="137" t="s">
        <v>18</v>
      </c>
      <c r="O11" s="135">
        <v>45901</v>
      </c>
      <c r="P11" s="150" t="s">
        <v>18</v>
      </c>
      <c r="Q11" s="155">
        <v>45931</v>
      </c>
      <c r="R11" s="137" t="s">
        <v>18</v>
      </c>
      <c r="S11" s="142">
        <v>45962</v>
      </c>
      <c r="T11" s="124" t="s">
        <v>18</v>
      </c>
      <c r="U11" s="142">
        <v>45992</v>
      </c>
      <c r="V11" s="137" t="s">
        <v>18</v>
      </c>
      <c r="W11" s="126">
        <v>46023</v>
      </c>
      <c r="X11" s="124" t="s">
        <v>18</v>
      </c>
      <c r="Y11" s="126">
        <v>46054</v>
      </c>
      <c r="Z11" s="124" t="s">
        <v>18</v>
      </c>
      <c r="AA11" s="147">
        <v>46082</v>
      </c>
      <c r="AB11" s="124" t="s">
        <v>18</v>
      </c>
      <c r="AC11" s="126">
        <v>46113</v>
      </c>
      <c r="AD11" s="140" t="s">
        <v>19</v>
      </c>
      <c r="AE11" s="144" t="s">
        <v>20</v>
      </c>
    </row>
    <row r="12" spans="1:31" ht="15" customHeight="1">
      <c r="A12" s="139"/>
      <c r="B12" s="139"/>
      <c r="C12" s="139"/>
      <c r="D12" s="139"/>
      <c r="E12" s="141"/>
      <c r="F12" s="139"/>
      <c r="G12" s="149"/>
      <c r="H12" s="237"/>
      <c r="I12" s="139"/>
      <c r="J12" s="157"/>
      <c r="K12" s="136"/>
      <c r="L12" s="136"/>
      <c r="M12" s="136"/>
      <c r="N12" s="138"/>
      <c r="O12" s="136"/>
      <c r="P12" s="151"/>
      <c r="Q12" s="151"/>
      <c r="R12" s="138"/>
      <c r="S12" s="143"/>
      <c r="T12" s="139"/>
      <c r="U12" s="143"/>
      <c r="V12" s="136"/>
      <c r="W12" s="125"/>
      <c r="X12" s="125"/>
      <c r="Y12" s="125"/>
      <c r="Z12" s="125"/>
      <c r="AA12" s="148"/>
      <c r="AB12" s="125"/>
      <c r="AC12" s="139"/>
      <c r="AD12" s="141"/>
      <c r="AE12" s="145"/>
    </row>
    <row r="13" spans="1:31" ht="15" customHeight="1">
      <c r="A13" s="222" t="s">
        <v>21</v>
      </c>
      <c r="B13" s="222" t="s">
        <v>22</v>
      </c>
      <c r="C13" s="222" t="s">
        <v>23</v>
      </c>
      <c r="D13" s="233">
        <v>0.15</v>
      </c>
      <c r="E13" s="233" t="s">
        <v>24</v>
      </c>
      <c r="F13" s="119" t="s">
        <v>25</v>
      </c>
      <c r="G13" s="1" t="s">
        <v>26</v>
      </c>
      <c r="H13" s="99" t="s">
        <v>26</v>
      </c>
      <c r="I13" s="12" t="s">
        <v>26</v>
      </c>
      <c r="J13" s="13" t="s">
        <v>26</v>
      </c>
      <c r="K13" s="12" t="s">
        <v>26</v>
      </c>
      <c r="L13" s="14" t="s">
        <v>26</v>
      </c>
      <c r="M13" s="12" t="s">
        <v>26</v>
      </c>
      <c r="N13" s="14" t="s">
        <v>26</v>
      </c>
      <c r="O13" s="12" t="s">
        <v>26</v>
      </c>
      <c r="P13" s="14" t="s">
        <v>26</v>
      </c>
      <c r="Q13" s="12" t="s">
        <v>26</v>
      </c>
      <c r="R13" s="14" t="s">
        <v>26</v>
      </c>
      <c r="S13" s="12" t="s">
        <v>26</v>
      </c>
      <c r="T13" s="14" t="s">
        <v>26</v>
      </c>
      <c r="U13" s="12" t="s">
        <v>26</v>
      </c>
      <c r="V13" s="14" t="s">
        <v>26</v>
      </c>
      <c r="W13" s="12" t="s">
        <v>26</v>
      </c>
      <c r="X13" s="14" t="s">
        <v>26</v>
      </c>
      <c r="Y13" s="12" t="s">
        <v>26</v>
      </c>
      <c r="Z13" s="14" t="s">
        <v>26</v>
      </c>
      <c r="AA13" s="12" t="s">
        <v>26</v>
      </c>
      <c r="AB13" s="14" t="s">
        <v>26</v>
      </c>
      <c r="AC13" s="12" t="s">
        <v>26</v>
      </c>
      <c r="AD13" s="14" t="s">
        <v>26</v>
      </c>
      <c r="AE13" s="70"/>
    </row>
    <row r="14" spans="1:31" ht="15" customHeight="1">
      <c r="A14" s="228"/>
      <c r="B14" s="228"/>
      <c r="C14" s="228"/>
      <c r="D14" s="234"/>
      <c r="E14" s="234"/>
      <c r="F14" s="163"/>
      <c r="G14" s="3" t="s">
        <v>24</v>
      </c>
      <c r="H14" s="100">
        <f>IF(H16&lt;&gt;0,+H16/H18,0%)</f>
        <v>0</v>
      </c>
      <c r="I14" s="71">
        <f>IF(I16&lt;&gt;0,+I16/I18,0%)</f>
        <v>0</v>
      </c>
      <c r="J14" s="72">
        <f>IF(J16&lt;&gt;0,ROUND(+J16/J18,4),0%)</f>
        <v>0</v>
      </c>
      <c r="K14" s="71">
        <f>IF(K16&lt;&gt;0,+K16/K18,0%)</f>
        <v>0</v>
      </c>
      <c r="L14" s="15">
        <f>IF(L16&lt;&gt;0,ROUND(+L16/L18,4),0%)</f>
        <v>0</v>
      </c>
      <c r="M14" s="16">
        <f>IF(M16&lt;&gt;0,+M16/M18,0%)</f>
        <v>0</v>
      </c>
      <c r="N14" s="15">
        <f>IF(N16&lt;&gt;0,ROUND(+N16/N18,4),0%)</f>
        <v>0</v>
      </c>
      <c r="O14" s="16">
        <f>IF(O16&lt;&gt;0,+O16/O18,0%)</f>
        <v>0</v>
      </c>
      <c r="P14" s="15">
        <f t="shared" ref="P14:AC14" si="0">IF(P16&lt;&gt;0,ROUND(+P16/P18,4),0%)</f>
        <v>0</v>
      </c>
      <c r="Q14" s="16">
        <f>IF(Q16&lt;&gt;0,+Q16/Q18,0%)</f>
        <v>0</v>
      </c>
      <c r="R14" s="15">
        <f t="shared" si="0"/>
        <v>0</v>
      </c>
      <c r="S14" s="16">
        <f t="shared" si="0"/>
        <v>0</v>
      </c>
      <c r="T14" s="15">
        <f t="shared" si="0"/>
        <v>0</v>
      </c>
      <c r="U14" s="73">
        <f t="shared" si="0"/>
        <v>0</v>
      </c>
      <c r="V14" s="15">
        <f t="shared" si="0"/>
        <v>0</v>
      </c>
      <c r="W14" s="16">
        <f t="shared" si="0"/>
        <v>0</v>
      </c>
      <c r="X14" s="15">
        <f t="shared" si="0"/>
        <v>0</v>
      </c>
      <c r="Y14" s="16">
        <f t="shared" si="0"/>
        <v>0</v>
      </c>
      <c r="Z14" s="15">
        <f t="shared" si="0"/>
        <v>0</v>
      </c>
      <c r="AA14" s="16">
        <f t="shared" si="0"/>
        <v>0</v>
      </c>
      <c r="AB14" s="15">
        <f t="shared" si="0"/>
        <v>0</v>
      </c>
      <c r="AC14" s="16">
        <f t="shared" si="0"/>
        <v>1</v>
      </c>
      <c r="AD14" s="15">
        <f>IF(AD16&lt;&gt;0,+AD16/AD18,0%)</f>
        <v>1</v>
      </c>
      <c r="AE14" s="74"/>
    </row>
    <row r="15" spans="1:31" ht="15" customHeight="1">
      <c r="A15" s="228"/>
      <c r="B15" s="228"/>
      <c r="C15" s="228"/>
      <c r="D15" s="234"/>
      <c r="E15" s="234"/>
      <c r="F15" s="164"/>
      <c r="G15" s="2" t="s">
        <v>27</v>
      </c>
      <c r="H15" s="101" t="s">
        <v>27</v>
      </c>
      <c r="I15" s="17" t="s">
        <v>27</v>
      </c>
      <c r="J15" s="18" t="s">
        <v>27</v>
      </c>
      <c r="K15" s="17" t="s">
        <v>27</v>
      </c>
      <c r="L15" s="19" t="s">
        <v>27</v>
      </c>
      <c r="M15" s="17" t="s">
        <v>27</v>
      </c>
      <c r="N15" s="19" t="s">
        <v>27</v>
      </c>
      <c r="O15" s="17" t="s">
        <v>27</v>
      </c>
      <c r="P15" s="19" t="s">
        <v>27</v>
      </c>
      <c r="Q15" s="17" t="s">
        <v>27</v>
      </c>
      <c r="R15" s="19" t="s">
        <v>27</v>
      </c>
      <c r="S15" s="17" t="s">
        <v>27</v>
      </c>
      <c r="T15" s="19" t="s">
        <v>27</v>
      </c>
      <c r="U15" s="17" t="s">
        <v>27</v>
      </c>
      <c r="V15" s="19" t="s">
        <v>27</v>
      </c>
      <c r="W15" s="17" t="s">
        <v>27</v>
      </c>
      <c r="X15" s="19" t="s">
        <v>27</v>
      </c>
      <c r="Y15" s="17" t="s">
        <v>27</v>
      </c>
      <c r="Z15" s="19" t="s">
        <v>27</v>
      </c>
      <c r="AA15" s="17" t="s">
        <v>27</v>
      </c>
      <c r="AB15" s="19" t="s">
        <v>27</v>
      </c>
      <c r="AC15" s="17" t="s">
        <v>27</v>
      </c>
      <c r="AD15" s="19" t="s">
        <v>27</v>
      </c>
      <c r="AE15" s="74"/>
    </row>
    <row r="16" spans="1:31" ht="15" customHeight="1">
      <c r="A16" s="228"/>
      <c r="B16" s="228"/>
      <c r="C16" s="228"/>
      <c r="D16" s="234"/>
      <c r="E16" s="234"/>
      <c r="F16" s="165" t="s">
        <v>28</v>
      </c>
      <c r="G16" s="4">
        <v>1</v>
      </c>
      <c r="H16" s="102">
        <v>0</v>
      </c>
      <c r="I16" s="75">
        <v>0</v>
      </c>
      <c r="J16" s="41">
        <f>+H16+I16</f>
        <v>0</v>
      </c>
      <c r="K16" s="75">
        <v>0</v>
      </c>
      <c r="L16" s="41">
        <f>+J16+K16</f>
        <v>0</v>
      </c>
      <c r="M16" s="75">
        <v>0</v>
      </c>
      <c r="N16" s="41">
        <f>+L16+M16</f>
        <v>0</v>
      </c>
      <c r="O16" s="75">
        <v>0</v>
      </c>
      <c r="P16" s="41">
        <f>+N16+O16</f>
        <v>0</v>
      </c>
      <c r="Q16" s="75">
        <v>0</v>
      </c>
      <c r="R16" s="41">
        <f>+P16+Q16</f>
        <v>0</v>
      </c>
      <c r="S16" s="75">
        <v>0</v>
      </c>
      <c r="T16" s="41">
        <f>+R16+S16</f>
        <v>0</v>
      </c>
      <c r="U16" s="75">
        <v>0</v>
      </c>
      <c r="V16" s="41">
        <f>+T16+U16</f>
        <v>0</v>
      </c>
      <c r="W16" s="75">
        <v>0</v>
      </c>
      <c r="X16" s="41">
        <f>+V16+W16</f>
        <v>0</v>
      </c>
      <c r="Y16" s="75">
        <v>0</v>
      </c>
      <c r="Z16" s="41">
        <f>+X16+Y16</f>
        <v>0</v>
      </c>
      <c r="AA16" s="75">
        <v>0</v>
      </c>
      <c r="AB16" s="41">
        <f>+Z16+AA16</f>
        <v>0</v>
      </c>
      <c r="AC16" s="75">
        <v>1</v>
      </c>
      <c r="AD16" s="41">
        <f>+AB16+AC16</f>
        <v>1</v>
      </c>
      <c r="AE16" s="76" t="e">
        <f>AD14/E13</f>
        <v>#VALUE!</v>
      </c>
    </row>
    <row r="17" spans="1:31" ht="15" customHeight="1">
      <c r="A17" s="228"/>
      <c r="B17" s="228"/>
      <c r="C17" s="228"/>
      <c r="D17" s="234"/>
      <c r="E17" s="234"/>
      <c r="F17" s="166"/>
      <c r="G17" s="6" t="s">
        <v>29</v>
      </c>
      <c r="H17" s="103" t="s">
        <v>29</v>
      </c>
      <c r="I17" s="20" t="s">
        <v>29</v>
      </c>
      <c r="J17" s="21" t="s">
        <v>29</v>
      </c>
      <c r="K17" s="20" t="s">
        <v>29</v>
      </c>
      <c r="L17" s="22" t="s">
        <v>29</v>
      </c>
      <c r="M17" s="20" t="s">
        <v>29</v>
      </c>
      <c r="N17" s="22" t="s">
        <v>29</v>
      </c>
      <c r="O17" s="20" t="s">
        <v>29</v>
      </c>
      <c r="P17" s="22" t="s">
        <v>29</v>
      </c>
      <c r="Q17" s="20" t="s">
        <v>29</v>
      </c>
      <c r="R17" s="22" t="s">
        <v>29</v>
      </c>
      <c r="S17" s="20" t="s">
        <v>29</v>
      </c>
      <c r="T17" s="22" t="s">
        <v>29</v>
      </c>
      <c r="U17" s="20" t="s">
        <v>29</v>
      </c>
      <c r="V17" s="22" t="s">
        <v>29</v>
      </c>
      <c r="W17" s="20" t="s">
        <v>29</v>
      </c>
      <c r="X17" s="22" t="s">
        <v>29</v>
      </c>
      <c r="Y17" s="20" t="s">
        <v>29</v>
      </c>
      <c r="Z17" s="22" t="s">
        <v>29</v>
      </c>
      <c r="AA17" s="20" t="s">
        <v>29</v>
      </c>
      <c r="AB17" s="22" t="s">
        <v>29</v>
      </c>
      <c r="AC17" s="20" t="s">
        <v>29</v>
      </c>
      <c r="AD17" s="22" t="s">
        <v>29</v>
      </c>
      <c r="AE17" s="74"/>
    </row>
    <row r="18" spans="1:31" ht="15" customHeight="1">
      <c r="A18" s="229"/>
      <c r="B18" s="229"/>
      <c r="C18" s="229"/>
      <c r="D18" s="235"/>
      <c r="E18" s="235"/>
      <c r="F18" s="166"/>
      <c r="G18" s="5">
        <v>1</v>
      </c>
      <c r="H18" s="104">
        <v>1</v>
      </c>
      <c r="I18" s="23">
        <v>1</v>
      </c>
      <c r="J18" s="24">
        <v>1</v>
      </c>
      <c r="K18" s="23">
        <v>1</v>
      </c>
      <c r="L18" s="24">
        <v>1</v>
      </c>
      <c r="M18" s="23">
        <v>1</v>
      </c>
      <c r="N18" s="24">
        <v>1</v>
      </c>
      <c r="O18" s="23">
        <v>1</v>
      </c>
      <c r="P18" s="24">
        <v>1</v>
      </c>
      <c r="Q18" s="23">
        <v>1</v>
      </c>
      <c r="R18" s="24">
        <v>1</v>
      </c>
      <c r="S18" s="23">
        <v>1</v>
      </c>
      <c r="T18" s="24">
        <v>1</v>
      </c>
      <c r="U18" s="23">
        <v>1</v>
      </c>
      <c r="V18" s="24">
        <v>1</v>
      </c>
      <c r="W18" s="23">
        <v>1</v>
      </c>
      <c r="X18" s="24">
        <v>1</v>
      </c>
      <c r="Y18" s="23">
        <v>1</v>
      </c>
      <c r="Z18" s="24">
        <v>1</v>
      </c>
      <c r="AA18" s="23">
        <v>1</v>
      </c>
      <c r="AB18" s="24">
        <v>1</v>
      </c>
      <c r="AC18" s="23">
        <v>1</v>
      </c>
      <c r="AD18" s="24">
        <v>1</v>
      </c>
      <c r="AE18" s="77"/>
    </row>
    <row r="19" spans="1:31" ht="15" customHeight="1">
      <c r="A19" s="222" t="s">
        <v>30</v>
      </c>
      <c r="B19" s="222" t="s">
        <v>31</v>
      </c>
      <c r="C19" s="222" t="s">
        <v>32</v>
      </c>
      <c r="D19" s="233">
        <v>0.15</v>
      </c>
      <c r="E19" s="233">
        <v>1</v>
      </c>
      <c r="F19" s="152" t="s">
        <v>33</v>
      </c>
      <c r="G19" s="1" t="s">
        <v>26</v>
      </c>
      <c r="H19" s="99" t="s">
        <v>26</v>
      </c>
      <c r="I19" s="12" t="s">
        <v>26</v>
      </c>
      <c r="J19" s="13" t="s">
        <v>26</v>
      </c>
      <c r="K19" s="12" t="s">
        <v>26</v>
      </c>
      <c r="L19" s="14" t="s">
        <v>26</v>
      </c>
      <c r="M19" s="12" t="s">
        <v>26</v>
      </c>
      <c r="N19" s="14" t="s">
        <v>26</v>
      </c>
      <c r="O19" s="12" t="s">
        <v>26</v>
      </c>
      <c r="P19" s="14" t="s">
        <v>26</v>
      </c>
      <c r="Q19" s="12" t="s">
        <v>26</v>
      </c>
      <c r="R19" s="14" t="s">
        <v>26</v>
      </c>
      <c r="S19" s="12" t="s">
        <v>26</v>
      </c>
      <c r="T19" s="14" t="s">
        <v>26</v>
      </c>
      <c r="U19" s="12" t="s">
        <v>26</v>
      </c>
      <c r="V19" s="14" t="s">
        <v>26</v>
      </c>
      <c r="W19" s="12" t="s">
        <v>26</v>
      </c>
      <c r="X19" s="14" t="s">
        <v>26</v>
      </c>
      <c r="Y19" s="12" t="s">
        <v>26</v>
      </c>
      <c r="Z19" s="14" t="s">
        <v>26</v>
      </c>
      <c r="AA19" s="12" t="s">
        <v>26</v>
      </c>
      <c r="AB19" s="14" t="s">
        <v>26</v>
      </c>
      <c r="AC19" s="12" t="s">
        <v>26</v>
      </c>
      <c r="AD19" s="14" t="s">
        <v>26</v>
      </c>
      <c r="AE19" s="70"/>
    </row>
    <row r="20" spans="1:31" ht="15" customHeight="1">
      <c r="A20" s="228"/>
      <c r="B20" s="228"/>
      <c r="C20" s="228"/>
      <c r="D20" s="234"/>
      <c r="E20" s="234"/>
      <c r="F20" s="153"/>
      <c r="G20" s="78">
        <f>IF(G22&lt;&gt;0,+G22/G24,0)</f>
        <v>1</v>
      </c>
      <c r="H20" s="100">
        <f>IF(H22&lt;&gt;0,+H22/H24,0%)</f>
        <v>0</v>
      </c>
      <c r="I20" s="71">
        <f>IF(I22&lt;&gt;0,+I22/I24,0%)</f>
        <v>0</v>
      </c>
      <c r="J20" s="72">
        <f>IF(J22&lt;&gt;0,ROUND(+J22/J24,4),0%)</f>
        <v>0</v>
      </c>
      <c r="K20" s="16">
        <f>IF(K22&lt;&gt;0,+K22/K24,0%)</f>
        <v>0</v>
      </c>
      <c r="L20" s="15">
        <f>IF(L22&lt;&gt;0,ROUND(+L22/L24,4),0%)</f>
        <v>0</v>
      </c>
      <c r="M20" s="16">
        <f>IF(M22&lt;&gt;0,+M22/M24,0%)</f>
        <v>0</v>
      </c>
      <c r="N20" s="15">
        <f>IF(N22&lt;&gt;0,ROUND(+N22/N24,4),0%)</f>
        <v>0</v>
      </c>
      <c r="O20" s="16">
        <f>IF(O22&lt;&gt;0,+O22/O24,0%)</f>
        <v>0</v>
      </c>
      <c r="P20" s="15">
        <f>IF(P22&lt;&gt;0,ROUND(+P22/P24,4),0%)</f>
        <v>0</v>
      </c>
      <c r="Q20" s="16">
        <f>IF(Q22&lt;&gt;0,+Q22/Q24,0%)</f>
        <v>0</v>
      </c>
      <c r="R20" s="15">
        <f>IF(R22&lt;&gt;0,ROUND(+R22/R24,4),0%)</f>
        <v>0</v>
      </c>
      <c r="S20" s="16">
        <f>IF(S22&lt;&gt;0,+S22/S24,0%)</f>
        <v>0</v>
      </c>
      <c r="T20" s="15">
        <f>IF(T22&lt;&gt;0,ROUND(+T22/T24,4),0%)</f>
        <v>0</v>
      </c>
      <c r="U20" s="73">
        <f>IF(U22&lt;&gt;0,+U22/U24,0%)</f>
        <v>0</v>
      </c>
      <c r="V20" s="15">
        <f>IF(V22&lt;&gt;0,ROUND(+V22/V24,4),0%)</f>
        <v>0</v>
      </c>
      <c r="W20" s="16">
        <f>IF(W22&lt;&gt;0,+W22/W24,0%)</f>
        <v>0</v>
      </c>
      <c r="X20" s="15">
        <f>IF(X22&lt;&gt;0,ROUND(+X22/X24,4),0%)</f>
        <v>0</v>
      </c>
      <c r="Y20" s="16">
        <f>IF(Y22&lt;&gt;0,+Y22/Y24,0%)</f>
        <v>0</v>
      </c>
      <c r="Z20" s="15">
        <f>IF(Z22&lt;&gt;0,ROUND(+Z22/Z24,4),0%)</f>
        <v>0</v>
      </c>
      <c r="AA20" s="16">
        <f>IF(AA22&lt;&gt;0,+AA22/AA24,0%)</f>
        <v>0</v>
      </c>
      <c r="AB20" s="15">
        <f>IF(AB22&lt;&gt;0,ROUND(+AB22/AB24,4),0%)</f>
        <v>0</v>
      </c>
      <c r="AC20" s="16">
        <f>IF(AC22&lt;&gt;0,+AC22/AC24,0%)</f>
        <v>1</v>
      </c>
      <c r="AD20" s="15">
        <f>IF(AD22&lt;&gt;0,+AD22/AD24,0%)</f>
        <v>1</v>
      </c>
      <c r="AE20" s="74"/>
    </row>
    <row r="21" spans="1:31" ht="18" customHeight="1">
      <c r="A21" s="228"/>
      <c r="B21" s="228"/>
      <c r="C21" s="228"/>
      <c r="D21" s="234"/>
      <c r="E21" s="234"/>
      <c r="F21" s="154"/>
      <c r="G21" s="2" t="s">
        <v>27</v>
      </c>
      <c r="H21" s="101" t="s">
        <v>27</v>
      </c>
      <c r="I21" s="17" t="s">
        <v>27</v>
      </c>
      <c r="J21" s="18" t="s">
        <v>27</v>
      </c>
      <c r="K21" s="17" t="s">
        <v>27</v>
      </c>
      <c r="L21" s="19" t="s">
        <v>27</v>
      </c>
      <c r="M21" s="17" t="s">
        <v>27</v>
      </c>
      <c r="N21" s="19" t="s">
        <v>27</v>
      </c>
      <c r="O21" s="17" t="s">
        <v>27</v>
      </c>
      <c r="P21" s="19" t="s">
        <v>27</v>
      </c>
      <c r="Q21" s="17" t="s">
        <v>27</v>
      </c>
      <c r="R21" s="19" t="s">
        <v>27</v>
      </c>
      <c r="S21" s="17" t="s">
        <v>27</v>
      </c>
      <c r="T21" s="19" t="s">
        <v>27</v>
      </c>
      <c r="U21" s="17" t="s">
        <v>27</v>
      </c>
      <c r="V21" s="19" t="s">
        <v>27</v>
      </c>
      <c r="W21" s="17" t="s">
        <v>27</v>
      </c>
      <c r="X21" s="19" t="s">
        <v>27</v>
      </c>
      <c r="Y21" s="17" t="s">
        <v>27</v>
      </c>
      <c r="Z21" s="19" t="s">
        <v>27</v>
      </c>
      <c r="AA21" s="17" t="s">
        <v>27</v>
      </c>
      <c r="AB21" s="19" t="s">
        <v>27</v>
      </c>
      <c r="AC21" s="17" t="s">
        <v>27</v>
      </c>
      <c r="AD21" s="19" t="s">
        <v>27</v>
      </c>
      <c r="AE21" s="74"/>
    </row>
    <row r="22" spans="1:31" ht="18" customHeight="1">
      <c r="A22" s="228"/>
      <c r="B22" s="228"/>
      <c r="C22" s="228"/>
      <c r="D22" s="234"/>
      <c r="E22" s="234"/>
      <c r="F22" s="170" t="s">
        <v>34</v>
      </c>
      <c r="G22" s="25">
        <v>2</v>
      </c>
      <c r="H22" s="102">
        <v>0</v>
      </c>
      <c r="I22" s="75">
        <v>0</v>
      </c>
      <c r="J22" s="26">
        <f>H22+I22</f>
        <v>0</v>
      </c>
      <c r="K22" s="75">
        <v>0</v>
      </c>
      <c r="L22" s="26">
        <f>J22+K22</f>
        <v>0</v>
      </c>
      <c r="M22" s="75">
        <v>0</v>
      </c>
      <c r="N22" s="26">
        <f>L22+M22</f>
        <v>0</v>
      </c>
      <c r="O22" s="75">
        <v>0</v>
      </c>
      <c r="P22" s="26">
        <f>N22+O22</f>
        <v>0</v>
      </c>
      <c r="Q22" s="75">
        <v>0</v>
      </c>
      <c r="R22" s="26">
        <f>P22+Q22</f>
        <v>0</v>
      </c>
      <c r="S22" s="75">
        <v>0</v>
      </c>
      <c r="T22" s="26">
        <f>R22+S22</f>
        <v>0</v>
      </c>
      <c r="U22" s="75">
        <v>0</v>
      </c>
      <c r="V22" s="26">
        <f>T22+U22</f>
        <v>0</v>
      </c>
      <c r="W22" s="75">
        <v>0</v>
      </c>
      <c r="X22" s="26">
        <f>V22+W22</f>
        <v>0</v>
      </c>
      <c r="Y22" s="75">
        <v>0</v>
      </c>
      <c r="Z22" s="26">
        <f>X22+Y22</f>
        <v>0</v>
      </c>
      <c r="AA22" s="75">
        <v>0</v>
      </c>
      <c r="AB22" s="41">
        <f>Z22+AA22</f>
        <v>0</v>
      </c>
      <c r="AC22" s="75">
        <v>2</v>
      </c>
      <c r="AD22" s="41">
        <f>AB22+AC22</f>
        <v>2</v>
      </c>
      <c r="AE22" s="76">
        <f>AD20/E19</f>
        <v>1</v>
      </c>
    </row>
    <row r="23" spans="1:31" ht="18" customHeight="1">
      <c r="A23" s="228"/>
      <c r="B23" s="228"/>
      <c r="C23" s="228"/>
      <c r="D23" s="234"/>
      <c r="E23" s="234"/>
      <c r="F23" s="171"/>
      <c r="G23" s="2" t="s">
        <v>29</v>
      </c>
      <c r="H23" s="103" t="s">
        <v>29</v>
      </c>
      <c r="I23" s="20" t="s">
        <v>29</v>
      </c>
      <c r="J23" s="53" t="s">
        <v>29</v>
      </c>
      <c r="K23" s="20" t="s">
        <v>29</v>
      </c>
      <c r="L23" s="53" t="s">
        <v>29</v>
      </c>
      <c r="M23" s="20" t="s">
        <v>29</v>
      </c>
      <c r="N23" s="53" t="s">
        <v>29</v>
      </c>
      <c r="O23" s="20" t="s">
        <v>29</v>
      </c>
      <c r="P23" s="53" t="s">
        <v>29</v>
      </c>
      <c r="Q23" s="6" t="s">
        <v>29</v>
      </c>
      <c r="R23" s="53" t="s">
        <v>29</v>
      </c>
      <c r="S23" s="6" t="s">
        <v>29</v>
      </c>
      <c r="T23" s="53" t="s">
        <v>29</v>
      </c>
      <c r="U23" s="6" t="s">
        <v>29</v>
      </c>
      <c r="V23" s="53" t="s">
        <v>29</v>
      </c>
      <c r="W23" s="6" t="s">
        <v>29</v>
      </c>
      <c r="X23" s="53" t="s">
        <v>29</v>
      </c>
      <c r="Y23" s="6" t="s">
        <v>29</v>
      </c>
      <c r="Z23" s="53" t="s">
        <v>29</v>
      </c>
      <c r="AA23" s="6" t="s">
        <v>29</v>
      </c>
      <c r="AB23" s="22" t="s">
        <v>29</v>
      </c>
      <c r="AC23" s="20" t="s">
        <v>29</v>
      </c>
      <c r="AD23" s="22" t="s">
        <v>29</v>
      </c>
      <c r="AE23" s="74"/>
    </row>
    <row r="24" spans="1:31" ht="18" customHeight="1">
      <c r="A24" s="229"/>
      <c r="B24" s="229"/>
      <c r="C24" s="229"/>
      <c r="D24" s="235"/>
      <c r="E24" s="235"/>
      <c r="F24" s="171"/>
      <c r="G24" s="27">
        <v>2</v>
      </c>
      <c r="H24" s="104">
        <v>2</v>
      </c>
      <c r="I24" s="23">
        <v>2</v>
      </c>
      <c r="J24" s="80">
        <v>2</v>
      </c>
      <c r="K24" s="23">
        <v>2</v>
      </c>
      <c r="L24" s="80">
        <v>2</v>
      </c>
      <c r="M24" s="23">
        <v>2</v>
      </c>
      <c r="N24" s="80">
        <v>2</v>
      </c>
      <c r="O24" s="23">
        <v>2</v>
      </c>
      <c r="P24" s="80">
        <v>2</v>
      </c>
      <c r="Q24" s="79">
        <v>2</v>
      </c>
      <c r="R24" s="80">
        <v>2</v>
      </c>
      <c r="S24" s="79">
        <v>2</v>
      </c>
      <c r="T24" s="80">
        <v>2</v>
      </c>
      <c r="U24" s="79">
        <v>2</v>
      </c>
      <c r="V24" s="80">
        <v>2</v>
      </c>
      <c r="W24" s="79">
        <v>2</v>
      </c>
      <c r="X24" s="80">
        <v>2</v>
      </c>
      <c r="Y24" s="79">
        <v>2</v>
      </c>
      <c r="Z24" s="80">
        <v>2</v>
      </c>
      <c r="AA24" s="79">
        <v>2</v>
      </c>
      <c r="AB24" s="24">
        <v>2</v>
      </c>
      <c r="AC24" s="23">
        <v>2</v>
      </c>
      <c r="AD24" s="24">
        <v>2</v>
      </c>
      <c r="AE24" s="77"/>
    </row>
    <row r="25" spans="1:31" ht="18" customHeight="1">
      <c r="A25" s="222" t="s">
        <v>35</v>
      </c>
      <c r="B25" s="222" t="s">
        <v>36</v>
      </c>
      <c r="C25" s="222" t="s">
        <v>37</v>
      </c>
      <c r="D25" s="230">
        <v>0.1</v>
      </c>
      <c r="E25" s="230">
        <v>1</v>
      </c>
      <c r="F25" s="119" t="s">
        <v>38</v>
      </c>
      <c r="G25" s="1" t="s">
        <v>26</v>
      </c>
      <c r="H25" s="105" t="s">
        <v>26</v>
      </c>
      <c r="I25" s="28" t="s">
        <v>26</v>
      </c>
      <c r="J25" s="29" t="s">
        <v>26</v>
      </c>
      <c r="K25" s="28" t="s">
        <v>26</v>
      </c>
      <c r="L25" s="30" t="s">
        <v>26</v>
      </c>
      <c r="M25" s="28" t="s">
        <v>26</v>
      </c>
      <c r="N25" s="30" t="s">
        <v>26</v>
      </c>
      <c r="O25" s="28" t="s">
        <v>26</v>
      </c>
      <c r="P25" s="30" t="s">
        <v>26</v>
      </c>
      <c r="Q25" s="28" t="s">
        <v>26</v>
      </c>
      <c r="R25" s="30" t="s">
        <v>26</v>
      </c>
      <c r="S25" s="28" t="s">
        <v>26</v>
      </c>
      <c r="T25" s="30" t="s">
        <v>26</v>
      </c>
      <c r="U25" s="28" t="s">
        <v>26</v>
      </c>
      <c r="V25" s="30" t="s">
        <v>26</v>
      </c>
      <c r="W25" s="28" t="s">
        <v>26</v>
      </c>
      <c r="X25" s="31" t="s">
        <v>26</v>
      </c>
      <c r="Y25" s="28" t="s">
        <v>26</v>
      </c>
      <c r="Z25" s="32" t="s">
        <v>26</v>
      </c>
      <c r="AA25" s="28" t="s">
        <v>26</v>
      </c>
      <c r="AB25" s="32" t="s">
        <v>26</v>
      </c>
      <c r="AC25" s="28" t="s">
        <v>26</v>
      </c>
      <c r="AD25" s="29" t="s">
        <v>26</v>
      </c>
      <c r="AE25" s="33"/>
    </row>
    <row r="26" spans="1:31" ht="18" customHeight="1">
      <c r="A26" s="223"/>
      <c r="B26" s="223"/>
      <c r="C26" s="223"/>
      <c r="D26" s="231"/>
      <c r="E26" s="231"/>
      <c r="F26" s="120"/>
      <c r="G26" s="34">
        <f>IF(G28&lt;&gt;0,+G28/G30,0%)</f>
        <v>1</v>
      </c>
      <c r="H26" s="106">
        <f>IF(H28&lt;&gt;0,+H28/H30,0%)</f>
        <v>0</v>
      </c>
      <c r="I26" s="35">
        <f>IF(I28&lt;&gt;0,+I28/I30,0%)</f>
        <v>0</v>
      </c>
      <c r="J26" s="36">
        <f>IF(J28&lt;&gt;0,ROUND(+J28/J30,4),0%)</f>
        <v>0</v>
      </c>
      <c r="K26" s="35">
        <f>IF(K28&lt;&gt;0,+K28/K30,0%)</f>
        <v>0</v>
      </c>
      <c r="L26" s="36">
        <f>IF(L28&lt;&gt;0,ROUND(+L28/L30,4),0%)</f>
        <v>0</v>
      </c>
      <c r="M26" s="35">
        <f>IF(M28&lt;&gt;0,+M28/M30,0%)</f>
        <v>0</v>
      </c>
      <c r="N26" s="36">
        <f>IF(N28&lt;&gt;0,ROUND(+N28/N30,4),0%)</f>
        <v>0</v>
      </c>
      <c r="O26" s="35">
        <f>IF(O28&lt;&gt;0,+O28/O30,0%)</f>
        <v>0</v>
      </c>
      <c r="P26" s="36">
        <f>IF(P28&lt;&gt;0,ROUND(+P28/P30,4),0%)</f>
        <v>0</v>
      </c>
      <c r="Q26" s="35">
        <f>IF(Q28&lt;&gt;0,+Q28/Q30,0%)</f>
        <v>0</v>
      </c>
      <c r="R26" s="36">
        <f>IF(R28&lt;&gt;0,ROUND(+R28/R30,4),0%)</f>
        <v>0</v>
      </c>
      <c r="S26" s="35">
        <f>IF(S28&lt;&gt;0,+S28/S30,0%)</f>
        <v>0.5</v>
      </c>
      <c r="T26" s="36">
        <f>IF(T28&lt;&gt;0,ROUND(+T28/T30,4),0%)</f>
        <v>0.5</v>
      </c>
      <c r="U26" s="35">
        <f>IF(U28&lt;&gt;0,+U28/U30,0%)</f>
        <v>0</v>
      </c>
      <c r="V26" s="36">
        <f>IF(V28&lt;&gt;0,ROUND(+V28/V30,4),0%)</f>
        <v>0.5</v>
      </c>
      <c r="W26" s="35">
        <f>IF(W28&lt;&gt;0,+W28/W30,0%)</f>
        <v>0</v>
      </c>
      <c r="X26" s="36">
        <f>IF(X28&lt;&gt;0,ROUND(+X28/X30,4),0%)</f>
        <v>0.5</v>
      </c>
      <c r="Y26" s="35">
        <f>IF(Y28&lt;&gt;0,+Y28/Y30,0%)</f>
        <v>0</v>
      </c>
      <c r="Z26" s="36">
        <f>IF(Z28&lt;&gt;0,ROUND(+Z28/Z30,4),0%)</f>
        <v>0.5</v>
      </c>
      <c r="AA26" s="35">
        <f>IF(AA28&lt;&gt;0,+AA28/AA30,0%)</f>
        <v>0.5</v>
      </c>
      <c r="AB26" s="36">
        <f>IF(AB28&lt;&gt;0,ROUND(+AB28/AB30,4),0%)</f>
        <v>1</v>
      </c>
      <c r="AC26" s="35">
        <f>IF(AC28&lt;&gt;0,+AC28/AC30,0%)</f>
        <v>0</v>
      </c>
      <c r="AD26" s="36">
        <f>IF(AD28&lt;&gt;0,ROUND(+AD28/AD30,4),0%)</f>
        <v>1</v>
      </c>
      <c r="AE26" s="37"/>
    </row>
    <row r="27" spans="1:31" ht="18" customHeight="1">
      <c r="A27" s="223"/>
      <c r="B27" s="223"/>
      <c r="C27" s="223"/>
      <c r="D27" s="231"/>
      <c r="E27" s="231"/>
      <c r="F27" s="120"/>
      <c r="G27" s="2" t="s">
        <v>27</v>
      </c>
      <c r="H27" s="107" t="s">
        <v>27</v>
      </c>
      <c r="I27" s="2" t="s">
        <v>27</v>
      </c>
      <c r="J27" s="38" t="s">
        <v>27</v>
      </c>
      <c r="K27" s="2" t="s">
        <v>27</v>
      </c>
      <c r="L27" s="39" t="s">
        <v>27</v>
      </c>
      <c r="M27" s="2" t="s">
        <v>27</v>
      </c>
      <c r="N27" s="39" t="s">
        <v>27</v>
      </c>
      <c r="O27" s="2" t="s">
        <v>27</v>
      </c>
      <c r="P27" s="39" t="s">
        <v>27</v>
      </c>
      <c r="Q27" s="2" t="s">
        <v>27</v>
      </c>
      <c r="R27" s="39" t="s">
        <v>27</v>
      </c>
      <c r="S27" s="2" t="s">
        <v>27</v>
      </c>
      <c r="T27" s="39" t="s">
        <v>27</v>
      </c>
      <c r="U27" s="2" t="s">
        <v>27</v>
      </c>
      <c r="V27" s="39" t="s">
        <v>27</v>
      </c>
      <c r="W27" s="2" t="s">
        <v>27</v>
      </c>
      <c r="X27" s="39" t="s">
        <v>27</v>
      </c>
      <c r="Y27" s="2" t="s">
        <v>27</v>
      </c>
      <c r="Z27" s="39" t="s">
        <v>27</v>
      </c>
      <c r="AA27" s="2" t="s">
        <v>27</v>
      </c>
      <c r="AB27" s="39" t="s">
        <v>27</v>
      </c>
      <c r="AC27" s="2" t="s">
        <v>27</v>
      </c>
      <c r="AD27" s="39" t="s">
        <v>27</v>
      </c>
      <c r="AE27" s="37"/>
    </row>
    <row r="28" spans="1:31" ht="18" customHeight="1">
      <c r="A28" s="223"/>
      <c r="B28" s="223"/>
      <c r="C28" s="223"/>
      <c r="D28" s="231"/>
      <c r="E28" s="231"/>
      <c r="F28" s="121"/>
      <c r="G28" s="25">
        <v>2</v>
      </c>
      <c r="H28" s="108">
        <v>0</v>
      </c>
      <c r="I28" s="50">
        <v>0</v>
      </c>
      <c r="J28" s="41">
        <f>H28+I28</f>
        <v>0</v>
      </c>
      <c r="K28" s="50">
        <v>0</v>
      </c>
      <c r="L28" s="41">
        <f>J28+K28</f>
        <v>0</v>
      </c>
      <c r="M28" s="50">
        <v>0</v>
      </c>
      <c r="N28" s="41">
        <f>L28+M28</f>
        <v>0</v>
      </c>
      <c r="O28" s="50">
        <v>0</v>
      </c>
      <c r="P28" s="41">
        <f>N28+O28</f>
        <v>0</v>
      </c>
      <c r="Q28" s="50">
        <v>0</v>
      </c>
      <c r="R28" s="41">
        <f>P28+Q28</f>
        <v>0</v>
      </c>
      <c r="S28" s="50">
        <v>1</v>
      </c>
      <c r="T28" s="41">
        <f>R28+S28</f>
        <v>1</v>
      </c>
      <c r="U28" s="50">
        <v>0</v>
      </c>
      <c r="V28" s="41">
        <f>T28+U28</f>
        <v>1</v>
      </c>
      <c r="W28" s="50">
        <v>0</v>
      </c>
      <c r="X28" s="41">
        <f>V28+W28</f>
        <v>1</v>
      </c>
      <c r="Y28" s="50">
        <v>0</v>
      </c>
      <c r="Z28" s="41">
        <f>X28+Y28</f>
        <v>1</v>
      </c>
      <c r="AA28" s="50">
        <v>1</v>
      </c>
      <c r="AB28" s="26">
        <f>Z28+AA28</f>
        <v>2</v>
      </c>
      <c r="AC28" s="40">
        <v>0</v>
      </c>
      <c r="AD28" s="26">
        <f>AB28+AC28</f>
        <v>2</v>
      </c>
      <c r="AE28" s="42">
        <f>AD26/E25</f>
        <v>1</v>
      </c>
    </row>
    <row r="29" spans="1:31" ht="18" customHeight="1">
      <c r="A29" s="223"/>
      <c r="B29" s="223"/>
      <c r="C29" s="223"/>
      <c r="D29" s="231"/>
      <c r="E29" s="231"/>
      <c r="F29" s="205" t="s">
        <v>39</v>
      </c>
      <c r="G29" s="2" t="s">
        <v>29</v>
      </c>
      <c r="H29" s="109" t="s">
        <v>29</v>
      </c>
      <c r="I29" s="6" t="s">
        <v>29</v>
      </c>
      <c r="J29" s="52" t="s">
        <v>29</v>
      </c>
      <c r="K29" s="6" t="s">
        <v>29</v>
      </c>
      <c r="L29" s="53" t="s">
        <v>29</v>
      </c>
      <c r="M29" s="6" t="s">
        <v>29</v>
      </c>
      <c r="N29" s="53" t="s">
        <v>29</v>
      </c>
      <c r="O29" s="6" t="s">
        <v>29</v>
      </c>
      <c r="P29" s="53" t="s">
        <v>29</v>
      </c>
      <c r="Q29" s="6" t="s">
        <v>29</v>
      </c>
      <c r="R29" s="53" t="s">
        <v>29</v>
      </c>
      <c r="S29" s="6" t="s">
        <v>29</v>
      </c>
      <c r="T29" s="53" t="s">
        <v>29</v>
      </c>
      <c r="U29" s="6" t="s">
        <v>29</v>
      </c>
      <c r="V29" s="53" t="s">
        <v>29</v>
      </c>
      <c r="W29" s="6" t="s">
        <v>29</v>
      </c>
      <c r="X29" s="53" t="s">
        <v>29</v>
      </c>
      <c r="Y29" s="6" t="s">
        <v>29</v>
      </c>
      <c r="Z29" s="53" t="s">
        <v>29</v>
      </c>
      <c r="AA29" s="6" t="s">
        <v>29</v>
      </c>
      <c r="AB29" s="53" t="s">
        <v>29</v>
      </c>
      <c r="AC29" s="6"/>
      <c r="AD29" s="53"/>
      <c r="AE29" s="37"/>
    </row>
    <row r="30" spans="1:31" ht="18" customHeight="1">
      <c r="A30" s="224"/>
      <c r="B30" s="224"/>
      <c r="C30" s="224"/>
      <c r="D30" s="232"/>
      <c r="E30" s="232"/>
      <c r="F30" s="206"/>
      <c r="G30" s="27">
        <v>2</v>
      </c>
      <c r="H30" s="110">
        <v>2</v>
      </c>
      <c r="I30" s="43">
        <v>2</v>
      </c>
      <c r="J30" s="54">
        <v>2</v>
      </c>
      <c r="K30" s="43">
        <v>2</v>
      </c>
      <c r="L30" s="54">
        <v>2</v>
      </c>
      <c r="M30" s="43">
        <v>2</v>
      </c>
      <c r="N30" s="54">
        <v>2</v>
      </c>
      <c r="O30" s="43">
        <v>2</v>
      </c>
      <c r="P30" s="54">
        <v>2</v>
      </c>
      <c r="Q30" s="43">
        <v>2</v>
      </c>
      <c r="R30" s="54">
        <v>2</v>
      </c>
      <c r="S30" s="43">
        <v>2</v>
      </c>
      <c r="T30" s="54">
        <v>2</v>
      </c>
      <c r="U30" s="43">
        <v>2</v>
      </c>
      <c r="V30" s="54">
        <v>2</v>
      </c>
      <c r="W30" s="43">
        <v>2</v>
      </c>
      <c r="X30" s="54">
        <v>2</v>
      </c>
      <c r="Y30" s="43">
        <v>2</v>
      </c>
      <c r="Z30" s="54">
        <v>2</v>
      </c>
      <c r="AA30" s="43">
        <v>2</v>
      </c>
      <c r="AB30" s="54">
        <v>2</v>
      </c>
      <c r="AC30" s="43">
        <v>2</v>
      </c>
      <c r="AD30" s="54">
        <v>2</v>
      </c>
      <c r="AE30" s="37"/>
    </row>
    <row r="31" spans="1:31" ht="18" customHeight="1">
      <c r="A31" s="222" t="s">
        <v>40</v>
      </c>
      <c r="B31" s="222" t="s">
        <v>64</v>
      </c>
      <c r="C31" s="222" t="s">
        <v>65</v>
      </c>
      <c r="D31" s="230">
        <v>0.2</v>
      </c>
      <c r="E31" s="225" t="s">
        <v>24</v>
      </c>
      <c r="F31" s="131" t="s">
        <v>43</v>
      </c>
      <c r="G31" s="1" t="s">
        <v>26</v>
      </c>
      <c r="H31" s="99" t="s">
        <v>26</v>
      </c>
      <c r="I31" s="12" t="s">
        <v>26</v>
      </c>
      <c r="J31" s="14" t="s">
        <v>26</v>
      </c>
      <c r="K31" s="44" t="s">
        <v>26</v>
      </c>
      <c r="L31" s="14" t="s">
        <v>26</v>
      </c>
      <c r="M31" s="44" t="s">
        <v>26</v>
      </c>
      <c r="N31" s="14" t="s">
        <v>26</v>
      </c>
      <c r="O31" s="44" t="s">
        <v>26</v>
      </c>
      <c r="P31" s="14" t="s">
        <v>26</v>
      </c>
      <c r="Q31" s="44" t="s">
        <v>26</v>
      </c>
      <c r="R31" s="14" t="s">
        <v>26</v>
      </c>
      <c r="S31" s="44" t="s">
        <v>26</v>
      </c>
      <c r="T31" s="14" t="s">
        <v>26</v>
      </c>
      <c r="U31" s="44" t="s">
        <v>26</v>
      </c>
      <c r="V31" s="14" t="s">
        <v>26</v>
      </c>
      <c r="W31" s="12" t="s">
        <v>26</v>
      </c>
      <c r="X31" s="14" t="s">
        <v>26</v>
      </c>
      <c r="Y31" s="12" t="s">
        <v>26</v>
      </c>
      <c r="Z31" s="14" t="s">
        <v>26</v>
      </c>
      <c r="AA31" s="12" t="s">
        <v>26</v>
      </c>
      <c r="AB31" s="14" t="s">
        <v>26</v>
      </c>
      <c r="AC31" s="12" t="s">
        <v>26</v>
      </c>
      <c r="AD31" s="55" t="s">
        <v>26</v>
      </c>
      <c r="AE31" s="62"/>
    </row>
    <row r="32" spans="1:31" ht="18" customHeight="1">
      <c r="A32" s="223"/>
      <c r="B32" s="223"/>
      <c r="C32" s="223"/>
      <c r="D32" s="231"/>
      <c r="E32" s="226"/>
      <c r="F32" s="132"/>
      <c r="G32" s="78" t="s">
        <v>24</v>
      </c>
      <c r="H32" s="106">
        <f>IF(H34&lt;&gt;0,+H34/H36,0%)</f>
        <v>0</v>
      </c>
      <c r="I32" s="35">
        <f>IF(I34&lt;&gt;0,+I34/I36,0%)</f>
        <v>0</v>
      </c>
      <c r="J32" s="15">
        <f>IF(J34&lt;&gt;0,+J34/J36,0%)</f>
        <v>0</v>
      </c>
      <c r="K32" s="35">
        <f t="shared" ref="K32:AD32" si="1">IF(K34&lt;&gt;0,+K34/K36,0%)</f>
        <v>0</v>
      </c>
      <c r="L32" s="15">
        <f t="shared" si="1"/>
        <v>0</v>
      </c>
      <c r="M32" s="35">
        <f t="shared" si="1"/>
        <v>0</v>
      </c>
      <c r="N32" s="15">
        <f t="shared" si="1"/>
        <v>0</v>
      </c>
      <c r="O32" s="35">
        <f t="shared" si="1"/>
        <v>0</v>
      </c>
      <c r="P32" s="15">
        <f t="shared" si="1"/>
        <v>0</v>
      </c>
      <c r="Q32" s="35">
        <f t="shared" si="1"/>
        <v>0</v>
      </c>
      <c r="R32" s="15">
        <f t="shared" si="1"/>
        <v>0</v>
      </c>
      <c r="S32" s="35">
        <f t="shared" si="1"/>
        <v>0</v>
      </c>
      <c r="T32" s="15">
        <f t="shared" si="1"/>
        <v>0</v>
      </c>
      <c r="U32" s="35">
        <f t="shared" si="1"/>
        <v>0</v>
      </c>
      <c r="V32" s="15">
        <f t="shared" si="1"/>
        <v>0</v>
      </c>
      <c r="W32" s="35">
        <f t="shared" si="1"/>
        <v>0</v>
      </c>
      <c r="X32" s="15">
        <f t="shared" si="1"/>
        <v>0</v>
      </c>
      <c r="Y32" s="35">
        <f t="shared" si="1"/>
        <v>0</v>
      </c>
      <c r="Z32" s="15">
        <f t="shared" si="1"/>
        <v>0</v>
      </c>
      <c r="AA32" s="16">
        <f t="shared" si="1"/>
        <v>0</v>
      </c>
      <c r="AB32" s="15">
        <f t="shared" si="1"/>
        <v>0</v>
      </c>
      <c r="AC32" s="16">
        <f t="shared" si="1"/>
        <v>1</v>
      </c>
      <c r="AD32" s="56">
        <f t="shared" si="1"/>
        <v>1</v>
      </c>
      <c r="AE32" s="61"/>
    </row>
    <row r="33" spans="1:31" ht="18" customHeight="1">
      <c r="A33" s="223"/>
      <c r="B33" s="223"/>
      <c r="C33" s="223"/>
      <c r="D33" s="231"/>
      <c r="E33" s="226"/>
      <c r="F33" s="132"/>
      <c r="G33" s="2" t="s">
        <v>27</v>
      </c>
      <c r="H33" s="101" t="s">
        <v>27</v>
      </c>
      <c r="I33" s="17"/>
      <c r="J33" s="19" t="s">
        <v>27</v>
      </c>
      <c r="K33" s="45" t="s">
        <v>27</v>
      </c>
      <c r="L33" s="19" t="s">
        <v>27</v>
      </c>
      <c r="M33" s="45" t="s">
        <v>27</v>
      </c>
      <c r="N33" s="19" t="s">
        <v>27</v>
      </c>
      <c r="O33" s="45" t="s">
        <v>27</v>
      </c>
      <c r="P33" s="19" t="s">
        <v>27</v>
      </c>
      <c r="Q33" s="45" t="s">
        <v>27</v>
      </c>
      <c r="R33" s="19" t="s">
        <v>27</v>
      </c>
      <c r="S33" s="45" t="s">
        <v>27</v>
      </c>
      <c r="T33" s="19" t="s">
        <v>27</v>
      </c>
      <c r="U33" s="45" t="s">
        <v>27</v>
      </c>
      <c r="V33" s="19" t="s">
        <v>27</v>
      </c>
      <c r="W33" s="46" t="s">
        <v>27</v>
      </c>
      <c r="X33" s="19" t="s">
        <v>27</v>
      </c>
      <c r="Y33" s="17" t="s">
        <v>27</v>
      </c>
      <c r="Z33" s="19" t="s">
        <v>27</v>
      </c>
      <c r="AA33" s="17" t="s">
        <v>27</v>
      </c>
      <c r="AB33" s="19" t="s">
        <v>27</v>
      </c>
      <c r="AC33" s="17" t="s">
        <v>27</v>
      </c>
      <c r="AD33" s="57" t="s">
        <v>27</v>
      </c>
      <c r="AE33" s="63"/>
    </row>
    <row r="34" spans="1:31" ht="18" customHeight="1">
      <c r="A34" s="223"/>
      <c r="B34" s="223"/>
      <c r="C34" s="223"/>
      <c r="D34" s="231"/>
      <c r="E34" s="226"/>
      <c r="F34" s="132"/>
      <c r="G34" s="81">
        <v>1</v>
      </c>
      <c r="H34" s="111">
        <v>0</v>
      </c>
      <c r="I34" s="50">
        <v>0</v>
      </c>
      <c r="J34" s="41">
        <f>H34+I34</f>
        <v>0</v>
      </c>
      <c r="K34" s="50">
        <v>0</v>
      </c>
      <c r="L34" s="41">
        <f>J34+K34</f>
        <v>0</v>
      </c>
      <c r="M34" s="50">
        <v>0</v>
      </c>
      <c r="N34" s="41">
        <f>L34+M34</f>
        <v>0</v>
      </c>
      <c r="O34" s="50">
        <v>0</v>
      </c>
      <c r="P34" s="41">
        <f>N34+O34</f>
        <v>0</v>
      </c>
      <c r="Q34" s="50">
        <f>+K34/2</f>
        <v>0</v>
      </c>
      <c r="R34" s="41">
        <f>P34+Q34</f>
        <v>0</v>
      </c>
      <c r="S34" s="50">
        <f>+M34</f>
        <v>0</v>
      </c>
      <c r="T34" s="41">
        <f>R34+S34</f>
        <v>0</v>
      </c>
      <c r="U34" s="50">
        <v>0</v>
      </c>
      <c r="V34" s="41">
        <f>U34+T34</f>
        <v>0</v>
      </c>
      <c r="W34" s="50">
        <v>0</v>
      </c>
      <c r="X34" s="41">
        <f>V34+W34</f>
        <v>0</v>
      </c>
      <c r="Y34" s="50">
        <v>0</v>
      </c>
      <c r="Z34" s="41">
        <f>X34+Y34</f>
        <v>0</v>
      </c>
      <c r="AA34" s="50">
        <v>0</v>
      </c>
      <c r="AB34" s="41">
        <f>Z34+AA34</f>
        <v>0</v>
      </c>
      <c r="AC34" s="50">
        <v>1</v>
      </c>
      <c r="AD34" s="58">
        <f>AB34+AC34</f>
        <v>1</v>
      </c>
      <c r="AE34" s="64" t="e">
        <f>AD32/E31</f>
        <v>#VALUE!</v>
      </c>
    </row>
    <row r="35" spans="1:31" ht="18" customHeight="1">
      <c r="A35" s="223"/>
      <c r="B35" s="223"/>
      <c r="C35" s="223"/>
      <c r="D35" s="231"/>
      <c r="E35" s="226"/>
      <c r="F35" s="133" t="s">
        <v>44</v>
      </c>
      <c r="G35" s="6" t="s">
        <v>29</v>
      </c>
      <c r="H35" s="103" t="s">
        <v>29</v>
      </c>
      <c r="I35" s="20" t="s">
        <v>29</v>
      </c>
      <c r="J35" s="22" t="s">
        <v>29</v>
      </c>
      <c r="K35" s="47" t="s">
        <v>29</v>
      </c>
      <c r="L35" s="22" t="s">
        <v>29</v>
      </c>
      <c r="M35" s="47" t="s">
        <v>29</v>
      </c>
      <c r="N35" s="22" t="s">
        <v>29</v>
      </c>
      <c r="O35" s="47" t="s">
        <v>29</v>
      </c>
      <c r="P35" s="22" t="s">
        <v>29</v>
      </c>
      <c r="Q35" s="47" t="s">
        <v>29</v>
      </c>
      <c r="R35" s="22" t="s">
        <v>29</v>
      </c>
      <c r="S35" s="47" t="s">
        <v>29</v>
      </c>
      <c r="T35" s="22" t="s">
        <v>29</v>
      </c>
      <c r="U35" s="47" t="s">
        <v>29</v>
      </c>
      <c r="V35" s="22" t="s">
        <v>29</v>
      </c>
      <c r="W35" s="20" t="s">
        <v>29</v>
      </c>
      <c r="X35" s="22" t="s">
        <v>29</v>
      </c>
      <c r="Y35" s="20" t="s">
        <v>29</v>
      </c>
      <c r="Z35" s="22" t="s">
        <v>29</v>
      </c>
      <c r="AA35" s="20" t="s">
        <v>29</v>
      </c>
      <c r="AB35" s="22" t="s">
        <v>29</v>
      </c>
      <c r="AC35" s="20" t="s">
        <v>29</v>
      </c>
      <c r="AD35" s="59" t="s">
        <v>29</v>
      </c>
      <c r="AE35" s="113"/>
    </row>
    <row r="36" spans="1:31" ht="18" customHeight="1">
      <c r="A36" s="224"/>
      <c r="B36" s="224"/>
      <c r="C36" s="224"/>
      <c r="D36" s="232"/>
      <c r="E36" s="227"/>
      <c r="F36" s="134"/>
      <c r="G36" s="27">
        <v>1</v>
      </c>
      <c r="H36" s="104">
        <v>1</v>
      </c>
      <c r="I36" s="23">
        <v>1</v>
      </c>
      <c r="J36" s="48">
        <v>1</v>
      </c>
      <c r="K36" s="51">
        <v>1</v>
      </c>
      <c r="L36" s="24">
        <v>1</v>
      </c>
      <c r="M36" s="51">
        <v>1</v>
      </c>
      <c r="N36" s="24">
        <v>1</v>
      </c>
      <c r="O36" s="51">
        <v>1</v>
      </c>
      <c r="P36" s="24">
        <v>1</v>
      </c>
      <c r="Q36" s="51">
        <v>1</v>
      </c>
      <c r="R36" s="24">
        <v>1</v>
      </c>
      <c r="S36" s="51">
        <v>1</v>
      </c>
      <c r="T36" s="24">
        <v>1</v>
      </c>
      <c r="U36" s="51">
        <v>1</v>
      </c>
      <c r="V36" s="24">
        <v>1</v>
      </c>
      <c r="W36" s="51">
        <v>1</v>
      </c>
      <c r="X36" s="24">
        <v>1</v>
      </c>
      <c r="Y36" s="51">
        <v>1</v>
      </c>
      <c r="Z36" s="24">
        <v>1</v>
      </c>
      <c r="AA36" s="51">
        <v>1</v>
      </c>
      <c r="AB36" s="24">
        <v>1</v>
      </c>
      <c r="AC36" s="51">
        <v>1</v>
      </c>
      <c r="AD36" s="60">
        <v>1</v>
      </c>
      <c r="AE36" s="146"/>
    </row>
    <row r="37" spans="1:31" ht="19.899999999999999" customHeight="1">
      <c r="A37" s="222" t="s">
        <v>45</v>
      </c>
      <c r="B37" s="222" t="s">
        <v>46</v>
      </c>
      <c r="C37" s="222" t="s">
        <v>66</v>
      </c>
      <c r="D37" s="230">
        <v>0.2</v>
      </c>
      <c r="E37" s="225" t="s">
        <v>24</v>
      </c>
      <c r="F37" s="196" t="s">
        <v>48</v>
      </c>
      <c r="G37" s="1" t="s">
        <v>26</v>
      </c>
      <c r="H37" s="99" t="s">
        <v>26</v>
      </c>
      <c r="I37" s="12" t="s">
        <v>26</v>
      </c>
      <c r="J37" s="13" t="s">
        <v>26</v>
      </c>
      <c r="K37" s="44" t="s">
        <v>26</v>
      </c>
      <c r="L37" s="14" t="s">
        <v>26</v>
      </c>
      <c r="M37" s="44" t="s">
        <v>26</v>
      </c>
      <c r="N37" s="14" t="s">
        <v>26</v>
      </c>
      <c r="O37" s="44" t="s">
        <v>26</v>
      </c>
      <c r="P37" s="14" t="s">
        <v>26</v>
      </c>
      <c r="Q37" s="44" t="s">
        <v>26</v>
      </c>
      <c r="R37" s="14" t="s">
        <v>26</v>
      </c>
      <c r="S37" s="44" t="s">
        <v>26</v>
      </c>
      <c r="T37" s="14" t="s">
        <v>26</v>
      </c>
      <c r="U37" s="44" t="s">
        <v>26</v>
      </c>
      <c r="V37" s="14" t="s">
        <v>26</v>
      </c>
      <c r="W37" s="12" t="s">
        <v>26</v>
      </c>
      <c r="X37" s="14" t="s">
        <v>26</v>
      </c>
      <c r="Y37" s="12" t="s">
        <v>26</v>
      </c>
      <c r="Z37" s="14" t="s">
        <v>26</v>
      </c>
      <c r="AA37" s="12" t="s">
        <v>26</v>
      </c>
      <c r="AB37" s="14" t="s">
        <v>26</v>
      </c>
      <c r="AC37" s="12" t="s">
        <v>26</v>
      </c>
      <c r="AD37" s="55" t="s">
        <v>26</v>
      </c>
      <c r="AE37" s="62"/>
    </row>
    <row r="38" spans="1:31" ht="19.899999999999999" customHeight="1">
      <c r="A38" s="223"/>
      <c r="B38" s="223"/>
      <c r="C38" s="223"/>
      <c r="D38" s="231"/>
      <c r="E38" s="226"/>
      <c r="F38" s="197"/>
      <c r="G38" s="3" t="s">
        <v>24</v>
      </c>
      <c r="H38" s="112">
        <f>IF(H40&lt;&gt;0,+H40/H42,0%)</f>
        <v>0</v>
      </c>
      <c r="I38" s="16">
        <f>IF(I40&lt;&gt;0,+I40/I42,0%)</f>
        <v>0</v>
      </c>
      <c r="J38" s="15">
        <f>IF(J40&lt;&gt;0,+J40/J42,0%)</f>
        <v>0</v>
      </c>
      <c r="K38" s="16">
        <f t="shared" ref="K38:AD38" si="2">IF(K40&lt;&gt;0,+K40/K42,0%)</f>
        <v>0</v>
      </c>
      <c r="L38" s="15">
        <f t="shared" si="2"/>
        <v>0</v>
      </c>
      <c r="M38" s="16">
        <f t="shared" si="2"/>
        <v>0</v>
      </c>
      <c r="N38" s="15">
        <f t="shared" si="2"/>
        <v>0</v>
      </c>
      <c r="O38" s="16">
        <f t="shared" si="2"/>
        <v>0</v>
      </c>
      <c r="P38" s="15">
        <f t="shared" si="2"/>
        <v>0</v>
      </c>
      <c r="Q38" s="16">
        <f t="shared" si="2"/>
        <v>0</v>
      </c>
      <c r="R38" s="15">
        <f t="shared" si="2"/>
        <v>0</v>
      </c>
      <c r="S38" s="16">
        <f t="shared" si="2"/>
        <v>0</v>
      </c>
      <c r="T38" s="15">
        <f t="shared" si="2"/>
        <v>0</v>
      </c>
      <c r="U38" s="16">
        <f t="shared" si="2"/>
        <v>0.33333333333333331</v>
      </c>
      <c r="V38" s="15">
        <f t="shared" si="2"/>
        <v>0.33333333333333331</v>
      </c>
      <c r="W38" s="16">
        <f t="shared" si="2"/>
        <v>0</v>
      </c>
      <c r="X38" s="15">
        <f t="shared" si="2"/>
        <v>0.33333333333333331</v>
      </c>
      <c r="Y38" s="16">
        <f t="shared" si="2"/>
        <v>0</v>
      </c>
      <c r="Z38" s="15">
        <f t="shared" si="2"/>
        <v>0.33333333333333331</v>
      </c>
      <c r="AA38" s="16">
        <f t="shared" si="2"/>
        <v>0.66666666666666663</v>
      </c>
      <c r="AB38" s="15">
        <f t="shared" si="2"/>
        <v>1</v>
      </c>
      <c r="AC38" s="16">
        <f t="shared" si="2"/>
        <v>0</v>
      </c>
      <c r="AD38" s="56">
        <f t="shared" si="2"/>
        <v>1</v>
      </c>
      <c r="AE38" s="61"/>
    </row>
    <row r="39" spans="1:31" ht="19.899999999999999" customHeight="1">
      <c r="A39" s="223"/>
      <c r="B39" s="223"/>
      <c r="C39" s="223"/>
      <c r="D39" s="231"/>
      <c r="E39" s="226"/>
      <c r="F39" s="197"/>
      <c r="G39" s="2" t="s">
        <v>27</v>
      </c>
      <c r="H39" s="101" t="s">
        <v>27</v>
      </c>
      <c r="I39" s="17"/>
      <c r="J39" s="18" t="s">
        <v>27</v>
      </c>
      <c r="K39" s="45" t="s">
        <v>27</v>
      </c>
      <c r="L39" s="19" t="s">
        <v>27</v>
      </c>
      <c r="M39" s="45" t="s">
        <v>27</v>
      </c>
      <c r="N39" s="19" t="s">
        <v>27</v>
      </c>
      <c r="O39" s="45" t="s">
        <v>27</v>
      </c>
      <c r="P39" s="19" t="s">
        <v>27</v>
      </c>
      <c r="Q39" s="45" t="s">
        <v>27</v>
      </c>
      <c r="R39" s="19" t="s">
        <v>27</v>
      </c>
      <c r="S39" s="45" t="s">
        <v>27</v>
      </c>
      <c r="T39" s="19" t="s">
        <v>27</v>
      </c>
      <c r="U39" s="45" t="s">
        <v>27</v>
      </c>
      <c r="V39" s="19" t="s">
        <v>27</v>
      </c>
      <c r="W39" s="46" t="s">
        <v>27</v>
      </c>
      <c r="X39" s="19" t="s">
        <v>27</v>
      </c>
      <c r="Y39" s="17" t="s">
        <v>27</v>
      </c>
      <c r="Z39" s="19" t="s">
        <v>27</v>
      </c>
      <c r="AA39" s="17" t="s">
        <v>27</v>
      </c>
      <c r="AB39" s="19" t="s">
        <v>27</v>
      </c>
      <c r="AC39" s="17" t="s">
        <v>27</v>
      </c>
      <c r="AD39" s="57" t="s">
        <v>27</v>
      </c>
      <c r="AE39" s="63"/>
    </row>
    <row r="40" spans="1:31" ht="19.899999999999999" customHeight="1">
      <c r="A40" s="223"/>
      <c r="B40" s="223"/>
      <c r="C40" s="223"/>
      <c r="D40" s="231"/>
      <c r="E40" s="226"/>
      <c r="F40" s="197"/>
      <c r="G40" s="4">
        <v>6</v>
      </c>
      <c r="H40" s="111">
        <v>0</v>
      </c>
      <c r="I40" s="50">
        <v>0</v>
      </c>
      <c r="J40" s="49">
        <f>+H40+I40</f>
        <v>0</v>
      </c>
      <c r="K40" s="50">
        <v>0</v>
      </c>
      <c r="L40" s="41">
        <f>+J40+K40</f>
        <v>0</v>
      </c>
      <c r="M40" s="50">
        <v>0</v>
      </c>
      <c r="N40" s="41">
        <f>+L40+M40</f>
        <v>0</v>
      </c>
      <c r="O40" s="50">
        <v>0</v>
      </c>
      <c r="P40" s="41">
        <f>+N40+O40</f>
        <v>0</v>
      </c>
      <c r="Q40" s="50">
        <v>0</v>
      </c>
      <c r="R40" s="41">
        <f>+P40+Q40</f>
        <v>0</v>
      </c>
      <c r="S40" s="50">
        <v>0</v>
      </c>
      <c r="T40" s="41">
        <f>+R40+S40</f>
        <v>0</v>
      </c>
      <c r="U40" s="50">
        <v>2</v>
      </c>
      <c r="V40" s="41">
        <f>+T40+U40</f>
        <v>2</v>
      </c>
      <c r="W40" s="50">
        <v>0</v>
      </c>
      <c r="X40" s="41">
        <f>+V40+W40</f>
        <v>2</v>
      </c>
      <c r="Y40" s="50">
        <v>0</v>
      </c>
      <c r="Z40" s="41">
        <f>+X40+Y40</f>
        <v>2</v>
      </c>
      <c r="AA40" s="50">
        <v>4</v>
      </c>
      <c r="AB40" s="41">
        <f>+Z40+AA40</f>
        <v>6</v>
      </c>
      <c r="AC40" s="50">
        <v>0</v>
      </c>
      <c r="AD40" s="58">
        <f>+AB40+AC40</f>
        <v>6</v>
      </c>
      <c r="AE40" s="64" t="e">
        <f>AD38/E37</f>
        <v>#VALUE!</v>
      </c>
    </row>
    <row r="41" spans="1:31" ht="19.899999999999999" customHeight="1">
      <c r="A41" s="223"/>
      <c r="B41" s="223"/>
      <c r="C41" s="223"/>
      <c r="D41" s="231"/>
      <c r="E41" s="226"/>
      <c r="F41" s="198" t="s">
        <v>49</v>
      </c>
      <c r="G41" s="6" t="s">
        <v>29</v>
      </c>
      <c r="H41" s="103" t="s">
        <v>29</v>
      </c>
      <c r="I41" s="20" t="s">
        <v>29</v>
      </c>
      <c r="J41" s="21" t="s">
        <v>29</v>
      </c>
      <c r="K41" s="47" t="s">
        <v>29</v>
      </c>
      <c r="L41" s="22" t="s">
        <v>29</v>
      </c>
      <c r="M41" s="47" t="s">
        <v>29</v>
      </c>
      <c r="N41" s="22" t="s">
        <v>29</v>
      </c>
      <c r="O41" s="47" t="s">
        <v>29</v>
      </c>
      <c r="P41" s="22" t="s">
        <v>29</v>
      </c>
      <c r="Q41" s="47" t="s">
        <v>29</v>
      </c>
      <c r="R41" s="22" t="s">
        <v>29</v>
      </c>
      <c r="S41" s="47" t="s">
        <v>29</v>
      </c>
      <c r="T41" s="22" t="s">
        <v>29</v>
      </c>
      <c r="U41" s="47" t="s">
        <v>29</v>
      </c>
      <c r="V41" s="22" t="s">
        <v>29</v>
      </c>
      <c r="W41" s="20" t="s">
        <v>29</v>
      </c>
      <c r="X41" s="22" t="s">
        <v>29</v>
      </c>
      <c r="Y41" s="20" t="s">
        <v>29</v>
      </c>
      <c r="Z41" s="22" t="s">
        <v>29</v>
      </c>
      <c r="AA41" s="20" t="s">
        <v>29</v>
      </c>
      <c r="AB41" s="22" t="s">
        <v>29</v>
      </c>
      <c r="AC41" s="20" t="s">
        <v>29</v>
      </c>
      <c r="AD41" s="59" t="s">
        <v>29</v>
      </c>
      <c r="AE41" s="113"/>
    </row>
    <row r="42" spans="1:31" ht="19.899999999999999" customHeight="1">
      <c r="A42" s="224"/>
      <c r="B42" s="224"/>
      <c r="C42" s="224"/>
      <c r="D42" s="232"/>
      <c r="E42" s="227"/>
      <c r="F42" s="199"/>
      <c r="G42" s="5">
        <v>6</v>
      </c>
      <c r="H42" s="104">
        <v>6</v>
      </c>
      <c r="I42" s="23">
        <v>6</v>
      </c>
      <c r="J42" s="48">
        <v>6</v>
      </c>
      <c r="K42" s="51">
        <v>6</v>
      </c>
      <c r="L42" s="24">
        <v>6</v>
      </c>
      <c r="M42" s="51">
        <v>6</v>
      </c>
      <c r="N42" s="24">
        <v>6</v>
      </c>
      <c r="O42" s="51">
        <v>6</v>
      </c>
      <c r="P42" s="24">
        <v>6</v>
      </c>
      <c r="Q42" s="23">
        <v>6</v>
      </c>
      <c r="R42" s="48">
        <v>6</v>
      </c>
      <c r="S42" s="51">
        <v>6</v>
      </c>
      <c r="T42" s="24">
        <v>6</v>
      </c>
      <c r="U42" s="51">
        <v>6</v>
      </c>
      <c r="V42" s="24">
        <v>6</v>
      </c>
      <c r="W42" s="51">
        <v>6</v>
      </c>
      <c r="X42" s="24">
        <v>6</v>
      </c>
      <c r="Y42" s="51">
        <v>6</v>
      </c>
      <c r="Z42" s="24">
        <v>6</v>
      </c>
      <c r="AA42" s="51">
        <v>6</v>
      </c>
      <c r="AB42" s="24">
        <v>6</v>
      </c>
      <c r="AC42" s="51">
        <v>6</v>
      </c>
      <c r="AD42" s="60">
        <v>6</v>
      </c>
      <c r="AE42" s="114"/>
    </row>
    <row r="43" spans="1:31" ht="19.899999999999999" customHeight="1">
      <c r="A43" s="219" t="s">
        <v>50</v>
      </c>
      <c r="B43" s="219" t="s">
        <v>51</v>
      </c>
      <c r="C43" s="222" t="s">
        <v>52</v>
      </c>
      <c r="D43" s="230">
        <v>0.1</v>
      </c>
      <c r="E43" s="225">
        <v>1</v>
      </c>
      <c r="F43" s="131" t="s">
        <v>53</v>
      </c>
      <c r="G43" s="1" t="s">
        <v>26</v>
      </c>
      <c r="H43" s="99" t="s">
        <v>26</v>
      </c>
      <c r="I43" s="12" t="s">
        <v>26</v>
      </c>
      <c r="J43" s="13" t="s">
        <v>26</v>
      </c>
      <c r="K43" s="44" t="s">
        <v>26</v>
      </c>
      <c r="L43" s="14" t="s">
        <v>26</v>
      </c>
      <c r="M43" s="44" t="s">
        <v>26</v>
      </c>
      <c r="N43" s="14" t="s">
        <v>26</v>
      </c>
      <c r="O43" s="44" t="s">
        <v>26</v>
      </c>
      <c r="P43" s="14" t="s">
        <v>26</v>
      </c>
      <c r="Q43" s="44" t="s">
        <v>26</v>
      </c>
      <c r="R43" s="14" t="s">
        <v>26</v>
      </c>
      <c r="S43" s="44" t="s">
        <v>26</v>
      </c>
      <c r="T43" s="14" t="s">
        <v>26</v>
      </c>
      <c r="U43" s="44" t="s">
        <v>26</v>
      </c>
      <c r="V43" s="14" t="s">
        <v>26</v>
      </c>
      <c r="W43" s="12" t="s">
        <v>26</v>
      </c>
      <c r="X43" s="14" t="s">
        <v>26</v>
      </c>
      <c r="Y43" s="12" t="s">
        <v>26</v>
      </c>
      <c r="Z43" s="14" t="s">
        <v>26</v>
      </c>
      <c r="AA43" s="12" t="s">
        <v>26</v>
      </c>
      <c r="AB43" s="14" t="s">
        <v>26</v>
      </c>
      <c r="AC43" s="12" t="s">
        <v>26</v>
      </c>
      <c r="AD43" s="55" t="s">
        <v>26</v>
      </c>
      <c r="AE43" s="62"/>
    </row>
    <row r="44" spans="1:31" ht="19.899999999999999" customHeight="1">
      <c r="A44" s="220"/>
      <c r="B44" s="220"/>
      <c r="C44" s="228"/>
      <c r="D44" s="231"/>
      <c r="E44" s="226"/>
      <c r="F44" s="132"/>
      <c r="G44" s="3">
        <f>IF(G46&lt;&gt;0,+G46/G48,0%)</f>
        <v>1</v>
      </c>
      <c r="H44" s="112">
        <f>IF(H46&lt;&gt;0,+H46/H48,0%)</f>
        <v>0</v>
      </c>
      <c r="I44" s="16">
        <f>IF(I46&lt;&gt;0,+I46/I48,0%)</f>
        <v>0</v>
      </c>
      <c r="J44" s="15">
        <f>IF(J46&lt;&gt;0,+J46/J48,0%)</f>
        <v>0</v>
      </c>
      <c r="K44" s="16">
        <f t="shared" ref="K44:AD44" si="3">IF(K46&lt;&gt;0,+K46/K48,0%)</f>
        <v>0</v>
      </c>
      <c r="L44" s="15">
        <f t="shared" si="3"/>
        <v>0</v>
      </c>
      <c r="M44" s="16">
        <f t="shared" si="3"/>
        <v>0</v>
      </c>
      <c r="N44" s="15">
        <f t="shared" si="3"/>
        <v>0</v>
      </c>
      <c r="O44" s="16">
        <f t="shared" si="3"/>
        <v>0</v>
      </c>
      <c r="P44" s="15">
        <f t="shared" si="3"/>
        <v>0</v>
      </c>
      <c r="Q44" s="16">
        <f t="shared" si="3"/>
        <v>0.33333333333333331</v>
      </c>
      <c r="R44" s="15">
        <f t="shared" si="3"/>
        <v>0.33333333333333331</v>
      </c>
      <c r="S44" s="16">
        <f t="shared" si="3"/>
        <v>0</v>
      </c>
      <c r="T44" s="15">
        <f t="shared" si="3"/>
        <v>0.33333333333333331</v>
      </c>
      <c r="U44" s="16">
        <f t="shared" si="3"/>
        <v>0.33333333333333331</v>
      </c>
      <c r="V44" s="15">
        <f t="shared" si="3"/>
        <v>0.66666666666666663</v>
      </c>
      <c r="W44" s="16">
        <f t="shared" si="3"/>
        <v>0</v>
      </c>
      <c r="X44" s="15">
        <f t="shared" si="3"/>
        <v>0.66666666666666663</v>
      </c>
      <c r="Y44" s="16">
        <f t="shared" si="3"/>
        <v>0</v>
      </c>
      <c r="Z44" s="15">
        <f t="shared" si="3"/>
        <v>0.66666666666666663</v>
      </c>
      <c r="AA44" s="16">
        <f t="shared" si="3"/>
        <v>0.33333333333333331</v>
      </c>
      <c r="AB44" s="15">
        <f t="shared" si="3"/>
        <v>1</v>
      </c>
      <c r="AC44" s="16">
        <f t="shared" si="3"/>
        <v>0</v>
      </c>
      <c r="AD44" s="56">
        <f t="shared" si="3"/>
        <v>1</v>
      </c>
      <c r="AE44" s="61"/>
    </row>
    <row r="45" spans="1:31" ht="19.899999999999999" customHeight="1">
      <c r="A45" s="220"/>
      <c r="B45" s="220"/>
      <c r="C45" s="228"/>
      <c r="D45" s="231"/>
      <c r="E45" s="226"/>
      <c r="F45" s="132"/>
      <c r="G45" s="2" t="s">
        <v>27</v>
      </c>
      <c r="H45" s="101" t="s">
        <v>27</v>
      </c>
      <c r="I45" s="17"/>
      <c r="J45" s="18" t="s">
        <v>27</v>
      </c>
      <c r="K45" s="45" t="s">
        <v>27</v>
      </c>
      <c r="L45" s="19" t="s">
        <v>27</v>
      </c>
      <c r="M45" s="45" t="s">
        <v>27</v>
      </c>
      <c r="N45" s="19" t="s">
        <v>27</v>
      </c>
      <c r="O45" s="45" t="s">
        <v>27</v>
      </c>
      <c r="P45" s="19" t="s">
        <v>27</v>
      </c>
      <c r="Q45" s="45" t="s">
        <v>27</v>
      </c>
      <c r="R45" s="19" t="s">
        <v>27</v>
      </c>
      <c r="S45" s="45" t="s">
        <v>27</v>
      </c>
      <c r="T45" s="19" t="s">
        <v>27</v>
      </c>
      <c r="U45" s="45" t="s">
        <v>27</v>
      </c>
      <c r="V45" s="19" t="s">
        <v>27</v>
      </c>
      <c r="W45" s="46" t="s">
        <v>27</v>
      </c>
      <c r="X45" s="19" t="s">
        <v>27</v>
      </c>
      <c r="Y45" s="17" t="s">
        <v>27</v>
      </c>
      <c r="Z45" s="19" t="s">
        <v>27</v>
      </c>
      <c r="AA45" s="17" t="s">
        <v>27</v>
      </c>
      <c r="AB45" s="19" t="s">
        <v>27</v>
      </c>
      <c r="AC45" s="17" t="s">
        <v>27</v>
      </c>
      <c r="AD45" s="57" t="s">
        <v>27</v>
      </c>
      <c r="AE45" s="63"/>
    </row>
    <row r="46" spans="1:31" ht="19.899999999999999" customHeight="1">
      <c r="A46" s="220"/>
      <c r="B46" s="220"/>
      <c r="C46" s="228"/>
      <c r="D46" s="231"/>
      <c r="E46" s="226"/>
      <c r="F46" s="132"/>
      <c r="G46" s="4">
        <v>3</v>
      </c>
      <c r="H46" s="111">
        <v>0</v>
      </c>
      <c r="I46" s="50">
        <v>0</v>
      </c>
      <c r="J46" s="49">
        <f>+H46+I46</f>
        <v>0</v>
      </c>
      <c r="K46" s="50">
        <v>0</v>
      </c>
      <c r="L46" s="41">
        <f>+J46+K46</f>
        <v>0</v>
      </c>
      <c r="M46" s="50">
        <v>0</v>
      </c>
      <c r="N46" s="41">
        <f>+L46+M46</f>
        <v>0</v>
      </c>
      <c r="O46" s="50">
        <v>0</v>
      </c>
      <c r="P46" s="41">
        <f>+N46+O46</f>
        <v>0</v>
      </c>
      <c r="Q46" s="50">
        <v>1</v>
      </c>
      <c r="R46" s="41">
        <f>+P46+Q46</f>
        <v>1</v>
      </c>
      <c r="S46" s="50">
        <v>0</v>
      </c>
      <c r="T46" s="41">
        <f>+R46+S46</f>
        <v>1</v>
      </c>
      <c r="U46" s="50">
        <v>1</v>
      </c>
      <c r="V46" s="41">
        <f>+T46+U46</f>
        <v>2</v>
      </c>
      <c r="W46" s="50">
        <v>0</v>
      </c>
      <c r="X46" s="41">
        <f>+V46+W46</f>
        <v>2</v>
      </c>
      <c r="Y46" s="50">
        <v>0</v>
      </c>
      <c r="Z46" s="41">
        <f>+X46+Y46</f>
        <v>2</v>
      </c>
      <c r="AA46" s="50">
        <v>1</v>
      </c>
      <c r="AB46" s="41">
        <f>+Z46+AA46</f>
        <v>3</v>
      </c>
      <c r="AC46" s="50">
        <v>0</v>
      </c>
      <c r="AD46" s="58">
        <f>+AB46+AC46</f>
        <v>3</v>
      </c>
      <c r="AE46" s="64">
        <f>AD44/E43</f>
        <v>1</v>
      </c>
    </row>
    <row r="47" spans="1:31" ht="19.899999999999999" customHeight="1">
      <c r="A47" s="220"/>
      <c r="B47" s="220"/>
      <c r="C47" s="228"/>
      <c r="D47" s="231"/>
      <c r="E47" s="226"/>
      <c r="F47" s="133" t="s">
        <v>54</v>
      </c>
      <c r="G47" s="6" t="s">
        <v>29</v>
      </c>
      <c r="H47" s="103" t="s">
        <v>29</v>
      </c>
      <c r="I47" s="20" t="s">
        <v>29</v>
      </c>
      <c r="J47" s="21" t="s">
        <v>29</v>
      </c>
      <c r="K47" s="47" t="s">
        <v>29</v>
      </c>
      <c r="L47" s="22" t="s">
        <v>29</v>
      </c>
      <c r="M47" s="47" t="s">
        <v>29</v>
      </c>
      <c r="N47" s="22" t="s">
        <v>29</v>
      </c>
      <c r="O47" s="47" t="s">
        <v>29</v>
      </c>
      <c r="P47" s="22" t="s">
        <v>29</v>
      </c>
      <c r="Q47" s="47" t="s">
        <v>29</v>
      </c>
      <c r="R47" s="22" t="s">
        <v>29</v>
      </c>
      <c r="S47" s="47" t="s">
        <v>29</v>
      </c>
      <c r="T47" s="22" t="s">
        <v>29</v>
      </c>
      <c r="U47" s="47" t="s">
        <v>29</v>
      </c>
      <c r="V47" s="22" t="s">
        <v>29</v>
      </c>
      <c r="W47" s="20" t="s">
        <v>29</v>
      </c>
      <c r="X47" s="22" t="s">
        <v>29</v>
      </c>
      <c r="Y47" s="20" t="s">
        <v>29</v>
      </c>
      <c r="Z47" s="22" t="s">
        <v>29</v>
      </c>
      <c r="AA47" s="20" t="s">
        <v>29</v>
      </c>
      <c r="AB47" s="22" t="s">
        <v>29</v>
      </c>
      <c r="AC47" s="20" t="s">
        <v>29</v>
      </c>
      <c r="AD47" s="59" t="s">
        <v>29</v>
      </c>
      <c r="AE47" s="113"/>
    </row>
    <row r="48" spans="1:31" ht="19.899999999999999" customHeight="1">
      <c r="A48" s="221"/>
      <c r="B48" s="221"/>
      <c r="C48" s="229"/>
      <c r="D48" s="232"/>
      <c r="E48" s="227"/>
      <c r="F48" s="134"/>
      <c r="G48" s="5">
        <v>3</v>
      </c>
      <c r="H48" s="104">
        <v>3</v>
      </c>
      <c r="I48" s="23">
        <v>3</v>
      </c>
      <c r="J48" s="48">
        <v>3</v>
      </c>
      <c r="K48" s="51">
        <v>3</v>
      </c>
      <c r="L48" s="24">
        <v>3</v>
      </c>
      <c r="M48" s="51">
        <v>3</v>
      </c>
      <c r="N48" s="24">
        <v>3</v>
      </c>
      <c r="O48" s="51">
        <v>3</v>
      </c>
      <c r="P48" s="24">
        <v>3</v>
      </c>
      <c r="Q48" s="23">
        <v>3</v>
      </c>
      <c r="R48" s="48">
        <v>3</v>
      </c>
      <c r="S48" s="51">
        <v>3</v>
      </c>
      <c r="T48" s="24">
        <v>3</v>
      </c>
      <c r="U48" s="51">
        <v>3</v>
      </c>
      <c r="V48" s="24">
        <v>3</v>
      </c>
      <c r="W48" s="51">
        <v>3</v>
      </c>
      <c r="X48" s="24">
        <v>3</v>
      </c>
      <c r="Y48" s="51">
        <v>3</v>
      </c>
      <c r="Z48" s="24">
        <v>3</v>
      </c>
      <c r="AA48" s="51">
        <v>3</v>
      </c>
      <c r="AB48" s="24">
        <v>3</v>
      </c>
      <c r="AC48" s="51">
        <v>3</v>
      </c>
      <c r="AD48" s="60">
        <v>3</v>
      </c>
      <c r="AE48" s="114"/>
    </row>
    <row r="49" spans="1:31" ht="19.899999999999999" customHeight="1">
      <c r="A49" s="219" t="s">
        <v>55</v>
      </c>
      <c r="B49" s="219" t="s">
        <v>56</v>
      </c>
      <c r="C49" s="222" t="s">
        <v>67</v>
      </c>
      <c r="D49" s="230">
        <v>0.2</v>
      </c>
      <c r="E49" s="225">
        <v>0.2</v>
      </c>
      <c r="F49" s="119" t="s">
        <v>58</v>
      </c>
      <c r="G49" s="1" t="s">
        <v>26</v>
      </c>
      <c r="H49" s="99" t="s">
        <v>26</v>
      </c>
      <c r="I49" s="12" t="s">
        <v>26</v>
      </c>
      <c r="J49" s="13" t="s">
        <v>26</v>
      </c>
      <c r="K49" s="44" t="s">
        <v>26</v>
      </c>
      <c r="L49" s="14" t="s">
        <v>26</v>
      </c>
      <c r="M49" s="44" t="s">
        <v>26</v>
      </c>
      <c r="N49" s="14" t="s">
        <v>26</v>
      </c>
      <c r="O49" s="44" t="s">
        <v>26</v>
      </c>
      <c r="P49" s="14" t="s">
        <v>26</v>
      </c>
      <c r="Q49" s="44" t="s">
        <v>26</v>
      </c>
      <c r="R49" s="14" t="s">
        <v>26</v>
      </c>
      <c r="S49" s="44" t="s">
        <v>26</v>
      </c>
      <c r="T49" s="14" t="s">
        <v>26</v>
      </c>
      <c r="U49" s="44" t="s">
        <v>26</v>
      </c>
      <c r="V49" s="14" t="s">
        <v>26</v>
      </c>
      <c r="W49" s="12" t="s">
        <v>26</v>
      </c>
      <c r="X49" s="14" t="s">
        <v>26</v>
      </c>
      <c r="Y49" s="12" t="s">
        <v>26</v>
      </c>
      <c r="Z49" s="14" t="s">
        <v>26</v>
      </c>
      <c r="AA49" s="12" t="s">
        <v>26</v>
      </c>
      <c r="AB49" s="14" t="s">
        <v>26</v>
      </c>
      <c r="AC49" s="12" t="s">
        <v>26</v>
      </c>
      <c r="AD49" s="55" t="s">
        <v>26</v>
      </c>
      <c r="AE49" s="62"/>
    </row>
    <row r="50" spans="1:31" ht="19.899999999999999" customHeight="1">
      <c r="A50" s="220"/>
      <c r="B50" s="220"/>
      <c r="C50" s="223"/>
      <c r="D50" s="231"/>
      <c r="E50" s="226"/>
      <c r="F50" s="120"/>
      <c r="G50" s="3">
        <v>0.2</v>
      </c>
      <c r="H50" s="112">
        <f>IF(H52&lt;&gt;0,+H52/H54,0%)</f>
        <v>0</v>
      </c>
      <c r="I50" s="16">
        <f>IF(I52&lt;&gt;0,+I52/I54,0%)</f>
        <v>0</v>
      </c>
      <c r="J50" s="15">
        <f>IF(J52&lt;&gt;0,+J52/J54,0%)</f>
        <v>0</v>
      </c>
      <c r="K50" s="16">
        <f t="shared" ref="K50:AD50" si="4">IF(K52&lt;&gt;0,+K52/K54,0%)</f>
        <v>0</v>
      </c>
      <c r="L50" s="15">
        <f t="shared" si="4"/>
        <v>0</v>
      </c>
      <c r="M50" s="16">
        <f t="shared" si="4"/>
        <v>0</v>
      </c>
      <c r="N50" s="15">
        <f t="shared" si="4"/>
        <v>0</v>
      </c>
      <c r="O50" s="16">
        <f t="shared" si="4"/>
        <v>0</v>
      </c>
      <c r="P50" s="15">
        <f t="shared" si="4"/>
        <v>0</v>
      </c>
      <c r="Q50" s="16">
        <f t="shared" si="4"/>
        <v>0</v>
      </c>
      <c r="R50" s="15">
        <f t="shared" si="4"/>
        <v>0</v>
      </c>
      <c r="S50" s="16">
        <f t="shared" si="4"/>
        <v>0.1</v>
      </c>
      <c r="T50" s="15">
        <f t="shared" si="4"/>
        <v>0.1</v>
      </c>
      <c r="U50" s="16">
        <f t="shared" si="4"/>
        <v>0</v>
      </c>
      <c r="V50" s="15">
        <f t="shared" si="4"/>
        <v>0.1</v>
      </c>
      <c r="W50" s="16">
        <f t="shared" si="4"/>
        <v>0</v>
      </c>
      <c r="X50" s="15">
        <f t="shared" si="4"/>
        <v>0.1</v>
      </c>
      <c r="Y50" s="16">
        <f t="shared" si="4"/>
        <v>0</v>
      </c>
      <c r="Z50" s="15">
        <f t="shared" si="4"/>
        <v>0.1</v>
      </c>
      <c r="AA50" s="16">
        <f t="shared" si="4"/>
        <v>0.1</v>
      </c>
      <c r="AB50" s="15">
        <f t="shared" si="4"/>
        <v>0.2</v>
      </c>
      <c r="AC50" s="16">
        <f t="shared" si="4"/>
        <v>0</v>
      </c>
      <c r="AD50" s="56">
        <f t="shared" si="4"/>
        <v>0.2</v>
      </c>
      <c r="AE50" s="61"/>
    </row>
    <row r="51" spans="1:31" ht="19.899999999999999" customHeight="1">
      <c r="A51" s="220"/>
      <c r="B51" s="220"/>
      <c r="C51" s="223"/>
      <c r="D51" s="231"/>
      <c r="E51" s="226"/>
      <c r="F51" s="120"/>
      <c r="G51" s="2" t="s">
        <v>27</v>
      </c>
      <c r="H51" s="101" t="s">
        <v>27</v>
      </c>
      <c r="I51" s="17"/>
      <c r="J51" s="18" t="s">
        <v>27</v>
      </c>
      <c r="K51" s="45" t="s">
        <v>27</v>
      </c>
      <c r="L51" s="19" t="s">
        <v>27</v>
      </c>
      <c r="M51" s="45" t="s">
        <v>27</v>
      </c>
      <c r="N51" s="19" t="s">
        <v>27</v>
      </c>
      <c r="O51" s="45" t="s">
        <v>27</v>
      </c>
      <c r="P51" s="19" t="s">
        <v>27</v>
      </c>
      <c r="Q51" s="45" t="s">
        <v>27</v>
      </c>
      <c r="R51" s="19" t="s">
        <v>27</v>
      </c>
      <c r="S51" s="45" t="s">
        <v>27</v>
      </c>
      <c r="T51" s="19" t="s">
        <v>27</v>
      </c>
      <c r="U51" s="45" t="s">
        <v>27</v>
      </c>
      <c r="V51" s="19" t="s">
        <v>27</v>
      </c>
      <c r="W51" s="46" t="s">
        <v>27</v>
      </c>
      <c r="X51" s="19" t="s">
        <v>27</v>
      </c>
      <c r="Y51" s="17" t="s">
        <v>27</v>
      </c>
      <c r="Z51" s="19" t="s">
        <v>27</v>
      </c>
      <c r="AA51" s="17" t="s">
        <v>27</v>
      </c>
      <c r="AB51" s="19" t="s">
        <v>27</v>
      </c>
      <c r="AC51" s="17" t="s">
        <v>27</v>
      </c>
      <c r="AD51" s="57" t="s">
        <v>27</v>
      </c>
      <c r="AE51" s="63"/>
    </row>
    <row r="52" spans="1:31" ht="19.899999999999999" customHeight="1">
      <c r="A52" s="220"/>
      <c r="B52" s="220"/>
      <c r="C52" s="223"/>
      <c r="D52" s="231"/>
      <c r="E52" s="226"/>
      <c r="F52" s="121"/>
      <c r="G52" s="4">
        <v>49.2</v>
      </c>
      <c r="H52" s="111">
        <v>0</v>
      </c>
      <c r="I52" s="50">
        <v>0</v>
      </c>
      <c r="J52" s="49">
        <f>+H52+I52</f>
        <v>0</v>
      </c>
      <c r="K52" s="50">
        <v>0</v>
      </c>
      <c r="L52" s="41">
        <f>+J52+K52</f>
        <v>0</v>
      </c>
      <c r="M52" s="50">
        <v>0</v>
      </c>
      <c r="N52" s="41">
        <f>+L52+M52</f>
        <v>0</v>
      </c>
      <c r="O52" s="50">
        <v>0</v>
      </c>
      <c r="P52" s="41">
        <f>+N52+O52</f>
        <v>0</v>
      </c>
      <c r="Q52" s="50">
        <v>0</v>
      </c>
      <c r="R52" s="41">
        <f>+P52+Q52</f>
        <v>0</v>
      </c>
      <c r="S52" s="83">
        <v>24.6</v>
      </c>
      <c r="T52" s="84">
        <f>+R52+S52</f>
        <v>24.6</v>
      </c>
      <c r="U52" s="50">
        <v>0</v>
      </c>
      <c r="V52" s="84">
        <f>+T52+U52</f>
        <v>24.6</v>
      </c>
      <c r="W52" s="50">
        <v>0</v>
      </c>
      <c r="X52" s="84">
        <f>+V52+W52</f>
        <v>24.6</v>
      </c>
      <c r="Y52" s="50">
        <v>0</v>
      </c>
      <c r="Z52" s="84">
        <f>+X52+Y52</f>
        <v>24.6</v>
      </c>
      <c r="AA52" s="83">
        <v>24.6</v>
      </c>
      <c r="AB52" s="41">
        <f>+Z52+AA52</f>
        <v>49.2</v>
      </c>
      <c r="AC52" s="50">
        <v>0</v>
      </c>
      <c r="AD52" s="58">
        <f>+AB52+AC52</f>
        <v>49.2</v>
      </c>
      <c r="AE52" s="64">
        <f>AD50/E49</f>
        <v>1</v>
      </c>
    </row>
    <row r="53" spans="1:31" ht="19.899999999999999" customHeight="1">
      <c r="A53" s="220"/>
      <c r="B53" s="220"/>
      <c r="C53" s="223"/>
      <c r="D53" s="231"/>
      <c r="E53" s="226"/>
      <c r="F53" s="122" t="s">
        <v>59</v>
      </c>
      <c r="G53" s="6" t="s">
        <v>29</v>
      </c>
      <c r="H53" s="103" t="s">
        <v>29</v>
      </c>
      <c r="I53" s="20" t="s">
        <v>29</v>
      </c>
      <c r="J53" s="21" t="s">
        <v>29</v>
      </c>
      <c r="K53" s="47" t="s">
        <v>29</v>
      </c>
      <c r="L53" s="22" t="s">
        <v>29</v>
      </c>
      <c r="M53" s="47" t="s">
        <v>29</v>
      </c>
      <c r="N53" s="22" t="s">
        <v>29</v>
      </c>
      <c r="O53" s="47" t="s">
        <v>29</v>
      </c>
      <c r="P53" s="22" t="s">
        <v>29</v>
      </c>
      <c r="Q53" s="47" t="s">
        <v>29</v>
      </c>
      <c r="R53" s="22" t="s">
        <v>29</v>
      </c>
      <c r="S53" s="47" t="s">
        <v>29</v>
      </c>
      <c r="T53" s="22" t="s">
        <v>29</v>
      </c>
      <c r="U53" s="47" t="s">
        <v>29</v>
      </c>
      <c r="V53" s="22" t="s">
        <v>29</v>
      </c>
      <c r="W53" s="20" t="s">
        <v>29</v>
      </c>
      <c r="X53" s="22" t="s">
        <v>29</v>
      </c>
      <c r="Y53" s="20" t="s">
        <v>29</v>
      </c>
      <c r="Z53" s="22" t="s">
        <v>29</v>
      </c>
      <c r="AA53" s="20" t="s">
        <v>29</v>
      </c>
      <c r="AB53" s="22" t="s">
        <v>29</v>
      </c>
      <c r="AC53" s="20" t="s">
        <v>29</v>
      </c>
      <c r="AD53" s="59" t="s">
        <v>29</v>
      </c>
      <c r="AE53" s="113"/>
    </row>
    <row r="54" spans="1:31" ht="19.899999999999999" customHeight="1">
      <c r="A54" s="221"/>
      <c r="B54" s="221"/>
      <c r="C54" s="224"/>
      <c r="D54" s="232"/>
      <c r="E54" s="227"/>
      <c r="F54" s="123"/>
      <c r="G54" s="5">
        <v>246</v>
      </c>
      <c r="H54" s="104">
        <v>246</v>
      </c>
      <c r="I54" s="23">
        <v>246</v>
      </c>
      <c r="J54" s="48">
        <v>246</v>
      </c>
      <c r="K54" s="51">
        <v>246</v>
      </c>
      <c r="L54" s="24">
        <v>246</v>
      </c>
      <c r="M54" s="51">
        <v>246</v>
      </c>
      <c r="N54" s="24">
        <v>246</v>
      </c>
      <c r="O54" s="51">
        <v>246</v>
      </c>
      <c r="P54" s="24">
        <v>246</v>
      </c>
      <c r="Q54" s="23">
        <v>246</v>
      </c>
      <c r="R54" s="48">
        <v>246</v>
      </c>
      <c r="S54" s="51">
        <v>246</v>
      </c>
      <c r="T54" s="24">
        <v>246</v>
      </c>
      <c r="U54" s="51">
        <v>246</v>
      </c>
      <c r="V54" s="24">
        <v>246</v>
      </c>
      <c r="W54" s="51">
        <v>246</v>
      </c>
      <c r="X54" s="24">
        <v>246</v>
      </c>
      <c r="Y54" s="51">
        <v>246</v>
      </c>
      <c r="Z54" s="24">
        <v>246</v>
      </c>
      <c r="AA54" s="51">
        <v>246</v>
      </c>
      <c r="AB54" s="24">
        <v>246</v>
      </c>
      <c r="AC54" s="51">
        <v>246</v>
      </c>
      <c r="AD54" s="60">
        <v>246</v>
      </c>
      <c r="AE54" s="114"/>
    </row>
    <row r="60" spans="1:31" ht="12.75" customHeight="1">
      <c r="AB60" s="85"/>
    </row>
  </sheetData>
  <autoFilter ref="B1:AE55" xr:uid="{00000000-0001-0000-0200-000000000000}">
    <filterColumn colId="1" showButton="0"/>
    <filterColumn colId="2" hiddenButton="1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95">
    <mergeCell ref="A11:A12"/>
    <mergeCell ref="A13:A18"/>
    <mergeCell ref="A19:A24"/>
    <mergeCell ref="A25:A30"/>
    <mergeCell ref="A31:A36"/>
    <mergeCell ref="A37:A42"/>
    <mergeCell ref="A43:A48"/>
    <mergeCell ref="A49:A54"/>
    <mergeCell ref="AE11:AE12"/>
    <mergeCell ref="AB11:AB12"/>
    <mergeCell ref="AC11:AC12"/>
    <mergeCell ref="AD11:AD12"/>
    <mergeCell ref="F13:F15"/>
    <mergeCell ref="B19:B24"/>
    <mergeCell ref="C19:C24"/>
    <mergeCell ref="E19:E24"/>
    <mergeCell ref="E13:E18"/>
    <mergeCell ref="B13:B18"/>
    <mergeCell ref="C13:C18"/>
    <mergeCell ref="F16:F18"/>
    <mergeCell ref="F19:F21"/>
    <mergeCell ref="B1:B5"/>
    <mergeCell ref="C1:F5"/>
    <mergeCell ref="G1:L1"/>
    <mergeCell ref="G2:L2"/>
    <mergeCell ref="G3:L3"/>
    <mergeCell ref="G4:L4"/>
    <mergeCell ref="G5:L5"/>
    <mergeCell ref="C6:F6"/>
    <mergeCell ref="G6:L6"/>
    <mergeCell ref="B8:F8"/>
    <mergeCell ref="B9:F9"/>
    <mergeCell ref="B11:B12"/>
    <mergeCell ref="C11:C12"/>
    <mergeCell ref="J11:J12"/>
    <mergeCell ref="K11:K12"/>
    <mergeCell ref="L11:L12"/>
    <mergeCell ref="E11:E12"/>
    <mergeCell ref="G11:G12"/>
    <mergeCell ref="H11:H12"/>
    <mergeCell ref="F11:F12"/>
    <mergeCell ref="D11:D12"/>
    <mergeCell ref="F22:F24"/>
    <mergeCell ref="D19:D24"/>
    <mergeCell ref="D13:D18"/>
    <mergeCell ref="N11:N12"/>
    <mergeCell ref="I11:I12"/>
    <mergeCell ref="M11:M12"/>
    <mergeCell ref="Y11:Y12"/>
    <mergeCell ref="AA11:AA12"/>
    <mergeCell ref="T11:T12"/>
    <mergeCell ref="V11:V12"/>
    <mergeCell ref="W11:W12"/>
    <mergeCell ref="X11:X12"/>
    <mergeCell ref="Z11:Z12"/>
    <mergeCell ref="U11:U12"/>
    <mergeCell ref="O11:O12"/>
    <mergeCell ref="P11:P12"/>
    <mergeCell ref="Q11:Q12"/>
    <mergeCell ref="R11:R12"/>
    <mergeCell ref="S11:S12"/>
    <mergeCell ref="AE35:AE36"/>
    <mergeCell ref="AE41:AE42"/>
    <mergeCell ref="F31:F34"/>
    <mergeCell ref="F35:F36"/>
    <mergeCell ref="F37:F40"/>
    <mergeCell ref="F41:F42"/>
    <mergeCell ref="B37:B42"/>
    <mergeCell ref="C37:C42"/>
    <mergeCell ref="E31:E36"/>
    <mergeCell ref="E37:E42"/>
    <mergeCell ref="B31:B36"/>
    <mergeCell ref="C31:C36"/>
    <mergeCell ref="D31:D36"/>
    <mergeCell ref="D37:D42"/>
    <mergeCell ref="C25:C30"/>
    <mergeCell ref="E25:E30"/>
    <mergeCell ref="B25:B30"/>
    <mergeCell ref="F25:F28"/>
    <mergeCell ref="F29:F30"/>
    <mergeCell ref="D25:D30"/>
    <mergeCell ref="AE53:AE54"/>
    <mergeCell ref="F43:F46"/>
    <mergeCell ref="F47:F48"/>
    <mergeCell ref="AE47:AE48"/>
    <mergeCell ref="B49:B54"/>
    <mergeCell ref="C49:C54"/>
    <mergeCell ref="E49:E54"/>
    <mergeCell ref="F49:F52"/>
    <mergeCell ref="F53:F54"/>
    <mergeCell ref="E43:E48"/>
    <mergeCell ref="B43:B48"/>
    <mergeCell ref="C43:C48"/>
    <mergeCell ref="D43:D48"/>
    <mergeCell ref="D49:D5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4BE8-E09F-4463-AEBD-4BC048E2ABF6}">
  <dimension ref="A1:O25"/>
  <sheetViews>
    <sheetView tabSelected="1" workbookViewId="0">
      <selection activeCell="O21" sqref="O21"/>
    </sheetView>
  </sheetViews>
  <sheetFormatPr defaultRowHeight="12.75"/>
  <cols>
    <col min="1" max="1" width="14.7109375" customWidth="1"/>
  </cols>
  <sheetData>
    <row r="1" spans="1:13" ht="13.5">
      <c r="A1" s="264" t="s">
        <v>68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86"/>
      <c r="M1" s="86"/>
    </row>
    <row r="2" spans="1:13" ht="13.5">
      <c r="A2" s="264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86"/>
      <c r="M2" s="86"/>
    </row>
    <row r="3" spans="1:13" ht="13.5">
      <c r="A3" s="240" t="s">
        <v>69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86"/>
      <c r="M3" s="86"/>
    </row>
    <row r="4" spans="1:13" ht="13.5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86"/>
      <c r="M4" s="86"/>
    </row>
    <row r="5" spans="1:13" ht="13.5">
      <c r="A5" s="241" t="s">
        <v>70</v>
      </c>
      <c r="B5" s="241" t="s">
        <v>71</v>
      </c>
      <c r="C5" s="241" t="s">
        <v>72</v>
      </c>
      <c r="D5" s="241" t="s">
        <v>73</v>
      </c>
      <c r="E5" s="244" t="s">
        <v>74</v>
      </c>
      <c r="F5" s="245"/>
      <c r="G5" s="241" t="s">
        <v>75</v>
      </c>
      <c r="H5" s="241" t="s">
        <v>76</v>
      </c>
      <c r="I5" s="248" t="s">
        <v>77</v>
      </c>
      <c r="J5" s="249"/>
      <c r="K5" s="250"/>
      <c r="L5" s="86"/>
      <c r="M5" s="86"/>
    </row>
    <row r="6" spans="1:13" ht="13.5">
      <c r="A6" s="242"/>
      <c r="B6" s="242"/>
      <c r="C6" s="242"/>
      <c r="D6" s="242"/>
      <c r="E6" s="246"/>
      <c r="F6" s="247"/>
      <c r="G6" s="242"/>
      <c r="H6" s="242"/>
      <c r="I6" s="251"/>
      <c r="J6" s="252"/>
      <c r="K6" s="253"/>
      <c r="L6" s="86"/>
      <c r="M6" s="86"/>
    </row>
    <row r="7" spans="1:13" ht="44.25" customHeight="1">
      <c r="A7" s="243"/>
      <c r="B7" s="243"/>
      <c r="C7" s="243"/>
      <c r="D7" s="243"/>
      <c r="E7" s="87" t="s">
        <v>16</v>
      </c>
      <c r="F7" s="87" t="s">
        <v>78</v>
      </c>
      <c r="G7" s="243"/>
      <c r="H7" s="243"/>
      <c r="I7" s="88" t="s">
        <v>79</v>
      </c>
      <c r="J7" s="88" t="s">
        <v>75</v>
      </c>
      <c r="K7" s="88" t="s">
        <v>72</v>
      </c>
      <c r="L7" s="86"/>
      <c r="M7" s="89"/>
    </row>
    <row r="8" spans="1:13" ht="12.75" customHeight="1">
      <c r="A8" s="254" t="s">
        <v>80</v>
      </c>
      <c r="B8" s="254" t="s">
        <v>23</v>
      </c>
      <c r="C8" s="256">
        <v>0.15</v>
      </c>
      <c r="D8" s="254" t="s">
        <v>24</v>
      </c>
      <c r="E8" s="90">
        <v>0</v>
      </c>
      <c r="F8" s="257">
        <v>0</v>
      </c>
      <c r="G8" s="238">
        <v>0</v>
      </c>
      <c r="H8" s="266">
        <v>0</v>
      </c>
      <c r="I8" s="258">
        <v>0</v>
      </c>
      <c r="J8" s="267">
        <v>0</v>
      </c>
      <c r="K8" s="267">
        <v>0</v>
      </c>
      <c r="L8" s="260" t="s">
        <v>24</v>
      </c>
      <c r="M8" s="86"/>
    </row>
    <row r="9" spans="1:13" ht="53.25" customHeight="1">
      <c r="A9" s="255"/>
      <c r="B9" s="255"/>
      <c r="C9" s="255"/>
      <c r="D9" s="255"/>
      <c r="E9" s="90">
        <v>1</v>
      </c>
      <c r="F9" s="255"/>
      <c r="G9" s="239"/>
      <c r="H9" s="268"/>
      <c r="I9" s="259"/>
      <c r="J9" s="269"/>
      <c r="K9" s="269"/>
      <c r="L9" s="255"/>
      <c r="M9" s="89"/>
    </row>
    <row r="10" spans="1:13" ht="13.5" customHeight="1">
      <c r="A10" s="254" t="s">
        <v>81</v>
      </c>
      <c r="B10" s="254" t="s">
        <v>32</v>
      </c>
      <c r="C10" s="256">
        <v>0.15</v>
      </c>
      <c r="D10" s="257">
        <v>1</v>
      </c>
      <c r="E10" s="90">
        <v>0</v>
      </c>
      <c r="F10" s="257">
        <v>0</v>
      </c>
      <c r="G10" s="238">
        <v>0</v>
      </c>
      <c r="H10" s="266">
        <v>0</v>
      </c>
      <c r="I10" s="258">
        <v>0</v>
      </c>
      <c r="J10" s="267">
        <v>0</v>
      </c>
      <c r="K10" s="267">
        <v>0</v>
      </c>
      <c r="L10" s="86"/>
      <c r="M10" s="86"/>
    </row>
    <row r="11" spans="1:13" ht="50.25" customHeight="1">
      <c r="A11" s="255"/>
      <c r="B11" s="255"/>
      <c r="C11" s="255"/>
      <c r="D11" s="255"/>
      <c r="E11" s="90">
        <v>2</v>
      </c>
      <c r="F11" s="255"/>
      <c r="G11" s="239"/>
      <c r="H11" s="268"/>
      <c r="I11" s="259"/>
      <c r="J11" s="269"/>
      <c r="K11" s="269"/>
      <c r="L11" s="86"/>
      <c r="M11" s="86"/>
    </row>
    <row r="12" spans="1:13" ht="12.75" customHeight="1">
      <c r="A12" s="254" t="s">
        <v>82</v>
      </c>
      <c r="B12" s="254" t="s">
        <v>37</v>
      </c>
      <c r="C12" s="256">
        <v>0.1</v>
      </c>
      <c r="D12" s="257">
        <v>1</v>
      </c>
      <c r="E12" s="90">
        <v>1</v>
      </c>
      <c r="F12" s="257">
        <v>0.5</v>
      </c>
      <c r="G12" s="238">
        <v>0.5</v>
      </c>
      <c r="H12" s="266">
        <v>0.05</v>
      </c>
      <c r="I12" s="258">
        <v>0.5</v>
      </c>
      <c r="J12" s="267">
        <v>0.5</v>
      </c>
      <c r="K12" s="267">
        <v>0.05</v>
      </c>
      <c r="L12" s="86"/>
      <c r="M12" s="86"/>
    </row>
    <row r="13" spans="1:13" ht="82.5" customHeight="1">
      <c r="A13" s="255"/>
      <c r="B13" s="255"/>
      <c r="C13" s="255"/>
      <c r="D13" s="255"/>
      <c r="E13" s="90">
        <v>2</v>
      </c>
      <c r="F13" s="255"/>
      <c r="G13" s="239"/>
      <c r="H13" s="268"/>
      <c r="I13" s="259"/>
      <c r="J13" s="269"/>
      <c r="K13" s="269"/>
      <c r="L13" s="86"/>
      <c r="M13" s="86"/>
    </row>
    <row r="14" spans="1:13" ht="12.75" customHeight="1">
      <c r="A14" s="254" t="s">
        <v>83</v>
      </c>
      <c r="B14" s="254" t="s">
        <v>42</v>
      </c>
      <c r="C14" s="256">
        <v>0.2</v>
      </c>
      <c r="D14" s="254" t="s">
        <v>24</v>
      </c>
      <c r="E14" s="90">
        <v>0</v>
      </c>
      <c r="F14" s="257">
        <v>0</v>
      </c>
      <c r="G14" s="238">
        <v>0</v>
      </c>
      <c r="H14" s="266">
        <v>0</v>
      </c>
      <c r="I14" s="258">
        <v>0</v>
      </c>
      <c r="J14" s="267">
        <v>0</v>
      </c>
      <c r="K14" s="267">
        <v>0</v>
      </c>
      <c r="L14" s="86" t="s">
        <v>24</v>
      </c>
      <c r="M14" s="86"/>
    </row>
    <row r="15" spans="1:13" ht="68.25" customHeight="1">
      <c r="A15" s="255"/>
      <c r="B15" s="255"/>
      <c r="C15" s="255"/>
      <c r="D15" s="255"/>
      <c r="E15" s="90">
        <v>1</v>
      </c>
      <c r="F15" s="255"/>
      <c r="G15" s="239"/>
      <c r="H15" s="268"/>
      <c r="I15" s="259"/>
      <c r="J15" s="269"/>
      <c r="K15" s="269"/>
      <c r="L15" s="86"/>
      <c r="M15" s="86"/>
    </row>
    <row r="16" spans="1:13" ht="12.75" customHeight="1">
      <c r="A16" s="254" t="s">
        <v>84</v>
      </c>
      <c r="B16" s="254" t="s">
        <v>66</v>
      </c>
      <c r="C16" s="256">
        <v>0.2</v>
      </c>
      <c r="D16" s="254" t="s">
        <v>24</v>
      </c>
      <c r="E16" s="90">
        <v>2</v>
      </c>
      <c r="F16" s="257">
        <v>0.33329999999999999</v>
      </c>
      <c r="G16" s="238">
        <v>1</v>
      </c>
      <c r="H16" s="266">
        <v>0.2</v>
      </c>
      <c r="I16" s="258">
        <v>0.33329999999999999</v>
      </c>
      <c r="J16" s="267">
        <v>1</v>
      </c>
      <c r="K16" s="267">
        <v>0.2</v>
      </c>
      <c r="L16" s="86" t="s">
        <v>24</v>
      </c>
      <c r="M16" s="86"/>
    </row>
    <row r="17" spans="1:15" ht="111" customHeight="1">
      <c r="A17" s="255"/>
      <c r="B17" s="255"/>
      <c r="C17" s="255"/>
      <c r="D17" s="255"/>
      <c r="E17" s="90">
        <v>6</v>
      </c>
      <c r="F17" s="255"/>
      <c r="G17" s="239"/>
      <c r="H17" s="268"/>
      <c r="I17" s="259"/>
      <c r="J17" s="269"/>
      <c r="K17" s="269"/>
      <c r="L17" s="86"/>
      <c r="M17" s="86"/>
    </row>
    <row r="18" spans="1:15" ht="12.75" customHeight="1">
      <c r="A18" s="254" t="s">
        <v>85</v>
      </c>
      <c r="B18" s="254" t="s">
        <v>52</v>
      </c>
      <c r="C18" s="256">
        <v>0.1</v>
      </c>
      <c r="D18" s="257">
        <v>1</v>
      </c>
      <c r="E18" s="90">
        <v>1</v>
      </c>
      <c r="F18" s="257">
        <v>0.33329999999999999</v>
      </c>
      <c r="G18" s="238">
        <v>0.33329999999999999</v>
      </c>
      <c r="H18" s="266">
        <v>3.3300000000000003E-2</v>
      </c>
      <c r="I18" s="258">
        <v>0.66669999999999996</v>
      </c>
      <c r="J18" s="267">
        <v>0.66669999999999996</v>
      </c>
      <c r="K18" s="267">
        <v>6.6699999999999995E-2</v>
      </c>
      <c r="L18" s="86"/>
      <c r="M18" s="86"/>
    </row>
    <row r="19" spans="1:15" ht="71.25" customHeight="1">
      <c r="A19" s="255"/>
      <c r="B19" s="255"/>
      <c r="C19" s="255"/>
      <c r="D19" s="255"/>
      <c r="E19" s="90">
        <v>3</v>
      </c>
      <c r="F19" s="255"/>
      <c r="G19" s="239"/>
      <c r="H19" s="268"/>
      <c r="I19" s="259"/>
      <c r="J19" s="269"/>
      <c r="K19" s="269"/>
      <c r="L19" s="86"/>
      <c r="M19" s="86"/>
    </row>
    <row r="20" spans="1:15" ht="12.75" customHeight="1">
      <c r="A20" s="254" t="s">
        <v>86</v>
      </c>
      <c r="B20" s="254" t="s">
        <v>67</v>
      </c>
      <c r="C20" s="256">
        <v>0.1</v>
      </c>
      <c r="D20" s="257">
        <v>0.2</v>
      </c>
      <c r="E20" s="90">
        <v>0</v>
      </c>
      <c r="F20" s="257">
        <v>0</v>
      </c>
      <c r="G20" s="238">
        <v>0</v>
      </c>
      <c r="H20" s="266">
        <v>0</v>
      </c>
      <c r="I20" s="258">
        <v>0.1</v>
      </c>
      <c r="J20" s="267">
        <v>0.5</v>
      </c>
      <c r="K20" s="267">
        <v>0.05</v>
      </c>
      <c r="L20" s="86"/>
      <c r="M20" s="86"/>
    </row>
    <row r="21" spans="1:15" ht="67.5" customHeight="1">
      <c r="A21" s="255"/>
      <c r="B21" s="255"/>
      <c r="C21" s="255"/>
      <c r="D21" s="255"/>
      <c r="E21" s="90">
        <v>246</v>
      </c>
      <c r="F21" s="255"/>
      <c r="G21" s="239"/>
      <c r="H21" s="268"/>
      <c r="I21" s="259"/>
      <c r="J21" s="269"/>
      <c r="K21" s="269"/>
      <c r="L21" s="86"/>
      <c r="M21" s="86"/>
      <c r="O21" s="96"/>
    </row>
    <row r="22" spans="1:15" ht="12.75" customHeight="1">
      <c r="A22" s="91"/>
      <c r="B22" s="91"/>
      <c r="C22" s="91"/>
      <c r="D22" s="91"/>
      <c r="E22" s="261" t="s">
        <v>87</v>
      </c>
      <c r="F22" s="262"/>
      <c r="G22" s="263"/>
      <c r="H22" s="92">
        <v>0.2833</v>
      </c>
      <c r="I22" s="91" t="s">
        <v>88</v>
      </c>
      <c r="J22" s="86"/>
      <c r="K22" s="93">
        <v>0.36670000000000003</v>
      </c>
      <c r="L22" s="86"/>
      <c r="M22" s="86"/>
    </row>
    <row r="23" spans="1:15" ht="12.75" customHeight="1">
      <c r="A23" s="86"/>
      <c r="B23" s="86"/>
      <c r="C23" s="86"/>
      <c r="D23" s="86"/>
      <c r="E23" s="261" t="s">
        <v>89</v>
      </c>
      <c r="F23" s="262"/>
      <c r="G23" s="263"/>
      <c r="H23" s="94">
        <v>0.7167</v>
      </c>
      <c r="I23" s="86"/>
      <c r="J23" s="86"/>
      <c r="K23" s="86"/>
      <c r="L23" s="86"/>
      <c r="M23" s="86"/>
    </row>
    <row r="24" spans="1:15" ht="12.75" customHeight="1">
      <c r="A24" s="86"/>
      <c r="B24" s="86"/>
      <c r="C24" s="86"/>
      <c r="D24" s="86"/>
      <c r="E24" s="261" t="s">
        <v>90</v>
      </c>
      <c r="F24" s="262"/>
      <c r="G24" s="263"/>
      <c r="H24" s="94">
        <v>1</v>
      </c>
      <c r="I24" s="86"/>
      <c r="J24" s="86"/>
      <c r="K24" s="95" t="s">
        <v>91</v>
      </c>
      <c r="L24" s="86"/>
      <c r="M24" s="86"/>
    </row>
    <row r="25" spans="1:15" ht="13.5">
      <c r="A25" s="270"/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86"/>
      <c r="M25" s="86"/>
    </row>
  </sheetData>
  <mergeCells count="85">
    <mergeCell ref="E23:G23"/>
    <mergeCell ref="E24:G24"/>
    <mergeCell ref="A25:K25"/>
    <mergeCell ref="G20:G21"/>
    <mergeCell ref="H20:H21"/>
    <mergeCell ref="I20:I21"/>
    <mergeCell ref="J20:J21"/>
    <mergeCell ref="K20:K21"/>
    <mergeCell ref="E22:G22"/>
    <mergeCell ref="A20:A21"/>
    <mergeCell ref="B20:B21"/>
    <mergeCell ref="C20:C21"/>
    <mergeCell ref="D20:D21"/>
    <mergeCell ref="F20:F21"/>
    <mergeCell ref="G18:G19"/>
    <mergeCell ref="H18:H19"/>
    <mergeCell ref="I18:I19"/>
    <mergeCell ref="J18:J19"/>
    <mergeCell ref="K18:K19"/>
    <mergeCell ref="G16:G17"/>
    <mergeCell ref="H16:H17"/>
    <mergeCell ref="I16:I17"/>
    <mergeCell ref="J16:J17"/>
    <mergeCell ref="K16:K17"/>
    <mergeCell ref="A18:A19"/>
    <mergeCell ref="B18:B19"/>
    <mergeCell ref="C18:C19"/>
    <mergeCell ref="D18:D19"/>
    <mergeCell ref="F18:F19"/>
    <mergeCell ref="G14:G15"/>
    <mergeCell ref="H14:H15"/>
    <mergeCell ref="I14:I15"/>
    <mergeCell ref="J14:J15"/>
    <mergeCell ref="K14:K15"/>
    <mergeCell ref="A16:A17"/>
    <mergeCell ref="B16:B17"/>
    <mergeCell ref="C16:C17"/>
    <mergeCell ref="D16:D17"/>
    <mergeCell ref="F16:F17"/>
    <mergeCell ref="G12:G13"/>
    <mergeCell ref="H12:H13"/>
    <mergeCell ref="I12:I13"/>
    <mergeCell ref="J12:J13"/>
    <mergeCell ref="K12:K13"/>
    <mergeCell ref="A14:A15"/>
    <mergeCell ref="B14:B15"/>
    <mergeCell ref="C14:C15"/>
    <mergeCell ref="D14:D15"/>
    <mergeCell ref="F14:F15"/>
    <mergeCell ref="G10:G11"/>
    <mergeCell ref="H10:H11"/>
    <mergeCell ref="I10:I11"/>
    <mergeCell ref="J10:J11"/>
    <mergeCell ref="K10:K11"/>
    <mergeCell ref="A12:A13"/>
    <mergeCell ref="B12:B13"/>
    <mergeCell ref="C12:C13"/>
    <mergeCell ref="D12:D13"/>
    <mergeCell ref="F12:F13"/>
    <mergeCell ref="H8:H9"/>
    <mergeCell ref="I8:I9"/>
    <mergeCell ref="J8:J9"/>
    <mergeCell ref="K8:K9"/>
    <mergeCell ref="L8:L9"/>
    <mergeCell ref="A10:A11"/>
    <mergeCell ref="B10:B11"/>
    <mergeCell ref="C10:C11"/>
    <mergeCell ref="D10:D11"/>
    <mergeCell ref="F10:F11"/>
    <mergeCell ref="G8:G9"/>
    <mergeCell ref="A1:K2"/>
    <mergeCell ref="A3:K4"/>
    <mergeCell ref="A5:A7"/>
    <mergeCell ref="B5:B7"/>
    <mergeCell ref="C5:C7"/>
    <mergeCell ref="D5:D7"/>
    <mergeCell ref="E5:F6"/>
    <mergeCell ref="G5:G7"/>
    <mergeCell ref="H5:H7"/>
    <mergeCell ref="I5:K6"/>
    <mergeCell ref="A8:A9"/>
    <mergeCell ref="B8:B9"/>
    <mergeCell ref="C8:C9"/>
    <mergeCell ref="D8:D9"/>
    <mergeCell ref="F8:F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f039dc-d422-4dbb-8aaa-f168ed29604a">
      <Terms xmlns="http://schemas.microsoft.com/office/infopath/2007/PartnerControls"/>
    </lcf76f155ced4ddcb4097134ff3c332f>
    <TaxCatchAll xmlns="e0a20089-3ff3-4049-88bf-878df07f6ca2" xsi:nil="true"/>
    <SharedWithUsers xmlns="e0a20089-3ff3-4049-88bf-878df07f6ca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C17F14BA96A84FA01A012F8ABC8E6F" ma:contentTypeVersion="18" ma:contentTypeDescription="Crear nuevo documento." ma:contentTypeScope="" ma:versionID="1815f065644c78e898ccc06fb3a7d5f3">
  <xsd:schema xmlns:xsd="http://www.w3.org/2001/XMLSchema" xmlns:xs="http://www.w3.org/2001/XMLSchema" xmlns:p="http://schemas.microsoft.com/office/2006/metadata/properties" xmlns:ns2="e0a20089-3ff3-4049-88bf-878df07f6ca2" xmlns:ns3="63f039dc-d422-4dbb-8aaa-f168ed29604a" targetNamespace="http://schemas.microsoft.com/office/2006/metadata/properties" ma:root="true" ma:fieldsID="f658c612518ebb6dfbc0fbb1c67761d2" ns2:_="" ns3:_="">
    <xsd:import namespace="e0a20089-3ff3-4049-88bf-878df07f6ca2"/>
    <xsd:import namespace="63f039dc-d422-4dbb-8aaa-f168ed2960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089-3ff3-4049-88bf-878df07f6c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ba74041-7728-433f-a3eb-147781119167}" ma:internalName="TaxCatchAll" ma:showField="CatchAllData" ma:web="e0a20089-3ff3-4049-88bf-878df07f6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039dc-d422-4dbb-8aaa-f168ed296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b5f5c4a-c245-4be6-8d47-400e725a2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E4DC6-49AC-4F07-9F23-12017B510583}"/>
</file>

<file path=customXml/itemProps2.xml><?xml version="1.0" encoding="utf-8"?>
<ds:datastoreItem xmlns:ds="http://schemas.openxmlformats.org/officeDocument/2006/customXml" ds:itemID="{E3BDFC23-4233-4C0E-81BC-873480E64789}"/>
</file>

<file path=customXml/itemProps3.xml><?xml version="1.0" encoding="utf-8"?>
<ds:datastoreItem xmlns:ds="http://schemas.openxmlformats.org/officeDocument/2006/customXml" ds:itemID="{63B4F585-FFB4-4DF9-AE6E-2443AD440145}"/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Ma. Cristina Torres</dc:creator>
  <cp:keywords/>
  <dc:description/>
  <cp:lastModifiedBy/>
  <cp:revision/>
  <dcterms:created xsi:type="dcterms:W3CDTF">2008-08-20T14:03:15Z</dcterms:created>
  <dcterms:modified xsi:type="dcterms:W3CDTF">2026-02-24T19:00:10Z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0x01010056C17F14BA96A84FA01A012F8ABC8E6F</vt:lpwstr>
  </property>
  <property fmtid="{D5CDD505-2E9C-101B-9397-08002B2CF9AE}" pid="3" name="Order">
    <vt:r8>13629900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