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hernan_hernandez_ips_gob_cl/Documents/Escritorio/AÑO 2026/ADP/DEPTO. GESTIÓN DE BENEFICIOS/"/>
    </mc:Choice>
  </mc:AlternateContent>
  <xr:revisionPtr revIDLastSave="0" documentId="8_{FC56E3C8-759F-458B-9B5D-AD824DEEBF9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lantilla SIG" sheetId="7" r:id="rId1"/>
    <sheet name="Proyecciones" sheetId="10" r:id="rId2"/>
    <sheet name="Consolidado" sheetId="8" r:id="rId3"/>
  </sheets>
  <definedNames>
    <definedName name="_xlnm.Print_Area" localSheetId="2">Consolidado!$A$1:$K$24</definedName>
    <definedName name="_xlnm.Print_Titles" localSheetId="0">'Plantilla SIG'!$B:$B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4" i="7" l="1"/>
  <c r="Z54" i="7"/>
  <c r="X54" i="7"/>
  <c r="V54" i="7"/>
  <c r="T54" i="7"/>
  <c r="R54" i="7"/>
  <c r="P54" i="7"/>
  <c r="N54" i="7"/>
  <c r="L54" i="7"/>
  <c r="J54" i="7"/>
  <c r="J52" i="7"/>
  <c r="L52" i="7" s="1"/>
  <c r="AC50" i="7"/>
  <c r="AA50" i="7"/>
  <c r="Y50" i="7"/>
  <c r="W50" i="7"/>
  <c r="U50" i="7"/>
  <c r="S50" i="7"/>
  <c r="Q50" i="7"/>
  <c r="O50" i="7"/>
  <c r="M50" i="7"/>
  <c r="K50" i="7"/>
  <c r="I50" i="7"/>
  <c r="H50" i="7"/>
  <c r="G50" i="7"/>
  <c r="AB48" i="7"/>
  <c r="Z48" i="7"/>
  <c r="X48" i="7"/>
  <c r="V48" i="7"/>
  <c r="T48" i="7"/>
  <c r="R48" i="7"/>
  <c r="P48" i="7"/>
  <c r="N48" i="7"/>
  <c r="L48" i="7"/>
  <c r="J48" i="7"/>
  <c r="J46" i="7"/>
  <c r="L46" i="7" s="1"/>
  <c r="AC44" i="7"/>
  <c r="AA44" i="7"/>
  <c r="Y44" i="7"/>
  <c r="W44" i="7"/>
  <c r="U44" i="7"/>
  <c r="S44" i="7"/>
  <c r="Q44" i="7"/>
  <c r="O44" i="7"/>
  <c r="M44" i="7"/>
  <c r="K44" i="7"/>
  <c r="I44" i="7"/>
  <c r="H44" i="7"/>
  <c r="G44" i="7"/>
  <c r="AB42" i="7"/>
  <c r="Z42" i="7"/>
  <c r="X42" i="7"/>
  <c r="V42" i="7"/>
  <c r="T42" i="7"/>
  <c r="R42" i="7"/>
  <c r="P42" i="7"/>
  <c r="N42" i="7"/>
  <c r="L42" i="7"/>
  <c r="J42" i="7"/>
  <c r="J40" i="7"/>
  <c r="L40" i="7" s="1"/>
  <c r="AC38" i="7"/>
  <c r="AA38" i="7"/>
  <c r="Y38" i="7"/>
  <c r="W38" i="7"/>
  <c r="U38" i="7"/>
  <c r="S38" i="7"/>
  <c r="Q38" i="7"/>
  <c r="O38" i="7"/>
  <c r="M38" i="7"/>
  <c r="K38" i="7"/>
  <c r="I38" i="7"/>
  <c r="H38" i="7"/>
  <c r="G38" i="7"/>
  <c r="AB36" i="7"/>
  <c r="Z36" i="7"/>
  <c r="X36" i="7"/>
  <c r="V36" i="7"/>
  <c r="T36" i="7"/>
  <c r="R36" i="7"/>
  <c r="P36" i="7"/>
  <c r="N36" i="7"/>
  <c r="L36" i="7"/>
  <c r="J36" i="7"/>
  <c r="J34" i="7"/>
  <c r="AC32" i="7"/>
  <c r="AA32" i="7"/>
  <c r="Y32" i="7"/>
  <c r="W32" i="7"/>
  <c r="U32" i="7"/>
  <c r="S32" i="7"/>
  <c r="Q32" i="7"/>
  <c r="O32" i="7"/>
  <c r="M32" i="7"/>
  <c r="K32" i="7"/>
  <c r="I32" i="7"/>
  <c r="H32" i="7"/>
  <c r="G32" i="7"/>
  <c r="AB30" i="7"/>
  <c r="Z30" i="7"/>
  <c r="X30" i="7"/>
  <c r="V30" i="7"/>
  <c r="T30" i="7"/>
  <c r="R30" i="7"/>
  <c r="P30" i="7"/>
  <c r="N30" i="7"/>
  <c r="L30" i="7"/>
  <c r="J30" i="7"/>
  <c r="J28" i="7"/>
  <c r="L28" i="7" s="1"/>
  <c r="AC26" i="7"/>
  <c r="AA26" i="7"/>
  <c r="Y26" i="7"/>
  <c r="W26" i="7"/>
  <c r="U26" i="7"/>
  <c r="S26" i="7"/>
  <c r="Q26" i="7"/>
  <c r="O26" i="7"/>
  <c r="M26" i="7"/>
  <c r="K26" i="7"/>
  <c r="J26" i="7"/>
  <c r="I26" i="7"/>
  <c r="H26" i="7"/>
  <c r="G26" i="7"/>
  <c r="AB24" i="7"/>
  <c r="Z24" i="7"/>
  <c r="X24" i="7"/>
  <c r="V24" i="7"/>
  <c r="T24" i="7"/>
  <c r="R24" i="7"/>
  <c r="P24" i="7"/>
  <c r="N24" i="7"/>
  <c r="L24" i="7"/>
  <c r="J24" i="7"/>
  <c r="J22" i="7"/>
  <c r="L22" i="7" s="1"/>
  <c r="AC20" i="7"/>
  <c r="AA20" i="7"/>
  <c r="Y20" i="7"/>
  <c r="W20" i="7"/>
  <c r="U20" i="7"/>
  <c r="S20" i="7"/>
  <c r="Q20" i="7"/>
  <c r="O20" i="7"/>
  <c r="M20" i="7"/>
  <c r="K20" i="7"/>
  <c r="I20" i="7"/>
  <c r="H20" i="7"/>
  <c r="G20" i="7"/>
  <c r="AB18" i="7"/>
  <c r="Z18" i="7"/>
  <c r="X18" i="7"/>
  <c r="V18" i="7"/>
  <c r="T18" i="7"/>
  <c r="R18" i="7"/>
  <c r="P18" i="7"/>
  <c r="L18" i="7"/>
  <c r="J18" i="7"/>
  <c r="J16" i="7"/>
  <c r="L16" i="7" s="1"/>
  <c r="AC14" i="7"/>
  <c r="AA14" i="7"/>
  <c r="Y14" i="7"/>
  <c r="W14" i="7"/>
  <c r="U14" i="7"/>
  <c r="S14" i="7"/>
  <c r="Q14" i="7"/>
  <c r="O14" i="7"/>
  <c r="M14" i="7"/>
  <c r="K14" i="7"/>
  <c r="J14" i="7"/>
  <c r="I14" i="7"/>
  <c r="H14" i="7"/>
  <c r="G14" i="7"/>
  <c r="AD54" i="10"/>
  <c r="AB54" i="10"/>
  <c r="Z54" i="10"/>
  <c r="X54" i="10"/>
  <c r="V54" i="10"/>
  <c r="T54" i="10"/>
  <c r="R54" i="10"/>
  <c r="P54" i="10"/>
  <c r="N54" i="10"/>
  <c r="L54" i="10"/>
  <c r="J54" i="10"/>
  <c r="J52" i="10"/>
  <c r="L52" i="10" s="1"/>
  <c r="AD48" i="10"/>
  <c r="AB48" i="10"/>
  <c r="Z48" i="10"/>
  <c r="X48" i="10"/>
  <c r="V48" i="10"/>
  <c r="T48" i="10"/>
  <c r="R48" i="10"/>
  <c r="P48" i="10"/>
  <c r="N48" i="10"/>
  <c r="L48" i="10"/>
  <c r="J48" i="10"/>
  <c r="J46" i="10"/>
  <c r="L46" i="10" s="1"/>
  <c r="AD42" i="10"/>
  <c r="AB42" i="10"/>
  <c r="Z42" i="10"/>
  <c r="X42" i="10"/>
  <c r="V42" i="10"/>
  <c r="T42" i="10"/>
  <c r="R42" i="10"/>
  <c r="P42" i="10"/>
  <c r="N42" i="10"/>
  <c r="L42" i="10"/>
  <c r="J42" i="10"/>
  <c r="J40" i="10"/>
  <c r="L40" i="10" s="1"/>
  <c r="L38" i="10" s="1"/>
  <c r="AD36" i="10"/>
  <c r="AB36" i="10"/>
  <c r="Z36" i="10"/>
  <c r="X36" i="10"/>
  <c r="V36" i="10"/>
  <c r="T36" i="10"/>
  <c r="R36" i="10"/>
  <c r="P36" i="10"/>
  <c r="N36" i="10"/>
  <c r="L36" i="10"/>
  <c r="J36" i="10"/>
  <c r="J34" i="10"/>
  <c r="L34" i="10" s="1"/>
  <c r="AD30" i="10"/>
  <c r="AB30" i="10"/>
  <c r="Z30" i="10"/>
  <c r="X30" i="10"/>
  <c r="V30" i="10"/>
  <c r="T30" i="10"/>
  <c r="R30" i="10"/>
  <c r="P30" i="10"/>
  <c r="N30" i="10"/>
  <c r="L30" i="10"/>
  <c r="J30" i="10"/>
  <c r="J28" i="10"/>
  <c r="L28" i="10" s="1"/>
  <c r="AD24" i="10"/>
  <c r="AB24" i="10"/>
  <c r="Z24" i="10"/>
  <c r="X24" i="10"/>
  <c r="V24" i="10"/>
  <c r="T24" i="10"/>
  <c r="R24" i="10"/>
  <c r="P24" i="10"/>
  <c r="N24" i="10"/>
  <c r="L24" i="10"/>
  <c r="J24" i="10"/>
  <c r="J22" i="10"/>
  <c r="L22" i="10" s="1"/>
  <c r="AC50" i="10"/>
  <c r="AA50" i="10"/>
  <c r="Y50" i="10"/>
  <c r="W50" i="10"/>
  <c r="U50" i="10"/>
  <c r="S50" i="10"/>
  <c r="Q50" i="10"/>
  <c r="O50" i="10"/>
  <c r="M50" i="10"/>
  <c r="K50" i="10"/>
  <c r="I50" i="10"/>
  <c r="H50" i="10"/>
  <c r="G50" i="10"/>
  <c r="AC44" i="10"/>
  <c r="AA44" i="10"/>
  <c r="Y44" i="10"/>
  <c r="W44" i="10"/>
  <c r="U44" i="10"/>
  <c r="S44" i="10"/>
  <c r="Q44" i="10"/>
  <c r="O44" i="10"/>
  <c r="M44" i="10"/>
  <c r="K44" i="10"/>
  <c r="J44" i="10"/>
  <c r="I44" i="10"/>
  <c r="H44" i="10"/>
  <c r="G44" i="10"/>
  <c r="AC38" i="10"/>
  <c r="AA38" i="10"/>
  <c r="Y38" i="10"/>
  <c r="W38" i="10"/>
  <c r="U38" i="10"/>
  <c r="S38" i="10"/>
  <c r="Q38" i="10"/>
  <c r="O38" i="10"/>
  <c r="M38" i="10"/>
  <c r="K38" i="10"/>
  <c r="J38" i="10"/>
  <c r="I38" i="10"/>
  <c r="H38" i="10"/>
  <c r="G38" i="10"/>
  <c r="AC32" i="10"/>
  <c r="AA32" i="10"/>
  <c r="Y32" i="10"/>
  <c r="W32" i="10"/>
  <c r="U32" i="10"/>
  <c r="S32" i="10"/>
  <c r="Q32" i="10"/>
  <c r="O32" i="10"/>
  <c r="M32" i="10"/>
  <c r="K32" i="10"/>
  <c r="J32" i="10"/>
  <c r="I32" i="10"/>
  <c r="H32" i="10"/>
  <c r="G32" i="10"/>
  <c r="AC26" i="10"/>
  <c r="AA26" i="10"/>
  <c r="Y26" i="10"/>
  <c r="W26" i="10"/>
  <c r="U26" i="10"/>
  <c r="S26" i="10"/>
  <c r="Q26" i="10"/>
  <c r="O26" i="10"/>
  <c r="M26" i="10"/>
  <c r="K26" i="10"/>
  <c r="I26" i="10"/>
  <c r="H26" i="10"/>
  <c r="G26" i="10"/>
  <c r="AC20" i="10"/>
  <c r="AA20" i="10"/>
  <c r="Y20" i="10"/>
  <c r="W20" i="10"/>
  <c r="U20" i="10"/>
  <c r="S20" i="10"/>
  <c r="Q20" i="10"/>
  <c r="O20" i="10"/>
  <c r="M20" i="10"/>
  <c r="K20" i="10"/>
  <c r="J20" i="10"/>
  <c r="I10" i="8" s="1"/>
  <c r="I20" i="10"/>
  <c r="H20" i="10"/>
  <c r="G20" i="10"/>
  <c r="AC14" i="10"/>
  <c r="AA14" i="10"/>
  <c r="Y14" i="10"/>
  <c r="W14" i="10"/>
  <c r="U14" i="10"/>
  <c r="S14" i="10"/>
  <c r="Q14" i="10"/>
  <c r="O14" i="10"/>
  <c r="M14" i="10"/>
  <c r="K14" i="10"/>
  <c r="I14" i="10"/>
  <c r="H14" i="10"/>
  <c r="G14" i="10"/>
  <c r="K11" i="8"/>
  <c r="AD18" i="10"/>
  <c r="AB18" i="10"/>
  <c r="Z18" i="10"/>
  <c r="X18" i="10"/>
  <c r="V18" i="10"/>
  <c r="T18" i="10"/>
  <c r="R18" i="10"/>
  <c r="P18" i="10"/>
  <c r="N18" i="10"/>
  <c r="L18" i="10"/>
  <c r="J18" i="10"/>
  <c r="J16" i="10"/>
  <c r="J14" i="10" s="1"/>
  <c r="J32" i="7" l="1"/>
  <c r="L34" i="7"/>
  <c r="N34" i="7" s="1"/>
  <c r="J44" i="7"/>
  <c r="L14" i="7"/>
  <c r="N16" i="7"/>
  <c r="P16" i="7" s="1"/>
  <c r="P14" i="7" s="1"/>
  <c r="L26" i="7"/>
  <c r="N28" i="7"/>
  <c r="N22" i="7"/>
  <c r="L20" i="7"/>
  <c r="L44" i="7"/>
  <c r="N46" i="7"/>
  <c r="P34" i="7"/>
  <c r="N32" i="7"/>
  <c r="L38" i="7"/>
  <c r="N40" i="7"/>
  <c r="N52" i="7"/>
  <c r="L50" i="7"/>
  <c r="J50" i="7"/>
  <c r="J20" i="7"/>
  <c r="L32" i="7"/>
  <c r="J38" i="7"/>
  <c r="N46" i="10"/>
  <c r="L44" i="10"/>
  <c r="N28" i="10"/>
  <c r="L26" i="10"/>
  <c r="N52" i="10"/>
  <c r="L50" i="10"/>
  <c r="N22" i="10"/>
  <c r="L20" i="10"/>
  <c r="N34" i="10"/>
  <c r="L32" i="10"/>
  <c r="J26" i="10"/>
  <c r="J50" i="10"/>
  <c r="N40" i="10"/>
  <c r="L16" i="10"/>
  <c r="L14" i="10" s="1"/>
  <c r="R16" i="7" l="1"/>
  <c r="T16" i="7" s="1"/>
  <c r="N14" i="7"/>
  <c r="N38" i="7"/>
  <c r="P40" i="7"/>
  <c r="P28" i="7"/>
  <c r="N26" i="7"/>
  <c r="R34" i="7"/>
  <c r="P32" i="7"/>
  <c r="P46" i="7"/>
  <c r="N44" i="7"/>
  <c r="P52" i="7"/>
  <c r="N50" i="7"/>
  <c r="N20" i="7"/>
  <c r="P22" i="7"/>
  <c r="P22" i="10"/>
  <c r="N20" i="10"/>
  <c r="N38" i="10"/>
  <c r="P40" i="10"/>
  <c r="P52" i="10"/>
  <c r="N50" i="10"/>
  <c r="P28" i="10"/>
  <c r="N26" i="10"/>
  <c r="N32" i="10"/>
  <c r="P34" i="10"/>
  <c r="P46" i="10"/>
  <c r="N44" i="10"/>
  <c r="N16" i="10"/>
  <c r="N14" i="10" s="1"/>
  <c r="H11" i="8"/>
  <c r="AD18" i="7"/>
  <c r="R14" i="7" l="1"/>
  <c r="T14" i="7"/>
  <c r="V16" i="7"/>
  <c r="P20" i="7"/>
  <c r="R22" i="7"/>
  <c r="R32" i="7"/>
  <c r="T34" i="7"/>
  <c r="P50" i="7"/>
  <c r="R52" i="7"/>
  <c r="R28" i="7"/>
  <c r="P26" i="7"/>
  <c r="R40" i="7"/>
  <c r="P38" i="7"/>
  <c r="R46" i="7"/>
  <c r="P44" i="7"/>
  <c r="R28" i="10"/>
  <c r="P26" i="10"/>
  <c r="R52" i="10"/>
  <c r="P50" i="10"/>
  <c r="R40" i="10"/>
  <c r="P38" i="10"/>
  <c r="P44" i="10"/>
  <c r="R46" i="10"/>
  <c r="P32" i="10"/>
  <c r="R34" i="10"/>
  <c r="P20" i="10"/>
  <c r="R22" i="10"/>
  <c r="P16" i="10"/>
  <c r="P14" i="10" s="1"/>
  <c r="H19" i="8"/>
  <c r="K19" i="8"/>
  <c r="J18" i="8"/>
  <c r="K18" i="8" s="1"/>
  <c r="AD54" i="7"/>
  <c r="E21" i="8" s="1"/>
  <c r="T52" i="7" l="1"/>
  <c r="R50" i="7"/>
  <c r="V34" i="7"/>
  <c r="T32" i="7"/>
  <c r="T46" i="7"/>
  <c r="R44" i="7"/>
  <c r="T22" i="7"/>
  <c r="R20" i="7"/>
  <c r="T40" i="7"/>
  <c r="R38" i="7"/>
  <c r="V14" i="7"/>
  <c r="X16" i="7"/>
  <c r="T28" i="7"/>
  <c r="R26" i="7"/>
  <c r="R44" i="10"/>
  <c r="T46" i="10"/>
  <c r="R38" i="10"/>
  <c r="T40" i="10"/>
  <c r="R20" i="10"/>
  <c r="T22" i="10"/>
  <c r="T52" i="10"/>
  <c r="R50" i="10"/>
  <c r="T34" i="10"/>
  <c r="R32" i="10"/>
  <c r="T28" i="10"/>
  <c r="R26" i="10"/>
  <c r="R16" i="10"/>
  <c r="R14" i="10" s="1"/>
  <c r="V22" i="7" l="1"/>
  <c r="T20" i="7"/>
  <c r="V28" i="7"/>
  <c r="T26" i="7"/>
  <c r="Z16" i="7"/>
  <c r="X14" i="7"/>
  <c r="V46" i="7"/>
  <c r="T44" i="7"/>
  <c r="V32" i="7"/>
  <c r="X34" i="7"/>
  <c r="T38" i="7"/>
  <c r="V40" i="7"/>
  <c r="V52" i="7"/>
  <c r="T50" i="7"/>
  <c r="V40" i="10"/>
  <c r="T38" i="10"/>
  <c r="T26" i="10"/>
  <c r="V28" i="10"/>
  <c r="T44" i="10"/>
  <c r="V46" i="10"/>
  <c r="V34" i="10"/>
  <c r="T32" i="10"/>
  <c r="T50" i="10"/>
  <c r="V52" i="10"/>
  <c r="T20" i="10"/>
  <c r="V22" i="10"/>
  <c r="T16" i="10"/>
  <c r="T14" i="10" s="1"/>
  <c r="V44" i="7" l="1"/>
  <c r="X46" i="7"/>
  <c r="Z14" i="7"/>
  <c r="AB16" i="7"/>
  <c r="AB14" i="7" s="1"/>
  <c r="X52" i="7"/>
  <c r="V50" i="7"/>
  <c r="V38" i="7"/>
  <c r="X40" i="7"/>
  <c r="X28" i="7"/>
  <c r="V26" i="7"/>
  <c r="X32" i="7"/>
  <c r="Z34" i="7"/>
  <c r="V20" i="7"/>
  <c r="X22" i="7"/>
  <c r="X22" i="10"/>
  <c r="V20" i="10"/>
  <c r="V26" i="10"/>
  <c r="X28" i="10"/>
  <c r="X52" i="10"/>
  <c r="V50" i="10"/>
  <c r="X40" i="10"/>
  <c r="V38" i="10"/>
  <c r="X34" i="10"/>
  <c r="V32" i="10"/>
  <c r="V44" i="10"/>
  <c r="X46" i="10"/>
  <c r="V16" i="10"/>
  <c r="V14" i="10" s="1"/>
  <c r="X20" i="7" l="1"/>
  <c r="Z22" i="7"/>
  <c r="Z40" i="7"/>
  <c r="X38" i="7"/>
  <c r="Z52" i="7"/>
  <c r="X50" i="7"/>
  <c r="Z32" i="7"/>
  <c r="AB34" i="7"/>
  <c r="AB32" i="7" s="1"/>
  <c r="X44" i="7"/>
  <c r="Z46" i="7"/>
  <c r="X26" i="7"/>
  <c r="Z28" i="7"/>
  <c r="Z40" i="10"/>
  <c r="X38" i="10"/>
  <c r="X50" i="10"/>
  <c r="Z52" i="10"/>
  <c r="X44" i="10"/>
  <c r="Z46" i="10"/>
  <c r="X26" i="10"/>
  <c r="Z28" i="10"/>
  <c r="X32" i="10"/>
  <c r="Z34" i="10"/>
  <c r="X20" i="10"/>
  <c r="Z22" i="10"/>
  <c r="X16" i="10"/>
  <c r="X14" i="10" s="1"/>
  <c r="Z44" i="7" l="1"/>
  <c r="AB46" i="7"/>
  <c r="AB44" i="7" s="1"/>
  <c r="AB52" i="7"/>
  <c r="AB50" i="7" s="1"/>
  <c r="Z50" i="7"/>
  <c r="AB28" i="7"/>
  <c r="Z26" i="7"/>
  <c r="AB40" i="7"/>
  <c r="AB38" i="7" s="1"/>
  <c r="Z38" i="7"/>
  <c r="AB22" i="7"/>
  <c r="AB20" i="7" s="1"/>
  <c r="Z20" i="7"/>
  <c r="AB34" i="10"/>
  <c r="Z32" i="10"/>
  <c r="Z38" i="10"/>
  <c r="AB40" i="10"/>
  <c r="AB28" i="10"/>
  <c r="Z26" i="10"/>
  <c r="AB46" i="10"/>
  <c r="Z44" i="10"/>
  <c r="AB22" i="10"/>
  <c r="Z20" i="10"/>
  <c r="Z50" i="10"/>
  <c r="AB52" i="10"/>
  <c r="Z16" i="10"/>
  <c r="Z14" i="10" s="1"/>
  <c r="AB26" i="7" l="1"/>
  <c r="AD28" i="7"/>
  <c r="AD52" i="10"/>
  <c r="AD50" i="10" s="1"/>
  <c r="AB50" i="10"/>
  <c r="AD22" i="10"/>
  <c r="AD20" i="10" s="1"/>
  <c r="AB20" i="10"/>
  <c r="AD46" i="10"/>
  <c r="AD44" i="10" s="1"/>
  <c r="AB44" i="10"/>
  <c r="AB38" i="10"/>
  <c r="AD40" i="10"/>
  <c r="AD38" i="10" s="1"/>
  <c r="AB32" i="10"/>
  <c r="AD34" i="10"/>
  <c r="AD32" i="10" s="1"/>
  <c r="AD28" i="10"/>
  <c r="AD26" i="10" s="1"/>
  <c r="AB26" i="10"/>
  <c r="AB16" i="10"/>
  <c r="AB14" i="10" s="1"/>
  <c r="AD16" i="10" l="1"/>
  <c r="AD14" i="10" s="1"/>
  <c r="J10" i="8"/>
  <c r="K10" i="8" s="1"/>
  <c r="AE28" i="10"/>
  <c r="AE22" i="10" l="1"/>
  <c r="AE34" i="10"/>
  <c r="AE52" i="10"/>
  <c r="AE40" i="10" l="1"/>
  <c r="AE46" i="10"/>
  <c r="AE16" i="10"/>
  <c r="AD52" i="7"/>
  <c r="AD50" i="7" s="1"/>
  <c r="AE52" i="7" s="1"/>
  <c r="E20" i="8" l="1"/>
  <c r="J8" i="8"/>
  <c r="F20" i="8" l="1"/>
  <c r="AD16" i="7" l="1"/>
  <c r="AD14" i="7" l="1"/>
  <c r="AE16" i="7" s="1"/>
  <c r="E8" i="8"/>
  <c r="AD30" i="7"/>
  <c r="AD36" i="7"/>
  <c r="AD42" i="7"/>
  <c r="AD26" i="7" l="1"/>
  <c r="AE28" i="7" s="1"/>
  <c r="AD40" i="7"/>
  <c r="AD22" i="7"/>
  <c r="AD34" i="7"/>
  <c r="AD20" i="7" l="1"/>
  <c r="AE22" i="7" s="1"/>
  <c r="AD38" i="7"/>
  <c r="AE40" i="7" s="1"/>
  <c r="AD32" i="7"/>
  <c r="AE34" i="7" s="1"/>
  <c r="H21" i="8"/>
  <c r="H17" i="8"/>
  <c r="F16" i="8" l="1"/>
  <c r="K9" i="8"/>
  <c r="H9" i="8"/>
  <c r="C22" i="8" l="1"/>
  <c r="AD48" i="7" l="1"/>
  <c r="E19" i="8" l="1"/>
  <c r="J12" i="8"/>
  <c r="K12" i="8" s="1"/>
  <c r="H13" i="8"/>
  <c r="K13" i="8"/>
  <c r="J14" i="8"/>
  <c r="K14" i="8" s="1"/>
  <c r="H15" i="8"/>
  <c r="K15" i="8"/>
  <c r="J16" i="8"/>
  <c r="K16" i="8" s="1"/>
  <c r="K17" i="8"/>
  <c r="J20" i="8"/>
  <c r="K20" i="8" s="1"/>
  <c r="K21" i="8"/>
  <c r="K22" i="8" l="1"/>
  <c r="E17" i="8"/>
  <c r="E13" i="8" l="1"/>
  <c r="E10" i="8" l="1"/>
  <c r="E9" i="8"/>
  <c r="E15" i="8" l="1"/>
  <c r="E11" i="8" l="1"/>
  <c r="F10" i="8" s="1"/>
  <c r="G10" i="8" s="1"/>
  <c r="H10" i="8" s="1"/>
  <c r="AD46" i="7"/>
  <c r="E18" i="8" l="1"/>
  <c r="AD44" i="7"/>
  <c r="F18" i="8" l="1"/>
  <c r="G18" i="8" s="1"/>
  <c r="H18" i="8" s="1"/>
  <c r="AE46" i="7"/>
  <c r="G20" i="8"/>
  <c r="H20" i="8" s="1"/>
  <c r="E16" i="8"/>
  <c r="G16" i="8"/>
  <c r="H16" i="8" s="1"/>
  <c r="E14" i="8"/>
  <c r="F8" i="8" l="1"/>
  <c r="G8" i="8" s="1"/>
  <c r="F14" i="8"/>
  <c r="G14" i="8" l="1"/>
  <c r="H14" i="8" s="1"/>
  <c r="H8" i="8"/>
  <c r="E12" i="8"/>
  <c r="F12" i="8" l="1"/>
  <c r="G12" i="8" l="1"/>
  <c r="H12" i="8" s="1"/>
  <c r="H22" i="8" s="1"/>
  <c r="H23" i="8" s="1"/>
</calcChain>
</file>

<file path=xl/sharedStrings.xml><?xml version="1.0" encoding="utf-8"?>
<sst xmlns="http://schemas.openxmlformats.org/spreadsheetml/2006/main" count="1166" uniqueCount="83">
  <si>
    <t>PLANTILLA SIG COMPROMISOS INSTITUCIONALES</t>
  </si>
  <si>
    <t>DIVISIÓN PLANIFICACION  Y DESARROLLO</t>
  </si>
  <si>
    <t>DEPARTAMENTO COMPROMISOS INSTITUCIONALES</t>
  </si>
  <si>
    <t>SUBDEPARTAMENTO GESTION DE INDICADORES INSTITUCIONALES</t>
  </si>
  <si>
    <t>Fecha: noviembre 2025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</si>
  <si>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</si>
  <si>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</si>
  <si>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</si>
  <si>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Alta Dirección Pública</t>
  </si>
  <si>
    <t>Jefe Departamento Gestión Beneficios, Sr. Jorge Zúñiga Martínez</t>
  </si>
  <si>
    <t>Primer Período, tercer año agosto 2025 - julio 2026</t>
  </si>
  <si>
    <t>NUMERO</t>
  </si>
  <si>
    <t xml:space="preserve">INDICADOR </t>
  </si>
  <si>
    <t>FORMULA</t>
  </si>
  <si>
    <t>PONDERACIÖN</t>
  </si>
  <si>
    <t xml:space="preserve">Meta </t>
  </si>
  <si>
    <t>Operandos</t>
  </si>
  <si>
    <t>Operandos  Estimados Meta</t>
  </si>
  <si>
    <t>Acum.</t>
  </si>
  <si>
    <t>Cumplimiento
Efectivo
a la fecha</t>
  </si>
  <si>
    <t>% Cumplimiento de Meta</t>
  </si>
  <si>
    <t>ADP_BENEF_01</t>
  </si>
  <si>
    <t>1. Porcentaje de actividades cumplidos del plan para la aplicación de la encuesta de Satisfacción Neta de usuarios</t>
  </si>
  <si>
    <t>(Sumatoria de actividades cumplidas del plan para la aplicación de la encuesta de Satisfacción Neta de usuarios / Número total de actividades definidas en el plan   para la aplicación de la encuesta de Satisfacción Neta de usuarios) *100</t>
  </si>
  <si>
    <t xml:space="preserve">Sumatoria de actividades cumplidas del plan para la aplicación de la encuesta de Satisfacción Neta de usuarios </t>
  </si>
  <si>
    <t xml:space="preserve">Valor indicador=   </t>
  </si>
  <si>
    <t xml:space="preserve">Operando 1=   </t>
  </si>
  <si>
    <t>Número total de actividades definidas en el plan   para la aplicación de la encuesta de Satisfacción Neta de usuarios</t>
  </si>
  <si>
    <t xml:space="preserve">Operando 2=    </t>
  </si>
  <si>
    <t>ADP_BENEF_02</t>
  </si>
  <si>
    <t xml:space="preserve">2.	Porcentaje de proyectos priorizados por el Depto. de Gestión de Beneficios finalizados al año t
</t>
  </si>
  <si>
    <t>(Sumatoria de proyectos priorizados por el Depto. de Gestión de Beneficios finalizados al año t / Número total de proyectos priorizados por el Depto. de Gestión de Beneficios planificados para el periodo) *100</t>
  </si>
  <si>
    <t>Sumatoria de proyectos priorizados por el Depto. de Gestión de Beneficios finalizados al año t</t>
  </si>
  <si>
    <t xml:space="preserve"> Número total de proyectos priorizados por el Depto. de Gestión de Beneficios planificados para el periodo</t>
  </si>
  <si>
    <t>ADP_BENEF_03</t>
  </si>
  <si>
    <t>3.	Porcentaje de actividades cumplidas del plan de prevención y control de eventos de riesgo derivados de los procesos claves en el año t</t>
  </si>
  <si>
    <t>(Sumatoria de actividades cumplidas del plan de prevención y control de eventos de riesgo derivados de los procesos claves en el año t / Sumatoria de actividades definidas en el plan en el año t) *100</t>
  </si>
  <si>
    <t>Sumatoria de actividades cumplidas del plan de prevención y control de eventos de riesgo derivados de los procesos claves en el año t</t>
  </si>
  <si>
    <t>Sumatoria de actividades definidas en el plan en el año t</t>
  </si>
  <si>
    <t>ADP_BENEF_04</t>
  </si>
  <si>
    <t>4. Porcentaje de actividades cumplidas del plan de trabajo anual para mejorar la Satisfacción Laboral el año t</t>
  </si>
  <si>
    <t>(Sumatoria de actividades cumplidas del plan de trabajo anual para mejorar la Satisfacción Laboral en el año t / Nº total de actividades planificadas del plan de trabajo anual para mejorar la Satisfacción Laboral en el año t) *100</t>
  </si>
  <si>
    <t>Sumatoria de actividades cumplidas del plan de trabajo anual para mejorar la Satisfacción Laboral en el año t</t>
  </si>
  <si>
    <t>Nº total de actividades planificadas del plan de trabajo anual para mejorar la Satisfacción Laboral en el año t</t>
  </si>
  <si>
    <t>ADP_BENEF_05</t>
  </si>
  <si>
    <t>5. Porcentaje de hitos cumplidos del Plan de Gestión del Conocimiento de Cargos Críticos</t>
  </si>
  <si>
    <t>(Sumatoria del cumplimiento de hitos del Plan de Gestión del Conocimiento comprometidos en el período / Nº total de hitos planificados del plan de Gestión del Conocimiento en el periodo) *100</t>
  </si>
  <si>
    <t>Sumatoria del cumplimiento de hitos del Plan de Gestión del Conocimiento comprometidos en el período</t>
  </si>
  <si>
    <t xml:space="preserve"> Nº total de hitos planificados del plan de Gestión del Conocimiento en el periodo</t>
  </si>
  <si>
    <t>ADP_BENEF_06</t>
  </si>
  <si>
    <t xml:space="preserve">6. Porcentaje de       indicadores de desempeño por subproceso o proceso implementados en el periodo t. </t>
  </si>
  <si>
    <t xml:space="preserve">(Nº de indicadores de desempeño por subprocesos implementados en el periodo t / Nº total de indicadores planificados para implementar en el periodo) *100  </t>
  </si>
  <si>
    <t xml:space="preserve">Nº de indicadores de desempeño por subprocesos implementados en el periodo t </t>
  </si>
  <si>
    <t>Nº total de indicadores planificados para implementar en el periodo</t>
  </si>
  <si>
    <t>ADP_BENEF_07</t>
  </si>
  <si>
    <t>7. Porcentaje de actividades de Sensibilización  en aspectos de la NCh3262 realizadas en el Departamento.</t>
  </si>
  <si>
    <t>(N° de actividades de Sensibilización implementadas en el periodo / N° de actividades de Sensibilización planificadas para el periodo) *100.</t>
  </si>
  <si>
    <t>N° de actividades de Sensibilización implementadas en el periodo</t>
  </si>
  <si>
    <t>N° de actividades de Sensibilización planificadas para el periodo</t>
  </si>
  <si>
    <t>Fecha:agosto 2025</t>
  </si>
  <si>
    <t>PROYECCIONES</t>
  </si>
  <si>
    <t>CONVENIO DE DESEMPEÑO ALTA DIRECCIÓN PÚBLICA</t>
  </si>
  <si>
    <r>
      <rPr>
        <b/>
        <sz val="16"/>
        <color theme="3" tint="-0.499984740745262"/>
        <rFont val="Calibri"/>
        <family val="2"/>
        <scheme val="minor"/>
      </rPr>
      <t>Jefe Departamento Gestión Beneficios, Sr. Jorge Zúñiga Martínez</t>
    </r>
    <r>
      <rPr>
        <b/>
        <sz val="14"/>
        <color theme="3" tint="-0.499984740745262"/>
        <rFont val="Calibri"/>
        <family val="2"/>
        <scheme val="minor"/>
      </rPr>
      <t xml:space="preserve"> </t>
    </r>
    <r>
      <rPr>
        <b/>
        <sz val="16"/>
        <color theme="3" tint="-0.499984740745262"/>
        <rFont val="Calibri"/>
        <family val="2"/>
        <scheme val="minor"/>
      </rPr>
      <t>(ago 2025 - julio 2026</t>
    </r>
    <r>
      <rPr>
        <b/>
        <sz val="14"/>
        <color theme="3" tint="-0.499984740745262"/>
        <rFont val="Calibri"/>
        <family val="2"/>
        <scheme val="minor"/>
      </rPr>
      <t>)</t>
    </r>
  </si>
  <si>
    <t>Indicador</t>
  </si>
  <si>
    <t>Fórmula de Cálculo</t>
  </si>
  <si>
    <t>Pond.</t>
  </si>
  <si>
    <t xml:space="preserve">Meta  </t>
  </si>
  <si>
    <t>Valores según Fórmula de Cálculo</t>
  </si>
  <si>
    <t>% Cumpli- miento</t>
  </si>
  <si>
    <t>Total Pond.</t>
  </si>
  <si>
    <t>Proyección</t>
  </si>
  <si>
    <t>Efectivo a enero 2026</t>
  </si>
  <si>
    <t>Resultado a enero 2026</t>
  </si>
  <si>
    <t xml:space="preserve">     </t>
  </si>
  <si>
    <t>4.	Porcentaje de actividades cumplidas del plan de trabajo anual para mejorar la Satisfacción Laboral el año t</t>
  </si>
  <si>
    <t>5.	Porcentaje de hitos cumplidos del Plan de Gestión del Conocimiento de Cargos Críticos</t>
  </si>
  <si>
    <t>6.	Porcentaje de       indicadores de desempeño por subproceso o proceso implementados en el periodo t</t>
  </si>
  <si>
    <t>Falta planilla SIG de Indicador y Ficha técnica corregida</t>
  </si>
  <si>
    <t>7.	Porcentaje de actividades de Sensibilización  en aspectos de la NCh3262 realizadas en el Departamento.</t>
  </si>
  <si>
    <t>% de cumplimiernto informado</t>
  </si>
  <si>
    <t xml:space="preserve"> </t>
  </si>
  <si>
    <t>% de cumplimiento por informar</t>
  </si>
  <si>
    <t>% de cumplimiento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</si>
</sst>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sz val="8"/>
      <name val="Arial"/>
      <family val="2"/>
    </font>
    <font>
      <b/>
      <sz val="14"/>
      <color theme="3" tint="-0.499984740745262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8"/>
      <color rgb="FFFF0000"/>
      <name val="Arial Narrow"/>
      <family val="2"/>
    </font>
    <font>
      <b/>
      <sz val="10"/>
      <color rgb="FFFF0000"/>
      <name val="Arial Narrow"/>
      <family val="2"/>
    </font>
    <font>
      <sz val="8"/>
      <color rgb="FFFF0000"/>
      <name val="Arial Narrow"/>
      <family val="2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left" vertical="center" wrapText="1"/>
    </xf>
    <xf numFmtId="0" fontId="5" fillId="0" borderId="0" xfId="0" applyFont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3" fillId="4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10" fontId="3" fillId="3" borderId="8" xfId="1" applyNumberFormat="1" applyFont="1" applyFill="1" applyBorder="1" applyAlignment="1">
      <alignment vertical="center"/>
    </xf>
    <xf numFmtId="10" fontId="3" fillId="4" borderId="8" xfId="1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3" fontId="3" fillId="4" borderId="8" xfId="0" applyNumberFormat="1" applyFont="1" applyFill="1" applyBorder="1" applyAlignment="1">
      <alignment horizontal="left" vertical="center" wrapText="1"/>
    </xf>
    <xf numFmtId="3" fontId="3" fillId="3" borderId="9" xfId="0" applyNumberFormat="1" applyFont="1" applyFill="1" applyBorder="1" applyAlignment="1">
      <alignment horizontal="left" vertical="center" wrapText="1"/>
    </xf>
    <xf numFmtId="3" fontId="3" fillId="3" borderId="8" xfId="0" applyNumberFormat="1" applyFont="1" applyFill="1" applyBorder="1" applyAlignment="1">
      <alignment horizontal="left" vertical="center" wrapText="1"/>
    </xf>
    <xf numFmtId="3" fontId="3" fillId="6" borderId="10" xfId="0" applyNumberFormat="1" applyFont="1" applyFill="1" applyBorder="1" applyAlignment="1">
      <alignment horizontal="right" vertical="center" wrapText="1"/>
    </xf>
    <xf numFmtId="3" fontId="3" fillId="3" borderId="11" xfId="0" applyNumberFormat="1" applyFont="1" applyFill="1" applyBorder="1" applyAlignment="1">
      <alignment horizontal="right" vertical="center" wrapText="1"/>
    </xf>
    <xf numFmtId="3" fontId="3" fillId="2" borderId="8" xfId="0" applyNumberFormat="1" applyFont="1" applyFill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3" fontId="3" fillId="2" borderId="11" xfId="0" applyNumberFormat="1" applyFont="1" applyFill="1" applyBorder="1" applyAlignment="1">
      <alignment horizontal="righ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3" fontId="3" fillId="3" borderId="30" xfId="0" applyNumberFormat="1" applyFont="1" applyFill="1" applyBorder="1" applyAlignment="1">
      <alignment horizontal="right" vertical="center" wrapText="1"/>
    </xf>
    <xf numFmtId="3" fontId="3" fillId="3" borderId="30" xfId="0" applyNumberFormat="1" applyFont="1" applyFill="1" applyBorder="1" applyAlignment="1">
      <alignment horizontal="left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" fillId="0" borderId="0" xfId="0" applyFont="1"/>
    <xf numFmtId="10" fontId="3" fillId="3" borderId="9" xfId="1" applyNumberFormat="1" applyFont="1" applyFill="1" applyBorder="1" applyAlignment="1" applyProtection="1">
      <alignment vertical="center"/>
    </xf>
    <xf numFmtId="3" fontId="3" fillId="6" borderId="8" xfId="0" applyNumberFormat="1" applyFont="1" applyFill="1" applyBorder="1" applyAlignment="1">
      <alignment horizontal="right" vertical="center" wrapText="1"/>
    </xf>
    <xf numFmtId="3" fontId="3" fillId="7" borderId="8" xfId="0" applyNumberFormat="1" applyFont="1" applyFill="1" applyBorder="1" applyAlignment="1">
      <alignment horizontal="right" vertical="center" wrapText="1"/>
    </xf>
    <xf numFmtId="3" fontId="3" fillId="7" borderId="10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9" fontId="3" fillId="4" borderId="29" xfId="1" applyFont="1" applyFill="1" applyBorder="1" applyAlignment="1">
      <alignment vertical="center"/>
    </xf>
    <xf numFmtId="0" fontId="5" fillId="0" borderId="30" xfId="0" applyFont="1" applyBorder="1"/>
    <xf numFmtId="9" fontId="3" fillId="4" borderId="8" xfId="1" applyFont="1" applyFill="1" applyBorder="1" applyAlignment="1">
      <alignment vertical="center"/>
    </xf>
    <xf numFmtId="9" fontId="3" fillId="4" borderId="30" xfId="1" applyFont="1" applyFill="1" applyBorder="1" applyAlignment="1">
      <alignment vertical="center"/>
    </xf>
    <xf numFmtId="10" fontId="3" fillId="4" borderId="30" xfId="1" applyNumberFormat="1" applyFont="1" applyFill="1" applyBorder="1" applyAlignment="1">
      <alignment horizontal="center" vertical="center"/>
    </xf>
    <xf numFmtId="9" fontId="3" fillId="4" borderId="32" xfId="1" applyFont="1" applyFill="1" applyBorder="1" applyAlignment="1">
      <alignment vertical="center"/>
    </xf>
    <xf numFmtId="10" fontId="3" fillId="4" borderId="8" xfId="1" applyNumberFormat="1" applyFont="1" applyFill="1" applyBorder="1" applyAlignment="1">
      <alignment horizontal="center" vertical="center"/>
    </xf>
    <xf numFmtId="9" fontId="3" fillId="4" borderId="10" xfId="1" applyFont="1" applyFill="1" applyBorder="1" applyAlignment="1">
      <alignment vertical="center"/>
    </xf>
    <xf numFmtId="10" fontId="3" fillId="4" borderId="6" xfId="1" applyNumberFormat="1" applyFont="1" applyFill="1" applyBorder="1" applyAlignment="1">
      <alignment vertical="center"/>
    </xf>
    <xf numFmtId="10" fontId="3" fillId="0" borderId="6" xfId="1" applyNumberFormat="1" applyFont="1" applyBorder="1" applyAlignment="1">
      <alignment vertical="center"/>
    </xf>
    <xf numFmtId="10" fontId="3" fillId="0" borderId="8" xfId="1" applyNumberFormat="1" applyFont="1" applyBorder="1" applyAlignment="1">
      <alignment vertical="center"/>
    </xf>
    <xf numFmtId="10" fontId="3" fillId="0" borderId="8" xfId="1" applyNumberFormat="1" applyFont="1" applyBorder="1" applyAlignment="1">
      <alignment horizontal="center" vertical="center"/>
    </xf>
    <xf numFmtId="0" fontId="5" fillId="0" borderId="8" xfId="0" applyFont="1" applyBorder="1"/>
    <xf numFmtId="0" fontId="5" fillId="0" borderId="12" xfId="0" applyFont="1" applyBorder="1"/>
    <xf numFmtId="10" fontId="3" fillId="6" borderId="8" xfId="1" applyNumberFormat="1" applyFont="1" applyFill="1" applyBorder="1" applyAlignment="1">
      <alignment vertical="center"/>
    </xf>
    <xf numFmtId="10" fontId="3" fillId="6" borderId="8" xfId="1" applyNumberFormat="1" applyFont="1" applyFill="1" applyBorder="1" applyAlignment="1" applyProtection="1">
      <alignment horizontal="right" vertical="center"/>
    </xf>
    <xf numFmtId="3" fontId="3" fillId="10" borderId="8" xfId="0" applyNumberFormat="1" applyFont="1" applyFill="1" applyBorder="1" applyAlignment="1">
      <alignment horizontal="right" vertical="center" wrapText="1"/>
    </xf>
    <xf numFmtId="3" fontId="3" fillId="10" borderId="10" xfId="0" applyNumberFormat="1" applyFont="1" applyFill="1" applyBorder="1" applyAlignment="1">
      <alignment horizontal="right" vertical="center" wrapText="1"/>
    </xf>
    <xf numFmtId="10" fontId="2" fillId="5" borderId="8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10" fontId="11" fillId="0" borderId="0" xfId="0" applyNumberFormat="1" applyFont="1"/>
    <xf numFmtId="0" fontId="11" fillId="0" borderId="0" xfId="0" applyFont="1" applyAlignment="1">
      <alignment horizontal="center" vertical="top" wrapText="1"/>
    </xf>
    <xf numFmtId="9" fontId="12" fillId="0" borderId="25" xfId="0" applyNumberFormat="1" applyFont="1" applyBorder="1" applyAlignment="1">
      <alignment horizontal="center" wrapText="1"/>
    </xf>
    <xf numFmtId="0" fontId="11" fillId="0" borderId="0" xfId="0" applyFont="1" applyAlignment="1">
      <alignment wrapText="1"/>
    </xf>
    <xf numFmtId="10" fontId="14" fillId="9" borderId="25" xfId="0" applyNumberFormat="1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 wrapText="1"/>
    </xf>
    <xf numFmtId="10" fontId="14" fillId="6" borderId="25" xfId="0" applyNumberFormat="1" applyFont="1" applyFill="1" applyBorder="1" applyAlignment="1">
      <alignment horizontal="center" vertical="center" wrapText="1"/>
    </xf>
    <xf numFmtId="10" fontId="11" fillId="0" borderId="25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3" fontId="15" fillId="0" borderId="15" xfId="0" applyNumberFormat="1" applyFont="1" applyBorder="1" applyAlignment="1">
      <alignment horizontal="center" vertical="center" wrapText="1"/>
    </xf>
    <xf numFmtId="3" fontId="15" fillId="0" borderId="25" xfId="0" applyNumberFormat="1" applyFont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8" fillId="4" borderId="0" xfId="0" applyFont="1" applyFill="1"/>
    <xf numFmtId="0" fontId="5" fillId="4" borderId="0" xfId="0" applyFont="1" applyFill="1"/>
    <xf numFmtId="3" fontId="18" fillId="6" borderId="8" xfId="0" applyNumberFormat="1" applyFont="1" applyFill="1" applyBorder="1" applyAlignment="1">
      <alignment horizontal="right" vertical="center" wrapText="1"/>
    </xf>
    <xf numFmtId="3" fontId="19" fillId="6" borderId="8" xfId="0" applyNumberFormat="1" applyFont="1" applyFill="1" applyBorder="1" applyAlignment="1">
      <alignment horizontal="right" vertical="center" wrapText="1"/>
    </xf>
    <xf numFmtId="3" fontId="20" fillId="3" borderId="8" xfId="0" applyNumberFormat="1" applyFont="1" applyFill="1" applyBorder="1" applyAlignment="1">
      <alignment horizontal="right" vertical="center" wrapText="1"/>
    </xf>
    <xf numFmtId="3" fontId="2" fillId="6" borderId="8" xfId="0" applyNumberFormat="1" applyFont="1" applyFill="1" applyBorder="1" applyAlignment="1">
      <alignment horizontal="right" vertical="center" wrapText="1"/>
    </xf>
    <xf numFmtId="3" fontId="18" fillId="3" borderId="8" xfId="0" applyNumberFormat="1" applyFont="1" applyFill="1" applyBorder="1" applyAlignment="1">
      <alignment horizontal="right" vertical="center" wrapText="1"/>
    </xf>
    <xf numFmtId="3" fontId="20" fillId="6" borderId="8" xfId="0" applyNumberFormat="1" applyFont="1" applyFill="1" applyBorder="1" applyAlignment="1">
      <alignment horizontal="right" vertical="center" wrapText="1"/>
    </xf>
    <xf numFmtId="3" fontId="21" fillId="0" borderId="25" xfId="0" applyNumberFormat="1" applyFont="1" applyBorder="1" applyAlignment="1">
      <alignment horizontal="center" vertical="center" wrapText="1"/>
    </xf>
    <xf numFmtId="10" fontId="22" fillId="0" borderId="0" xfId="0" applyNumberFormat="1" applyFont="1"/>
    <xf numFmtId="10" fontId="3" fillId="4" borderId="8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/>
    </xf>
    <xf numFmtId="0" fontId="3" fillId="3" borderId="10" xfId="0" applyFont="1" applyFill="1" applyBorder="1" applyAlignment="1">
      <alignment horizontal="justify" vertical="center"/>
    </xf>
    <xf numFmtId="9" fontId="3" fillId="3" borderId="6" xfId="1" applyFont="1" applyFill="1" applyBorder="1" applyAlignment="1">
      <alignment horizontal="center" vertical="center" wrapText="1"/>
    </xf>
    <xf numFmtId="9" fontId="3" fillId="3" borderId="8" xfId="1" applyFont="1" applyFill="1" applyBorder="1" applyAlignment="1">
      <alignment horizontal="center" vertical="center" wrapText="1"/>
    </xf>
    <xf numFmtId="9" fontId="3" fillId="3" borderId="10" xfId="1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 wrapText="1"/>
    </xf>
    <xf numFmtId="10" fontId="3" fillId="3" borderId="8" xfId="0" applyNumberFormat="1" applyFont="1" applyFill="1" applyBorder="1" applyAlignment="1">
      <alignment horizontal="center" vertical="center" wrapText="1"/>
    </xf>
    <xf numFmtId="10" fontId="3" fillId="3" borderId="10" xfId="0" applyNumberFormat="1" applyFont="1" applyFill="1" applyBorder="1" applyAlignment="1">
      <alignment horizontal="center" vertical="center" wrapText="1"/>
    </xf>
    <xf numFmtId="17" fontId="2" fillId="3" borderId="6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10" fontId="3" fillId="3" borderId="6" xfId="1" applyNumberFormat="1" applyFont="1" applyFill="1" applyBorder="1" applyAlignment="1">
      <alignment horizontal="center" vertical="center" wrapText="1"/>
    </xf>
    <xf numFmtId="10" fontId="3" fillId="3" borderId="8" xfId="1" applyNumberFormat="1" applyFont="1" applyFill="1" applyBorder="1" applyAlignment="1">
      <alignment horizontal="center" vertical="center" wrapText="1"/>
    </xf>
    <xf numFmtId="10" fontId="3" fillId="3" borderId="10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0" fontId="3" fillId="4" borderId="10" xfId="1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 wrapText="1"/>
    </xf>
    <xf numFmtId="17" fontId="2" fillId="11" borderId="7" xfId="0" applyNumberFormat="1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/>
    </xf>
    <xf numFmtId="17" fontId="2" fillId="3" borderId="12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7" fontId="2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6" xfId="6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justify" vertical="center" wrapText="1"/>
    </xf>
    <xf numFmtId="0" fontId="3" fillId="3" borderId="10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3" fillId="3" borderId="21" xfId="0" applyFont="1" applyFill="1" applyBorder="1" applyAlignment="1">
      <alignment horizontal="center" vertical="center"/>
    </xf>
    <xf numFmtId="17" fontId="2" fillId="3" borderId="7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top" wrapText="1"/>
    </xf>
    <xf numFmtId="0" fontId="16" fillId="6" borderId="25" xfId="0" applyFont="1" applyFill="1" applyBorder="1" applyAlignment="1">
      <alignment horizontal="center" vertical="center" wrapText="1"/>
    </xf>
    <xf numFmtId="10" fontId="15" fillId="4" borderId="23" xfId="0" applyNumberFormat="1" applyFont="1" applyFill="1" applyBorder="1" applyAlignment="1">
      <alignment horizontal="center" vertical="center" wrapText="1"/>
    </xf>
    <xf numFmtId="10" fontId="15" fillId="4" borderId="4" xfId="0" applyNumberFormat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justify" vertical="top" wrapText="1"/>
    </xf>
    <xf numFmtId="0" fontId="15" fillId="0" borderId="4" xfId="0" applyFont="1" applyBorder="1" applyAlignment="1">
      <alignment horizontal="justify" vertical="top" wrapText="1"/>
    </xf>
    <xf numFmtId="9" fontId="15" fillId="0" borderId="23" xfId="1" applyFont="1" applyBorder="1" applyAlignment="1">
      <alignment horizontal="center" vertical="center" wrapText="1"/>
    </xf>
    <xf numFmtId="9" fontId="15" fillId="0" borderId="4" xfId="1" applyFont="1" applyBorder="1" applyAlignment="1">
      <alignment horizontal="center" vertical="center" wrapText="1"/>
    </xf>
    <xf numFmtId="9" fontId="15" fillId="0" borderId="23" xfId="1" applyFont="1" applyFill="1" applyBorder="1" applyAlignment="1">
      <alignment horizontal="center" vertical="center" wrapText="1"/>
    </xf>
    <xf numFmtId="9" fontId="15" fillId="0" borderId="4" xfId="1" applyFont="1" applyFill="1" applyBorder="1" applyAlignment="1">
      <alignment horizontal="center" vertical="center" wrapText="1"/>
    </xf>
    <xf numFmtId="10" fontId="15" fillId="0" borderId="23" xfId="0" applyNumberFormat="1" applyFont="1" applyBorder="1" applyAlignment="1">
      <alignment horizontal="center" vertical="center" wrapText="1"/>
    </xf>
    <xf numFmtId="10" fontId="15" fillId="0" borderId="4" xfId="0" applyNumberFormat="1" applyFont="1" applyBorder="1" applyAlignment="1">
      <alignment horizontal="center" vertical="center" wrapText="1"/>
    </xf>
    <xf numFmtId="9" fontId="15" fillId="0" borderId="23" xfId="0" applyNumberFormat="1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center" wrapText="1"/>
    </xf>
    <xf numFmtId="10" fontId="15" fillId="6" borderId="23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0" fontId="15" fillId="4" borderId="23" xfId="0" applyNumberFormat="1" applyFont="1" applyFill="1" applyBorder="1" applyAlignment="1">
      <alignment horizontal="center" vertical="center"/>
    </xf>
    <xf numFmtId="10" fontId="15" fillId="4" borderId="4" xfId="0" applyNumberFormat="1" applyFont="1" applyFill="1" applyBorder="1" applyAlignment="1">
      <alignment horizontal="center" vertical="center"/>
    </xf>
    <xf numFmtId="10" fontId="15" fillId="6" borderId="23" xfId="0" applyNumberFormat="1" applyFont="1" applyFill="1" applyBorder="1" applyAlignment="1">
      <alignment horizontal="center" vertical="center" wrapText="1"/>
    </xf>
    <xf numFmtId="10" fontId="15" fillId="6" borderId="4" xfId="0" applyNumberFormat="1" applyFont="1" applyFill="1" applyBorder="1" applyAlignment="1">
      <alignment horizontal="center" vertical="center" wrapText="1"/>
    </xf>
    <xf numFmtId="10" fontId="15" fillId="6" borderId="4" xfId="0" applyNumberFormat="1" applyFont="1" applyFill="1" applyBorder="1" applyAlignment="1">
      <alignment horizontal="center" vertical="center"/>
    </xf>
    <xf numFmtId="10" fontId="15" fillId="0" borderId="23" xfId="1" applyNumberFormat="1" applyFont="1" applyBorder="1" applyAlignment="1">
      <alignment horizontal="center" vertical="center" wrapText="1"/>
    </xf>
    <xf numFmtId="10" fontId="15" fillId="0" borderId="4" xfId="1" applyNumberFormat="1" applyFont="1" applyBorder="1" applyAlignment="1">
      <alignment horizontal="center" vertical="center" wrapText="1"/>
    </xf>
    <xf numFmtId="10" fontId="15" fillId="6" borderId="23" xfId="1" applyNumberFormat="1" applyFont="1" applyFill="1" applyBorder="1" applyAlignment="1">
      <alignment horizontal="center" vertical="center" wrapText="1"/>
    </xf>
    <xf numFmtId="10" fontId="15" fillId="6" borderId="4" xfId="1" applyNumberFormat="1" applyFont="1" applyFill="1" applyBorder="1" applyAlignment="1">
      <alignment horizontal="center" vertical="center" wrapText="1"/>
    </xf>
    <xf numFmtId="10" fontId="15" fillId="6" borderId="24" xfId="0" applyNumberFormat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0" xfId="0" applyFont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0000000-0005-0000-0000-000003000000}"/>
    <cellStyle name="Millares 2 2 3" xfId="15" xr:uid="{00000000-0005-0000-0000-000004000000}"/>
    <cellStyle name="Millares 2 3" xfId="7" xr:uid="{00000000-0005-0000-0000-000005000000}"/>
    <cellStyle name="Millares 2 3 2" xfId="16" xr:uid="{00000000-0005-0000-0000-000006000000}"/>
    <cellStyle name="Millares 2 4" xfId="14" xr:uid="{00000000-0005-0000-0000-000007000000}"/>
    <cellStyle name="Millares 3" xfId="12" xr:uid="{00000000-0005-0000-0000-000008000000}"/>
    <cellStyle name="Millares 3 2" xfId="18" xr:uid="{00000000-0005-0000-0000-000009000000}"/>
    <cellStyle name="Millares 4" xfId="13" xr:uid="{00000000-0005-0000-0000-00000A000000}"/>
    <cellStyle name="Millares 4 2" xfId="19" xr:uid="{00000000-0005-0000-0000-00000B000000}"/>
    <cellStyle name="Normal" xfId="0" builtinId="0"/>
    <cellStyle name="Normal 2" xfId="6" xr:uid="{00000000-0005-0000-0000-00000D000000}"/>
    <cellStyle name="Normal 3" xfId="11" xr:uid="{00000000-0005-0000-0000-00000E000000}"/>
    <cellStyle name="Porcentaje" xfId="1" builtinId="5"/>
    <cellStyle name="Porcentaje 2" xfId="3" xr:uid="{00000000-0005-0000-0000-000010000000}"/>
    <cellStyle name="Porcentaje 2 2" xfId="5" xr:uid="{00000000-0005-0000-0000-000011000000}"/>
    <cellStyle name="Porcentaje 2 2 2" xfId="10" xr:uid="{00000000-0005-0000-0000-000012000000}"/>
    <cellStyle name="Porcentaje 2 3" xfId="8" xr:uid="{00000000-0005-0000-0000-000013000000}"/>
  </cellStyles>
  <dxfs count="0"/>
  <tableStyles count="0" defaultTableStyle="TableStyleMedium9" defaultPivotStyle="PivotStyleLight16"/>
  <colors>
    <mruColors>
      <color rgb="FFCCFFFF"/>
      <color rgb="FF66FF33"/>
      <color rgb="FFFFFF99"/>
      <color rgb="FFD5F9F8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65300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2E9FF931-37BD-4DB4-9083-AACFDBAF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95BFD4D1-6ED2-4830-916C-6DF817F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575D5ED6-1D13-4899-984F-60723AD9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" name="Picture 67" descr="image002">
          <a:extLst>
            <a:ext uri="{FF2B5EF4-FFF2-40B4-BE49-F238E27FC236}">
              <a16:creationId xmlns:a16="http://schemas.microsoft.com/office/drawing/2014/main" id="{5B2746C2-E57D-4B67-B068-335B4B90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B4AC6F2F-DB4A-47C4-B5A5-F113BAA8A42C}"/>
            </a:ext>
          </a:extLst>
        </xdr:cNvPr>
        <xdr:cNvSpPr txBox="1"/>
      </xdr:nvSpPr>
      <xdr:spPr>
        <a:xfrm rot="18892825" flipV="1">
          <a:off x="25869899" y="127939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" name="Picture 67" descr="image002">
          <a:extLst>
            <a:ext uri="{FF2B5EF4-FFF2-40B4-BE49-F238E27FC236}">
              <a16:creationId xmlns:a16="http://schemas.microsoft.com/office/drawing/2014/main" id="{B58A931A-219F-485C-8A56-68F35D37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D4752ABC-A05B-41C5-90F4-EB740235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" name="9 CuadroTexto">
          <a:extLst>
            <a:ext uri="{FF2B5EF4-FFF2-40B4-BE49-F238E27FC236}">
              <a16:creationId xmlns:a16="http://schemas.microsoft.com/office/drawing/2014/main" id="{24E4736E-D7B4-49DE-A7B9-1AC3C8FA67CC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7616E46C-3FD3-4860-8577-7C63466A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92B0C030-6BEA-45D1-8E7F-E5DFBD3D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" name="12 CuadroTexto">
          <a:extLst>
            <a:ext uri="{FF2B5EF4-FFF2-40B4-BE49-F238E27FC236}">
              <a16:creationId xmlns:a16="http://schemas.microsoft.com/office/drawing/2014/main" id="{1A42C4EF-1256-465F-9C51-A7C614FB4138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8BD3929-657B-4021-98B9-CF43C65B3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1D0C1517-78B0-42D7-AB66-4562B06A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4" name="10 CuadroTexto">
          <a:extLst>
            <a:ext uri="{FF2B5EF4-FFF2-40B4-BE49-F238E27FC236}">
              <a16:creationId xmlns:a16="http://schemas.microsoft.com/office/drawing/2014/main" id="{8B9D1B22-CC7D-45E1-AE54-871AD8532DF7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011FBCB5-D6EA-4986-A112-32A94E0D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E49C300E-FB29-408C-BDD6-F54386B3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C88E1B12-2DB3-43AE-AD66-3BE345F3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" name="Picture 67" descr="image002">
          <a:extLst>
            <a:ext uri="{FF2B5EF4-FFF2-40B4-BE49-F238E27FC236}">
              <a16:creationId xmlns:a16="http://schemas.microsoft.com/office/drawing/2014/main" id="{D2E4BD4A-AD07-47B7-B2AB-D4A0A3A1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8DEFC8CD-369E-4D3A-911F-98FE9DC6E663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" name="Picture 67" descr="image002">
          <a:extLst>
            <a:ext uri="{FF2B5EF4-FFF2-40B4-BE49-F238E27FC236}">
              <a16:creationId xmlns:a16="http://schemas.microsoft.com/office/drawing/2014/main" id="{896E60E0-C484-4D61-B6A8-C8073A2A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" name="Picture 67" descr="image002">
          <a:extLst>
            <a:ext uri="{FF2B5EF4-FFF2-40B4-BE49-F238E27FC236}">
              <a16:creationId xmlns:a16="http://schemas.microsoft.com/office/drawing/2014/main" id="{C308886A-2E97-48D7-95B3-9C76D48E6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2" name="9 CuadroTexto">
          <a:extLst>
            <a:ext uri="{FF2B5EF4-FFF2-40B4-BE49-F238E27FC236}">
              <a16:creationId xmlns:a16="http://schemas.microsoft.com/office/drawing/2014/main" id="{8DA61B24-5965-446E-A633-6C8F34B93480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" name="Picture 67" descr="image002">
          <a:extLst>
            <a:ext uri="{FF2B5EF4-FFF2-40B4-BE49-F238E27FC236}">
              <a16:creationId xmlns:a16="http://schemas.microsoft.com/office/drawing/2014/main" id="{FAFDC927-F5B9-40C0-9A32-7C101855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7BE29B97-B972-4865-9EE2-46291C13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" name="12 CuadroTexto">
          <a:extLst>
            <a:ext uri="{FF2B5EF4-FFF2-40B4-BE49-F238E27FC236}">
              <a16:creationId xmlns:a16="http://schemas.microsoft.com/office/drawing/2014/main" id="{9045578A-26A5-4E29-9A3D-AC185102678E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5"/>
  <sheetViews>
    <sheetView showGridLines="0" topLeftCell="A6" zoomScaleNormal="100" workbookViewId="0">
      <selection activeCell="AD16" sqref="AD16"/>
    </sheetView>
  </sheetViews>
  <sheetFormatPr defaultColWidth="11.42578125" defaultRowHeight="12.75" customHeight="1"/>
  <cols>
    <col min="1" max="1" width="21.7109375" style="4" customWidth="1"/>
    <col min="2" max="4" width="25.7109375" style="4" customWidth="1"/>
    <col min="5" max="5" width="9.42578125" style="4" customWidth="1"/>
    <col min="6" max="6" width="28.140625" style="4" customWidth="1"/>
    <col min="7" max="7" width="13.42578125" style="4" customWidth="1"/>
    <col min="8" max="30" width="11.42578125" style="4"/>
    <col min="31" max="31" width="12.7109375" style="4" customWidth="1"/>
    <col min="32" max="16384" width="11.42578125" style="4"/>
  </cols>
  <sheetData>
    <row r="1" spans="1:32" ht="15.75" customHeight="1">
      <c r="B1" s="148"/>
      <c r="C1" s="151" t="s">
        <v>0</v>
      </c>
      <c r="D1" s="152"/>
      <c r="E1" s="152"/>
      <c r="F1" s="153"/>
      <c r="G1" s="151" t="s">
        <v>1</v>
      </c>
      <c r="H1" s="152"/>
      <c r="I1" s="152"/>
      <c r="J1" s="152"/>
      <c r="K1" s="152"/>
      <c r="L1" s="153"/>
    </row>
    <row r="2" spans="1:32" ht="15.75" customHeight="1">
      <c r="B2" s="149"/>
      <c r="C2" s="154"/>
      <c r="D2" s="155"/>
      <c r="E2" s="155"/>
      <c r="F2" s="156"/>
      <c r="G2" s="154" t="s">
        <v>2</v>
      </c>
      <c r="H2" s="155"/>
      <c r="I2" s="155"/>
      <c r="J2" s="155"/>
      <c r="K2" s="155"/>
      <c r="L2" s="156"/>
    </row>
    <row r="3" spans="1:32" ht="15.75" customHeight="1">
      <c r="B3" s="149"/>
      <c r="C3" s="154"/>
      <c r="D3" s="155"/>
      <c r="E3" s="155"/>
      <c r="F3" s="156"/>
      <c r="G3" s="154" t="s">
        <v>3</v>
      </c>
      <c r="H3" s="155"/>
      <c r="I3" s="155"/>
      <c r="J3" s="155"/>
      <c r="K3" s="155"/>
      <c r="L3" s="156"/>
    </row>
    <row r="4" spans="1:32">
      <c r="B4" s="149"/>
      <c r="C4" s="154"/>
      <c r="D4" s="155"/>
      <c r="E4" s="155"/>
      <c r="F4" s="156"/>
      <c r="G4" s="160"/>
      <c r="H4" s="161"/>
      <c r="I4" s="161"/>
      <c r="J4" s="161"/>
      <c r="K4" s="161"/>
      <c r="L4" s="162"/>
    </row>
    <row r="5" spans="1:32" ht="13.5" customHeight="1">
      <c r="B5" s="150"/>
      <c r="C5" s="157"/>
      <c r="D5" s="158"/>
      <c r="E5" s="158"/>
      <c r="F5" s="159"/>
      <c r="G5" s="163" t="s">
        <v>4</v>
      </c>
      <c r="H5" s="164"/>
      <c r="I5" s="164"/>
      <c r="J5" s="164"/>
      <c r="K5" s="164"/>
      <c r="L5" s="165"/>
    </row>
    <row r="6" spans="1:32" ht="13.5">
      <c r="B6" s="5" t="s">
        <v>5</v>
      </c>
      <c r="C6" s="144" t="s">
        <v>6</v>
      </c>
      <c r="D6" s="145"/>
      <c r="E6" s="145"/>
      <c r="F6" s="146"/>
      <c r="G6" s="144" t="s">
        <v>7</v>
      </c>
      <c r="H6" s="145"/>
      <c r="I6" s="145"/>
      <c r="J6" s="145"/>
      <c r="K6" s="145"/>
      <c r="L6" s="146"/>
    </row>
    <row r="7" spans="1:32" ht="20.100000000000001" customHeight="1">
      <c r="B7" s="6"/>
      <c r="C7" s="7"/>
      <c r="D7" s="7"/>
      <c r="E7" s="7"/>
      <c r="F7" s="7"/>
      <c r="G7" s="7"/>
      <c r="H7" s="7"/>
      <c r="I7" s="7"/>
      <c r="J7" s="7"/>
      <c r="K7" s="7"/>
      <c r="L7" s="7"/>
    </row>
    <row r="8" spans="1:32" ht="20.100000000000001" customHeight="1">
      <c r="B8" s="147" t="s">
        <v>8</v>
      </c>
      <c r="C8" s="147"/>
      <c r="D8" s="147"/>
      <c r="E8" s="147"/>
      <c r="F8" s="147"/>
    </row>
    <row r="9" spans="1:32" ht="20.100000000000001" customHeight="1">
      <c r="B9" s="147" t="s">
        <v>9</v>
      </c>
      <c r="C9" s="147"/>
      <c r="D9" s="147"/>
      <c r="E9" s="147"/>
      <c r="F9" s="147"/>
      <c r="G9" s="41"/>
      <c r="H9" s="42"/>
      <c r="I9" s="43"/>
      <c r="J9" s="44"/>
      <c r="P9" s="45"/>
      <c r="Q9" s="45"/>
      <c r="R9" s="45"/>
      <c r="S9" s="45"/>
      <c r="T9" s="45"/>
      <c r="U9" s="45"/>
      <c r="V9" s="45"/>
      <c r="W9" s="45"/>
    </row>
    <row r="10" spans="1:32" ht="20.100000000000001" customHeight="1">
      <c r="B10" s="84" t="s">
        <v>10</v>
      </c>
    </row>
    <row r="11" spans="1:32" ht="24.95" customHeight="1">
      <c r="A11" s="118" t="s">
        <v>11</v>
      </c>
      <c r="B11" s="118" t="s">
        <v>12</v>
      </c>
      <c r="C11" s="118" t="s">
        <v>13</v>
      </c>
      <c r="D11" s="133" t="s">
        <v>14</v>
      </c>
      <c r="E11" s="133" t="s">
        <v>15</v>
      </c>
      <c r="F11" s="118" t="s">
        <v>16</v>
      </c>
      <c r="G11" s="118" t="s">
        <v>17</v>
      </c>
      <c r="H11" s="122">
        <v>45870</v>
      </c>
      <c r="I11" s="122">
        <v>45901</v>
      </c>
      <c r="J11" s="129" t="s">
        <v>18</v>
      </c>
      <c r="K11" s="111">
        <v>45931</v>
      </c>
      <c r="L11" s="113" t="s">
        <v>18</v>
      </c>
      <c r="M11" s="111">
        <v>45962</v>
      </c>
      <c r="N11" s="113" t="s">
        <v>18</v>
      </c>
      <c r="O11" s="111">
        <v>45992</v>
      </c>
      <c r="P11" s="136" t="s">
        <v>18</v>
      </c>
      <c r="Q11" s="123">
        <v>46023</v>
      </c>
      <c r="R11" s="125" t="s">
        <v>18</v>
      </c>
      <c r="S11" s="127">
        <v>46054</v>
      </c>
      <c r="T11" s="118" t="s">
        <v>18</v>
      </c>
      <c r="U11" s="127">
        <v>46082</v>
      </c>
      <c r="V11" s="113" t="s">
        <v>18</v>
      </c>
      <c r="W11" s="122">
        <v>46113</v>
      </c>
      <c r="X11" s="118" t="s">
        <v>18</v>
      </c>
      <c r="Y11" s="122">
        <v>46143</v>
      </c>
      <c r="Z11" s="118" t="s">
        <v>18</v>
      </c>
      <c r="AA11" s="131">
        <v>46174</v>
      </c>
      <c r="AB11" s="118" t="s">
        <v>18</v>
      </c>
      <c r="AC11" s="122">
        <v>46204</v>
      </c>
      <c r="AD11" s="133" t="s">
        <v>19</v>
      </c>
      <c r="AE11" s="118" t="s">
        <v>20</v>
      </c>
    </row>
    <row r="12" spans="1:32" ht="24.95" customHeight="1">
      <c r="A12" s="120"/>
      <c r="B12" s="120"/>
      <c r="C12" s="120"/>
      <c r="D12" s="134"/>
      <c r="E12" s="134"/>
      <c r="F12" s="120"/>
      <c r="G12" s="135"/>
      <c r="H12" s="120"/>
      <c r="I12" s="120"/>
      <c r="J12" s="130"/>
      <c r="K12" s="112"/>
      <c r="L12" s="112"/>
      <c r="M12" s="112"/>
      <c r="N12" s="114"/>
      <c r="O12" s="112"/>
      <c r="P12" s="137"/>
      <c r="Q12" s="124"/>
      <c r="R12" s="126"/>
      <c r="S12" s="128"/>
      <c r="T12" s="120"/>
      <c r="U12" s="128"/>
      <c r="V12" s="112"/>
      <c r="W12" s="119"/>
      <c r="X12" s="119"/>
      <c r="Y12" s="119"/>
      <c r="Z12" s="119"/>
      <c r="AA12" s="132"/>
      <c r="AB12" s="119"/>
      <c r="AC12" s="120"/>
      <c r="AD12" s="134"/>
      <c r="AE12" s="120"/>
    </row>
    <row r="13" spans="1:32" ht="18" customHeight="1">
      <c r="A13" s="98" t="s">
        <v>21</v>
      </c>
      <c r="B13" s="98" t="s">
        <v>22</v>
      </c>
      <c r="C13" s="98" t="s">
        <v>23</v>
      </c>
      <c r="D13" s="108">
        <v>0.15</v>
      </c>
      <c r="E13" s="108">
        <v>1</v>
      </c>
      <c r="F13" s="140" t="s">
        <v>24</v>
      </c>
      <c r="G13" s="1" t="s">
        <v>25</v>
      </c>
      <c r="H13" s="9" t="s">
        <v>25</v>
      </c>
      <c r="I13" s="9" t="s">
        <v>25</v>
      </c>
      <c r="J13" s="10" t="s">
        <v>25</v>
      </c>
      <c r="K13" s="9" t="s">
        <v>25</v>
      </c>
      <c r="L13" s="11" t="s">
        <v>25</v>
      </c>
      <c r="M13" s="9" t="s">
        <v>25</v>
      </c>
      <c r="N13" s="11" t="s">
        <v>25</v>
      </c>
      <c r="O13" s="9" t="s">
        <v>25</v>
      </c>
      <c r="P13" s="11" t="s">
        <v>25</v>
      </c>
      <c r="Q13" s="9" t="s">
        <v>25</v>
      </c>
      <c r="R13" s="11" t="s">
        <v>25</v>
      </c>
      <c r="S13" s="9" t="s">
        <v>25</v>
      </c>
      <c r="T13" s="11" t="s">
        <v>25</v>
      </c>
      <c r="U13" s="9" t="s">
        <v>25</v>
      </c>
      <c r="V13" s="11" t="s">
        <v>25</v>
      </c>
      <c r="W13" s="9" t="s">
        <v>25</v>
      </c>
      <c r="X13" s="11" t="s">
        <v>25</v>
      </c>
      <c r="Y13" s="9" t="s">
        <v>25</v>
      </c>
      <c r="Z13" s="11" t="s">
        <v>25</v>
      </c>
      <c r="AA13" s="9" t="s">
        <v>25</v>
      </c>
      <c r="AB13" s="11" t="s">
        <v>25</v>
      </c>
      <c r="AC13" s="9" t="s">
        <v>25</v>
      </c>
      <c r="AD13" s="11" t="s">
        <v>25</v>
      </c>
      <c r="AE13" s="51"/>
      <c r="AF13" s="52"/>
    </row>
    <row r="14" spans="1:32" ht="18" customHeight="1">
      <c r="A14" s="138"/>
      <c r="B14" s="138"/>
      <c r="C14" s="138"/>
      <c r="D14" s="109"/>
      <c r="E14" s="109"/>
      <c r="F14" s="141"/>
      <c r="G14" s="69">
        <f t="shared" ref="G14:I14" si="0">IF(G16&lt;&gt;0,ROUND(+G16/G18,4),0%)</f>
        <v>1</v>
      </c>
      <c r="H14" s="66">
        <f t="shared" si="0"/>
        <v>0.25</v>
      </c>
      <c r="I14" s="66">
        <f t="shared" si="0"/>
        <v>0.25</v>
      </c>
      <c r="J14" s="46">
        <f>IF(J16&lt;&gt;0,ROUND(+J16/J18,4),0%)</f>
        <v>0.5</v>
      </c>
      <c r="K14" s="66">
        <f t="shared" ref="K14:AC14" si="1">IF(K16&lt;&gt;0,ROUND(+K16/K18,4),0%)</f>
        <v>0.25</v>
      </c>
      <c r="L14" s="12">
        <f t="shared" si="1"/>
        <v>0.75</v>
      </c>
      <c r="M14" s="65">
        <f t="shared" si="1"/>
        <v>0</v>
      </c>
      <c r="N14" s="12">
        <f t="shared" si="1"/>
        <v>0.75</v>
      </c>
      <c r="O14" s="65">
        <f t="shared" si="1"/>
        <v>0.25</v>
      </c>
      <c r="P14" s="12">
        <f t="shared" si="1"/>
        <v>1</v>
      </c>
      <c r="Q14" s="65">
        <f t="shared" si="1"/>
        <v>0</v>
      </c>
      <c r="R14" s="12">
        <f t="shared" si="1"/>
        <v>1</v>
      </c>
      <c r="S14" s="65">
        <f t="shared" si="1"/>
        <v>0</v>
      </c>
      <c r="T14" s="12">
        <f t="shared" si="1"/>
        <v>1</v>
      </c>
      <c r="U14" s="65">
        <f t="shared" si="1"/>
        <v>0</v>
      </c>
      <c r="V14" s="12">
        <f t="shared" si="1"/>
        <v>1</v>
      </c>
      <c r="W14" s="65">
        <f t="shared" si="1"/>
        <v>0</v>
      </c>
      <c r="X14" s="12">
        <f t="shared" si="1"/>
        <v>1</v>
      </c>
      <c r="Y14" s="65">
        <f t="shared" si="1"/>
        <v>0</v>
      </c>
      <c r="Z14" s="12">
        <f t="shared" si="1"/>
        <v>1</v>
      </c>
      <c r="AA14" s="65">
        <f t="shared" si="1"/>
        <v>0</v>
      </c>
      <c r="AB14" s="12">
        <f t="shared" si="1"/>
        <v>1</v>
      </c>
      <c r="AC14" s="65">
        <f t="shared" si="1"/>
        <v>0</v>
      </c>
      <c r="AD14" s="12">
        <f t="shared" ref="AD14" si="2">IF(AD16&lt;&gt;0,ROUND(+AD16/AD18,4),0%)</f>
        <v>1</v>
      </c>
      <c r="AE14" s="53"/>
    </row>
    <row r="15" spans="1:32" ht="18" customHeight="1">
      <c r="A15" s="138"/>
      <c r="B15" s="138"/>
      <c r="C15" s="138"/>
      <c r="D15" s="109"/>
      <c r="E15" s="109"/>
      <c r="F15" s="142"/>
      <c r="G15" s="2" t="s">
        <v>26</v>
      </c>
      <c r="H15" s="14" t="s">
        <v>26</v>
      </c>
      <c r="I15" s="14" t="s">
        <v>26</v>
      </c>
      <c r="J15" s="15" t="s">
        <v>26</v>
      </c>
      <c r="K15" s="14" t="s">
        <v>26</v>
      </c>
      <c r="L15" s="16" t="s">
        <v>26</v>
      </c>
      <c r="M15" s="14" t="s">
        <v>26</v>
      </c>
      <c r="N15" s="16" t="s">
        <v>26</v>
      </c>
      <c r="O15" s="14" t="s">
        <v>26</v>
      </c>
      <c r="P15" s="16" t="s">
        <v>26</v>
      </c>
      <c r="Q15" s="14" t="s">
        <v>26</v>
      </c>
      <c r="R15" s="16" t="s">
        <v>26</v>
      </c>
      <c r="S15" s="14" t="s">
        <v>26</v>
      </c>
      <c r="T15" s="16" t="s">
        <v>26</v>
      </c>
      <c r="U15" s="14" t="s">
        <v>26</v>
      </c>
      <c r="V15" s="16" t="s">
        <v>26</v>
      </c>
      <c r="W15" s="14" t="s">
        <v>26</v>
      </c>
      <c r="X15" s="16" t="s">
        <v>26</v>
      </c>
      <c r="Y15" s="14" t="s">
        <v>26</v>
      </c>
      <c r="Z15" s="16" t="s">
        <v>26</v>
      </c>
      <c r="AA15" s="14" t="s">
        <v>26</v>
      </c>
      <c r="AB15" s="16" t="s">
        <v>26</v>
      </c>
      <c r="AC15" s="14" t="s">
        <v>26</v>
      </c>
      <c r="AD15" s="16" t="s">
        <v>26</v>
      </c>
      <c r="AE15" s="54"/>
      <c r="AF15" s="52"/>
    </row>
    <row r="16" spans="1:32" ht="18" customHeight="1">
      <c r="A16" s="138"/>
      <c r="B16" s="138"/>
      <c r="C16" s="138"/>
      <c r="D16" s="109"/>
      <c r="E16" s="109"/>
      <c r="F16" s="141" t="s">
        <v>27</v>
      </c>
      <c r="G16" s="67">
        <v>4</v>
      </c>
      <c r="H16" s="47">
        <v>1</v>
      </c>
      <c r="I16" s="47">
        <v>1</v>
      </c>
      <c r="J16" s="30">
        <f>+H16+I16</f>
        <v>2</v>
      </c>
      <c r="K16" s="47">
        <v>1</v>
      </c>
      <c r="L16" s="30">
        <f>+J16+K16</f>
        <v>3</v>
      </c>
      <c r="M16" s="47"/>
      <c r="N16" s="30">
        <f>+L16+M16</f>
        <v>3</v>
      </c>
      <c r="O16" s="86">
        <v>1</v>
      </c>
      <c r="P16" s="88">
        <f>+N16+O16</f>
        <v>4</v>
      </c>
      <c r="Q16" s="86">
        <v>0</v>
      </c>
      <c r="R16" s="30">
        <f>+P16+Q16</f>
        <v>4</v>
      </c>
      <c r="S16" s="47"/>
      <c r="T16" s="30">
        <f>+R16+S16</f>
        <v>4</v>
      </c>
      <c r="U16" s="48"/>
      <c r="V16" s="30">
        <f>+T16+U16</f>
        <v>4</v>
      </c>
      <c r="W16" s="47"/>
      <c r="X16" s="30">
        <f>+V16+W16</f>
        <v>4</v>
      </c>
      <c r="Y16" s="47"/>
      <c r="Z16" s="30">
        <f>+X16+Y16</f>
        <v>4</v>
      </c>
      <c r="AA16" s="47"/>
      <c r="AB16" s="30">
        <f>+Z16+AA16</f>
        <v>4</v>
      </c>
      <c r="AC16" s="47"/>
      <c r="AD16" s="30">
        <f>+AB16+AC16</f>
        <v>4</v>
      </c>
      <c r="AE16" s="55">
        <f>AD14/E13</f>
        <v>1</v>
      </c>
      <c r="AF16" s="52"/>
    </row>
    <row r="17" spans="1:32" ht="18" customHeight="1">
      <c r="A17" s="138"/>
      <c r="B17" s="138"/>
      <c r="C17" s="138"/>
      <c r="D17" s="109"/>
      <c r="E17" s="109"/>
      <c r="F17" s="141"/>
      <c r="G17" s="3" t="s">
        <v>28</v>
      </c>
      <c r="H17" s="17" t="s">
        <v>28</v>
      </c>
      <c r="I17" s="17" t="s">
        <v>28</v>
      </c>
      <c r="J17" s="18" t="s">
        <v>28</v>
      </c>
      <c r="K17" s="17" t="s">
        <v>28</v>
      </c>
      <c r="L17" s="19" t="s">
        <v>28</v>
      </c>
      <c r="M17" s="17" t="s">
        <v>28</v>
      </c>
      <c r="N17" s="19" t="s">
        <v>28</v>
      </c>
      <c r="O17" s="17" t="s">
        <v>28</v>
      </c>
      <c r="P17" s="19" t="s">
        <v>28</v>
      </c>
      <c r="Q17" s="17" t="s">
        <v>28</v>
      </c>
      <c r="R17" s="19" t="s">
        <v>28</v>
      </c>
      <c r="S17" s="17" t="s">
        <v>28</v>
      </c>
      <c r="T17" s="19" t="s">
        <v>28</v>
      </c>
      <c r="U17" s="17" t="s">
        <v>28</v>
      </c>
      <c r="V17" s="19" t="s">
        <v>28</v>
      </c>
      <c r="W17" s="17" t="s">
        <v>28</v>
      </c>
      <c r="X17" s="19" t="s">
        <v>28</v>
      </c>
      <c r="Y17" s="17" t="s">
        <v>28</v>
      </c>
      <c r="Z17" s="19" t="s">
        <v>28</v>
      </c>
      <c r="AA17" s="17" t="s">
        <v>28</v>
      </c>
      <c r="AB17" s="19" t="s">
        <v>28</v>
      </c>
      <c r="AC17" s="17" t="s">
        <v>28</v>
      </c>
      <c r="AD17" s="19" t="s">
        <v>28</v>
      </c>
      <c r="AE17" s="54"/>
      <c r="AF17" s="52"/>
    </row>
    <row r="18" spans="1:32" ht="18" customHeight="1">
      <c r="A18" s="139"/>
      <c r="B18" s="139"/>
      <c r="C18" s="139"/>
      <c r="D18" s="110"/>
      <c r="E18" s="110"/>
      <c r="F18" s="142"/>
      <c r="G18" s="68">
        <v>4</v>
      </c>
      <c r="H18" s="20">
        <v>4</v>
      </c>
      <c r="I18" s="20">
        <v>4</v>
      </c>
      <c r="J18" s="21">
        <f>I18</f>
        <v>4</v>
      </c>
      <c r="K18" s="20">
        <v>4</v>
      </c>
      <c r="L18" s="21">
        <f>K18</f>
        <v>4</v>
      </c>
      <c r="M18" s="20">
        <v>4</v>
      </c>
      <c r="N18" s="21">
        <v>4</v>
      </c>
      <c r="O18" s="20">
        <v>4</v>
      </c>
      <c r="P18" s="21">
        <f>O18</f>
        <v>4</v>
      </c>
      <c r="Q18" s="20">
        <v>4</v>
      </c>
      <c r="R18" s="21">
        <f>Q18</f>
        <v>4</v>
      </c>
      <c r="S18" s="20">
        <v>4</v>
      </c>
      <c r="T18" s="21">
        <f>S18</f>
        <v>4</v>
      </c>
      <c r="U18" s="49">
        <v>4</v>
      </c>
      <c r="V18" s="21">
        <f>U18</f>
        <v>4</v>
      </c>
      <c r="W18" s="20">
        <v>4</v>
      </c>
      <c r="X18" s="21">
        <f>W18</f>
        <v>4</v>
      </c>
      <c r="Y18" s="20">
        <v>4</v>
      </c>
      <c r="Z18" s="21">
        <f>Y18</f>
        <v>4</v>
      </c>
      <c r="AA18" s="20">
        <v>4</v>
      </c>
      <c r="AB18" s="21">
        <f>AA18</f>
        <v>4</v>
      </c>
      <c r="AC18" s="20">
        <v>4</v>
      </c>
      <c r="AD18" s="21">
        <f>AC18</f>
        <v>4</v>
      </c>
      <c r="AE18" s="56"/>
      <c r="AF18" s="52"/>
    </row>
    <row r="19" spans="1:32" ht="18" customHeight="1">
      <c r="A19" s="98" t="s">
        <v>29</v>
      </c>
      <c r="B19" s="98" t="s">
        <v>30</v>
      </c>
      <c r="C19" s="98" t="s">
        <v>31</v>
      </c>
      <c r="D19" s="108">
        <v>0.15</v>
      </c>
      <c r="E19" s="108">
        <v>1</v>
      </c>
      <c r="F19" s="104" t="s">
        <v>32</v>
      </c>
      <c r="G19" s="1" t="s">
        <v>25</v>
      </c>
      <c r="H19" s="9" t="s">
        <v>25</v>
      </c>
      <c r="I19" s="9" t="s">
        <v>25</v>
      </c>
      <c r="J19" s="10" t="s">
        <v>25</v>
      </c>
      <c r="K19" s="9" t="s">
        <v>25</v>
      </c>
      <c r="L19" s="11" t="s">
        <v>25</v>
      </c>
      <c r="M19" s="9" t="s">
        <v>25</v>
      </c>
      <c r="N19" s="11" t="s">
        <v>25</v>
      </c>
      <c r="O19" s="9" t="s">
        <v>25</v>
      </c>
      <c r="P19" s="11" t="s">
        <v>25</v>
      </c>
      <c r="Q19" s="9" t="s">
        <v>25</v>
      </c>
      <c r="R19" s="11" t="s">
        <v>25</v>
      </c>
      <c r="S19" s="9" t="s">
        <v>25</v>
      </c>
      <c r="T19" s="11" t="s">
        <v>25</v>
      </c>
      <c r="U19" s="9" t="s">
        <v>25</v>
      </c>
      <c r="V19" s="11" t="s">
        <v>25</v>
      </c>
      <c r="W19" s="9" t="s">
        <v>25</v>
      </c>
      <c r="X19" s="11" t="s">
        <v>25</v>
      </c>
      <c r="Y19" s="9" t="s">
        <v>25</v>
      </c>
      <c r="Z19" s="11" t="s">
        <v>25</v>
      </c>
      <c r="AA19" s="9" t="s">
        <v>25</v>
      </c>
      <c r="AB19" s="11" t="s">
        <v>25</v>
      </c>
      <c r="AC19" s="9" t="s">
        <v>25</v>
      </c>
      <c r="AD19" s="11" t="s">
        <v>25</v>
      </c>
      <c r="AE19" s="51"/>
      <c r="AF19" s="52"/>
    </row>
    <row r="20" spans="1:32" ht="18" customHeight="1">
      <c r="A20" s="138"/>
      <c r="B20" s="99"/>
      <c r="C20" s="99"/>
      <c r="D20" s="109"/>
      <c r="E20" s="109"/>
      <c r="F20" s="105"/>
      <c r="G20" s="69">
        <f t="shared" ref="G20:I20" si="3">IF(G22&lt;&gt;0,ROUND(+G22/G24,4),0%)</f>
        <v>1</v>
      </c>
      <c r="H20" s="66">
        <f t="shared" si="3"/>
        <v>0</v>
      </c>
      <c r="I20" s="66">
        <f t="shared" si="3"/>
        <v>0</v>
      </c>
      <c r="J20" s="46">
        <f>IF(J22&lt;&gt;0,ROUND(+J22/J24,4),0%)</f>
        <v>0</v>
      </c>
      <c r="K20" s="66">
        <f t="shared" ref="K20:AC20" si="4">IF(K22&lt;&gt;0,ROUND(+K22/K24,4),0%)</f>
        <v>0</v>
      </c>
      <c r="L20" s="12">
        <f t="shared" si="4"/>
        <v>0</v>
      </c>
      <c r="M20" s="65">
        <f t="shared" si="4"/>
        <v>0</v>
      </c>
      <c r="N20" s="12">
        <f t="shared" si="4"/>
        <v>0</v>
      </c>
      <c r="O20" s="65">
        <f t="shared" si="4"/>
        <v>0</v>
      </c>
      <c r="P20" s="12">
        <f t="shared" si="4"/>
        <v>0</v>
      </c>
      <c r="Q20" s="65">
        <f t="shared" si="4"/>
        <v>0</v>
      </c>
      <c r="R20" s="12">
        <f t="shared" si="4"/>
        <v>0</v>
      </c>
      <c r="S20" s="65">
        <f t="shared" si="4"/>
        <v>0</v>
      </c>
      <c r="T20" s="12">
        <f t="shared" si="4"/>
        <v>0</v>
      </c>
      <c r="U20" s="65">
        <f t="shared" si="4"/>
        <v>0</v>
      </c>
      <c r="V20" s="12">
        <f t="shared" si="4"/>
        <v>0</v>
      </c>
      <c r="W20" s="65">
        <f t="shared" si="4"/>
        <v>0</v>
      </c>
      <c r="X20" s="12">
        <f t="shared" si="4"/>
        <v>0</v>
      </c>
      <c r="Y20" s="65">
        <f t="shared" si="4"/>
        <v>0</v>
      </c>
      <c r="Z20" s="12">
        <f t="shared" si="4"/>
        <v>0</v>
      </c>
      <c r="AA20" s="65">
        <f t="shared" si="4"/>
        <v>0</v>
      </c>
      <c r="AB20" s="12">
        <f t="shared" si="4"/>
        <v>0</v>
      </c>
      <c r="AC20" s="65">
        <f t="shared" si="4"/>
        <v>0</v>
      </c>
      <c r="AD20" s="12">
        <f t="shared" ref="AD20" si="5">IF(AD22&lt;&gt;0,ROUND(+AD22/AD24,4),0%)</f>
        <v>0</v>
      </c>
      <c r="AE20" s="54"/>
      <c r="AF20" s="52"/>
    </row>
    <row r="21" spans="1:32" ht="18" customHeight="1">
      <c r="A21" s="138"/>
      <c r="B21" s="99"/>
      <c r="C21" s="99"/>
      <c r="D21" s="109"/>
      <c r="E21" s="109"/>
      <c r="F21" s="107"/>
      <c r="G21" s="2" t="s">
        <v>26</v>
      </c>
      <c r="H21" s="14" t="s">
        <v>26</v>
      </c>
      <c r="I21" s="14" t="s">
        <v>26</v>
      </c>
      <c r="J21" s="15" t="s">
        <v>26</v>
      </c>
      <c r="K21" s="14" t="s">
        <v>26</v>
      </c>
      <c r="L21" s="16" t="s">
        <v>26</v>
      </c>
      <c r="M21" s="14" t="s">
        <v>26</v>
      </c>
      <c r="N21" s="16" t="s">
        <v>26</v>
      </c>
      <c r="O21" s="14" t="s">
        <v>26</v>
      </c>
      <c r="P21" s="16" t="s">
        <v>26</v>
      </c>
      <c r="Q21" s="14" t="s">
        <v>26</v>
      </c>
      <c r="R21" s="16" t="s">
        <v>26</v>
      </c>
      <c r="S21" s="14" t="s">
        <v>26</v>
      </c>
      <c r="T21" s="16" t="s">
        <v>26</v>
      </c>
      <c r="U21" s="14" t="s">
        <v>26</v>
      </c>
      <c r="V21" s="16" t="s">
        <v>26</v>
      </c>
      <c r="W21" s="14" t="s">
        <v>26</v>
      </c>
      <c r="X21" s="16" t="s">
        <v>26</v>
      </c>
      <c r="Y21" s="14" t="s">
        <v>26</v>
      </c>
      <c r="Z21" s="16" t="s">
        <v>26</v>
      </c>
      <c r="AA21" s="14" t="s">
        <v>26</v>
      </c>
      <c r="AB21" s="16" t="s">
        <v>26</v>
      </c>
      <c r="AC21" s="14" t="s">
        <v>26</v>
      </c>
      <c r="AD21" s="16" t="s">
        <v>26</v>
      </c>
      <c r="AE21" s="54"/>
      <c r="AF21" s="52"/>
    </row>
    <row r="22" spans="1:32" ht="18" customHeight="1">
      <c r="A22" s="138"/>
      <c r="B22" s="99"/>
      <c r="C22" s="99"/>
      <c r="D22" s="109"/>
      <c r="E22" s="109"/>
      <c r="F22" s="143" t="s">
        <v>33</v>
      </c>
      <c r="G22" s="67">
        <v>1</v>
      </c>
      <c r="H22" s="47"/>
      <c r="I22" s="47"/>
      <c r="J22" s="30">
        <f>+H22+I22</f>
        <v>0</v>
      </c>
      <c r="K22" s="47"/>
      <c r="L22" s="30">
        <f>+J22+K22</f>
        <v>0</v>
      </c>
      <c r="M22" s="47"/>
      <c r="N22" s="30">
        <f>+L22+M22</f>
        <v>0</v>
      </c>
      <c r="O22" s="91">
        <v>0</v>
      </c>
      <c r="P22" s="88">
        <f>+N22+O22</f>
        <v>0</v>
      </c>
      <c r="Q22" s="86">
        <v>0</v>
      </c>
      <c r="R22" s="30">
        <f>+P22+Q22</f>
        <v>0</v>
      </c>
      <c r="S22" s="47"/>
      <c r="T22" s="30">
        <f>+R22+S22</f>
        <v>0</v>
      </c>
      <c r="U22" s="48"/>
      <c r="V22" s="30">
        <f>+T22+U22</f>
        <v>0</v>
      </c>
      <c r="W22" s="47"/>
      <c r="X22" s="30">
        <f>+V22+W22</f>
        <v>0</v>
      </c>
      <c r="Y22" s="47"/>
      <c r="Z22" s="30">
        <f>+X22+Y22</f>
        <v>0</v>
      </c>
      <c r="AA22" s="47"/>
      <c r="AB22" s="30">
        <f>+Z22+AA22</f>
        <v>0</v>
      </c>
      <c r="AC22" s="47"/>
      <c r="AD22" s="30">
        <f>AB22+AC22</f>
        <v>0</v>
      </c>
      <c r="AE22" s="57">
        <f>AD20/E19</f>
        <v>0</v>
      </c>
    </row>
    <row r="23" spans="1:32" ht="18" customHeight="1">
      <c r="A23" s="138"/>
      <c r="B23" s="99"/>
      <c r="C23" s="99"/>
      <c r="D23" s="109"/>
      <c r="E23" s="109"/>
      <c r="F23" s="105"/>
      <c r="G23" s="3" t="s">
        <v>28</v>
      </c>
      <c r="H23" s="17" t="s">
        <v>28</v>
      </c>
      <c r="I23" s="17" t="s">
        <v>28</v>
      </c>
      <c r="J23" s="18" t="s">
        <v>28</v>
      </c>
      <c r="K23" s="17" t="s">
        <v>28</v>
      </c>
      <c r="L23" s="19" t="s">
        <v>28</v>
      </c>
      <c r="M23" s="17" t="s">
        <v>28</v>
      </c>
      <c r="N23" s="19" t="s">
        <v>28</v>
      </c>
      <c r="O23" s="17" t="s">
        <v>28</v>
      </c>
      <c r="P23" s="19" t="s">
        <v>28</v>
      </c>
      <c r="Q23" s="17" t="s">
        <v>28</v>
      </c>
      <c r="R23" s="19" t="s">
        <v>28</v>
      </c>
      <c r="S23" s="17" t="s">
        <v>28</v>
      </c>
      <c r="T23" s="19" t="s">
        <v>28</v>
      </c>
      <c r="U23" s="17" t="s">
        <v>28</v>
      </c>
      <c r="V23" s="19" t="s">
        <v>28</v>
      </c>
      <c r="W23" s="17" t="s">
        <v>28</v>
      </c>
      <c r="X23" s="19" t="s">
        <v>28</v>
      </c>
      <c r="Y23" s="17" t="s">
        <v>28</v>
      </c>
      <c r="Z23" s="19" t="s">
        <v>28</v>
      </c>
      <c r="AA23" s="17" t="s">
        <v>28</v>
      </c>
      <c r="AB23" s="19" t="s">
        <v>28</v>
      </c>
      <c r="AC23" s="17" t="s">
        <v>28</v>
      </c>
      <c r="AD23" s="19" t="s">
        <v>28</v>
      </c>
      <c r="AE23" s="54"/>
      <c r="AF23" s="52"/>
    </row>
    <row r="24" spans="1:32" ht="18" customHeight="1">
      <c r="A24" s="139"/>
      <c r="B24" s="100"/>
      <c r="C24" s="100"/>
      <c r="D24" s="110"/>
      <c r="E24" s="110"/>
      <c r="F24" s="107"/>
      <c r="G24" s="68">
        <v>1</v>
      </c>
      <c r="H24" s="20">
        <v>1</v>
      </c>
      <c r="I24" s="20">
        <v>1</v>
      </c>
      <c r="J24" s="21">
        <f>I24</f>
        <v>1</v>
      </c>
      <c r="K24" s="20">
        <v>1</v>
      </c>
      <c r="L24" s="21">
        <f>K24</f>
        <v>1</v>
      </c>
      <c r="M24" s="20">
        <v>1</v>
      </c>
      <c r="N24" s="21">
        <f>M24</f>
        <v>1</v>
      </c>
      <c r="O24" s="20">
        <v>1</v>
      </c>
      <c r="P24" s="21">
        <f>O24</f>
        <v>1</v>
      </c>
      <c r="Q24" s="20">
        <v>1</v>
      </c>
      <c r="R24" s="21">
        <f>Q24</f>
        <v>1</v>
      </c>
      <c r="S24" s="20">
        <v>1</v>
      </c>
      <c r="T24" s="21">
        <f>S24</f>
        <v>1</v>
      </c>
      <c r="U24" s="49">
        <v>1</v>
      </c>
      <c r="V24" s="21">
        <f>U24</f>
        <v>1</v>
      </c>
      <c r="W24" s="20">
        <v>1</v>
      </c>
      <c r="X24" s="21">
        <f>W24</f>
        <v>1</v>
      </c>
      <c r="Y24" s="20">
        <v>1</v>
      </c>
      <c r="Z24" s="21">
        <f>Y24</f>
        <v>1</v>
      </c>
      <c r="AA24" s="20">
        <v>1</v>
      </c>
      <c r="AB24" s="21">
        <f>AA24</f>
        <v>1</v>
      </c>
      <c r="AC24" s="20">
        <v>1</v>
      </c>
      <c r="AD24" s="50">
        <v>1</v>
      </c>
      <c r="AE24" s="58"/>
    </row>
    <row r="25" spans="1:32" ht="18" customHeight="1">
      <c r="A25" s="98" t="s">
        <v>34</v>
      </c>
      <c r="B25" s="98" t="s">
        <v>35</v>
      </c>
      <c r="C25" s="98" t="s">
        <v>36</v>
      </c>
      <c r="D25" s="108">
        <v>0.2</v>
      </c>
      <c r="E25" s="115">
        <v>1</v>
      </c>
      <c r="F25" s="104" t="s">
        <v>37</v>
      </c>
      <c r="G25" s="1" t="s">
        <v>25</v>
      </c>
      <c r="H25" s="23" t="s">
        <v>25</v>
      </c>
      <c r="I25" s="23" t="s">
        <v>25</v>
      </c>
      <c r="J25" s="24" t="s">
        <v>25</v>
      </c>
      <c r="K25" s="23" t="s">
        <v>25</v>
      </c>
      <c r="L25" s="25" t="s">
        <v>25</v>
      </c>
      <c r="M25" s="23" t="s">
        <v>25</v>
      </c>
      <c r="N25" s="25" t="s">
        <v>25</v>
      </c>
      <c r="O25" s="23" t="s">
        <v>25</v>
      </c>
      <c r="P25" s="25" t="s">
        <v>25</v>
      </c>
      <c r="Q25" s="23" t="s">
        <v>25</v>
      </c>
      <c r="R25" s="25" t="s">
        <v>25</v>
      </c>
      <c r="S25" s="23" t="s">
        <v>25</v>
      </c>
      <c r="T25" s="25" t="s">
        <v>25</v>
      </c>
      <c r="U25" s="1" t="s">
        <v>25</v>
      </c>
      <c r="V25" s="25" t="s">
        <v>25</v>
      </c>
      <c r="W25" s="1" t="s">
        <v>25</v>
      </c>
      <c r="X25" s="26" t="s">
        <v>25</v>
      </c>
      <c r="Y25" s="1" t="s">
        <v>25</v>
      </c>
      <c r="Z25" s="27" t="s">
        <v>25</v>
      </c>
      <c r="AA25" s="1" t="s">
        <v>25</v>
      </c>
      <c r="AB25" s="27" t="s">
        <v>25</v>
      </c>
      <c r="AC25" s="23" t="s">
        <v>25</v>
      </c>
      <c r="AD25" s="24" t="s">
        <v>25</v>
      </c>
      <c r="AE25" s="60"/>
    </row>
    <row r="26" spans="1:32" ht="18" customHeight="1">
      <c r="A26" s="138"/>
      <c r="B26" s="99"/>
      <c r="C26" s="99"/>
      <c r="D26" s="109"/>
      <c r="E26" s="116"/>
      <c r="F26" s="105"/>
      <c r="G26" s="69">
        <f t="shared" ref="G26:I26" si="6">IF(G28&lt;&gt;0,ROUND(+G28/G30,4),0%)</f>
        <v>1</v>
      </c>
      <c r="H26" s="66">
        <f t="shared" si="6"/>
        <v>0</v>
      </c>
      <c r="I26" s="66">
        <f t="shared" si="6"/>
        <v>0</v>
      </c>
      <c r="J26" s="46">
        <f>IF(J28&lt;&gt;0,ROUND(+J28/J30,4),0%)</f>
        <v>0</v>
      </c>
      <c r="K26" s="66">
        <f t="shared" ref="K26:AC26" si="7">IF(K28&lt;&gt;0,ROUND(+K28/K30,4),0%)</f>
        <v>0</v>
      </c>
      <c r="L26" s="12">
        <f t="shared" si="7"/>
        <v>0</v>
      </c>
      <c r="M26" s="65">
        <f t="shared" si="7"/>
        <v>0.2</v>
      </c>
      <c r="N26" s="12">
        <f t="shared" si="7"/>
        <v>0.2</v>
      </c>
      <c r="O26" s="65">
        <f t="shared" si="7"/>
        <v>0</v>
      </c>
      <c r="P26" s="12">
        <f t="shared" si="7"/>
        <v>0.2</v>
      </c>
      <c r="Q26" s="65">
        <f t="shared" si="7"/>
        <v>0</v>
      </c>
      <c r="R26" s="12">
        <f t="shared" si="7"/>
        <v>0.2</v>
      </c>
      <c r="S26" s="65">
        <f t="shared" si="7"/>
        <v>0</v>
      </c>
      <c r="T26" s="12">
        <f t="shared" si="7"/>
        <v>0.2</v>
      </c>
      <c r="U26" s="65">
        <f t="shared" si="7"/>
        <v>0</v>
      </c>
      <c r="V26" s="12">
        <f t="shared" si="7"/>
        <v>0.2</v>
      </c>
      <c r="W26" s="65">
        <f t="shared" si="7"/>
        <v>0</v>
      </c>
      <c r="X26" s="12">
        <f t="shared" si="7"/>
        <v>0.2</v>
      </c>
      <c r="Y26" s="65">
        <f t="shared" si="7"/>
        <v>0</v>
      </c>
      <c r="Z26" s="12">
        <f t="shared" si="7"/>
        <v>0.2</v>
      </c>
      <c r="AA26" s="65">
        <f t="shared" si="7"/>
        <v>0</v>
      </c>
      <c r="AB26" s="12">
        <f t="shared" si="7"/>
        <v>0.2</v>
      </c>
      <c r="AC26" s="65">
        <f t="shared" si="7"/>
        <v>0</v>
      </c>
      <c r="AD26" s="12">
        <f t="shared" ref="AD26" si="8">IF(AD28&lt;&gt;0,ROUND(+AD28/AD30,4),0%)</f>
        <v>0.2</v>
      </c>
      <c r="AE26" s="61"/>
    </row>
    <row r="27" spans="1:32" ht="18" customHeight="1">
      <c r="A27" s="138"/>
      <c r="B27" s="99"/>
      <c r="C27" s="99"/>
      <c r="D27" s="109"/>
      <c r="E27" s="116"/>
      <c r="F27" s="166"/>
      <c r="G27" s="2" t="s">
        <v>26</v>
      </c>
      <c r="H27" s="2" t="s">
        <v>26</v>
      </c>
      <c r="I27" s="2" t="s">
        <v>26</v>
      </c>
      <c r="J27" s="28" t="s">
        <v>26</v>
      </c>
      <c r="K27" s="2" t="s">
        <v>26</v>
      </c>
      <c r="L27" s="29" t="s">
        <v>26</v>
      </c>
      <c r="M27" s="2" t="s">
        <v>26</v>
      </c>
      <c r="N27" s="29" t="s">
        <v>26</v>
      </c>
      <c r="O27" s="2" t="s">
        <v>26</v>
      </c>
      <c r="P27" s="29" t="s">
        <v>26</v>
      </c>
      <c r="Q27" s="2" t="s">
        <v>26</v>
      </c>
      <c r="R27" s="29" t="s">
        <v>26</v>
      </c>
      <c r="S27" s="2" t="s">
        <v>26</v>
      </c>
      <c r="T27" s="29" t="s">
        <v>26</v>
      </c>
      <c r="U27" s="2" t="s">
        <v>26</v>
      </c>
      <c r="V27" s="29" t="s">
        <v>26</v>
      </c>
      <c r="W27" s="2" t="s">
        <v>26</v>
      </c>
      <c r="X27" s="29" t="s">
        <v>26</v>
      </c>
      <c r="Y27" s="2" t="s">
        <v>26</v>
      </c>
      <c r="Z27" s="29" t="s">
        <v>26</v>
      </c>
      <c r="AA27" s="2" t="s">
        <v>26</v>
      </c>
      <c r="AB27" s="29" t="s">
        <v>26</v>
      </c>
      <c r="AC27" s="2" t="s">
        <v>26</v>
      </c>
      <c r="AD27" s="29" t="s">
        <v>26</v>
      </c>
      <c r="AE27" s="61"/>
    </row>
    <row r="28" spans="1:32" ht="18" customHeight="1">
      <c r="A28" s="138"/>
      <c r="B28" s="99"/>
      <c r="C28" s="99"/>
      <c r="D28" s="109"/>
      <c r="E28" s="116"/>
      <c r="F28" s="104" t="s">
        <v>38</v>
      </c>
      <c r="G28" s="67">
        <v>5</v>
      </c>
      <c r="H28" s="47"/>
      <c r="I28" s="47"/>
      <c r="J28" s="30">
        <f>+H28+I28</f>
        <v>0</v>
      </c>
      <c r="K28" s="47"/>
      <c r="L28" s="30">
        <f>+J28+K28</f>
        <v>0</v>
      </c>
      <c r="M28" s="89">
        <v>1</v>
      </c>
      <c r="N28" s="30">
        <f>+L28+M28</f>
        <v>1</v>
      </c>
      <c r="O28" s="89">
        <v>0</v>
      </c>
      <c r="P28" s="88">
        <f>+N28+O28</f>
        <v>1</v>
      </c>
      <c r="Q28" s="86">
        <v>0</v>
      </c>
      <c r="R28" s="30">
        <f>+P28+Q28</f>
        <v>1</v>
      </c>
      <c r="S28" s="47"/>
      <c r="T28" s="30">
        <f>+R28+S28</f>
        <v>1</v>
      </c>
      <c r="U28" s="48"/>
      <c r="V28" s="30">
        <f>+T28+U28</f>
        <v>1</v>
      </c>
      <c r="W28" s="47"/>
      <c r="X28" s="30">
        <f>+V28+W28</f>
        <v>1</v>
      </c>
      <c r="Y28" s="47"/>
      <c r="Z28" s="30">
        <f>+X28+Y28</f>
        <v>1</v>
      </c>
      <c r="AA28" s="47"/>
      <c r="AB28" s="30">
        <f>+Z28+AA28</f>
        <v>1</v>
      </c>
      <c r="AC28" s="47"/>
      <c r="AD28" s="22">
        <f>+AB28+AC28</f>
        <v>1</v>
      </c>
      <c r="AE28" s="62">
        <f>AD26/E25</f>
        <v>0.2</v>
      </c>
    </row>
    <row r="29" spans="1:32" ht="18" customHeight="1">
      <c r="A29" s="138"/>
      <c r="B29" s="99"/>
      <c r="C29" s="99"/>
      <c r="D29" s="109"/>
      <c r="E29" s="116"/>
      <c r="F29" s="105"/>
      <c r="G29" s="3" t="s">
        <v>28</v>
      </c>
      <c r="H29" s="17" t="s">
        <v>28</v>
      </c>
      <c r="I29" s="17" t="s">
        <v>28</v>
      </c>
      <c r="J29" s="18" t="s">
        <v>28</v>
      </c>
      <c r="K29" s="17" t="s">
        <v>28</v>
      </c>
      <c r="L29" s="19" t="s">
        <v>28</v>
      </c>
      <c r="M29" s="17" t="s">
        <v>28</v>
      </c>
      <c r="N29" s="19" t="s">
        <v>28</v>
      </c>
      <c r="O29" s="17" t="s">
        <v>28</v>
      </c>
      <c r="P29" s="19" t="s">
        <v>28</v>
      </c>
      <c r="Q29" s="17" t="s">
        <v>28</v>
      </c>
      <c r="R29" s="19" t="s">
        <v>28</v>
      </c>
      <c r="S29" s="17" t="s">
        <v>28</v>
      </c>
      <c r="T29" s="19" t="s">
        <v>28</v>
      </c>
      <c r="U29" s="17" t="s">
        <v>28</v>
      </c>
      <c r="V29" s="19" t="s">
        <v>28</v>
      </c>
      <c r="W29" s="17" t="s">
        <v>28</v>
      </c>
      <c r="X29" s="19" t="s">
        <v>28</v>
      </c>
      <c r="Y29" s="17" t="s">
        <v>28</v>
      </c>
      <c r="Z29" s="19" t="s">
        <v>28</v>
      </c>
      <c r="AA29" s="17" t="s">
        <v>28</v>
      </c>
      <c r="AB29" s="19" t="s">
        <v>28</v>
      </c>
      <c r="AC29" s="17" t="s">
        <v>28</v>
      </c>
      <c r="AD29" s="34" t="s">
        <v>28</v>
      </c>
      <c r="AE29" s="61"/>
    </row>
    <row r="30" spans="1:32" ht="18" customHeight="1">
      <c r="A30" s="139"/>
      <c r="B30" s="100"/>
      <c r="C30" s="100"/>
      <c r="D30" s="110"/>
      <c r="E30" s="117"/>
      <c r="F30" s="107"/>
      <c r="G30" s="68">
        <v>5</v>
      </c>
      <c r="H30" s="20">
        <v>5</v>
      </c>
      <c r="I30" s="20">
        <v>5</v>
      </c>
      <c r="J30" s="21">
        <f>I30</f>
        <v>5</v>
      </c>
      <c r="K30" s="20">
        <v>5</v>
      </c>
      <c r="L30" s="21">
        <f>K30</f>
        <v>5</v>
      </c>
      <c r="M30" s="20">
        <v>5</v>
      </c>
      <c r="N30" s="21">
        <f>M30</f>
        <v>5</v>
      </c>
      <c r="O30" s="20">
        <v>5</v>
      </c>
      <c r="P30" s="21">
        <f>O30</f>
        <v>5</v>
      </c>
      <c r="Q30" s="20">
        <v>5</v>
      </c>
      <c r="R30" s="21">
        <f>Q30</f>
        <v>5</v>
      </c>
      <c r="S30" s="20">
        <v>5</v>
      </c>
      <c r="T30" s="21">
        <f>S30</f>
        <v>5</v>
      </c>
      <c r="U30" s="49">
        <v>5</v>
      </c>
      <c r="V30" s="21">
        <f>U30</f>
        <v>5</v>
      </c>
      <c r="W30" s="20">
        <v>5</v>
      </c>
      <c r="X30" s="21">
        <f>W30</f>
        <v>5</v>
      </c>
      <c r="Y30" s="20">
        <v>5</v>
      </c>
      <c r="Z30" s="21">
        <f>Y30</f>
        <v>5</v>
      </c>
      <c r="AA30" s="20">
        <v>5</v>
      </c>
      <c r="AB30" s="21">
        <f>AA30</f>
        <v>5</v>
      </c>
      <c r="AC30" s="20">
        <v>5</v>
      </c>
      <c r="AD30" s="35">
        <f>AC30</f>
        <v>5</v>
      </c>
      <c r="AE30" s="61"/>
    </row>
    <row r="31" spans="1:32" ht="18" customHeight="1">
      <c r="A31" s="98" t="s">
        <v>39</v>
      </c>
      <c r="B31" s="98" t="s">
        <v>40</v>
      </c>
      <c r="C31" s="98" t="s">
        <v>41</v>
      </c>
      <c r="D31" s="108">
        <v>0.15</v>
      </c>
      <c r="E31" s="101">
        <v>1</v>
      </c>
      <c r="F31" s="104" t="s">
        <v>42</v>
      </c>
      <c r="G31" s="1" t="s">
        <v>25</v>
      </c>
      <c r="H31" s="9" t="s">
        <v>25</v>
      </c>
      <c r="I31" s="9" t="s">
        <v>25</v>
      </c>
      <c r="J31" s="11" t="s">
        <v>25</v>
      </c>
      <c r="K31" s="31" t="s">
        <v>25</v>
      </c>
      <c r="L31" s="11" t="s">
        <v>25</v>
      </c>
      <c r="M31" s="31" t="s">
        <v>25</v>
      </c>
      <c r="N31" s="11" t="s">
        <v>25</v>
      </c>
      <c r="O31" s="31" t="s">
        <v>25</v>
      </c>
      <c r="P31" s="11" t="s">
        <v>25</v>
      </c>
      <c r="Q31" s="31" t="s">
        <v>25</v>
      </c>
      <c r="R31" s="11" t="s">
        <v>25</v>
      </c>
      <c r="S31" s="31" t="s">
        <v>25</v>
      </c>
      <c r="T31" s="11" t="s">
        <v>25</v>
      </c>
      <c r="U31" s="31" t="s">
        <v>25</v>
      </c>
      <c r="V31" s="11" t="s">
        <v>25</v>
      </c>
      <c r="W31" s="9" t="s">
        <v>25</v>
      </c>
      <c r="X31" s="11" t="s">
        <v>25</v>
      </c>
      <c r="Y31" s="9" t="s">
        <v>25</v>
      </c>
      <c r="Z31" s="11" t="s">
        <v>25</v>
      </c>
      <c r="AA31" s="9" t="s">
        <v>25</v>
      </c>
      <c r="AB31" s="11" t="s">
        <v>25</v>
      </c>
      <c r="AC31" s="9" t="s">
        <v>25</v>
      </c>
      <c r="AD31" s="11" t="s">
        <v>25</v>
      </c>
      <c r="AE31" s="59"/>
    </row>
    <row r="32" spans="1:32" ht="18" customHeight="1">
      <c r="A32" s="138"/>
      <c r="B32" s="99"/>
      <c r="C32" s="99"/>
      <c r="D32" s="109"/>
      <c r="E32" s="102"/>
      <c r="F32" s="105"/>
      <c r="G32" s="69">
        <f t="shared" ref="G32:I32" si="9">IF(G34&lt;&gt;0,ROUND(+G34/G36,4),0%)</f>
        <v>1</v>
      </c>
      <c r="H32" s="66">
        <f t="shared" si="9"/>
        <v>0</v>
      </c>
      <c r="I32" s="66">
        <f t="shared" si="9"/>
        <v>0</v>
      </c>
      <c r="J32" s="46">
        <f>IF(J34&lt;&gt;0,ROUND(+J34/J36,4),0%)</f>
        <v>0</v>
      </c>
      <c r="K32" s="66">
        <f t="shared" ref="K32:AC32" si="10">IF(K34&lt;&gt;0,ROUND(+K34/K36,4),0%)</f>
        <v>0</v>
      </c>
      <c r="L32" s="12">
        <f t="shared" si="10"/>
        <v>0</v>
      </c>
      <c r="M32" s="65">
        <f t="shared" si="10"/>
        <v>0</v>
      </c>
      <c r="N32" s="12">
        <f t="shared" si="10"/>
        <v>0</v>
      </c>
      <c r="O32" s="65">
        <f t="shared" si="10"/>
        <v>0.25</v>
      </c>
      <c r="P32" s="12">
        <f t="shared" si="10"/>
        <v>0.25</v>
      </c>
      <c r="Q32" s="65">
        <f t="shared" si="10"/>
        <v>0.25</v>
      </c>
      <c r="R32" s="12">
        <f t="shared" si="10"/>
        <v>0.5</v>
      </c>
      <c r="S32" s="65">
        <f t="shared" si="10"/>
        <v>0</v>
      </c>
      <c r="T32" s="12">
        <f t="shared" si="10"/>
        <v>0.5</v>
      </c>
      <c r="U32" s="65">
        <f t="shared" si="10"/>
        <v>0</v>
      </c>
      <c r="V32" s="12">
        <f t="shared" si="10"/>
        <v>0.5</v>
      </c>
      <c r="W32" s="65">
        <f t="shared" si="10"/>
        <v>0</v>
      </c>
      <c r="X32" s="12">
        <f t="shared" si="10"/>
        <v>0.5</v>
      </c>
      <c r="Y32" s="65">
        <f t="shared" si="10"/>
        <v>0</v>
      </c>
      <c r="Z32" s="12">
        <f t="shared" si="10"/>
        <v>0.5</v>
      </c>
      <c r="AA32" s="65">
        <f t="shared" si="10"/>
        <v>0</v>
      </c>
      <c r="AB32" s="12">
        <f t="shared" si="10"/>
        <v>0.5</v>
      </c>
      <c r="AC32" s="65">
        <f t="shared" si="10"/>
        <v>0</v>
      </c>
      <c r="AD32" s="12">
        <f t="shared" ref="AD32" si="11">IF(AD34&lt;&gt;0,ROUND(+AD34/AD36,4),0%)</f>
        <v>0.5</v>
      </c>
      <c r="AE32" s="13"/>
    </row>
    <row r="33" spans="1:31" ht="18" customHeight="1">
      <c r="A33" s="138"/>
      <c r="B33" s="99"/>
      <c r="C33" s="99"/>
      <c r="D33" s="109"/>
      <c r="E33" s="102"/>
      <c r="F33" s="105"/>
      <c r="G33" s="2" t="s">
        <v>26</v>
      </c>
      <c r="H33" s="14" t="s">
        <v>26</v>
      </c>
      <c r="I33" s="14"/>
      <c r="J33" s="16" t="s">
        <v>26</v>
      </c>
      <c r="K33" s="32" t="s">
        <v>26</v>
      </c>
      <c r="L33" s="16" t="s">
        <v>26</v>
      </c>
      <c r="M33" s="32" t="s">
        <v>26</v>
      </c>
      <c r="N33" s="16" t="s">
        <v>26</v>
      </c>
      <c r="O33" s="32" t="s">
        <v>26</v>
      </c>
      <c r="P33" s="16" t="s">
        <v>26</v>
      </c>
      <c r="Q33" s="32" t="s">
        <v>26</v>
      </c>
      <c r="R33" s="16" t="s">
        <v>26</v>
      </c>
      <c r="S33" s="32" t="s">
        <v>26</v>
      </c>
      <c r="T33" s="16" t="s">
        <v>26</v>
      </c>
      <c r="U33" s="32" t="s">
        <v>26</v>
      </c>
      <c r="V33" s="16" t="s">
        <v>26</v>
      </c>
      <c r="W33" s="33" t="s">
        <v>26</v>
      </c>
      <c r="X33" s="16" t="s">
        <v>26</v>
      </c>
      <c r="Y33" s="14" t="s">
        <v>26</v>
      </c>
      <c r="Z33" s="16" t="s">
        <v>26</v>
      </c>
      <c r="AA33" s="14" t="s">
        <v>26</v>
      </c>
      <c r="AB33" s="16" t="s">
        <v>26</v>
      </c>
      <c r="AC33" s="14" t="s">
        <v>26</v>
      </c>
      <c r="AD33" s="16" t="s">
        <v>26</v>
      </c>
      <c r="AE33" s="63"/>
    </row>
    <row r="34" spans="1:31" ht="18" customHeight="1">
      <c r="A34" s="138"/>
      <c r="B34" s="99"/>
      <c r="C34" s="99"/>
      <c r="D34" s="109"/>
      <c r="E34" s="102"/>
      <c r="F34" s="98" t="s">
        <v>43</v>
      </c>
      <c r="G34" s="67">
        <v>4</v>
      </c>
      <c r="H34" s="47"/>
      <c r="I34" s="47"/>
      <c r="J34" s="30">
        <f>+H34+I34</f>
        <v>0</v>
      </c>
      <c r="K34" s="47"/>
      <c r="L34" s="30">
        <f>+J34+K34</f>
        <v>0</v>
      </c>
      <c r="M34" s="89">
        <v>0</v>
      </c>
      <c r="N34" s="30">
        <f>+L34+M34</f>
        <v>0</v>
      </c>
      <c r="O34" s="89">
        <v>1</v>
      </c>
      <c r="P34" s="90">
        <f>+N34+O34</f>
        <v>1</v>
      </c>
      <c r="Q34" s="86">
        <v>1</v>
      </c>
      <c r="R34" s="30">
        <f>+P34+Q34</f>
        <v>2</v>
      </c>
      <c r="S34" s="47"/>
      <c r="T34" s="30">
        <f>+R34+S34</f>
        <v>2</v>
      </c>
      <c r="U34" s="48"/>
      <c r="V34" s="30">
        <f>+T34+U34</f>
        <v>2</v>
      </c>
      <c r="W34" s="47"/>
      <c r="X34" s="30">
        <f>+V34+W34</f>
        <v>2</v>
      </c>
      <c r="Y34" s="47"/>
      <c r="Z34" s="30">
        <f>+X34+Y34</f>
        <v>2</v>
      </c>
      <c r="AA34" s="47"/>
      <c r="AB34" s="30">
        <f>+Z34+AA34</f>
        <v>2</v>
      </c>
      <c r="AC34" s="47"/>
      <c r="AD34" s="38">
        <f>+AB34+AC34</f>
        <v>2</v>
      </c>
      <c r="AE34" s="57">
        <f>AD32/E31</f>
        <v>0.5</v>
      </c>
    </row>
    <row r="35" spans="1:31" ht="18" customHeight="1">
      <c r="A35" s="138"/>
      <c r="B35" s="99"/>
      <c r="C35" s="99"/>
      <c r="D35" s="109"/>
      <c r="E35" s="102"/>
      <c r="F35" s="99"/>
      <c r="G35" s="3" t="s">
        <v>28</v>
      </c>
      <c r="H35" s="17" t="s">
        <v>28</v>
      </c>
      <c r="I35" s="17" t="s">
        <v>28</v>
      </c>
      <c r="J35" s="18" t="s">
        <v>28</v>
      </c>
      <c r="K35" s="17" t="s">
        <v>28</v>
      </c>
      <c r="L35" s="19" t="s">
        <v>28</v>
      </c>
      <c r="M35" s="17" t="s">
        <v>28</v>
      </c>
      <c r="N35" s="19" t="s">
        <v>28</v>
      </c>
      <c r="O35" s="17" t="s">
        <v>28</v>
      </c>
      <c r="P35" s="19" t="s">
        <v>28</v>
      </c>
      <c r="Q35" s="17" t="s">
        <v>28</v>
      </c>
      <c r="R35" s="19" t="s">
        <v>28</v>
      </c>
      <c r="S35" s="17" t="s">
        <v>28</v>
      </c>
      <c r="T35" s="19" t="s">
        <v>28</v>
      </c>
      <c r="U35" s="17" t="s">
        <v>28</v>
      </c>
      <c r="V35" s="19" t="s">
        <v>28</v>
      </c>
      <c r="W35" s="17" t="s">
        <v>28</v>
      </c>
      <c r="X35" s="19" t="s">
        <v>28</v>
      </c>
      <c r="Y35" s="17" t="s">
        <v>28</v>
      </c>
      <c r="Z35" s="19" t="s">
        <v>28</v>
      </c>
      <c r="AA35" s="17" t="s">
        <v>28</v>
      </c>
      <c r="AB35" s="19" t="s">
        <v>28</v>
      </c>
      <c r="AC35" s="17" t="s">
        <v>28</v>
      </c>
      <c r="AD35" s="39" t="s">
        <v>28</v>
      </c>
      <c r="AE35" s="94"/>
    </row>
    <row r="36" spans="1:31" ht="18" customHeight="1">
      <c r="A36" s="139"/>
      <c r="B36" s="100"/>
      <c r="C36" s="100"/>
      <c r="D36" s="110"/>
      <c r="E36" s="103"/>
      <c r="F36" s="99"/>
      <c r="G36" s="68">
        <v>4</v>
      </c>
      <c r="H36" s="20">
        <v>4</v>
      </c>
      <c r="I36" s="20">
        <v>4</v>
      </c>
      <c r="J36" s="21">
        <f>I36</f>
        <v>4</v>
      </c>
      <c r="K36" s="20">
        <v>4</v>
      </c>
      <c r="L36" s="21">
        <f>K36</f>
        <v>4</v>
      </c>
      <c r="M36" s="20">
        <v>4</v>
      </c>
      <c r="N36" s="21">
        <f>M36</f>
        <v>4</v>
      </c>
      <c r="O36" s="20">
        <v>4</v>
      </c>
      <c r="P36" s="21">
        <f>O36</f>
        <v>4</v>
      </c>
      <c r="Q36" s="20">
        <v>4</v>
      </c>
      <c r="R36" s="21">
        <f>Q36</f>
        <v>4</v>
      </c>
      <c r="S36" s="20">
        <v>4</v>
      </c>
      <c r="T36" s="21">
        <f>S36</f>
        <v>4</v>
      </c>
      <c r="U36" s="49">
        <v>4</v>
      </c>
      <c r="V36" s="21">
        <f>U36</f>
        <v>4</v>
      </c>
      <c r="W36" s="20">
        <v>4</v>
      </c>
      <c r="X36" s="21">
        <f>W36</f>
        <v>4</v>
      </c>
      <c r="Y36" s="20">
        <v>4</v>
      </c>
      <c r="Z36" s="21">
        <f>Y36</f>
        <v>4</v>
      </c>
      <c r="AA36" s="20">
        <v>4</v>
      </c>
      <c r="AB36" s="21">
        <f>AA36</f>
        <v>4</v>
      </c>
      <c r="AC36" s="20">
        <v>4</v>
      </c>
      <c r="AD36" s="40">
        <f>AC36</f>
        <v>4</v>
      </c>
      <c r="AE36" s="121"/>
    </row>
    <row r="37" spans="1:31" ht="19.899999999999999" customHeight="1">
      <c r="A37" s="98" t="s">
        <v>44</v>
      </c>
      <c r="B37" s="98" t="s">
        <v>45</v>
      </c>
      <c r="C37" s="98" t="s">
        <v>46</v>
      </c>
      <c r="D37" s="108">
        <v>0.15</v>
      </c>
      <c r="E37" s="101">
        <v>1</v>
      </c>
      <c r="F37" s="98" t="s">
        <v>47</v>
      </c>
      <c r="G37" s="1" t="s">
        <v>25</v>
      </c>
      <c r="H37" s="9" t="s">
        <v>25</v>
      </c>
      <c r="I37" s="9" t="s">
        <v>25</v>
      </c>
      <c r="J37" s="10" t="s">
        <v>25</v>
      </c>
      <c r="K37" s="31" t="s">
        <v>25</v>
      </c>
      <c r="L37" s="11" t="s">
        <v>25</v>
      </c>
      <c r="M37" s="31" t="s">
        <v>25</v>
      </c>
      <c r="N37" s="11" t="s">
        <v>25</v>
      </c>
      <c r="O37" s="31" t="s">
        <v>25</v>
      </c>
      <c r="P37" s="11" t="s">
        <v>25</v>
      </c>
      <c r="Q37" s="31" t="s">
        <v>25</v>
      </c>
      <c r="R37" s="11" t="s">
        <v>25</v>
      </c>
      <c r="S37" s="31" t="s">
        <v>25</v>
      </c>
      <c r="T37" s="11" t="s">
        <v>25</v>
      </c>
      <c r="U37" s="31" t="s">
        <v>25</v>
      </c>
      <c r="V37" s="11" t="s">
        <v>25</v>
      </c>
      <c r="W37" s="9" t="s">
        <v>25</v>
      </c>
      <c r="X37" s="11" t="s">
        <v>25</v>
      </c>
      <c r="Y37" s="9" t="s">
        <v>25</v>
      </c>
      <c r="Z37" s="11" t="s">
        <v>25</v>
      </c>
      <c r="AA37" s="9" t="s">
        <v>25</v>
      </c>
      <c r="AB37" s="11" t="s">
        <v>25</v>
      </c>
      <c r="AC37" s="9" t="s">
        <v>25</v>
      </c>
      <c r="AD37" s="36" t="s">
        <v>25</v>
      </c>
      <c r="AE37" s="59"/>
    </row>
    <row r="38" spans="1:31" ht="19.899999999999999" customHeight="1">
      <c r="A38" s="138"/>
      <c r="B38" s="99"/>
      <c r="C38" s="99"/>
      <c r="D38" s="109"/>
      <c r="E38" s="102"/>
      <c r="F38" s="99"/>
      <c r="G38" s="69">
        <f t="shared" ref="G38:I38" si="12">IF(G40&lt;&gt;0,ROUND(+G40/G42,4),0%)</f>
        <v>1</v>
      </c>
      <c r="H38" s="66">
        <f t="shared" si="12"/>
        <v>0</v>
      </c>
      <c r="I38" s="66">
        <f t="shared" si="12"/>
        <v>0</v>
      </c>
      <c r="J38" s="46">
        <f>IF(J40&lt;&gt;0,ROUND(+J40/J42,4),0%)</f>
        <v>0</v>
      </c>
      <c r="K38" s="66">
        <f t="shared" ref="K38:AC38" si="13">IF(K40&lt;&gt;0,ROUND(+K40/K42,4),0%)</f>
        <v>0</v>
      </c>
      <c r="L38" s="12">
        <f t="shared" si="13"/>
        <v>0</v>
      </c>
      <c r="M38" s="65">
        <f t="shared" si="13"/>
        <v>0</v>
      </c>
      <c r="N38" s="12">
        <f t="shared" si="13"/>
        <v>0</v>
      </c>
      <c r="O38" s="65">
        <f t="shared" si="13"/>
        <v>0</v>
      </c>
      <c r="P38" s="12">
        <f t="shared" si="13"/>
        <v>0</v>
      </c>
      <c r="Q38" s="65">
        <f t="shared" si="13"/>
        <v>0.5</v>
      </c>
      <c r="R38" s="12">
        <f t="shared" si="13"/>
        <v>0.5</v>
      </c>
      <c r="S38" s="65">
        <f t="shared" si="13"/>
        <v>0</v>
      </c>
      <c r="T38" s="12">
        <f t="shared" si="13"/>
        <v>0.5</v>
      </c>
      <c r="U38" s="65">
        <f t="shared" si="13"/>
        <v>0</v>
      </c>
      <c r="V38" s="12">
        <f t="shared" si="13"/>
        <v>0.5</v>
      </c>
      <c r="W38" s="65">
        <f t="shared" si="13"/>
        <v>0</v>
      </c>
      <c r="X38" s="12">
        <f t="shared" si="13"/>
        <v>0.5</v>
      </c>
      <c r="Y38" s="65">
        <f t="shared" si="13"/>
        <v>0</v>
      </c>
      <c r="Z38" s="12">
        <f t="shared" si="13"/>
        <v>0.5</v>
      </c>
      <c r="AA38" s="65">
        <f t="shared" si="13"/>
        <v>0</v>
      </c>
      <c r="AB38" s="12">
        <f t="shared" si="13"/>
        <v>0.5</v>
      </c>
      <c r="AC38" s="65">
        <f t="shared" si="13"/>
        <v>0</v>
      </c>
      <c r="AD38" s="12">
        <f t="shared" ref="AD38" si="14">IF(AD40&lt;&gt;0,ROUND(+AD40/AD42,4),0%)</f>
        <v>0.5</v>
      </c>
      <c r="AE38" s="13"/>
    </row>
    <row r="39" spans="1:31" ht="19.899999999999999" customHeight="1">
      <c r="A39" s="138"/>
      <c r="B39" s="99"/>
      <c r="C39" s="99"/>
      <c r="D39" s="109"/>
      <c r="E39" s="102"/>
      <c r="F39" s="99"/>
      <c r="G39" s="2" t="s">
        <v>26</v>
      </c>
      <c r="H39" s="14" t="s">
        <v>26</v>
      </c>
      <c r="I39" s="14"/>
      <c r="J39" s="15" t="s">
        <v>26</v>
      </c>
      <c r="K39" s="32" t="s">
        <v>26</v>
      </c>
      <c r="L39" s="16" t="s">
        <v>26</v>
      </c>
      <c r="M39" s="32" t="s">
        <v>26</v>
      </c>
      <c r="N39" s="16" t="s">
        <v>26</v>
      </c>
      <c r="O39" s="32" t="s">
        <v>26</v>
      </c>
      <c r="P39" s="16" t="s">
        <v>26</v>
      </c>
      <c r="Q39" s="32" t="s">
        <v>26</v>
      </c>
      <c r="R39" s="16" t="s">
        <v>26</v>
      </c>
      <c r="S39" s="32" t="s">
        <v>26</v>
      </c>
      <c r="T39" s="16" t="s">
        <v>26</v>
      </c>
      <c r="U39" s="32" t="s">
        <v>26</v>
      </c>
      <c r="V39" s="16" t="s">
        <v>26</v>
      </c>
      <c r="W39" s="33" t="s">
        <v>26</v>
      </c>
      <c r="X39" s="16" t="s">
        <v>26</v>
      </c>
      <c r="Y39" s="14" t="s">
        <v>26</v>
      </c>
      <c r="Z39" s="16" t="s">
        <v>26</v>
      </c>
      <c r="AA39" s="14" t="s">
        <v>26</v>
      </c>
      <c r="AB39" s="16" t="s">
        <v>26</v>
      </c>
      <c r="AC39" s="14" t="s">
        <v>26</v>
      </c>
      <c r="AD39" s="37" t="s">
        <v>26</v>
      </c>
      <c r="AE39" s="63"/>
    </row>
    <row r="40" spans="1:31" ht="19.899999999999999" customHeight="1">
      <c r="A40" s="138"/>
      <c r="B40" s="99"/>
      <c r="C40" s="99"/>
      <c r="D40" s="109"/>
      <c r="E40" s="102"/>
      <c r="F40" s="98" t="s">
        <v>48</v>
      </c>
      <c r="G40" s="67">
        <v>2</v>
      </c>
      <c r="H40" s="47"/>
      <c r="I40" s="47"/>
      <c r="J40" s="30">
        <f>+H40+I40</f>
        <v>0</v>
      </c>
      <c r="K40" s="47"/>
      <c r="L40" s="30">
        <f>+J40+K40</f>
        <v>0</v>
      </c>
      <c r="M40" s="89">
        <v>0</v>
      </c>
      <c r="N40" s="30">
        <f>+L40+M40</f>
        <v>0</v>
      </c>
      <c r="O40" s="89">
        <v>0</v>
      </c>
      <c r="P40" s="90">
        <f>+N40+O40</f>
        <v>0</v>
      </c>
      <c r="Q40" s="86">
        <v>1</v>
      </c>
      <c r="R40" s="30">
        <f>+P40+Q40</f>
        <v>1</v>
      </c>
      <c r="S40" s="47"/>
      <c r="T40" s="30">
        <f>+R40+S40</f>
        <v>1</v>
      </c>
      <c r="U40" s="48"/>
      <c r="V40" s="30">
        <f>+T40+U40</f>
        <v>1</v>
      </c>
      <c r="W40" s="47"/>
      <c r="X40" s="30">
        <f>+V40+W40</f>
        <v>1</v>
      </c>
      <c r="Y40" s="47"/>
      <c r="Z40" s="30">
        <f>+X40+Y40</f>
        <v>1</v>
      </c>
      <c r="AA40" s="47"/>
      <c r="AB40" s="30">
        <f>+Z40+AA40</f>
        <v>1</v>
      </c>
      <c r="AC40" s="47"/>
      <c r="AD40" s="38">
        <f>+AB40+AC40</f>
        <v>1</v>
      </c>
      <c r="AE40" s="57">
        <f>AD38/E37</f>
        <v>0.5</v>
      </c>
    </row>
    <row r="41" spans="1:31" ht="19.899999999999999" customHeight="1">
      <c r="A41" s="138"/>
      <c r="B41" s="99"/>
      <c r="C41" s="99"/>
      <c r="D41" s="109"/>
      <c r="E41" s="102"/>
      <c r="F41" s="99"/>
      <c r="G41" s="3" t="s">
        <v>28</v>
      </c>
      <c r="H41" s="17" t="s">
        <v>28</v>
      </c>
      <c r="I41" s="17" t="s">
        <v>28</v>
      </c>
      <c r="J41" s="18" t="s">
        <v>28</v>
      </c>
      <c r="K41" s="17" t="s">
        <v>28</v>
      </c>
      <c r="L41" s="19" t="s">
        <v>28</v>
      </c>
      <c r="M41" s="17" t="s">
        <v>28</v>
      </c>
      <c r="N41" s="19" t="s">
        <v>28</v>
      </c>
      <c r="O41" s="17" t="s">
        <v>28</v>
      </c>
      <c r="P41" s="19" t="s">
        <v>28</v>
      </c>
      <c r="Q41" s="17" t="s">
        <v>28</v>
      </c>
      <c r="R41" s="19" t="s">
        <v>28</v>
      </c>
      <c r="S41" s="17" t="s">
        <v>28</v>
      </c>
      <c r="T41" s="19" t="s">
        <v>28</v>
      </c>
      <c r="U41" s="17" t="s">
        <v>28</v>
      </c>
      <c r="V41" s="19" t="s">
        <v>28</v>
      </c>
      <c r="W41" s="17" t="s">
        <v>28</v>
      </c>
      <c r="X41" s="19" t="s">
        <v>28</v>
      </c>
      <c r="Y41" s="17" t="s">
        <v>28</v>
      </c>
      <c r="Z41" s="19" t="s">
        <v>28</v>
      </c>
      <c r="AA41" s="17" t="s">
        <v>28</v>
      </c>
      <c r="AB41" s="19" t="s">
        <v>28</v>
      </c>
      <c r="AC41" s="17" t="s">
        <v>28</v>
      </c>
      <c r="AD41" s="39" t="s">
        <v>28</v>
      </c>
      <c r="AE41" s="94"/>
    </row>
    <row r="42" spans="1:31" ht="19.899999999999999" customHeight="1">
      <c r="A42" s="139"/>
      <c r="B42" s="100"/>
      <c r="C42" s="100"/>
      <c r="D42" s="110"/>
      <c r="E42" s="103"/>
      <c r="F42" s="99"/>
      <c r="G42" s="68">
        <v>2</v>
      </c>
      <c r="H42" s="20">
        <v>2</v>
      </c>
      <c r="I42" s="20">
        <v>2</v>
      </c>
      <c r="J42" s="21">
        <f>I42</f>
        <v>2</v>
      </c>
      <c r="K42" s="20">
        <v>2</v>
      </c>
      <c r="L42" s="21">
        <f>K42</f>
        <v>2</v>
      </c>
      <c r="M42" s="20">
        <v>2</v>
      </c>
      <c r="N42" s="21">
        <f>M42</f>
        <v>2</v>
      </c>
      <c r="O42" s="20">
        <v>2</v>
      </c>
      <c r="P42" s="21">
        <f>O42</f>
        <v>2</v>
      </c>
      <c r="Q42" s="20">
        <v>2</v>
      </c>
      <c r="R42" s="21">
        <f>Q42</f>
        <v>2</v>
      </c>
      <c r="S42" s="20">
        <v>2</v>
      </c>
      <c r="T42" s="21">
        <f>S42</f>
        <v>2</v>
      </c>
      <c r="U42" s="49">
        <v>2</v>
      </c>
      <c r="V42" s="21">
        <f>U42</f>
        <v>2</v>
      </c>
      <c r="W42" s="20">
        <v>2</v>
      </c>
      <c r="X42" s="21">
        <f>W42</f>
        <v>2</v>
      </c>
      <c r="Y42" s="20">
        <v>2</v>
      </c>
      <c r="Z42" s="21">
        <f>Y42</f>
        <v>2</v>
      </c>
      <c r="AA42" s="20">
        <v>2</v>
      </c>
      <c r="AB42" s="21">
        <f>AA42</f>
        <v>2</v>
      </c>
      <c r="AC42" s="20">
        <v>2</v>
      </c>
      <c r="AD42" s="40">
        <f>AC42</f>
        <v>2</v>
      </c>
      <c r="AE42" s="121"/>
    </row>
    <row r="43" spans="1:31" ht="19.899999999999999" customHeight="1">
      <c r="A43" s="98" t="s">
        <v>49</v>
      </c>
      <c r="B43" s="95" t="s">
        <v>50</v>
      </c>
      <c r="C43" s="98" t="s">
        <v>51</v>
      </c>
      <c r="D43" s="108">
        <v>0.1</v>
      </c>
      <c r="E43" s="115">
        <v>1</v>
      </c>
      <c r="F43" s="104" t="s">
        <v>52</v>
      </c>
      <c r="G43" s="1" t="s">
        <v>25</v>
      </c>
      <c r="H43" s="9" t="s">
        <v>25</v>
      </c>
      <c r="I43" s="9" t="s">
        <v>25</v>
      </c>
      <c r="J43" s="10" t="s">
        <v>25</v>
      </c>
      <c r="K43" s="31" t="s">
        <v>25</v>
      </c>
      <c r="L43" s="11" t="s">
        <v>25</v>
      </c>
      <c r="M43" s="31" t="s">
        <v>25</v>
      </c>
      <c r="N43" s="11" t="s">
        <v>25</v>
      </c>
      <c r="O43" s="31" t="s">
        <v>25</v>
      </c>
      <c r="P43" s="11" t="s">
        <v>25</v>
      </c>
      <c r="Q43" s="31" t="s">
        <v>25</v>
      </c>
      <c r="R43" s="11" t="s">
        <v>25</v>
      </c>
      <c r="S43" s="31" t="s">
        <v>25</v>
      </c>
      <c r="T43" s="11" t="s">
        <v>25</v>
      </c>
      <c r="U43" s="31" t="s">
        <v>25</v>
      </c>
      <c r="V43" s="11" t="s">
        <v>25</v>
      </c>
      <c r="W43" s="9" t="s">
        <v>25</v>
      </c>
      <c r="X43" s="11" t="s">
        <v>25</v>
      </c>
      <c r="Y43" s="9" t="s">
        <v>25</v>
      </c>
      <c r="Z43" s="11" t="s">
        <v>25</v>
      </c>
      <c r="AA43" s="9" t="s">
        <v>25</v>
      </c>
      <c r="AB43" s="11" t="s">
        <v>25</v>
      </c>
      <c r="AC43" s="9" t="s">
        <v>25</v>
      </c>
      <c r="AD43" s="36" t="s">
        <v>25</v>
      </c>
      <c r="AE43" s="59"/>
    </row>
    <row r="44" spans="1:31" ht="19.899999999999999" customHeight="1">
      <c r="A44" s="138"/>
      <c r="B44" s="96"/>
      <c r="C44" s="99"/>
      <c r="D44" s="109"/>
      <c r="E44" s="116"/>
      <c r="F44" s="105"/>
      <c r="G44" s="69">
        <f t="shared" ref="G44:I44" si="15">IF(G46&lt;&gt;0,ROUND(+G46/G48,4),0%)</f>
        <v>1</v>
      </c>
      <c r="H44" s="66">
        <f t="shared" si="15"/>
        <v>0.66669999999999996</v>
      </c>
      <c r="I44" s="66">
        <f t="shared" si="15"/>
        <v>0</v>
      </c>
      <c r="J44" s="46">
        <f>IF(J46&lt;&gt;0,ROUND(+J46/J48,4),0%)</f>
        <v>0.66669999999999996</v>
      </c>
      <c r="K44" s="66">
        <f t="shared" ref="K44:AC44" si="16">IF(K46&lt;&gt;0,ROUND(+K46/K48,4),0%)</f>
        <v>0</v>
      </c>
      <c r="L44" s="12">
        <f t="shared" si="16"/>
        <v>0.66669999999999996</v>
      </c>
      <c r="M44" s="65">
        <f t="shared" si="16"/>
        <v>0</v>
      </c>
      <c r="N44" s="12">
        <f t="shared" si="16"/>
        <v>0.66669999999999996</v>
      </c>
      <c r="O44" s="65">
        <f t="shared" si="16"/>
        <v>0</v>
      </c>
      <c r="P44" s="12">
        <f t="shared" si="16"/>
        <v>0.66669999999999996</v>
      </c>
      <c r="Q44" s="65">
        <f t="shared" si="16"/>
        <v>0</v>
      </c>
      <c r="R44" s="12">
        <f t="shared" si="16"/>
        <v>0.66669999999999996</v>
      </c>
      <c r="S44" s="65">
        <f t="shared" si="16"/>
        <v>0</v>
      </c>
      <c r="T44" s="12">
        <f t="shared" si="16"/>
        <v>0.66669999999999996</v>
      </c>
      <c r="U44" s="65">
        <f t="shared" si="16"/>
        <v>0</v>
      </c>
      <c r="V44" s="12">
        <f t="shared" si="16"/>
        <v>0.66669999999999996</v>
      </c>
      <c r="W44" s="65">
        <f t="shared" si="16"/>
        <v>0</v>
      </c>
      <c r="X44" s="12">
        <f t="shared" si="16"/>
        <v>0.66669999999999996</v>
      </c>
      <c r="Y44" s="65">
        <f t="shared" si="16"/>
        <v>0</v>
      </c>
      <c r="Z44" s="12">
        <f t="shared" si="16"/>
        <v>0.66669999999999996</v>
      </c>
      <c r="AA44" s="65">
        <f t="shared" si="16"/>
        <v>0</v>
      </c>
      <c r="AB44" s="12">
        <f t="shared" si="16"/>
        <v>0.66669999999999996</v>
      </c>
      <c r="AC44" s="65">
        <f t="shared" si="16"/>
        <v>0</v>
      </c>
      <c r="AD44" s="12">
        <f t="shared" ref="AD44" si="17">IF(AD46&lt;&gt;0,ROUND(+AD46/AD48,4),0%)</f>
        <v>0.66669999999999996</v>
      </c>
      <c r="AE44" s="13"/>
    </row>
    <row r="45" spans="1:31" ht="19.899999999999999" customHeight="1">
      <c r="A45" s="138"/>
      <c r="B45" s="96"/>
      <c r="C45" s="99"/>
      <c r="D45" s="109"/>
      <c r="E45" s="116"/>
      <c r="F45" s="105"/>
      <c r="G45" s="2" t="s">
        <v>26</v>
      </c>
      <c r="H45" s="14" t="s">
        <v>26</v>
      </c>
      <c r="I45" s="14"/>
      <c r="J45" s="15" t="s">
        <v>26</v>
      </c>
      <c r="K45" s="32" t="s">
        <v>26</v>
      </c>
      <c r="L45" s="16" t="s">
        <v>26</v>
      </c>
      <c r="M45" s="32" t="s">
        <v>26</v>
      </c>
      <c r="N45" s="16" t="s">
        <v>26</v>
      </c>
      <c r="O45" s="32" t="s">
        <v>26</v>
      </c>
      <c r="P45" s="16" t="s">
        <v>26</v>
      </c>
      <c r="Q45" s="32" t="s">
        <v>26</v>
      </c>
      <c r="R45" s="16" t="s">
        <v>26</v>
      </c>
      <c r="S45" s="32" t="s">
        <v>26</v>
      </c>
      <c r="T45" s="16" t="s">
        <v>26</v>
      </c>
      <c r="U45" s="32" t="s">
        <v>26</v>
      </c>
      <c r="V45" s="16" t="s">
        <v>26</v>
      </c>
      <c r="W45" s="33" t="s">
        <v>26</v>
      </c>
      <c r="X45" s="16" t="s">
        <v>26</v>
      </c>
      <c r="Y45" s="14" t="s">
        <v>26</v>
      </c>
      <c r="Z45" s="16" t="s">
        <v>26</v>
      </c>
      <c r="AA45" s="14" t="s">
        <v>26</v>
      </c>
      <c r="AB45" s="16" t="s">
        <v>26</v>
      </c>
      <c r="AC45" s="14" t="s">
        <v>26</v>
      </c>
      <c r="AD45" s="16" t="s">
        <v>26</v>
      </c>
      <c r="AE45" s="63"/>
    </row>
    <row r="46" spans="1:31" ht="19.899999999999999" customHeight="1">
      <c r="A46" s="138"/>
      <c r="B46" s="96"/>
      <c r="C46" s="99"/>
      <c r="D46" s="109"/>
      <c r="E46" s="116"/>
      <c r="F46" s="106" t="s">
        <v>53</v>
      </c>
      <c r="G46" s="67">
        <v>3</v>
      </c>
      <c r="H46" s="87">
        <v>2</v>
      </c>
      <c r="I46" s="47"/>
      <c r="J46" s="30">
        <f>+H46+I46</f>
        <v>2</v>
      </c>
      <c r="K46" s="47"/>
      <c r="L46" s="30">
        <f>+J46+K46</f>
        <v>2</v>
      </c>
      <c r="M46" s="89">
        <v>0</v>
      </c>
      <c r="N46" s="30">
        <f>+L46+M46</f>
        <v>2</v>
      </c>
      <c r="O46" s="47">
        <v>0</v>
      </c>
      <c r="P46" s="90">
        <f>+N46+O46</f>
        <v>2</v>
      </c>
      <c r="Q46" s="86">
        <v>0</v>
      </c>
      <c r="R46" s="30">
        <f>+P46+Q46</f>
        <v>2</v>
      </c>
      <c r="S46" s="47"/>
      <c r="T46" s="30">
        <f>+R46+S46</f>
        <v>2</v>
      </c>
      <c r="U46" s="48"/>
      <c r="V46" s="30">
        <f>+T46+U46</f>
        <v>2</v>
      </c>
      <c r="W46" s="47"/>
      <c r="X46" s="30">
        <f>+V46+W46</f>
        <v>2</v>
      </c>
      <c r="Y46" s="47"/>
      <c r="Z46" s="30">
        <f>+X46+Y46</f>
        <v>2</v>
      </c>
      <c r="AA46" s="47"/>
      <c r="AB46" s="30">
        <f>+Z46+AA46</f>
        <v>2</v>
      </c>
      <c r="AC46" s="47"/>
      <c r="AD46" s="38">
        <f>+AB46+AC46</f>
        <v>2</v>
      </c>
      <c r="AE46" s="57">
        <f>AD44/E43</f>
        <v>0.66669999999999996</v>
      </c>
    </row>
    <row r="47" spans="1:31" ht="19.899999999999999" customHeight="1">
      <c r="A47" s="138"/>
      <c r="B47" s="96"/>
      <c r="C47" s="99"/>
      <c r="D47" s="109"/>
      <c r="E47" s="116"/>
      <c r="F47" s="105"/>
      <c r="G47" s="3" t="s">
        <v>28</v>
      </c>
      <c r="H47" s="17" t="s">
        <v>28</v>
      </c>
      <c r="I47" s="17" t="s">
        <v>28</v>
      </c>
      <c r="J47" s="18" t="s">
        <v>28</v>
      </c>
      <c r="K47" s="17" t="s">
        <v>28</v>
      </c>
      <c r="L47" s="19" t="s">
        <v>28</v>
      </c>
      <c r="M47" s="17" t="s">
        <v>28</v>
      </c>
      <c r="N47" s="19" t="s">
        <v>28</v>
      </c>
      <c r="O47" s="17" t="s">
        <v>28</v>
      </c>
      <c r="P47" s="19" t="s">
        <v>28</v>
      </c>
      <c r="Q47" s="17" t="s">
        <v>28</v>
      </c>
      <c r="R47" s="19" t="s">
        <v>28</v>
      </c>
      <c r="S47" s="17" t="s">
        <v>28</v>
      </c>
      <c r="T47" s="19" t="s">
        <v>28</v>
      </c>
      <c r="U47" s="17" t="s">
        <v>28</v>
      </c>
      <c r="V47" s="19" t="s">
        <v>28</v>
      </c>
      <c r="W47" s="17" t="s">
        <v>28</v>
      </c>
      <c r="X47" s="19" t="s">
        <v>28</v>
      </c>
      <c r="Y47" s="17" t="s">
        <v>28</v>
      </c>
      <c r="Z47" s="19" t="s">
        <v>28</v>
      </c>
      <c r="AA47" s="17" t="s">
        <v>28</v>
      </c>
      <c r="AB47" s="19" t="s">
        <v>28</v>
      </c>
      <c r="AC47" s="17" t="s">
        <v>28</v>
      </c>
      <c r="AD47" s="39" t="s">
        <v>28</v>
      </c>
      <c r="AE47" s="94"/>
    </row>
    <row r="48" spans="1:31" ht="19.899999999999999" customHeight="1">
      <c r="A48" s="139"/>
      <c r="B48" s="97"/>
      <c r="C48" s="100"/>
      <c r="D48" s="110"/>
      <c r="E48" s="117"/>
      <c r="F48" s="107"/>
      <c r="G48" s="68">
        <v>3</v>
      </c>
      <c r="H48" s="20">
        <v>3</v>
      </c>
      <c r="I48" s="20">
        <v>3</v>
      </c>
      <c r="J48" s="21">
        <f>I48</f>
        <v>3</v>
      </c>
      <c r="K48" s="20">
        <v>3</v>
      </c>
      <c r="L48" s="21">
        <f>K48</f>
        <v>3</v>
      </c>
      <c r="M48" s="20">
        <v>3</v>
      </c>
      <c r="N48" s="21">
        <f>M48</f>
        <v>3</v>
      </c>
      <c r="O48" s="20">
        <v>3</v>
      </c>
      <c r="P48" s="21">
        <f>O48</f>
        <v>3</v>
      </c>
      <c r="Q48" s="20">
        <v>3</v>
      </c>
      <c r="R48" s="21">
        <f>Q48</f>
        <v>3</v>
      </c>
      <c r="S48" s="20">
        <v>3</v>
      </c>
      <c r="T48" s="21">
        <f>S48</f>
        <v>3</v>
      </c>
      <c r="U48" s="49">
        <v>3</v>
      </c>
      <c r="V48" s="21">
        <f>U48</f>
        <v>3</v>
      </c>
      <c r="W48" s="20">
        <v>3</v>
      </c>
      <c r="X48" s="21">
        <f>W48</f>
        <v>3</v>
      </c>
      <c r="Y48" s="20">
        <v>3</v>
      </c>
      <c r="Z48" s="21">
        <f>Y48</f>
        <v>3</v>
      </c>
      <c r="AA48" s="20">
        <v>3</v>
      </c>
      <c r="AB48" s="21">
        <f>AA48</f>
        <v>3</v>
      </c>
      <c r="AC48" s="20">
        <v>3</v>
      </c>
      <c r="AD48" s="40">
        <f>AC48</f>
        <v>3</v>
      </c>
      <c r="AE48" s="121"/>
    </row>
    <row r="49" spans="1:31" ht="19.899999999999999" customHeight="1">
      <c r="A49" s="98" t="s">
        <v>54</v>
      </c>
      <c r="B49" s="95" t="s">
        <v>55</v>
      </c>
      <c r="C49" s="98" t="s">
        <v>56</v>
      </c>
      <c r="D49" s="108">
        <v>0.1</v>
      </c>
      <c r="E49" s="101">
        <v>1</v>
      </c>
      <c r="F49" s="104" t="s">
        <v>57</v>
      </c>
      <c r="G49" s="1" t="s">
        <v>25</v>
      </c>
      <c r="H49" s="9" t="s">
        <v>25</v>
      </c>
      <c r="I49" s="9" t="s">
        <v>25</v>
      </c>
      <c r="J49" s="10" t="s">
        <v>25</v>
      </c>
      <c r="K49" s="31" t="s">
        <v>25</v>
      </c>
      <c r="L49" s="11" t="s">
        <v>25</v>
      </c>
      <c r="M49" s="31" t="s">
        <v>25</v>
      </c>
      <c r="N49" s="11" t="s">
        <v>25</v>
      </c>
      <c r="O49" s="31" t="s">
        <v>25</v>
      </c>
      <c r="P49" s="11" t="s">
        <v>25</v>
      </c>
      <c r="Q49" s="31" t="s">
        <v>25</v>
      </c>
      <c r="R49" s="11" t="s">
        <v>25</v>
      </c>
      <c r="S49" s="31" t="s">
        <v>25</v>
      </c>
      <c r="T49" s="11" t="s">
        <v>25</v>
      </c>
      <c r="U49" s="31" t="s">
        <v>25</v>
      </c>
      <c r="V49" s="11" t="s">
        <v>25</v>
      </c>
      <c r="W49" s="9" t="s">
        <v>25</v>
      </c>
      <c r="X49" s="11" t="s">
        <v>25</v>
      </c>
      <c r="Y49" s="9" t="s">
        <v>25</v>
      </c>
      <c r="Z49" s="11" t="s">
        <v>25</v>
      </c>
      <c r="AA49" s="9" t="s">
        <v>25</v>
      </c>
      <c r="AB49" s="11" t="s">
        <v>25</v>
      </c>
      <c r="AC49" s="9" t="s">
        <v>25</v>
      </c>
      <c r="AD49" s="36" t="s">
        <v>25</v>
      </c>
      <c r="AE49" s="59"/>
    </row>
    <row r="50" spans="1:31" ht="19.899999999999999" customHeight="1">
      <c r="A50" s="138"/>
      <c r="B50" s="96"/>
      <c r="C50" s="99"/>
      <c r="D50" s="109"/>
      <c r="E50" s="102"/>
      <c r="F50" s="105"/>
      <c r="G50" s="69">
        <f t="shared" ref="G50:I50" si="18">IF(G52&lt;&gt;0,ROUND(+G52/G54,4),0%)</f>
        <v>1</v>
      </c>
      <c r="H50" s="66">
        <f t="shared" si="18"/>
        <v>0</v>
      </c>
      <c r="I50" s="66">
        <f t="shared" si="18"/>
        <v>0</v>
      </c>
      <c r="J50" s="46">
        <f>IF(J52&lt;&gt;0,ROUND(+J52/J54,4),0%)</f>
        <v>0</v>
      </c>
      <c r="K50" s="66">
        <f t="shared" ref="K50:AC50" si="19">IF(K52&lt;&gt;0,ROUND(+K52/K54,4),0%)</f>
        <v>0</v>
      </c>
      <c r="L50" s="12">
        <f t="shared" si="19"/>
        <v>0</v>
      </c>
      <c r="M50" s="65">
        <f t="shared" si="19"/>
        <v>0</v>
      </c>
      <c r="N50" s="12">
        <f t="shared" si="19"/>
        <v>0</v>
      </c>
      <c r="O50" s="65">
        <f t="shared" si="19"/>
        <v>0.5</v>
      </c>
      <c r="P50" s="12">
        <f t="shared" si="19"/>
        <v>0.5</v>
      </c>
      <c r="Q50" s="65">
        <f t="shared" si="19"/>
        <v>0</v>
      </c>
      <c r="R50" s="12">
        <f t="shared" si="19"/>
        <v>0.5</v>
      </c>
      <c r="S50" s="65">
        <f t="shared" si="19"/>
        <v>0</v>
      </c>
      <c r="T50" s="12">
        <f t="shared" si="19"/>
        <v>0.5</v>
      </c>
      <c r="U50" s="65">
        <f t="shared" si="19"/>
        <v>0</v>
      </c>
      <c r="V50" s="12">
        <f t="shared" si="19"/>
        <v>0.5</v>
      </c>
      <c r="W50" s="65">
        <f t="shared" si="19"/>
        <v>0</v>
      </c>
      <c r="X50" s="12">
        <f t="shared" si="19"/>
        <v>0.5</v>
      </c>
      <c r="Y50" s="65">
        <f t="shared" si="19"/>
        <v>0</v>
      </c>
      <c r="Z50" s="12">
        <f t="shared" si="19"/>
        <v>0.5</v>
      </c>
      <c r="AA50" s="65">
        <f t="shared" si="19"/>
        <v>0</v>
      </c>
      <c r="AB50" s="12">
        <f t="shared" si="19"/>
        <v>0.5</v>
      </c>
      <c r="AC50" s="65">
        <f t="shared" si="19"/>
        <v>0</v>
      </c>
      <c r="AD50" s="12">
        <f t="shared" ref="AD50" si="20">IF(AD52&lt;&gt;0,ROUND(+AD52/AD54,4),0%)</f>
        <v>0.5</v>
      </c>
      <c r="AE50" s="13"/>
    </row>
    <row r="51" spans="1:31" ht="19.899999999999999" customHeight="1">
      <c r="A51" s="138"/>
      <c r="B51" s="96"/>
      <c r="C51" s="99"/>
      <c r="D51" s="109"/>
      <c r="E51" s="102"/>
      <c r="F51" s="105"/>
      <c r="G51" s="2" t="s">
        <v>26</v>
      </c>
      <c r="H51" s="14" t="s">
        <v>26</v>
      </c>
      <c r="I51" s="14"/>
      <c r="J51" s="15" t="s">
        <v>26</v>
      </c>
      <c r="K51" s="32" t="s">
        <v>26</v>
      </c>
      <c r="L51" s="16" t="s">
        <v>26</v>
      </c>
      <c r="M51" s="32" t="s">
        <v>26</v>
      </c>
      <c r="N51" s="16" t="s">
        <v>26</v>
      </c>
      <c r="O51" s="32" t="s">
        <v>26</v>
      </c>
      <c r="P51" s="16" t="s">
        <v>26</v>
      </c>
      <c r="Q51" s="32" t="s">
        <v>26</v>
      </c>
      <c r="R51" s="16" t="s">
        <v>26</v>
      </c>
      <c r="S51" s="32" t="s">
        <v>26</v>
      </c>
      <c r="T51" s="16" t="s">
        <v>26</v>
      </c>
      <c r="U51" s="32" t="s">
        <v>26</v>
      </c>
      <c r="V51" s="16" t="s">
        <v>26</v>
      </c>
      <c r="W51" s="33" t="s">
        <v>26</v>
      </c>
      <c r="X51" s="16" t="s">
        <v>26</v>
      </c>
      <c r="Y51" s="14" t="s">
        <v>26</v>
      </c>
      <c r="Z51" s="16" t="s">
        <v>26</v>
      </c>
      <c r="AA51" s="14" t="s">
        <v>26</v>
      </c>
      <c r="AB51" s="16" t="s">
        <v>26</v>
      </c>
      <c r="AC51" s="14" t="s">
        <v>26</v>
      </c>
      <c r="AD51" s="16" t="s">
        <v>26</v>
      </c>
      <c r="AE51" s="63"/>
    </row>
    <row r="52" spans="1:31" ht="19.899999999999999" customHeight="1">
      <c r="A52" s="138"/>
      <c r="B52" s="96"/>
      <c r="C52" s="99"/>
      <c r="D52" s="109"/>
      <c r="E52" s="102"/>
      <c r="F52" s="106" t="s">
        <v>58</v>
      </c>
      <c r="G52" s="67">
        <v>2</v>
      </c>
      <c r="H52" s="47"/>
      <c r="I52" s="47"/>
      <c r="J52" s="30">
        <f>+H52+I52</f>
        <v>0</v>
      </c>
      <c r="K52" s="47"/>
      <c r="L52" s="30">
        <f>+J52+K52</f>
        <v>0</v>
      </c>
      <c r="M52" s="89">
        <v>0</v>
      </c>
      <c r="N52" s="30">
        <f>+L52+M52</f>
        <v>0</v>
      </c>
      <c r="O52" s="89">
        <v>1</v>
      </c>
      <c r="P52" s="90">
        <f>+N52+O52</f>
        <v>1</v>
      </c>
      <c r="Q52" s="86">
        <v>0</v>
      </c>
      <c r="R52" s="30">
        <f>+P52+Q52</f>
        <v>1</v>
      </c>
      <c r="S52" s="47"/>
      <c r="T52" s="30">
        <f>+R52+S52</f>
        <v>1</v>
      </c>
      <c r="U52" s="48"/>
      <c r="V52" s="30">
        <f>+T52+U52</f>
        <v>1</v>
      </c>
      <c r="W52" s="47"/>
      <c r="X52" s="30">
        <f>+V52+W52</f>
        <v>1</v>
      </c>
      <c r="Y52" s="47"/>
      <c r="Z52" s="30">
        <f>+X52+Y52</f>
        <v>1</v>
      </c>
      <c r="AA52" s="47"/>
      <c r="AB52" s="30">
        <f>+Z52+AA52</f>
        <v>1</v>
      </c>
      <c r="AC52" s="47"/>
      <c r="AD52" s="38">
        <f>+AB52+AC52</f>
        <v>1</v>
      </c>
      <c r="AE52" s="57">
        <f>AD50/E49</f>
        <v>0.5</v>
      </c>
    </row>
    <row r="53" spans="1:31" ht="19.899999999999999" customHeight="1">
      <c r="A53" s="138"/>
      <c r="B53" s="96"/>
      <c r="C53" s="99"/>
      <c r="D53" s="109"/>
      <c r="E53" s="102"/>
      <c r="F53" s="105"/>
      <c r="G53" s="3" t="s">
        <v>28</v>
      </c>
      <c r="H53" s="17" t="s">
        <v>28</v>
      </c>
      <c r="I53" s="17" t="s">
        <v>28</v>
      </c>
      <c r="J53" s="18" t="s">
        <v>28</v>
      </c>
      <c r="K53" s="17" t="s">
        <v>28</v>
      </c>
      <c r="L53" s="19" t="s">
        <v>28</v>
      </c>
      <c r="M53" s="17" t="s">
        <v>28</v>
      </c>
      <c r="N53" s="19" t="s">
        <v>28</v>
      </c>
      <c r="O53" s="17" t="s">
        <v>28</v>
      </c>
      <c r="P53" s="19" t="s">
        <v>28</v>
      </c>
      <c r="Q53" s="17" t="s">
        <v>28</v>
      </c>
      <c r="R53" s="19" t="s">
        <v>28</v>
      </c>
      <c r="S53" s="17" t="s">
        <v>28</v>
      </c>
      <c r="T53" s="19" t="s">
        <v>28</v>
      </c>
      <c r="U53" s="17" t="s">
        <v>28</v>
      </c>
      <c r="V53" s="19" t="s">
        <v>28</v>
      </c>
      <c r="W53" s="17" t="s">
        <v>28</v>
      </c>
      <c r="X53" s="19" t="s">
        <v>28</v>
      </c>
      <c r="Y53" s="17" t="s">
        <v>28</v>
      </c>
      <c r="Z53" s="19" t="s">
        <v>28</v>
      </c>
      <c r="AA53" s="17" t="s">
        <v>28</v>
      </c>
      <c r="AB53" s="19" t="s">
        <v>28</v>
      </c>
      <c r="AC53" s="17" t="s">
        <v>28</v>
      </c>
      <c r="AD53" s="39" t="s">
        <v>28</v>
      </c>
      <c r="AE53" s="94"/>
    </row>
    <row r="54" spans="1:31" ht="19.899999999999999" customHeight="1">
      <c r="A54" s="139"/>
      <c r="B54" s="97"/>
      <c r="C54" s="100"/>
      <c r="D54" s="110"/>
      <c r="E54" s="103"/>
      <c r="F54" s="107"/>
      <c r="G54" s="68">
        <v>2</v>
      </c>
      <c r="H54" s="20">
        <v>2</v>
      </c>
      <c r="I54" s="20">
        <v>2</v>
      </c>
      <c r="J54" s="21">
        <f>I54</f>
        <v>2</v>
      </c>
      <c r="K54" s="20">
        <v>2</v>
      </c>
      <c r="L54" s="21">
        <f>K54</f>
        <v>2</v>
      </c>
      <c r="M54" s="20">
        <v>2</v>
      </c>
      <c r="N54" s="21">
        <f>M54</f>
        <v>2</v>
      </c>
      <c r="O54" s="20">
        <v>2</v>
      </c>
      <c r="P54" s="21">
        <f>O54</f>
        <v>2</v>
      </c>
      <c r="Q54" s="20">
        <v>2</v>
      </c>
      <c r="R54" s="21">
        <f>Q54</f>
        <v>2</v>
      </c>
      <c r="S54" s="20">
        <v>2</v>
      </c>
      <c r="T54" s="21">
        <f>S54</f>
        <v>2</v>
      </c>
      <c r="U54" s="49">
        <v>2</v>
      </c>
      <c r="V54" s="21">
        <f>U54</f>
        <v>2</v>
      </c>
      <c r="W54" s="20">
        <v>2</v>
      </c>
      <c r="X54" s="21">
        <f>W54</f>
        <v>2</v>
      </c>
      <c r="Y54" s="20">
        <v>2</v>
      </c>
      <c r="Z54" s="21">
        <f>Y54</f>
        <v>2</v>
      </c>
      <c r="AA54" s="20">
        <v>2</v>
      </c>
      <c r="AB54" s="21">
        <f>AA54</f>
        <v>2</v>
      </c>
      <c r="AC54" s="20">
        <v>2</v>
      </c>
      <c r="AD54" s="40">
        <f>AC54</f>
        <v>2</v>
      </c>
      <c r="AE54" s="94"/>
    </row>
    <row r="55" spans="1:31">
      <c r="AE55" s="64"/>
    </row>
  </sheetData>
  <mergeCells count="95">
    <mergeCell ref="A37:A42"/>
    <mergeCell ref="A43:A48"/>
    <mergeCell ref="A49:A54"/>
    <mergeCell ref="D13:D18"/>
    <mergeCell ref="D19:D24"/>
    <mergeCell ref="D25:D30"/>
    <mergeCell ref="D31:D36"/>
    <mergeCell ref="A11:A12"/>
    <mergeCell ref="A13:A18"/>
    <mergeCell ref="A19:A24"/>
    <mergeCell ref="E31:E36"/>
    <mergeCell ref="B31:B36"/>
    <mergeCell ref="C31:C36"/>
    <mergeCell ref="A25:A30"/>
    <mergeCell ref="A31:A36"/>
    <mergeCell ref="D11:D12"/>
    <mergeCell ref="F31:F33"/>
    <mergeCell ref="B25:B30"/>
    <mergeCell ref="C25:C30"/>
    <mergeCell ref="F25:F27"/>
    <mergeCell ref="F28:F30"/>
    <mergeCell ref="E25:E30"/>
    <mergeCell ref="B37:B42"/>
    <mergeCell ref="C37:C42"/>
    <mergeCell ref="F37:F39"/>
    <mergeCell ref="F40:F42"/>
    <mergeCell ref="E37:E42"/>
    <mergeCell ref="D37:D42"/>
    <mergeCell ref="G6:L6"/>
    <mergeCell ref="B8:F8"/>
    <mergeCell ref="B9:F9"/>
    <mergeCell ref="B1:B5"/>
    <mergeCell ref="C1:F5"/>
    <mergeCell ref="C6:F6"/>
    <mergeCell ref="G1:L1"/>
    <mergeCell ref="G2:L2"/>
    <mergeCell ref="G3:L3"/>
    <mergeCell ref="G4:L4"/>
    <mergeCell ref="G5:L5"/>
    <mergeCell ref="V11:V12"/>
    <mergeCell ref="W11:W12"/>
    <mergeCell ref="C19:C24"/>
    <mergeCell ref="F19:F21"/>
    <mergeCell ref="B11:B12"/>
    <mergeCell ref="C11:C12"/>
    <mergeCell ref="E11:E12"/>
    <mergeCell ref="F11:F12"/>
    <mergeCell ref="E19:E24"/>
    <mergeCell ref="B13:B18"/>
    <mergeCell ref="C13:C18"/>
    <mergeCell ref="F13:F15"/>
    <mergeCell ref="F16:F18"/>
    <mergeCell ref="E13:E18"/>
    <mergeCell ref="F22:F24"/>
    <mergeCell ref="B19:B24"/>
    <mergeCell ref="Q11:Q12"/>
    <mergeCell ref="R11:R12"/>
    <mergeCell ref="S11:S12"/>
    <mergeCell ref="AE41:AE42"/>
    <mergeCell ref="F34:F36"/>
    <mergeCell ref="H11:H12"/>
    <mergeCell ref="I11:I12"/>
    <mergeCell ref="J11:J12"/>
    <mergeCell ref="T11:T12"/>
    <mergeCell ref="AA11:AA12"/>
    <mergeCell ref="AB11:AB12"/>
    <mergeCell ref="AC11:AC12"/>
    <mergeCell ref="AD11:AD12"/>
    <mergeCell ref="U11:U12"/>
    <mergeCell ref="G11:G12"/>
    <mergeCell ref="P11:P12"/>
    <mergeCell ref="X11:X12"/>
    <mergeCell ref="AE11:AE12"/>
    <mergeCell ref="AE35:AE36"/>
    <mergeCell ref="AE47:AE48"/>
    <mergeCell ref="Z11:Z12"/>
    <mergeCell ref="Y11:Y12"/>
    <mergeCell ref="B43:B48"/>
    <mergeCell ref="C43:C48"/>
    <mergeCell ref="E43:E48"/>
    <mergeCell ref="F43:F45"/>
    <mergeCell ref="F46:F48"/>
    <mergeCell ref="D43:D48"/>
    <mergeCell ref="K11:K12"/>
    <mergeCell ref="L11:L12"/>
    <mergeCell ref="M11:M12"/>
    <mergeCell ref="N11:N12"/>
    <mergeCell ref="O11:O12"/>
    <mergeCell ref="AE53:AE54"/>
    <mergeCell ref="B49:B54"/>
    <mergeCell ref="C49:C54"/>
    <mergeCell ref="E49:E54"/>
    <mergeCell ref="F49:F51"/>
    <mergeCell ref="F52:F54"/>
    <mergeCell ref="D49:D54"/>
  </mergeCells>
  <pageMargins left="0.70866141732283472" right="0.70866141732283472" top="0.74803149606299213" bottom="0.74803149606299213" header="0.31496062992125984" footer="0.31496062992125984"/>
  <pageSetup paperSize="120" scale="30" orientation="landscape" horizontalDpi="1200" verticalDpi="12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D65B-62BB-4469-9810-39A79269519C}">
  <dimension ref="A1:AF55"/>
  <sheetViews>
    <sheetView tabSelected="1" topLeftCell="A42" workbookViewId="0">
      <selection activeCell="A10" sqref="A1:XFD10"/>
    </sheetView>
  </sheetViews>
  <sheetFormatPr defaultColWidth="11.42578125" defaultRowHeight="12.75" customHeight="1"/>
  <cols>
    <col min="1" max="1" width="18.7109375" style="4" customWidth="1"/>
    <col min="2" max="4" width="25.7109375" style="4" customWidth="1"/>
    <col min="5" max="5" width="9.42578125" style="4" customWidth="1"/>
    <col min="6" max="6" width="28.140625" style="4" customWidth="1"/>
    <col min="7" max="7" width="13.42578125" style="4" customWidth="1"/>
    <col min="8" max="30" width="11.42578125" style="4"/>
    <col min="31" max="31" width="12.7109375" style="4" customWidth="1"/>
    <col min="32" max="16384" width="11.42578125" style="4"/>
  </cols>
  <sheetData>
    <row r="1" spans="1:32" ht="15.75" customHeight="1">
      <c r="B1" s="148"/>
      <c r="C1" s="151" t="s">
        <v>0</v>
      </c>
      <c r="D1" s="152"/>
      <c r="E1" s="152"/>
      <c r="F1" s="153"/>
      <c r="G1" s="151" t="s">
        <v>1</v>
      </c>
      <c r="H1" s="152"/>
      <c r="I1" s="152"/>
      <c r="J1" s="152"/>
      <c r="K1" s="152"/>
      <c r="L1" s="153"/>
    </row>
    <row r="2" spans="1:32" ht="15.75" customHeight="1">
      <c r="B2" s="149"/>
      <c r="C2" s="154"/>
      <c r="D2" s="155"/>
      <c r="E2" s="155"/>
      <c r="F2" s="156"/>
      <c r="G2" s="154" t="s">
        <v>2</v>
      </c>
      <c r="H2" s="155"/>
      <c r="I2" s="155"/>
      <c r="J2" s="155"/>
      <c r="K2" s="155"/>
      <c r="L2" s="156"/>
    </row>
    <row r="3" spans="1:32" ht="15.75" customHeight="1">
      <c r="B3" s="149"/>
      <c r="C3" s="154"/>
      <c r="D3" s="155"/>
      <c r="E3" s="155"/>
      <c r="F3" s="156"/>
      <c r="G3" s="154" t="s">
        <v>3</v>
      </c>
      <c r="H3" s="155"/>
      <c r="I3" s="155"/>
      <c r="J3" s="155"/>
      <c r="K3" s="155"/>
      <c r="L3" s="156"/>
    </row>
    <row r="4" spans="1:32">
      <c r="B4" s="149"/>
      <c r="C4" s="154"/>
      <c r="D4" s="155"/>
      <c r="E4" s="155"/>
      <c r="F4" s="156"/>
      <c r="G4" s="160"/>
      <c r="H4" s="161"/>
      <c r="I4" s="161"/>
      <c r="J4" s="161"/>
      <c r="K4" s="161"/>
      <c r="L4" s="162"/>
    </row>
    <row r="5" spans="1:32" ht="13.5" customHeight="1">
      <c r="B5" s="150"/>
      <c r="C5" s="157"/>
      <c r="D5" s="158"/>
      <c r="E5" s="158"/>
      <c r="F5" s="159"/>
      <c r="G5" s="163" t="s">
        <v>59</v>
      </c>
      <c r="H5" s="164"/>
      <c r="I5" s="164"/>
      <c r="J5" s="164"/>
      <c r="K5" s="164"/>
      <c r="L5" s="165"/>
    </row>
    <row r="6" spans="1:32" ht="13.5">
      <c r="B6" s="5" t="s">
        <v>5</v>
      </c>
      <c r="C6" s="144" t="s">
        <v>6</v>
      </c>
      <c r="D6" s="145"/>
      <c r="E6" s="145"/>
      <c r="F6" s="146"/>
      <c r="G6" s="144" t="s">
        <v>7</v>
      </c>
      <c r="H6" s="145"/>
      <c r="I6" s="145"/>
      <c r="J6" s="145"/>
      <c r="K6" s="145"/>
      <c r="L6" s="146"/>
    </row>
    <row r="7" spans="1:32" ht="20.100000000000001" customHeight="1">
      <c r="B7" s="8" t="s">
        <v>60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32" ht="20.100000000000001" customHeight="1">
      <c r="B8" s="147" t="s">
        <v>8</v>
      </c>
      <c r="C8" s="147"/>
      <c r="D8" s="147"/>
      <c r="E8" s="147"/>
      <c r="F8" s="147"/>
    </row>
    <row r="9" spans="1:32" ht="20.100000000000001" customHeight="1">
      <c r="B9" s="147" t="s">
        <v>9</v>
      </c>
      <c r="C9" s="147"/>
      <c r="D9" s="147"/>
      <c r="E9" s="147"/>
      <c r="F9" s="147"/>
      <c r="G9" s="41"/>
      <c r="H9" s="42"/>
      <c r="I9" s="43"/>
      <c r="J9" s="44"/>
      <c r="P9" s="45"/>
      <c r="Q9" s="45"/>
      <c r="R9" s="45"/>
      <c r="S9" s="45"/>
      <c r="T9" s="45"/>
      <c r="U9" s="45"/>
      <c r="V9" s="45"/>
      <c r="W9" s="45"/>
    </row>
    <row r="10" spans="1:32" ht="20.100000000000001" customHeight="1">
      <c r="B10" s="84" t="s">
        <v>10</v>
      </c>
      <c r="C10" s="85"/>
      <c r="D10" s="85"/>
      <c r="E10" s="85"/>
    </row>
    <row r="11" spans="1:32" ht="24.95" customHeight="1">
      <c r="A11" s="118" t="s">
        <v>11</v>
      </c>
      <c r="B11" s="118" t="s">
        <v>12</v>
      </c>
      <c r="C11" s="118" t="s">
        <v>13</v>
      </c>
      <c r="D11" s="133" t="s">
        <v>14</v>
      </c>
      <c r="E11" s="133" t="s">
        <v>15</v>
      </c>
      <c r="F11" s="118" t="s">
        <v>16</v>
      </c>
      <c r="G11" s="118" t="s">
        <v>17</v>
      </c>
      <c r="H11" s="122">
        <v>45870</v>
      </c>
      <c r="I11" s="122">
        <v>45901</v>
      </c>
      <c r="J11" s="129" t="s">
        <v>18</v>
      </c>
      <c r="K11" s="111">
        <v>45931</v>
      </c>
      <c r="L11" s="113" t="s">
        <v>18</v>
      </c>
      <c r="M11" s="111">
        <v>45962</v>
      </c>
      <c r="N11" s="113" t="s">
        <v>18</v>
      </c>
      <c r="O11" s="111">
        <v>45992</v>
      </c>
      <c r="P11" s="136" t="s">
        <v>18</v>
      </c>
      <c r="Q11" s="167">
        <v>46023</v>
      </c>
      <c r="R11" s="113" t="s">
        <v>18</v>
      </c>
      <c r="S11" s="127">
        <v>46054</v>
      </c>
      <c r="T11" s="118" t="s">
        <v>18</v>
      </c>
      <c r="U11" s="127">
        <v>46082</v>
      </c>
      <c r="V11" s="113" t="s">
        <v>18</v>
      </c>
      <c r="W11" s="122">
        <v>46113</v>
      </c>
      <c r="X11" s="118" t="s">
        <v>18</v>
      </c>
      <c r="Y11" s="122">
        <v>46143</v>
      </c>
      <c r="Z11" s="118" t="s">
        <v>18</v>
      </c>
      <c r="AA11" s="131">
        <v>46174</v>
      </c>
      <c r="AB11" s="118" t="s">
        <v>18</v>
      </c>
      <c r="AC11" s="122">
        <v>46204</v>
      </c>
      <c r="AD11" s="133" t="s">
        <v>19</v>
      </c>
      <c r="AE11" s="118" t="s">
        <v>20</v>
      </c>
    </row>
    <row r="12" spans="1:32" ht="24.95" customHeight="1">
      <c r="A12" s="120"/>
      <c r="B12" s="120"/>
      <c r="C12" s="120"/>
      <c r="D12" s="134"/>
      <c r="E12" s="134"/>
      <c r="F12" s="120"/>
      <c r="G12" s="135"/>
      <c r="H12" s="120"/>
      <c r="I12" s="120"/>
      <c r="J12" s="130"/>
      <c r="K12" s="112"/>
      <c r="L12" s="112"/>
      <c r="M12" s="112"/>
      <c r="N12" s="114"/>
      <c r="O12" s="112"/>
      <c r="P12" s="137"/>
      <c r="Q12" s="137"/>
      <c r="R12" s="114"/>
      <c r="S12" s="128"/>
      <c r="T12" s="120"/>
      <c r="U12" s="128"/>
      <c r="V12" s="112"/>
      <c r="W12" s="119"/>
      <c r="X12" s="119"/>
      <c r="Y12" s="119"/>
      <c r="Z12" s="119"/>
      <c r="AA12" s="132"/>
      <c r="AB12" s="119"/>
      <c r="AC12" s="120"/>
      <c r="AD12" s="134"/>
      <c r="AE12" s="120"/>
    </row>
    <row r="13" spans="1:32" ht="18" customHeight="1">
      <c r="A13" s="98" t="s">
        <v>21</v>
      </c>
      <c r="B13" s="98" t="s">
        <v>22</v>
      </c>
      <c r="C13" s="98" t="s">
        <v>23</v>
      </c>
      <c r="D13" s="108">
        <v>0.15</v>
      </c>
      <c r="E13" s="108">
        <v>1</v>
      </c>
      <c r="F13" s="140" t="s">
        <v>24</v>
      </c>
      <c r="G13" s="1" t="s">
        <v>25</v>
      </c>
      <c r="H13" s="9" t="s">
        <v>25</v>
      </c>
      <c r="I13" s="9" t="s">
        <v>25</v>
      </c>
      <c r="J13" s="10" t="s">
        <v>25</v>
      </c>
      <c r="K13" s="9" t="s">
        <v>25</v>
      </c>
      <c r="L13" s="11" t="s">
        <v>25</v>
      </c>
      <c r="M13" s="9" t="s">
        <v>25</v>
      </c>
      <c r="N13" s="11" t="s">
        <v>25</v>
      </c>
      <c r="O13" s="9" t="s">
        <v>25</v>
      </c>
      <c r="P13" s="11" t="s">
        <v>25</v>
      </c>
      <c r="Q13" s="9" t="s">
        <v>25</v>
      </c>
      <c r="R13" s="11" t="s">
        <v>25</v>
      </c>
      <c r="S13" s="9" t="s">
        <v>25</v>
      </c>
      <c r="T13" s="11" t="s">
        <v>25</v>
      </c>
      <c r="U13" s="9" t="s">
        <v>25</v>
      </c>
      <c r="V13" s="11" t="s">
        <v>25</v>
      </c>
      <c r="W13" s="9" t="s">
        <v>25</v>
      </c>
      <c r="X13" s="11" t="s">
        <v>25</v>
      </c>
      <c r="Y13" s="9" t="s">
        <v>25</v>
      </c>
      <c r="Z13" s="11" t="s">
        <v>25</v>
      </c>
      <c r="AA13" s="9" t="s">
        <v>25</v>
      </c>
      <c r="AB13" s="11" t="s">
        <v>25</v>
      </c>
      <c r="AC13" s="9" t="s">
        <v>25</v>
      </c>
      <c r="AD13" s="11" t="s">
        <v>25</v>
      </c>
      <c r="AE13" s="51"/>
      <c r="AF13" s="52"/>
    </row>
    <row r="14" spans="1:32" ht="18" customHeight="1">
      <c r="A14" s="138"/>
      <c r="B14" s="138"/>
      <c r="C14" s="138"/>
      <c r="D14" s="109"/>
      <c r="E14" s="109"/>
      <c r="F14" s="141"/>
      <c r="G14" s="69">
        <f t="shared" ref="G14:I14" si="0">IF(G16&lt;&gt;0,ROUND(+G16/G18,4),0%)</f>
        <v>0</v>
      </c>
      <c r="H14" s="66">
        <f t="shared" si="0"/>
        <v>0</v>
      </c>
      <c r="I14" s="66">
        <f t="shared" si="0"/>
        <v>0</v>
      </c>
      <c r="J14" s="46">
        <f>IF(J16&lt;&gt;0,ROUND(+J16/J18,4),0%)</f>
        <v>0</v>
      </c>
      <c r="K14" s="66">
        <f t="shared" ref="K14:AD14" si="1">IF(K16&lt;&gt;0,ROUND(+K16/K18,4),0%)</f>
        <v>0</v>
      </c>
      <c r="L14" s="12">
        <f t="shared" si="1"/>
        <v>0</v>
      </c>
      <c r="M14" s="65">
        <f t="shared" si="1"/>
        <v>0</v>
      </c>
      <c r="N14" s="12">
        <f t="shared" si="1"/>
        <v>0</v>
      </c>
      <c r="O14" s="65">
        <f t="shared" si="1"/>
        <v>0</v>
      </c>
      <c r="P14" s="12">
        <f t="shared" si="1"/>
        <v>0</v>
      </c>
      <c r="Q14" s="65">
        <f t="shared" si="1"/>
        <v>0</v>
      </c>
      <c r="R14" s="12">
        <f t="shared" si="1"/>
        <v>0</v>
      </c>
      <c r="S14" s="65">
        <f t="shared" si="1"/>
        <v>0</v>
      </c>
      <c r="T14" s="12">
        <f t="shared" si="1"/>
        <v>0</v>
      </c>
      <c r="U14" s="65">
        <f t="shared" si="1"/>
        <v>0</v>
      </c>
      <c r="V14" s="12">
        <f t="shared" si="1"/>
        <v>0</v>
      </c>
      <c r="W14" s="65">
        <f t="shared" si="1"/>
        <v>0</v>
      </c>
      <c r="X14" s="12">
        <f t="shared" si="1"/>
        <v>0</v>
      </c>
      <c r="Y14" s="65">
        <f t="shared" si="1"/>
        <v>0</v>
      </c>
      <c r="Z14" s="12">
        <f t="shared" si="1"/>
        <v>0</v>
      </c>
      <c r="AA14" s="65">
        <f t="shared" si="1"/>
        <v>0</v>
      </c>
      <c r="AB14" s="12">
        <f t="shared" si="1"/>
        <v>0</v>
      </c>
      <c r="AC14" s="65">
        <f t="shared" si="1"/>
        <v>0</v>
      </c>
      <c r="AD14" s="12">
        <f t="shared" si="1"/>
        <v>0</v>
      </c>
      <c r="AE14" s="53"/>
    </row>
    <row r="15" spans="1:32" ht="18" customHeight="1">
      <c r="A15" s="138"/>
      <c r="B15" s="138"/>
      <c r="C15" s="138"/>
      <c r="D15" s="109"/>
      <c r="E15" s="109"/>
      <c r="F15" s="142"/>
      <c r="G15" s="2" t="s">
        <v>26</v>
      </c>
      <c r="H15" s="14" t="s">
        <v>26</v>
      </c>
      <c r="I15" s="14" t="s">
        <v>26</v>
      </c>
      <c r="J15" s="15" t="s">
        <v>26</v>
      </c>
      <c r="K15" s="14" t="s">
        <v>26</v>
      </c>
      <c r="L15" s="16" t="s">
        <v>26</v>
      </c>
      <c r="M15" s="14" t="s">
        <v>26</v>
      </c>
      <c r="N15" s="16" t="s">
        <v>26</v>
      </c>
      <c r="O15" s="14" t="s">
        <v>26</v>
      </c>
      <c r="P15" s="16" t="s">
        <v>26</v>
      </c>
      <c r="Q15" s="14" t="s">
        <v>26</v>
      </c>
      <c r="R15" s="16" t="s">
        <v>26</v>
      </c>
      <c r="S15" s="14" t="s">
        <v>26</v>
      </c>
      <c r="T15" s="16" t="s">
        <v>26</v>
      </c>
      <c r="U15" s="14" t="s">
        <v>26</v>
      </c>
      <c r="V15" s="16" t="s">
        <v>26</v>
      </c>
      <c r="W15" s="14" t="s">
        <v>26</v>
      </c>
      <c r="X15" s="16" t="s">
        <v>26</v>
      </c>
      <c r="Y15" s="14" t="s">
        <v>26</v>
      </c>
      <c r="Z15" s="16" t="s">
        <v>26</v>
      </c>
      <c r="AA15" s="14" t="s">
        <v>26</v>
      </c>
      <c r="AB15" s="16" t="s">
        <v>26</v>
      </c>
      <c r="AC15" s="14" t="s">
        <v>26</v>
      </c>
      <c r="AD15" s="16" t="s">
        <v>26</v>
      </c>
      <c r="AE15" s="54"/>
      <c r="AF15" s="52"/>
    </row>
    <row r="16" spans="1:32" ht="18" customHeight="1">
      <c r="A16" s="138"/>
      <c r="B16" s="138"/>
      <c r="C16" s="138"/>
      <c r="D16" s="109"/>
      <c r="E16" s="109"/>
      <c r="F16" s="141" t="s">
        <v>27</v>
      </c>
      <c r="G16" s="67"/>
      <c r="H16" s="47"/>
      <c r="I16" s="47"/>
      <c r="J16" s="30">
        <f>+H16+I16</f>
        <v>0</v>
      </c>
      <c r="K16" s="47"/>
      <c r="L16" s="30">
        <f>+J16+K16</f>
        <v>0</v>
      </c>
      <c r="M16" s="47"/>
      <c r="N16" s="30">
        <f>+L16+M16</f>
        <v>0</v>
      </c>
      <c r="O16" s="47"/>
      <c r="P16" s="30">
        <f>+N16+O16</f>
        <v>0</v>
      </c>
      <c r="Q16" s="47"/>
      <c r="R16" s="30">
        <f>+P16+Q16</f>
        <v>0</v>
      </c>
      <c r="S16" s="47"/>
      <c r="T16" s="30">
        <f>+R16+S16</f>
        <v>0</v>
      </c>
      <c r="U16" s="48"/>
      <c r="V16" s="30">
        <f>+T16+U16</f>
        <v>0</v>
      </c>
      <c r="W16" s="47"/>
      <c r="X16" s="30">
        <f>+V16+W16</f>
        <v>0</v>
      </c>
      <c r="Y16" s="47"/>
      <c r="Z16" s="30">
        <f>+X16+Y16</f>
        <v>0</v>
      </c>
      <c r="AA16" s="47"/>
      <c r="AB16" s="30">
        <f>+Z16+AA16</f>
        <v>0</v>
      </c>
      <c r="AC16" s="47"/>
      <c r="AD16" s="30">
        <f>+AB16+AC16</f>
        <v>0</v>
      </c>
      <c r="AE16" s="55">
        <f>AD14/E13</f>
        <v>0</v>
      </c>
      <c r="AF16" s="52"/>
    </row>
    <row r="17" spans="1:32" ht="18" customHeight="1">
      <c r="A17" s="138"/>
      <c r="B17" s="138"/>
      <c r="C17" s="138"/>
      <c r="D17" s="109"/>
      <c r="E17" s="109"/>
      <c r="F17" s="141"/>
      <c r="G17" s="3" t="s">
        <v>28</v>
      </c>
      <c r="H17" s="17" t="s">
        <v>28</v>
      </c>
      <c r="I17" s="17" t="s">
        <v>28</v>
      </c>
      <c r="J17" s="18" t="s">
        <v>28</v>
      </c>
      <c r="K17" s="17" t="s">
        <v>28</v>
      </c>
      <c r="L17" s="19" t="s">
        <v>28</v>
      </c>
      <c r="M17" s="17" t="s">
        <v>28</v>
      </c>
      <c r="N17" s="19" t="s">
        <v>28</v>
      </c>
      <c r="O17" s="17" t="s">
        <v>28</v>
      </c>
      <c r="P17" s="19" t="s">
        <v>28</v>
      </c>
      <c r="Q17" s="17" t="s">
        <v>28</v>
      </c>
      <c r="R17" s="19" t="s">
        <v>28</v>
      </c>
      <c r="S17" s="17" t="s">
        <v>28</v>
      </c>
      <c r="T17" s="19" t="s">
        <v>28</v>
      </c>
      <c r="U17" s="17" t="s">
        <v>28</v>
      </c>
      <c r="V17" s="19" t="s">
        <v>28</v>
      </c>
      <c r="W17" s="17" t="s">
        <v>28</v>
      </c>
      <c r="X17" s="19" t="s">
        <v>28</v>
      </c>
      <c r="Y17" s="17" t="s">
        <v>28</v>
      </c>
      <c r="Z17" s="19" t="s">
        <v>28</v>
      </c>
      <c r="AA17" s="17" t="s">
        <v>28</v>
      </c>
      <c r="AB17" s="19" t="s">
        <v>28</v>
      </c>
      <c r="AC17" s="17" t="s">
        <v>28</v>
      </c>
      <c r="AD17" s="19" t="s">
        <v>28</v>
      </c>
      <c r="AE17" s="54"/>
      <c r="AF17" s="52"/>
    </row>
    <row r="18" spans="1:32" ht="18" customHeight="1">
      <c r="A18" s="139"/>
      <c r="B18" s="139"/>
      <c r="C18" s="139"/>
      <c r="D18" s="110"/>
      <c r="E18" s="110"/>
      <c r="F18" s="142"/>
      <c r="G18" s="68"/>
      <c r="H18" s="20"/>
      <c r="I18" s="20"/>
      <c r="J18" s="21">
        <f>I18</f>
        <v>0</v>
      </c>
      <c r="K18" s="20"/>
      <c r="L18" s="21">
        <f>K18</f>
        <v>0</v>
      </c>
      <c r="M18" s="20"/>
      <c r="N18" s="21">
        <f>M18</f>
        <v>0</v>
      </c>
      <c r="O18" s="20"/>
      <c r="P18" s="21">
        <f>O18</f>
        <v>0</v>
      </c>
      <c r="Q18" s="20"/>
      <c r="R18" s="21">
        <f>Q18</f>
        <v>0</v>
      </c>
      <c r="S18" s="20"/>
      <c r="T18" s="21">
        <f>S18</f>
        <v>0</v>
      </c>
      <c r="U18" s="49"/>
      <c r="V18" s="21">
        <f>U18</f>
        <v>0</v>
      </c>
      <c r="W18" s="20"/>
      <c r="X18" s="21">
        <f>W18</f>
        <v>0</v>
      </c>
      <c r="Y18" s="20"/>
      <c r="Z18" s="21">
        <f>Y18</f>
        <v>0</v>
      </c>
      <c r="AA18" s="20"/>
      <c r="AB18" s="21">
        <f>AA18</f>
        <v>0</v>
      </c>
      <c r="AC18" s="20"/>
      <c r="AD18" s="21">
        <f>AC18</f>
        <v>0</v>
      </c>
      <c r="AE18" s="56"/>
      <c r="AF18" s="52"/>
    </row>
    <row r="19" spans="1:32" ht="18" customHeight="1">
      <c r="A19" s="98" t="s">
        <v>29</v>
      </c>
      <c r="B19" s="98" t="s">
        <v>30</v>
      </c>
      <c r="C19" s="98" t="s">
        <v>31</v>
      </c>
      <c r="D19" s="108">
        <v>0.15</v>
      </c>
      <c r="E19" s="108">
        <v>0.66669999999999996</v>
      </c>
      <c r="F19" s="104" t="s">
        <v>32</v>
      </c>
      <c r="G19" s="1" t="s">
        <v>25</v>
      </c>
      <c r="H19" s="9" t="s">
        <v>25</v>
      </c>
      <c r="I19" s="9" t="s">
        <v>25</v>
      </c>
      <c r="J19" s="10" t="s">
        <v>25</v>
      </c>
      <c r="K19" s="9" t="s">
        <v>25</v>
      </c>
      <c r="L19" s="11" t="s">
        <v>25</v>
      </c>
      <c r="M19" s="9" t="s">
        <v>25</v>
      </c>
      <c r="N19" s="11" t="s">
        <v>25</v>
      </c>
      <c r="O19" s="9" t="s">
        <v>25</v>
      </c>
      <c r="P19" s="11" t="s">
        <v>25</v>
      </c>
      <c r="Q19" s="9" t="s">
        <v>25</v>
      </c>
      <c r="R19" s="11" t="s">
        <v>25</v>
      </c>
      <c r="S19" s="9" t="s">
        <v>25</v>
      </c>
      <c r="T19" s="11" t="s">
        <v>25</v>
      </c>
      <c r="U19" s="9" t="s">
        <v>25</v>
      </c>
      <c r="V19" s="11" t="s">
        <v>25</v>
      </c>
      <c r="W19" s="9" t="s">
        <v>25</v>
      </c>
      <c r="X19" s="11" t="s">
        <v>25</v>
      </c>
      <c r="Y19" s="9" t="s">
        <v>25</v>
      </c>
      <c r="Z19" s="11" t="s">
        <v>25</v>
      </c>
      <c r="AA19" s="9" t="s">
        <v>25</v>
      </c>
      <c r="AB19" s="11" t="s">
        <v>25</v>
      </c>
      <c r="AC19" s="9" t="s">
        <v>25</v>
      </c>
      <c r="AD19" s="11" t="s">
        <v>25</v>
      </c>
      <c r="AE19" s="51"/>
      <c r="AF19" s="52"/>
    </row>
    <row r="20" spans="1:32" ht="18" customHeight="1">
      <c r="A20" s="138"/>
      <c r="B20" s="99"/>
      <c r="C20" s="99"/>
      <c r="D20" s="109"/>
      <c r="E20" s="109"/>
      <c r="F20" s="105"/>
      <c r="G20" s="69">
        <f t="shared" ref="G20:I20" si="2">IF(G22&lt;&gt;0,ROUND(+G22/G24,4),0%)</f>
        <v>0</v>
      </c>
      <c r="H20" s="66">
        <f t="shared" si="2"/>
        <v>0</v>
      </c>
      <c r="I20" s="66">
        <f t="shared" si="2"/>
        <v>0</v>
      </c>
      <c r="J20" s="46">
        <f>IF(J22&lt;&gt;0,ROUND(+J22/J24,4),0%)</f>
        <v>0</v>
      </c>
      <c r="K20" s="66">
        <f t="shared" ref="K20:AD20" si="3">IF(K22&lt;&gt;0,ROUND(+K22/K24,4),0%)</f>
        <v>0</v>
      </c>
      <c r="L20" s="12">
        <f t="shared" si="3"/>
        <v>0</v>
      </c>
      <c r="M20" s="65">
        <f t="shared" si="3"/>
        <v>0</v>
      </c>
      <c r="N20" s="12">
        <f t="shared" si="3"/>
        <v>0</v>
      </c>
      <c r="O20" s="65">
        <f t="shared" si="3"/>
        <v>0</v>
      </c>
      <c r="P20" s="12">
        <f t="shared" si="3"/>
        <v>0</v>
      </c>
      <c r="Q20" s="65">
        <f t="shared" si="3"/>
        <v>0</v>
      </c>
      <c r="R20" s="12">
        <f t="shared" si="3"/>
        <v>0</v>
      </c>
      <c r="S20" s="65">
        <f t="shared" si="3"/>
        <v>0</v>
      </c>
      <c r="T20" s="12">
        <f t="shared" si="3"/>
        <v>0</v>
      </c>
      <c r="U20" s="65">
        <f t="shared" si="3"/>
        <v>0</v>
      </c>
      <c r="V20" s="12">
        <f t="shared" si="3"/>
        <v>0</v>
      </c>
      <c r="W20" s="65">
        <f t="shared" si="3"/>
        <v>0</v>
      </c>
      <c r="X20" s="12">
        <f t="shared" si="3"/>
        <v>0</v>
      </c>
      <c r="Y20" s="65">
        <f t="shared" si="3"/>
        <v>0</v>
      </c>
      <c r="Z20" s="12">
        <f t="shared" si="3"/>
        <v>0</v>
      </c>
      <c r="AA20" s="65">
        <f t="shared" si="3"/>
        <v>0</v>
      </c>
      <c r="AB20" s="12">
        <f t="shared" si="3"/>
        <v>0</v>
      </c>
      <c r="AC20" s="65">
        <f t="shared" si="3"/>
        <v>0</v>
      </c>
      <c r="AD20" s="12">
        <f t="shared" si="3"/>
        <v>0</v>
      </c>
      <c r="AE20" s="54"/>
      <c r="AF20" s="52"/>
    </row>
    <row r="21" spans="1:32" ht="18" customHeight="1">
      <c r="A21" s="138"/>
      <c r="B21" s="99"/>
      <c r="C21" s="99"/>
      <c r="D21" s="109"/>
      <c r="E21" s="109"/>
      <c r="F21" s="107"/>
      <c r="G21" s="2" t="s">
        <v>26</v>
      </c>
      <c r="H21" s="14" t="s">
        <v>26</v>
      </c>
      <c r="I21" s="14" t="s">
        <v>26</v>
      </c>
      <c r="J21" s="15" t="s">
        <v>26</v>
      </c>
      <c r="K21" s="14" t="s">
        <v>26</v>
      </c>
      <c r="L21" s="16" t="s">
        <v>26</v>
      </c>
      <c r="M21" s="14" t="s">
        <v>26</v>
      </c>
      <c r="N21" s="16" t="s">
        <v>26</v>
      </c>
      <c r="O21" s="14" t="s">
        <v>26</v>
      </c>
      <c r="P21" s="16" t="s">
        <v>26</v>
      </c>
      <c r="Q21" s="14" t="s">
        <v>26</v>
      </c>
      <c r="R21" s="16" t="s">
        <v>26</v>
      </c>
      <c r="S21" s="14" t="s">
        <v>26</v>
      </c>
      <c r="T21" s="16" t="s">
        <v>26</v>
      </c>
      <c r="U21" s="14" t="s">
        <v>26</v>
      </c>
      <c r="V21" s="16" t="s">
        <v>26</v>
      </c>
      <c r="W21" s="14" t="s">
        <v>26</v>
      </c>
      <c r="X21" s="16" t="s">
        <v>26</v>
      </c>
      <c r="Y21" s="14" t="s">
        <v>26</v>
      </c>
      <c r="Z21" s="16" t="s">
        <v>26</v>
      </c>
      <c r="AA21" s="14" t="s">
        <v>26</v>
      </c>
      <c r="AB21" s="16" t="s">
        <v>26</v>
      </c>
      <c r="AC21" s="14" t="s">
        <v>26</v>
      </c>
      <c r="AD21" s="16" t="s">
        <v>26</v>
      </c>
      <c r="AE21" s="54"/>
      <c r="AF21" s="52"/>
    </row>
    <row r="22" spans="1:32" ht="18" customHeight="1">
      <c r="A22" s="138"/>
      <c r="B22" s="99"/>
      <c r="C22" s="99"/>
      <c r="D22" s="109"/>
      <c r="E22" s="109"/>
      <c r="F22" s="143" t="s">
        <v>33</v>
      </c>
      <c r="G22" s="67"/>
      <c r="H22" s="47"/>
      <c r="I22" s="47"/>
      <c r="J22" s="30">
        <f>+H22+I22</f>
        <v>0</v>
      </c>
      <c r="K22" s="47"/>
      <c r="L22" s="30">
        <f>+J22+K22</f>
        <v>0</v>
      </c>
      <c r="M22" s="47"/>
      <c r="N22" s="30">
        <f>+L22+M22</f>
        <v>0</v>
      </c>
      <c r="O22" s="47"/>
      <c r="P22" s="30">
        <f>+N22+O22</f>
        <v>0</v>
      </c>
      <c r="Q22" s="47"/>
      <c r="R22" s="30">
        <f>+P22+Q22</f>
        <v>0</v>
      </c>
      <c r="S22" s="47"/>
      <c r="T22" s="30">
        <f>+R22+S22</f>
        <v>0</v>
      </c>
      <c r="U22" s="48"/>
      <c r="V22" s="30">
        <f>+T22+U22</f>
        <v>0</v>
      </c>
      <c r="W22" s="47"/>
      <c r="X22" s="30">
        <f>+V22+W22</f>
        <v>0</v>
      </c>
      <c r="Y22" s="47"/>
      <c r="Z22" s="30">
        <f>+X22+Y22</f>
        <v>0</v>
      </c>
      <c r="AA22" s="47"/>
      <c r="AB22" s="30">
        <f>+Z22+AA22</f>
        <v>0</v>
      </c>
      <c r="AC22" s="47"/>
      <c r="AD22" s="30">
        <f>+AB22+AC22</f>
        <v>0</v>
      </c>
      <c r="AE22" s="57">
        <f>AD20/E19</f>
        <v>0</v>
      </c>
    </row>
    <row r="23" spans="1:32" ht="18" customHeight="1">
      <c r="A23" s="138"/>
      <c r="B23" s="99"/>
      <c r="C23" s="99"/>
      <c r="D23" s="109"/>
      <c r="E23" s="109"/>
      <c r="F23" s="105"/>
      <c r="G23" s="3" t="s">
        <v>28</v>
      </c>
      <c r="H23" s="17" t="s">
        <v>28</v>
      </c>
      <c r="I23" s="17" t="s">
        <v>28</v>
      </c>
      <c r="J23" s="18" t="s">
        <v>28</v>
      </c>
      <c r="K23" s="17" t="s">
        <v>28</v>
      </c>
      <c r="L23" s="19" t="s">
        <v>28</v>
      </c>
      <c r="M23" s="17" t="s">
        <v>28</v>
      </c>
      <c r="N23" s="19" t="s">
        <v>28</v>
      </c>
      <c r="O23" s="17" t="s">
        <v>28</v>
      </c>
      <c r="P23" s="19" t="s">
        <v>28</v>
      </c>
      <c r="Q23" s="17" t="s">
        <v>28</v>
      </c>
      <c r="R23" s="19" t="s">
        <v>28</v>
      </c>
      <c r="S23" s="17" t="s">
        <v>28</v>
      </c>
      <c r="T23" s="19" t="s">
        <v>28</v>
      </c>
      <c r="U23" s="17" t="s">
        <v>28</v>
      </c>
      <c r="V23" s="19" t="s">
        <v>28</v>
      </c>
      <c r="W23" s="17" t="s">
        <v>28</v>
      </c>
      <c r="X23" s="19" t="s">
        <v>28</v>
      </c>
      <c r="Y23" s="17" t="s">
        <v>28</v>
      </c>
      <c r="Z23" s="19" t="s">
        <v>28</v>
      </c>
      <c r="AA23" s="17" t="s">
        <v>28</v>
      </c>
      <c r="AB23" s="19" t="s">
        <v>28</v>
      </c>
      <c r="AC23" s="17" t="s">
        <v>28</v>
      </c>
      <c r="AD23" s="19" t="s">
        <v>28</v>
      </c>
      <c r="AE23" s="54"/>
      <c r="AF23" s="52"/>
    </row>
    <row r="24" spans="1:32" ht="18" customHeight="1">
      <c r="A24" s="139"/>
      <c r="B24" s="100"/>
      <c r="C24" s="100"/>
      <c r="D24" s="110"/>
      <c r="E24" s="110"/>
      <c r="F24" s="107"/>
      <c r="G24" s="68"/>
      <c r="H24" s="20"/>
      <c r="I24" s="20"/>
      <c r="J24" s="21">
        <f>I24</f>
        <v>0</v>
      </c>
      <c r="K24" s="20"/>
      <c r="L24" s="21">
        <f>K24</f>
        <v>0</v>
      </c>
      <c r="M24" s="20"/>
      <c r="N24" s="21">
        <f>M24</f>
        <v>0</v>
      </c>
      <c r="O24" s="20"/>
      <c r="P24" s="21">
        <f>O24</f>
        <v>0</v>
      </c>
      <c r="Q24" s="20"/>
      <c r="R24" s="21">
        <f>Q24</f>
        <v>0</v>
      </c>
      <c r="S24" s="20"/>
      <c r="T24" s="21">
        <f>S24</f>
        <v>0</v>
      </c>
      <c r="U24" s="49"/>
      <c r="V24" s="21">
        <f>U24</f>
        <v>0</v>
      </c>
      <c r="W24" s="20"/>
      <c r="X24" s="21">
        <f>W24</f>
        <v>0</v>
      </c>
      <c r="Y24" s="20"/>
      <c r="Z24" s="21">
        <f>Y24</f>
        <v>0</v>
      </c>
      <c r="AA24" s="20"/>
      <c r="AB24" s="21">
        <f>AA24</f>
        <v>0</v>
      </c>
      <c r="AC24" s="20"/>
      <c r="AD24" s="21">
        <f>AC24</f>
        <v>0</v>
      </c>
      <c r="AE24" s="58"/>
    </row>
    <row r="25" spans="1:32" ht="18" customHeight="1">
      <c r="A25" s="98" t="s">
        <v>34</v>
      </c>
      <c r="B25" s="98" t="s">
        <v>35</v>
      </c>
      <c r="C25" s="98" t="s">
        <v>36</v>
      </c>
      <c r="D25" s="108">
        <v>0.2</v>
      </c>
      <c r="E25" s="115">
        <v>1</v>
      </c>
      <c r="F25" s="104" t="s">
        <v>37</v>
      </c>
      <c r="G25" s="1" t="s">
        <v>25</v>
      </c>
      <c r="H25" s="23" t="s">
        <v>25</v>
      </c>
      <c r="I25" s="23" t="s">
        <v>25</v>
      </c>
      <c r="J25" s="24" t="s">
        <v>25</v>
      </c>
      <c r="K25" s="23" t="s">
        <v>25</v>
      </c>
      <c r="L25" s="25" t="s">
        <v>25</v>
      </c>
      <c r="M25" s="23" t="s">
        <v>25</v>
      </c>
      <c r="N25" s="25" t="s">
        <v>25</v>
      </c>
      <c r="O25" s="23" t="s">
        <v>25</v>
      </c>
      <c r="P25" s="25" t="s">
        <v>25</v>
      </c>
      <c r="Q25" s="23" t="s">
        <v>25</v>
      </c>
      <c r="R25" s="25" t="s">
        <v>25</v>
      </c>
      <c r="S25" s="23" t="s">
        <v>25</v>
      </c>
      <c r="T25" s="25" t="s">
        <v>25</v>
      </c>
      <c r="U25" s="1" t="s">
        <v>25</v>
      </c>
      <c r="V25" s="25" t="s">
        <v>25</v>
      </c>
      <c r="W25" s="1" t="s">
        <v>25</v>
      </c>
      <c r="X25" s="26" t="s">
        <v>25</v>
      </c>
      <c r="Y25" s="1" t="s">
        <v>25</v>
      </c>
      <c r="Z25" s="27" t="s">
        <v>25</v>
      </c>
      <c r="AA25" s="1" t="s">
        <v>25</v>
      </c>
      <c r="AB25" s="27" t="s">
        <v>25</v>
      </c>
      <c r="AC25" s="23" t="s">
        <v>25</v>
      </c>
      <c r="AD25" s="24" t="s">
        <v>25</v>
      </c>
      <c r="AE25" s="60"/>
    </row>
    <row r="26" spans="1:32" ht="18" customHeight="1">
      <c r="A26" s="138"/>
      <c r="B26" s="99"/>
      <c r="C26" s="99"/>
      <c r="D26" s="109"/>
      <c r="E26" s="116"/>
      <c r="F26" s="105"/>
      <c r="G26" s="69">
        <f t="shared" ref="G26:I26" si="4">IF(G28&lt;&gt;0,ROUND(+G28/G30,4),0%)</f>
        <v>1</v>
      </c>
      <c r="H26" s="66">
        <f t="shared" si="4"/>
        <v>0</v>
      </c>
      <c r="I26" s="66">
        <f t="shared" si="4"/>
        <v>0</v>
      </c>
      <c r="J26" s="46">
        <f>IF(J28&lt;&gt;0,ROUND(+J28/J30,4),0%)</f>
        <v>0</v>
      </c>
      <c r="K26" s="66">
        <f t="shared" ref="K26:AD26" si="5">IF(K28&lt;&gt;0,ROUND(+K28/K30,4),0%)</f>
        <v>0</v>
      </c>
      <c r="L26" s="12">
        <f t="shared" si="5"/>
        <v>0</v>
      </c>
      <c r="M26" s="65">
        <f t="shared" si="5"/>
        <v>0</v>
      </c>
      <c r="N26" s="12">
        <f t="shared" si="5"/>
        <v>0</v>
      </c>
      <c r="O26" s="65">
        <f t="shared" si="5"/>
        <v>0</v>
      </c>
      <c r="P26" s="12">
        <f t="shared" si="5"/>
        <v>0</v>
      </c>
      <c r="Q26" s="65">
        <f t="shared" si="5"/>
        <v>0</v>
      </c>
      <c r="R26" s="12">
        <f t="shared" si="5"/>
        <v>0</v>
      </c>
      <c r="S26" s="65">
        <f t="shared" si="5"/>
        <v>0</v>
      </c>
      <c r="T26" s="12">
        <f t="shared" si="5"/>
        <v>0</v>
      </c>
      <c r="U26" s="65">
        <f t="shared" si="5"/>
        <v>0</v>
      </c>
      <c r="V26" s="12">
        <f t="shared" si="5"/>
        <v>0</v>
      </c>
      <c r="W26" s="65">
        <f t="shared" si="5"/>
        <v>0</v>
      </c>
      <c r="X26" s="12">
        <f t="shared" si="5"/>
        <v>0</v>
      </c>
      <c r="Y26" s="65">
        <f t="shared" si="5"/>
        <v>0</v>
      </c>
      <c r="Z26" s="12">
        <f t="shared" si="5"/>
        <v>0</v>
      </c>
      <c r="AA26" s="65">
        <f t="shared" si="5"/>
        <v>0</v>
      </c>
      <c r="AB26" s="12">
        <f t="shared" si="5"/>
        <v>0</v>
      </c>
      <c r="AC26" s="65">
        <f t="shared" si="5"/>
        <v>0</v>
      </c>
      <c r="AD26" s="12">
        <f t="shared" si="5"/>
        <v>0</v>
      </c>
      <c r="AE26" s="61"/>
    </row>
    <row r="27" spans="1:32" ht="18" customHeight="1">
      <c r="A27" s="138"/>
      <c r="B27" s="99"/>
      <c r="C27" s="99"/>
      <c r="D27" s="109"/>
      <c r="E27" s="116"/>
      <c r="F27" s="166"/>
      <c r="G27" s="2" t="s">
        <v>26</v>
      </c>
      <c r="H27" s="2" t="s">
        <v>26</v>
      </c>
      <c r="I27" s="2" t="s">
        <v>26</v>
      </c>
      <c r="J27" s="28" t="s">
        <v>26</v>
      </c>
      <c r="K27" s="2" t="s">
        <v>26</v>
      </c>
      <c r="L27" s="29" t="s">
        <v>26</v>
      </c>
      <c r="M27" s="2" t="s">
        <v>26</v>
      </c>
      <c r="N27" s="29" t="s">
        <v>26</v>
      </c>
      <c r="O27" s="2" t="s">
        <v>26</v>
      </c>
      <c r="P27" s="29" t="s">
        <v>26</v>
      </c>
      <c r="Q27" s="2" t="s">
        <v>26</v>
      </c>
      <c r="R27" s="29" t="s">
        <v>26</v>
      </c>
      <c r="S27" s="2" t="s">
        <v>26</v>
      </c>
      <c r="T27" s="29" t="s">
        <v>26</v>
      </c>
      <c r="U27" s="2" t="s">
        <v>26</v>
      </c>
      <c r="V27" s="29" t="s">
        <v>26</v>
      </c>
      <c r="W27" s="2" t="s">
        <v>26</v>
      </c>
      <c r="X27" s="29" t="s">
        <v>26</v>
      </c>
      <c r="Y27" s="2" t="s">
        <v>26</v>
      </c>
      <c r="Z27" s="29" t="s">
        <v>26</v>
      </c>
      <c r="AA27" s="2" t="s">
        <v>26</v>
      </c>
      <c r="AB27" s="29" t="s">
        <v>26</v>
      </c>
      <c r="AC27" s="2" t="s">
        <v>26</v>
      </c>
      <c r="AD27" s="29" t="s">
        <v>26</v>
      </c>
      <c r="AE27" s="61"/>
    </row>
    <row r="28" spans="1:32" ht="18" customHeight="1">
      <c r="A28" s="138"/>
      <c r="B28" s="99"/>
      <c r="C28" s="99"/>
      <c r="D28" s="109"/>
      <c r="E28" s="116"/>
      <c r="F28" s="104" t="s">
        <v>38</v>
      </c>
      <c r="G28" s="67">
        <v>5</v>
      </c>
      <c r="H28" s="47"/>
      <c r="I28" s="47"/>
      <c r="J28" s="30">
        <f>+H28+I28</f>
        <v>0</v>
      </c>
      <c r="K28" s="47"/>
      <c r="L28" s="30">
        <f>+J28+K28</f>
        <v>0</v>
      </c>
      <c r="M28" s="47"/>
      <c r="N28" s="30">
        <f>+L28+M28</f>
        <v>0</v>
      </c>
      <c r="O28" s="47"/>
      <c r="P28" s="30">
        <f>+N28+O28</f>
        <v>0</v>
      </c>
      <c r="Q28" s="47"/>
      <c r="R28" s="30">
        <f>+P28+Q28</f>
        <v>0</v>
      </c>
      <c r="S28" s="47"/>
      <c r="T28" s="30">
        <f>+R28+S28</f>
        <v>0</v>
      </c>
      <c r="U28" s="48"/>
      <c r="V28" s="30">
        <f>+T28+U28</f>
        <v>0</v>
      </c>
      <c r="W28" s="47"/>
      <c r="X28" s="30">
        <f>+V28+W28</f>
        <v>0</v>
      </c>
      <c r="Y28" s="47"/>
      <c r="Z28" s="30">
        <f>+X28+Y28</f>
        <v>0</v>
      </c>
      <c r="AA28" s="47"/>
      <c r="AB28" s="30">
        <f>+Z28+AA28</f>
        <v>0</v>
      </c>
      <c r="AC28" s="47"/>
      <c r="AD28" s="30">
        <f>+AB28+AC28</f>
        <v>0</v>
      </c>
      <c r="AE28" s="62">
        <f>AD26/E25</f>
        <v>0</v>
      </c>
    </row>
    <row r="29" spans="1:32" ht="18" customHeight="1">
      <c r="A29" s="138"/>
      <c r="B29" s="99"/>
      <c r="C29" s="99"/>
      <c r="D29" s="109"/>
      <c r="E29" s="116"/>
      <c r="F29" s="105"/>
      <c r="G29" s="3" t="s">
        <v>28</v>
      </c>
      <c r="H29" s="17" t="s">
        <v>28</v>
      </c>
      <c r="I29" s="17" t="s">
        <v>28</v>
      </c>
      <c r="J29" s="18" t="s">
        <v>28</v>
      </c>
      <c r="K29" s="17" t="s">
        <v>28</v>
      </c>
      <c r="L29" s="19" t="s">
        <v>28</v>
      </c>
      <c r="M29" s="17" t="s">
        <v>28</v>
      </c>
      <c r="N29" s="19" t="s">
        <v>28</v>
      </c>
      <c r="O29" s="17" t="s">
        <v>28</v>
      </c>
      <c r="P29" s="19" t="s">
        <v>28</v>
      </c>
      <c r="Q29" s="17" t="s">
        <v>28</v>
      </c>
      <c r="R29" s="19" t="s">
        <v>28</v>
      </c>
      <c r="S29" s="17" t="s">
        <v>28</v>
      </c>
      <c r="T29" s="19" t="s">
        <v>28</v>
      </c>
      <c r="U29" s="17" t="s">
        <v>28</v>
      </c>
      <c r="V29" s="19" t="s">
        <v>28</v>
      </c>
      <c r="W29" s="17" t="s">
        <v>28</v>
      </c>
      <c r="X29" s="19" t="s">
        <v>28</v>
      </c>
      <c r="Y29" s="17" t="s">
        <v>28</v>
      </c>
      <c r="Z29" s="19" t="s">
        <v>28</v>
      </c>
      <c r="AA29" s="17" t="s">
        <v>28</v>
      </c>
      <c r="AB29" s="19" t="s">
        <v>28</v>
      </c>
      <c r="AC29" s="17" t="s">
        <v>28</v>
      </c>
      <c r="AD29" s="19" t="s">
        <v>28</v>
      </c>
      <c r="AE29" s="61"/>
    </row>
    <row r="30" spans="1:32" ht="18" customHeight="1">
      <c r="A30" s="139"/>
      <c r="B30" s="100"/>
      <c r="C30" s="100"/>
      <c r="D30" s="110"/>
      <c r="E30" s="117"/>
      <c r="F30" s="107"/>
      <c r="G30" s="68">
        <v>5</v>
      </c>
      <c r="H30" s="20"/>
      <c r="I30" s="20"/>
      <c r="J30" s="21">
        <f>I30</f>
        <v>0</v>
      </c>
      <c r="K30" s="20"/>
      <c r="L30" s="21">
        <f>K30</f>
        <v>0</v>
      </c>
      <c r="M30" s="20"/>
      <c r="N30" s="21">
        <f>M30</f>
        <v>0</v>
      </c>
      <c r="O30" s="20"/>
      <c r="P30" s="21">
        <f>O30</f>
        <v>0</v>
      </c>
      <c r="Q30" s="20"/>
      <c r="R30" s="21">
        <f>Q30</f>
        <v>0</v>
      </c>
      <c r="S30" s="20"/>
      <c r="T30" s="21">
        <f>S30</f>
        <v>0</v>
      </c>
      <c r="U30" s="49"/>
      <c r="V30" s="21">
        <f>U30</f>
        <v>0</v>
      </c>
      <c r="W30" s="20"/>
      <c r="X30" s="21">
        <f>W30</f>
        <v>0</v>
      </c>
      <c r="Y30" s="20"/>
      <c r="Z30" s="21">
        <f>Y30</f>
        <v>0</v>
      </c>
      <c r="AA30" s="20"/>
      <c r="AB30" s="21">
        <f>AA30</f>
        <v>0</v>
      </c>
      <c r="AC30" s="20"/>
      <c r="AD30" s="21">
        <f>AC30</f>
        <v>0</v>
      </c>
      <c r="AE30" s="61"/>
    </row>
    <row r="31" spans="1:32" ht="18" customHeight="1">
      <c r="A31" s="98" t="s">
        <v>39</v>
      </c>
      <c r="B31" s="98" t="s">
        <v>40</v>
      </c>
      <c r="C31" s="98" t="s">
        <v>41</v>
      </c>
      <c r="D31" s="108">
        <v>0.15</v>
      </c>
      <c r="E31" s="101">
        <v>1</v>
      </c>
      <c r="F31" s="104" t="s">
        <v>42</v>
      </c>
      <c r="G31" s="1" t="s">
        <v>25</v>
      </c>
      <c r="H31" s="9" t="s">
        <v>25</v>
      </c>
      <c r="I31" s="9" t="s">
        <v>25</v>
      </c>
      <c r="J31" s="11" t="s">
        <v>25</v>
      </c>
      <c r="K31" s="31" t="s">
        <v>25</v>
      </c>
      <c r="L31" s="11" t="s">
        <v>25</v>
      </c>
      <c r="M31" s="31" t="s">
        <v>25</v>
      </c>
      <c r="N31" s="11" t="s">
        <v>25</v>
      </c>
      <c r="O31" s="31" t="s">
        <v>25</v>
      </c>
      <c r="P31" s="11" t="s">
        <v>25</v>
      </c>
      <c r="Q31" s="31" t="s">
        <v>25</v>
      </c>
      <c r="R31" s="11" t="s">
        <v>25</v>
      </c>
      <c r="S31" s="31" t="s">
        <v>25</v>
      </c>
      <c r="T31" s="11" t="s">
        <v>25</v>
      </c>
      <c r="U31" s="31" t="s">
        <v>25</v>
      </c>
      <c r="V31" s="11" t="s">
        <v>25</v>
      </c>
      <c r="W31" s="9" t="s">
        <v>25</v>
      </c>
      <c r="X31" s="11" t="s">
        <v>25</v>
      </c>
      <c r="Y31" s="9" t="s">
        <v>25</v>
      </c>
      <c r="Z31" s="11" t="s">
        <v>25</v>
      </c>
      <c r="AA31" s="9" t="s">
        <v>25</v>
      </c>
      <c r="AB31" s="11" t="s">
        <v>25</v>
      </c>
      <c r="AC31" s="9" t="s">
        <v>25</v>
      </c>
      <c r="AD31" s="11" t="s">
        <v>25</v>
      </c>
      <c r="AE31" s="59"/>
    </row>
    <row r="32" spans="1:32" ht="18" customHeight="1">
      <c r="A32" s="138"/>
      <c r="B32" s="99"/>
      <c r="C32" s="99"/>
      <c r="D32" s="109"/>
      <c r="E32" s="102"/>
      <c r="F32" s="105"/>
      <c r="G32" s="69">
        <f t="shared" ref="G32:I32" si="6">IF(G34&lt;&gt;0,ROUND(+G34/G36,4),0%)</f>
        <v>0</v>
      </c>
      <c r="H32" s="66">
        <f t="shared" si="6"/>
        <v>0</v>
      </c>
      <c r="I32" s="66">
        <f t="shared" si="6"/>
        <v>0</v>
      </c>
      <c r="J32" s="46">
        <f>IF(J34&lt;&gt;0,ROUND(+J34/J36,4),0%)</f>
        <v>0</v>
      </c>
      <c r="K32" s="66">
        <f t="shared" ref="K32:AD32" si="7">IF(K34&lt;&gt;0,ROUND(+K34/K36,4),0%)</f>
        <v>0</v>
      </c>
      <c r="L32" s="12">
        <f t="shared" si="7"/>
        <v>0</v>
      </c>
      <c r="M32" s="65">
        <f t="shared" si="7"/>
        <v>0</v>
      </c>
      <c r="N32" s="12">
        <f t="shared" si="7"/>
        <v>0</v>
      </c>
      <c r="O32" s="65">
        <f t="shared" si="7"/>
        <v>0</v>
      </c>
      <c r="P32" s="12">
        <f t="shared" si="7"/>
        <v>0</v>
      </c>
      <c r="Q32" s="65">
        <f t="shared" si="7"/>
        <v>0</v>
      </c>
      <c r="R32" s="12">
        <f t="shared" si="7"/>
        <v>0</v>
      </c>
      <c r="S32" s="65">
        <f t="shared" si="7"/>
        <v>0</v>
      </c>
      <c r="T32" s="12">
        <f t="shared" si="7"/>
        <v>0</v>
      </c>
      <c r="U32" s="65">
        <f t="shared" si="7"/>
        <v>0</v>
      </c>
      <c r="V32" s="12">
        <f t="shared" si="7"/>
        <v>0</v>
      </c>
      <c r="W32" s="65">
        <f t="shared" si="7"/>
        <v>0</v>
      </c>
      <c r="X32" s="12">
        <f t="shared" si="7"/>
        <v>0</v>
      </c>
      <c r="Y32" s="65">
        <f t="shared" si="7"/>
        <v>0</v>
      </c>
      <c r="Z32" s="12">
        <f t="shared" si="7"/>
        <v>0</v>
      </c>
      <c r="AA32" s="65">
        <f t="shared" si="7"/>
        <v>0</v>
      </c>
      <c r="AB32" s="12">
        <f t="shared" si="7"/>
        <v>0</v>
      </c>
      <c r="AC32" s="65">
        <f t="shared" si="7"/>
        <v>0</v>
      </c>
      <c r="AD32" s="12">
        <f t="shared" si="7"/>
        <v>0</v>
      </c>
      <c r="AE32" s="13"/>
    </row>
    <row r="33" spans="1:31" ht="18" customHeight="1">
      <c r="A33" s="138"/>
      <c r="B33" s="99"/>
      <c r="C33" s="99"/>
      <c r="D33" s="109"/>
      <c r="E33" s="102"/>
      <c r="F33" s="105"/>
      <c r="G33" s="2" t="s">
        <v>26</v>
      </c>
      <c r="H33" s="14" t="s">
        <v>26</v>
      </c>
      <c r="I33" s="14"/>
      <c r="J33" s="16" t="s">
        <v>26</v>
      </c>
      <c r="K33" s="32" t="s">
        <v>26</v>
      </c>
      <c r="L33" s="16" t="s">
        <v>26</v>
      </c>
      <c r="M33" s="32" t="s">
        <v>26</v>
      </c>
      <c r="N33" s="16" t="s">
        <v>26</v>
      </c>
      <c r="O33" s="32" t="s">
        <v>26</v>
      </c>
      <c r="P33" s="16" t="s">
        <v>26</v>
      </c>
      <c r="Q33" s="32" t="s">
        <v>26</v>
      </c>
      <c r="R33" s="16" t="s">
        <v>26</v>
      </c>
      <c r="S33" s="32" t="s">
        <v>26</v>
      </c>
      <c r="T33" s="16" t="s">
        <v>26</v>
      </c>
      <c r="U33" s="32" t="s">
        <v>26</v>
      </c>
      <c r="V33" s="16" t="s">
        <v>26</v>
      </c>
      <c r="W33" s="33" t="s">
        <v>26</v>
      </c>
      <c r="X33" s="16" t="s">
        <v>26</v>
      </c>
      <c r="Y33" s="14" t="s">
        <v>26</v>
      </c>
      <c r="Z33" s="16" t="s">
        <v>26</v>
      </c>
      <c r="AA33" s="14" t="s">
        <v>26</v>
      </c>
      <c r="AB33" s="16" t="s">
        <v>26</v>
      </c>
      <c r="AC33" s="14" t="s">
        <v>26</v>
      </c>
      <c r="AD33" s="16" t="s">
        <v>26</v>
      </c>
      <c r="AE33" s="63"/>
    </row>
    <row r="34" spans="1:31" ht="18" customHeight="1">
      <c r="A34" s="138"/>
      <c r="B34" s="99"/>
      <c r="C34" s="99"/>
      <c r="D34" s="109"/>
      <c r="E34" s="102"/>
      <c r="F34" s="98" t="s">
        <v>43</v>
      </c>
      <c r="G34" s="67"/>
      <c r="H34" s="47"/>
      <c r="I34" s="47"/>
      <c r="J34" s="30">
        <f>+H34+I34</f>
        <v>0</v>
      </c>
      <c r="K34" s="47"/>
      <c r="L34" s="30">
        <f>+J34+K34</f>
        <v>0</v>
      </c>
      <c r="M34" s="47"/>
      <c r="N34" s="30">
        <f>+L34+M34</f>
        <v>0</v>
      </c>
      <c r="O34" s="47"/>
      <c r="P34" s="30">
        <f>+N34+O34</f>
        <v>0</v>
      </c>
      <c r="Q34" s="47"/>
      <c r="R34" s="30">
        <f>+P34+Q34</f>
        <v>0</v>
      </c>
      <c r="S34" s="47"/>
      <c r="T34" s="30">
        <f>+R34+S34</f>
        <v>0</v>
      </c>
      <c r="U34" s="48"/>
      <c r="V34" s="30">
        <f>+T34+U34</f>
        <v>0</v>
      </c>
      <c r="W34" s="47"/>
      <c r="X34" s="30">
        <f>+V34+W34</f>
        <v>0</v>
      </c>
      <c r="Y34" s="47"/>
      <c r="Z34" s="30">
        <f>+X34+Y34</f>
        <v>0</v>
      </c>
      <c r="AA34" s="47"/>
      <c r="AB34" s="30">
        <f>+Z34+AA34</f>
        <v>0</v>
      </c>
      <c r="AC34" s="47"/>
      <c r="AD34" s="30">
        <f>+AB34+AC34</f>
        <v>0</v>
      </c>
      <c r="AE34" s="57">
        <f>AD32/E31</f>
        <v>0</v>
      </c>
    </row>
    <row r="35" spans="1:31" ht="18" customHeight="1">
      <c r="A35" s="138"/>
      <c r="B35" s="99"/>
      <c r="C35" s="99"/>
      <c r="D35" s="109"/>
      <c r="E35" s="102"/>
      <c r="F35" s="99"/>
      <c r="G35" s="3" t="s">
        <v>28</v>
      </c>
      <c r="H35" s="17" t="s">
        <v>28</v>
      </c>
      <c r="I35" s="17" t="s">
        <v>28</v>
      </c>
      <c r="J35" s="18" t="s">
        <v>28</v>
      </c>
      <c r="K35" s="17" t="s">
        <v>28</v>
      </c>
      <c r="L35" s="19" t="s">
        <v>28</v>
      </c>
      <c r="M35" s="17" t="s">
        <v>28</v>
      </c>
      <c r="N35" s="19" t="s">
        <v>28</v>
      </c>
      <c r="O35" s="17" t="s">
        <v>28</v>
      </c>
      <c r="P35" s="19" t="s">
        <v>28</v>
      </c>
      <c r="Q35" s="17" t="s">
        <v>28</v>
      </c>
      <c r="R35" s="19" t="s">
        <v>28</v>
      </c>
      <c r="S35" s="17" t="s">
        <v>28</v>
      </c>
      <c r="T35" s="19" t="s">
        <v>28</v>
      </c>
      <c r="U35" s="17" t="s">
        <v>28</v>
      </c>
      <c r="V35" s="19" t="s">
        <v>28</v>
      </c>
      <c r="W35" s="17" t="s">
        <v>28</v>
      </c>
      <c r="X35" s="19" t="s">
        <v>28</v>
      </c>
      <c r="Y35" s="17" t="s">
        <v>28</v>
      </c>
      <c r="Z35" s="19" t="s">
        <v>28</v>
      </c>
      <c r="AA35" s="17" t="s">
        <v>28</v>
      </c>
      <c r="AB35" s="19" t="s">
        <v>28</v>
      </c>
      <c r="AC35" s="17" t="s">
        <v>28</v>
      </c>
      <c r="AD35" s="19" t="s">
        <v>28</v>
      </c>
      <c r="AE35" s="94"/>
    </row>
    <row r="36" spans="1:31" ht="18" customHeight="1">
      <c r="A36" s="139"/>
      <c r="B36" s="100"/>
      <c r="C36" s="100"/>
      <c r="D36" s="110"/>
      <c r="E36" s="103"/>
      <c r="F36" s="99"/>
      <c r="G36" s="68"/>
      <c r="H36" s="20"/>
      <c r="I36" s="20"/>
      <c r="J36" s="21">
        <f>I36</f>
        <v>0</v>
      </c>
      <c r="K36" s="20"/>
      <c r="L36" s="21">
        <f>K36</f>
        <v>0</v>
      </c>
      <c r="M36" s="20"/>
      <c r="N36" s="21">
        <f>M36</f>
        <v>0</v>
      </c>
      <c r="O36" s="20"/>
      <c r="P36" s="21">
        <f>O36</f>
        <v>0</v>
      </c>
      <c r="Q36" s="20"/>
      <c r="R36" s="21">
        <f>Q36</f>
        <v>0</v>
      </c>
      <c r="S36" s="20"/>
      <c r="T36" s="21">
        <f>S36</f>
        <v>0</v>
      </c>
      <c r="U36" s="49"/>
      <c r="V36" s="21">
        <f>U36</f>
        <v>0</v>
      </c>
      <c r="W36" s="20"/>
      <c r="X36" s="21">
        <f>W36</f>
        <v>0</v>
      </c>
      <c r="Y36" s="20"/>
      <c r="Z36" s="21">
        <f>Y36</f>
        <v>0</v>
      </c>
      <c r="AA36" s="20"/>
      <c r="AB36" s="21">
        <f>AA36</f>
        <v>0</v>
      </c>
      <c r="AC36" s="20"/>
      <c r="AD36" s="21">
        <f>AC36</f>
        <v>0</v>
      </c>
      <c r="AE36" s="121"/>
    </row>
    <row r="37" spans="1:31" ht="19.899999999999999" customHeight="1">
      <c r="A37" s="98" t="s">
        <v>44</v>
      </c>
      <c r="B37" s="98" t="s">
        <v>45</v>
      </c>
      <c r="C37" s="98" t="s">
        <v>46</v>
      </c>
      <c r="D37" s="108">
        <v>0.15</v>
      </c>
      <c r="E37" s="101">
        <v>1</v>
      </c>
      <c r="F37" s="98" t="s">
        <v>47</v>
      </c>
      <c r="G37" s="1" t="s">
        <v>25</v>
      </c>
      <c r="H37" s="9" t="s">
        <v>25</v>
      </c>
      <c r="I37" s="9" t="s">
        <v>25</v>
      </c>
      <c r="J37" s="10" t="s">
        <v>25</v>
      </c>
      <c r="K37" s="31" t="s">
        <v>25</v>
      </c>
      <c r="L37" s="11" t="s">
        <v>25</v>
      </c>
      <c r="M37" s="31" t="s">
        <v>25</v>
      </c>
      <c r="N37" s="11" t="s">
        <v>25</v>
      </c>
      <c r="O37" s="31" t="s">
        <v>25</v>
      </c>
      <c r="P37" s="11" t="s">
        <v>25</v>
      </c>
      <c r="Q37" s="31" t="s">
        <v>25</v>
      </c>
      <c r="R37" s="11" t="s">
        <v>25</v>
      </c>
      <c r="S37" s="31" t="s">
        <v>25</v>
      </c>
      <c r="T37" s="11" t="s">
        <v>25</v>
      </c>
      <c r="U37" s="31" t="s">
        <v>25</v>
      </c>
      <c r="V37" s="11" t="s">
        <v>25</v>
      </c>
      <c r="W37" s="9" t="s">
        <v>25</v>
      </c>
      <c r="X37" s="11" t="s">
        <v>25</v>
      </c>
      <c r="Y37" s="9" t="s">
        <v>25</v>
      </c>
      <c r="Z37" s="11" t="s">
        <v>25</v>
      </c>
      <c r="AA37" s="9" t="s">
        <v>25</v>
      </c>
      <c r="AB37" s="11" t="s">
        <v>25</v>
      </c>
      <c r="AC37" s="9" t="s">
        <v>25</v>
      </c>
      <c r="AD37" s="36" t="s">
        <v>25</v>
      </c>
      <c r="AE37" s="59"/>
    </row>
    <row r="38" spans="1:31" ht="19.899999999999999" customHeight="1">
      <c r="A38" s="138"/>
      <c r="B38" s="99"/>
      <c r="C38" s="99"/>
      <c r="D38" s="109"/>
      <c r="E38" s="102"/>
      <c r="F38" s="99"/>
      <c r="G38" s="69">
        <f t="shared" ref="G38:I38" si="8">IF(G40&lt;&gt;0,ROUND(+G40/G42,4),0%)</f>
        <v>0</v>
      </c>
      <c r="H38" s="66">
        <f t="shared" si="8"/>
        <v>0</v>
      </c>
      <c r="I38" s="66">
        <f t="shared" si="8"/>
        <v>0</v>
      </c>
      <c r="J38" s="46">
        <f>IF(J40&lt;&gt;0,ROUND(+J40/J42,4),0%)</f>
        <v>0</v>
      </c>
      <c r="K38" s="66">
        <f t="shared" ref="K38:AD38" si="9">IF(K40&lt;&gt;0,ROUND(+K40/K42,4),0%)</f>
        <v>0</v>
      </c>
      <c r="L38" s="12">
        <f t="shared" si="9"/>
        <v>0</v>
      </c>
      <c r="M38" s="65">
        <f t="shared" si="9"/>
        <v>0</v>
      </c>
      <c r="N38" s="12">
        <f t="shared" si="9"/>
        <v>0</v>
      </c>
      <c r="O38" s="65">
        <f t="shared" si="9"/>
        <v>0</v>
      </c>
      <c r="P38" s="12">
        <f t="shared" si="9"/>
        <v>0</v>
      </c>
      <c r="Q38" s="65">
        <f t="shared" si="9"/>
        <v>0</v>
      </c>
      <c r="R38" s="12">
        <f t="shared" si="9"/>
        <v>0</v>
      </c>
      <c r="S38" s="65">
        <f t="shared" si="9"/>
        <v>0</v>
      </c>
      <c r="T38" s="12">
        <f t="shared" si="9"/>
        <v>0</v>
      </c>
      <c r="U38" s="65">
        <f t="shared" si="9"/>
        <v>0</v>
      </c>
      <c r="V38" s="12">
        <f t="shared" si="9"/>
        <v>0</v>
      </c>
      <c r="W38" s="65">
        <f t="shared" si="9"/>
        <v>0</v>
      </c>
      <c r="X38" s="12">
        <f t="shared" si="9"/>
        <v>0</v>
      </c>
      <c r="Y38" s="65">
        <f t="shared" si="9"/>
        <v>0</v>
      </c>
      <c r="Z38" s="12">
        <f t="shared" si="9"/>
        <v>0</v>
      </c>
      <c r="AA38" s="65">
        <f t="shared" si="9"/>
        <v>0</v>
      </c>
      <c r="AB38" s="12">
        <f t="shared" si="9"/>
        <v>0</v>
      </c>
      <c r="AC38" s="65">
        <f t="shared" si="9"/>
        <v>0</v>
      </c>
      <c r="AD38" s="12">
        <f t="shared" si="9"/>
        <v>0</v>
      </c>
      <c r="AE38" s="13"/>
    </row>
    <row r="39" spans="1:31" ht="19.899999999999999" customHeight="1">
      <c r="A39" s="138"/>
      <c r="B39" s="99"/>
      <c r="C39" s="99"/>
      <c r="D39" s="109"/>
      <c r="E39" s="102"/>
      <c r="F39" s="99"/>
      <c r="G39" s="2" t="s">
        <v>26</v>
      </c>
      <c r="H39" s="14" t="s">
        <v>26</v>
      </c>
      <c r="I39" s="14"/>
      <c r="J39" s="15" t="s">
        <v>26</v>
      </c>
      <c r="K39" s="32" t="s">
        <v>26</v>
      </c>
      <c r="L39" s="16" t="s">
        <v>26</v>
      </c>
      <c r="M39" s="32" t="s">
        <v>26</v>
      </c>
      <c r="N39" s="16" t="s">
        <v>26</v>
      </c>
      <c r="O39" s="32" t="s">
        <v>26</v>
      </c>
      <c r="P39" s="16" t="s">
        <v>26</v>
      </c>
      <c r="Q39" s="32" t="s">
        <v>26</v>
      </c>
      <c r="R39" s="16" t="s">
        <v>26</v>
      </c>
      <c r="S39" s="32" t="s">
        <v>26</v>
      </c>
      <c r="T39" s="16" t="s">
        <v>26</v>
      </c>
      <c r="U39" s="32" t="s">
        <v>26</v>
      </c>
      <c r="V39" s="16" t="s">
        <v>26</v>
      </c>
      <c r="W39" s="33" t="s">
        <v>26</v>
      </c>
      <c r="X39" s="16" t="s">
        <v>26</v>
      </c>
      <c r="Y39" s="14" t="s">
        <v>26</v>
      </c>
      <c r="Z39" s="16" t="s">
        <v>26</v>
      </c>
      <c r="AA39" s="14" t="s">
        <v>26</v>
      </c>
      <c r="AB39" s="16" t="s">
        <v>26</v>
      </c>
      <c r="AC39" s="14" t="s">
        <v>26</v>
      </c>
      <c r="AD39" s="37" t="s">
        <v>26</v>
      </c>
      <c r="AE39" s="63"/>
    </row>
    <row r="40" spans="1:31" ht="19.899999999999999" customHeight="1">
      <c r="A40" s="138"/>
      <c r="B40" s="99"/>
      <c r="C40" s="99"/>
      <c r="D40" s="109"/>
      <c r="E40" s="102"/>
      <c r="F40" s="98" t="s">
        <v>48</v>
      </c>
      <c r="G40" s="67"/>
      <c r="H40" s="47"/>
      <c r="I40" s="47"/>
      <c r="J40" s="30">
        <f>+H40+I40</f>
        <v>0</v>
      </c>
      <c r="K40" s="47"/>
      <c r="L40" s="30">
        <f>+J40+K40</f>
        <v>0</v>
      </c>
      <c r="M40" s="47"/>
      <c r="N40" s="30">
        <f>+L40+M40</f>
        <v>0</v>
      </c>
      <c r="O40" s="47"/>
      <c r="P40" s="30">
        <f>+N40+O40</f>
        <v>0</v>
      </c>
      <c r="Q40" s="47"/>
      <c r="R40" s="30">
        <f>+P40+Q40</f>
        <v>0</v>
      </c>
      <c r="S40" s="47"/>
      <c r="T40" s="30">
        <f>+R40+S40</f>
        <v>0</v>
      </c>
      <c r="U40" s="48"/>
      <c r="V40" s="30">
        <f>+T40+U40</f>
        <v>0</v>
      </c>
      <c r="W40" s="47"/>
      <c r="X40" s="30">
        <f>+V40+W40</f>
        <v>0</v>
      </c>
      <c r="Y40" s="47"/>
      <c r="Z40" s="30">
        <f>+X40+Y40</f>
        <v>0</v>
      </c>
      <c r="AA40" s="47"/>
      <c r="AB40" s="30">
        <f>+Z40+AA40</f>
        <v>0</v>
      </c>
      <c r="AC40" s="47"/>
      <c r="AD40" s="30">
        <f>+AB40+AC40</f>
        <v>0</v>
      </c>
      <c r="AE40" s="57">
        <f>AD38/E37</f>
        <v>0</v>
      </c>
    </row>
    <row r="41" spans="1:31" ht="19.899999999999999" customHeight="1">
      <c r="A41" s="138"/>
      <c r="B41" s="99"/>
      <c r="C41" s="99"/>
      <c r="D41" s="109"/>
      <c r="E41" s="102"/>
      <c r="F41" s="99"/>
      <c r="G41" s="3" t="s">
        <v>28</v>
      </c>
      <c r="H41" s="17" t="s">
        <v>28</v>
      </c>
      <c r="I41" s="17" t="s">
        <v>28</v>
      </c>
      <c r="J41" s="18" t="s">
        <v>28</v>
      </c>
      <c r="K41" s="17" t="s">
        <v>28</v>
      </c>
      <c r="L41" s="19" t="s">
        <v>28</v>
      </c>
      <c r="M41" s="17" t="s">
        <v>28</v>
      </c>
      <c r="N41" s="19" t="s">
        <v>28</v>
      </c>
      <c r="O41" s="17" t="s">
        <v>28</v>
      </c>
      <c r="P41" s="19" t="s">
        <v>28</v>
      </c>
      <c r="Q41" s="17" t="s">
        <v>28</v>
      </c>
      <c r="R41" s="19" t="s">
        <v>28</v>
      </c>
      <c r="S41" s="17" t="s">
        <v>28</v>
      </c>
      <c r="T41" s="19" t="s">
        <v>28</v>
      </c>
      <c r="U41" s="17" t="s">
        <v>28</v>
      </c>
      <c r="V41" s="19" t="s">
        <v>28</v>
      </c>
      <c r="W41" s="17" t="s">
        <v>28</v>
      </c>
      <c r="X41" s="19" t="s">
        <v>28</v>
      </c>
      <c r="Y41" s="17" t="s">
        <v>28</v>
      </c>
      <c r="Z41" s="19" t="s">
        <v>28</v>
      </c>
      <c r="AA41" s="17" t="s">
        <v>28</v>
      </c>
      <c r="AB41" s="19" t="s">
        <v>28</v>
      </c>
      <c r="AC41" s="17" t="s">
        <v>28</v>
      </c>
      <c r="AD41" s="19" t="s">
        <v>28</v>
      </c>
      <c r="AE41" s="94"/>
    </row>
    <row r="42" spans="1:31" ht="19.899999999999999" customHeight="1">
      <c r="A42" s="139"/>
      <c r="B42" s="100"/>
      <c r="C42" s="100"/>
      <c r="D42" s="110"/>
      <c r="E42" s="103"/>
      <c r="F42" s="99"/>
      <c r="G42" s="68"/>
      <c r="H42" s="20"/>
      <c r="I42" s="20"/>
      <c r="J42" s="21">
        <f>I42</f>
        <v>0</v>
      </c>
      <c r="K42" s="20"/>
      <c r="L42" s="21">
        <f>K42</f>
        <v>0</v>
      </c>
      <c r="M42" s="20"/>
      <c r="N42" s="21">
        <f>M42</f>
        <v>0</v>
      </c>
      <c r="O42" s="20"/>
      <c r="P42" s="21">
        <f>O42</f>
        <v>0</v>
      </c>
      <c r="Q42" s="20"/>
      <c r="R42" s="21">
        <f>Q42</f>
        <v>0</v>
      </c>
      <c r="S42" s="20"/>
      <c r="T42" s="21">
        <f>S42</f>
        <v>0</v>
      </c>
      <c r="U42" s="49"/>
      <c r="V42" s="21">
        <f>U42</f>
        <v>0</v>
      </c>
      <c r="W42" s="20"/>
      <c r="X42" s="21">
        <f>W42</f>
        <v>0</v>
      </c>
      <c r="Y42" s="20"/>
      <c r="Z42" s="21">
        <f>Y42</f>
        <v>0</v>
      </c>
      <c r="AA42" s="20"/>
      <c r="AB42" s="21">
        <f>AA42</f>
        <v>0</v>
      </c>
      <c r="AC42" s="20"/>
      <c r="AD42" s="21">
        <f>AC42</f>
        <v>0</v>
      </c>
      <c r="AE42" s="121"/>
    </row>
    <row r="43" spans="1:31" ht="19.899999999999999" customHeight="1">
      <c r="A43" s="98" t="s">
        <v>49</v>
      </c>
      <c r="B43" s="95" t="s">
        <v>50</v>
      </c>
      <c r="C43" s="98" t="s">
        <v>51</v>
      </c>
      <c r="D43" s="108">
        <v>0.1</v>
      </c>
      <c r="E43" s="115">
        <v>0.66669999999999996</v>
      </c>
      <c r="F43" s="104" t="s">
        <v>52</v>
      </c>
      <c r="G43" s="1" t="s">
        <v>25</v>
      </c>
      <c r="H43" s="9" t="s">
        <v>25</v>
      </c>
      <c r="I43" s="9" t="s">
        <v>25</v>
      </c>
      <c r="J43" s="10" t="s">
        <v>25</v>
      </c>
      <c r="K43" s="31" t="s">
        <v>25</v>
      </c>
      <c r="L43" s="11" t="s">
        <v>25</v>
      </c>
      <c r="M43" s="31" t="s">
        <v>25</v>
      </c>
      <c r="N43" s="11" t="s">
        <v>25</v>
      </c>
      <c r="O43" s="31" t="s">
        <v>25</v>
      </c>
      <c r="P43" s="11" t="s">
        <v>25</v>
      </c>
      <c r="Q43" s="31" t="s">
        <v>25</v>
      </c>
      <c r="R43" s="11" t="s">
        <v>25</v>
      </c>
      <c r="S43" s="31" t="s">
        <v>25</v>
      </c>
      <c r="T43" s="11" t="s">
        <v>25</v>
      </c>
      <c r="U43" s="31" t="s">
        <v>25</v>
      </c>
      <c r="V43" s="11" t="s">
        <v>25</v>
      </c>
      <c r="W43" s="9" t="s">
        <v>25</v>
      </c>
      <c r="X43" s="11" t="s">
        <v>25</v>
      </c>
      <c r="Y43" s="9" t="s">
        <v>25</v>
      </c>
      <c r="Z43" s="11" t="s">
        <v>25</v>
      </c>
      <c r="AA43" s="9" t="s">
        <v>25</v>
      </c>
      <c r="AB43" s="11" t="s">
        <v>25</v>
      </c>
      <c r="AC43" s="9" t="s">
        <v>25</v>
      </c>
      <c r="AD43" s="36" t="s">
        <v>25</v>
      </c>
      <c r="AE43" s="59"/>
    </row>
    <row r="44" spans="1:31" ht="19.899999999999999" customHeight="1">
      <c r="A44" s="138"/>
      <c r="B44" s="96"/>
      <c r="C44" s="99"/>
      <c r="D44" s="109"/>
      <c r="E44" s="116"/>
      <c r="F44" s="105"/>
      <c r="G44" s="69">
        <f t="shared" ref="G44:I44" si="10">IF(G46&lt;&gt;0,ROUND(+G46/G48,4),0%)</f>
        <v>0</v>
      </c>
      <c r="H44" s="66">
        <f t="shared" si="10"/>
        <v>0</v>
      </c>
      <c r="I44" s="66">
        <f t="shared" si="10"/>
        <v>0</v>
      </c>
      <c r="J44" s="46">
        <f>IF(J46&lt;&gt;0,ROUND(+J46/J48,4),0%)</f>
        <v>0</v>
      </c>
      <c r="K44" s="66">
        <f t="shared" ref="K44:AD44" si="11">IF(K46&lt;&gt;0,ROUND(+K46/K48,4),0%)</f>
        <v>0</v>
      </c>
      <c r="L44" s="12">
        <f t="shared" si="11"/>
        <v>0</v>
      </c>
      <c r="M44" s="65">
        <f t="shared" si="11"/>
        <v>0</v>
      </c>
      <c r="N44" s="12">
        <f t="shared" si="11"/>
        <v>0</v>
      </c>
      <c r="O44" s="65">
        <f t="shared" si="11"/>
        <v>0</v>
      </c>
      <c r="P44" s="12">
        <f t="shared" si="11"/>
        <v>0</v>
      </c>
      <c r="Q44" s="65">
        <f t="shared" si="11"/>
        <v>0</v>
      </c>
      <c r="R44" s="12">
        <f t="shared" si="11"/>
        <v>0</v>
      </c>
      <c r="S44" s="65">
        <f t="shared" si="11"/>
        <v>0</v>
      </c>
      <c r="T44" s="12">
        <f t="shared" si="11"/>
        <v>0</v>
      </c>
      <c r="U44" s="65">
        <f t="shared" si="11"/>
        <v>0</v>
      </c>
      <c r="V44" s="12">
        <f t="shared" si="11"/>
        <v>0</v>
      </c>
      <c r="W44" s="65">
        <f t="shared" si="11"/>
        <v>0</v>
      </c>
      <c r="X44" s="12">
        <f t="shared" si="11"/>
        <v>0</v>
      </c>
      <c r="Y44" s="65">
        <f t="shared" si="11"/>
        <v>0</v>
      </c>
      <c r="Z44" s="12">
        <f t="shared" si="11"/>
        <v>0</v>
      </c>
      <c r="AA44" s="65">
        <f t="shared" si="11"/>
        <v>0</v>
      </c>
      <c r="AB44" s="12">
        <f t="shared" si="11"/>
        <v>0</v>
      </c>
      <c r="AC44" s="65">
        <f t="shared" si="11"/>
        <v>0</v>
      </c>
      <c r="AD44" s="12">
        <f t="shared" si="11"/>
        <v>0</v>
      </c>
      <c r="AE44" s="13"/>
    </row>
    <row r="45" spans="1:31" ht="19.899999999999999" customHeight="1">
      <c r="A45" s="138"/>
      <c r="B45" s="96"/>
      <c r="C45" s="99"/>
      <c r="D45" s="109"/>
      <c r="E45" s="116"/>
      <c r="F45" s="105"/>
      <c r="G45" s="2" t="s">
        <v>26</v>
      </c>
      <c r="H45" s="14" t="s">
        <v>26</v>
      </c>
      <c r="I45" s="14"/>
      <c r="J45" s="15" t="s">
        <v>26</v>
      </c>
      <c r="K45" s="32" t="s">
        <v>26</v>
      </c>
      <c r="L45" s="16" t="s">
        <v>26</v>
      </c>
      <c r="M45" s="32" t="s">
        <v>26</v>
      </c>
      <c r="N45" s="16" t="s">
        <v>26</v>
      </c>
      <c r="O45" s="32" t="s">
        <v>26</v>
      </c>
      <c r="P45" s="16" t="s">
        <v>26</v>
      </c>
      <c r="Q45" s="32" t="s">
        <v>26</v>
      </c>
      <c r="R45" s="16" t="s">
        <v>26</v>
      </c>
      <c r="S45" s="32" t="s">
        <v>26</v>
      </c>
      <c r="T45" s="16" t="s">
        <v>26</v>
      </c>
      <c r="U45" s="32" t="s">
        <v>26</v>
      </c>
      <c r="V45" s="16" t="s">
        <v>26</v>
      </c>
      <c r="W45" s="33" t="s">
        <v>26</v>
      </c>
      <c r="X45" s="16" t="s">
        <v>26</v>
      </c>
      <c r="Y45" s="14" t="s">
        <v>26</v>
      </c>
      <c r="Z45" s="16" t="s">
        <v>26</v>
      </c>
      <c r="AA45" s="14" t="s">
        <v>26</v>
      </c>
      <c r="AB45" s="16" t="s">
        <v>26</v>
      </c>
      <c r="AC45" s="14" t="s">
        <v>26</v>
      </c>
      <c r="AD45" s="16" t="s">
        <v>26</v>
      </c>
      <c r="AE45" s="63"/>
    </row>
    <row r="46" spans="1:31" ht="19.899999999999999" customHeight="1">
      <c r="A46" s="138"/>
      <c r="B46" s="96"/>
      <c r="C46" s="99"/>
      <c r="D46" s="109"/>
      <c r="E46" s="116"/>
      <c r="F46" s="106" t="s">
        <v>53</v>
      </c>
      <c r="G46" s="67"/>
      <c r="H46" s="47"/>
      <c r="I46" s="47"/>
      <c r="J46" s="30">
        <f>+H46+I46</f>
        <v>0</v>
      </c>
      <c r="K46" s="47"/>
      <c r="L46" s="30">
        <f>+J46+K46</f>
        <v>0</v>
      </c>
      <c r="M46" s="47"/>
      <c r="N46" s="30">
        <f>+L46+M46</f>
        <v>0</v>
      </c>
      <c r="O46" s="47"/>
      <c r="P46" s="30">
        <f>+N46+O46</f>
        <v>0</v>
      </c>
      <c r="Q46" s="47"/>
      <c r="R46" s="30">
        <f>+P46+Q46</f>
        <v>0</v>
      </c>
      <c r="S46" s="47"/>
      <c r="T46" s="30">
        <f>+R46+S46</f>
        <v>0</v>
      </c>
      <c r="U46" s="48"/>
      <c r="V46" s="30">
        <f>+T46+U46</f>
        <v>0</v>
      </c>
      <c r="W46" s="47"/>
      <c r="X46" s="30">
        <f>+V46+W46</f>
        <v>0</v>
      </c>
      <c r="Y46" s="47"/>
      <c r="Z46" s="30">
        <f>+X46+Y46</f>
        <v>0</v>
      </c>
      <c r="AA46" s="47"/>
      <c r="AB46" s="30">
        <f>+Z46+AA46</f>
        <v>0</v>
      </c>
      <c r="AC46" s="47"/>
      <c r="AD46" s="30">
        <f>+AB46+AC46</f>
        <v>0</v>
      </c>
      <c r="AE46" s="57">
        <f>AD44/E43</f>
        <v>0</v>
      </c>
    </row>
    <row r="47" spans="1:31" ht="19.899999999999999" customHeight="1">
      <c r="A47" s="138"/>
      <c r="B47" s="96"/>
      <c r="C47" s="99"/>
      <c r="D47" s="109"/>
      <c r="E47" s="116"/>
      <c r="F47" s="105"/>
      <c r="G47" s="3" t="s">
        <v>28</v>
      </c>
      <c r="H47" s="17" t="s">
        <v>28</v>
      </c>
      <c r="I47" s="17" t="s">
        <v>28</v>
      </c>
      <c r="J47" s="18" t="s">
        <v>28</v>
      </c>
      <c r="K47" s="17" t="s">
        <v>28</v>
      </c>
      <c r="L47" s="19" t="s">
        <v>28</v>
      </c>
      <c r="M47" s="17" t="s">
        <v>28</v>
      </c>
      <c r="N47" s="19" t="s">
        <v>28</v>
      </c>
      <c r="O47" s="17" t="s">
        <v>28</v>
      </c>
      <c r="P47" s="19" t="s">
        <v>28</v>
      </c>
      <c r="Q47" s="17" t="s">
        <v>28</v>
      </c>
      <c r="R47" s="19" t="s">
        <v>28</v>
      </c>
      <c r="S47" s="17" t="s">
        <v>28</v>
      </c>
      <c r="T47" s="19" t="s">
        <v>28</v>
      </c>
      <c r="U47" s="17" t="s">
        <v>28</v>
      </c>
      <c r="V47" s="19" t="s">
        <v>28</v>
      </c>
      <c r="W47" s="17" t="s">
        <v>28</v>
      </c>
      <c r="X47" s="19" t="s">
        <v>28</v>
      </c>
      <c r="Y47" s="17" t="s">
        <v>28</v>
      </c>
      <c r="Z47" s="19" t="s">
        <v>28</v>
      </c>
      <c r="AA47" s="17" t="s">
        <v>28</v>
      </c>
      <c r="AB47" s="19" t="s">
        <v>28</v>
      </c>
      <c r="AC47" s="17" t="s">
        <v>28</v>
      </c>
      <c r="AD47" s="19" t="s">
        <v>28</v>
      </c>
      <c r="AE47" s="94"/>
    </row>
    <row r="48" spans="1:31" ht="19.899999999999999" customHeight="1">
      <c r="A48" s="139"/>
      <c r="B48" s="97"/>
      <c r="C48" s="100"/>
      <c r="D48" s="110"/>
      <c r="E48" s="117"/>
      <c r="F48" s="107"/>
      <c r="G48" s="68"/>
      <c r="H48" s="20"/>
      <c r="I48" s="20"/>
      <c r="J48" s="21">
        <f>I48</f>
        <v>0</v>
      </c>
      <c r="K48" s="20"/>
      <c r="L48" s="21">
        <f>K48</f>
        <v>0</v>
      </c>
      <c r="M48" s="20"/>
      <c r="N48" s="21">
        <f>M48</f>
        <v>0</v>
      </c>
      <c r="O48" s="20"/>
      <c r="P48" s="21">
        <f>O48</f>
        <v>0</v>
      </c>
      <c r="Q48" s="20"/>
      <c r="R48" s="21">
        <f>Q48</f>
        <v>0</v>
      </c>
      <c r="S48" s="20"/>
      <c r="T48" s="21">
        <f>S48</f>
        <v>0</v>
      </c>
      <c r="U48" s="49"/>
      <c r="V48" s="21">
        <f>U48</f>
        <v>0</v>
      </c>
      <c r="W48" s="20"/>
      <c r="X48" s="21">
        <f>W48</f>
        <v>0</v>
      </c>
      <c r="Y48" s="20"/>
      <c r="Z48" s="21">
        <f>Y48</f>
        <v>0</v>
      </c>
      <c r="AA48" s="20"/>
      <c r="AB48" s="21">
        <f>AA48</f>
        <v>0</v>
      </c>
      <c r="AC48" s="20"/>
      <c r="AD48" s="21">
        <f>AC48</f>
        <v>0</v>
      </c>
      <c r="AE48" s="121"/>
    </row>
    <row r="49" spans="1:31" ht="19.899999999999999" customHeight="1">
      <c r="A49" s="98" t="s">
        <v>54</v>
      </c>
      <c r="B49" s="95" t="s">
        <v>55</v>
      </c>
      <c r="C49" s="98" t="s">
        <v>56</v>
      </c>
      <c r="D49" s="108">
        <v>0.1</v>
      </c>
      <c r="E49" s="101">
        <v>1</v>
      </c>
      <c r="F49" s="104" t="s">
        <v>57</v>
      </c>
      <c r="G49" s="1" t="s">
        <v>25</v>
      </c>
      <c r="H49" s="9" t="s">
        <v>25</v>
      </c>
      <c r="I49" s="9" t="s">
        <v>25</v>
      </c>
      <c r="J49" s="10" t="s">
        <v>25</v>
      </c>
      <c r="K49" s="31" t="s">
        <v>25</v>
      </c>
      <c r="L49" s="11" t="s">
        <v>25</v>
      </c>
      <c r="M49" s="31" t="s">
        <v>25</v>
      </c>
      <c r="N49" s="11" t="s">
        <v>25</v>
      </c>
      <c r="O49" s="31" t="s">
        <v>25</v>
      </c>
      <c r="P49" s="11" t="s">
        <v>25</v>
      </c>
      <c r="Q49" s="31" t="s">
        <v>25</v>
      </c>
      <c r="R49" s="11" t="s">
        <v>25</v>
      </c>
      <c r="S49" s="31" t="s">
        <v>25</v>
      </c>
      <c r="T49" s="11" t="s">
        <v>25</v>
      </c>
      <c r="U49" s="31" t="s">
        <v>25</v>
      </c>
      <c r="V49" s="11" t="s">
        <v>25</v>
      </c>
      <c r="W49" s="9" t="s">
        <v>25</v>
      </c>
      <c r="X49" s="11" t="s">
        <v>25</v>
      </c>
      <c r="Y49" s="9" t="s">
        <v>25</v>
      </c>
      <c r="Z49" s="11" t="s">
        <v>25</v>
      </c>
      <c r="AA49" s="9" t="s">
        <v>25</v>
      </c>
      <c r="AB49" s="11" t="s">
        <v>25</v>
      </c>
      <c r="AC49" s="9" t="s">
        <v>25</v>
      </c>
      <c r="AD49" s="36" t="s">
        <v>25</v>
      </c>
      <c r="AE49" s="59"/>
    </row>
    <row r="50" spans="1:31" ht="19.899999999999999" customHeight="1">
      <c r="A50" s="138"/>
      <c r="B50" s="96"/>
      <c r="C50" s="99"/>
      <c r="D50" s="109"/>
      <c r="E50" s="102"/>
      <c r="F50" s="105"/>
      <c r="G50" s="69">
        <f t="shared" ref="G50:I50" si="12">IF(G52&lt;&gt;0,ROUND(+G52/G54,4),0%)</f>
        <v>0</v>
      </c>
      <c r="H50" s="66">
        <f t="shared" si="12"/>
        <v>0</v>
      </c>
      <c r="I50" s="66">
        <f t="shared" si="12"/>
        <v>0</v>
      </c>
      <c r="J50" s="46">
        <f>IF(J52&lt;&gt;0,ROUND(+J52/J54,4),0%)</f>
        <v>0</v>
      </c>
      <c r="K50" s="66">
        <f t="shared" ref="K50:AD50" si="13">IF(K52&lt;&gt;0,ROUND(+K52/K54,4),0%)</f>
        <v>0</v>
      </c>
      <c r="L50" s="12">
        <f t="shared" si="13"/>
        <v>0</v>
      </c>
      <c r="M50" s="65">
        <f t="shared" si="13"/>
        <v>0</v>
      </c>
      <c r="N50" s="12">
        <f t="shared" si="13"/>
        <v>0</v>
      </c>
      <c r="O50" s="65">
        <f t="shared" si="13"/>
        <v>0</v>
      </c>
      <c r="P50" s="12">
        <f t="shared" si="13"/>
        <v>0</v>
      </c>
      <c r="Q50" s="65">
        <f t="shared" si="13"/>
        <v>0</v>
      </c>
      <c r="R50" s="12">
        <f t="shared" si="13"/>
        <v>0</v>
      </c>
      <c r="S50" s="65">
        <f t="shared" si="13"/>
        <v>0</v>
      </c>
      <c r="T50" s="12">
        <f t="shared" si="13"/>
        <v>0</v>
      </c>
      <c r="U50" s="65">
        <f t="shared" si="13"/>
        <v>0</v>
      </c>
      <c r="V50" s="12">
        <f t="shared" si="13"/>
        <v>0</v>
      </c>
      <c r="W50" s="65">
        <f t="shared" si="13"/>
        <v>0</v>
      </c>
      <c r="X50" s="12">
        <f t="shared" si="13"/>
        <v>0</v>
      </c>
      <c r="Y50" s="65">
        <f t="shared" si="13"/>
        <v>0</v>
      </c>
      <c r="Z50" s="12">
        <f t="shared" si="13"/>
        <v>0</v>
      </c>
      <c r="AA50" s="65">
        <f t="shared" si="13"/>
        <v>0</v>
      </c>
      <c r="AB50" s="12">
        <f t="shared" si="13"/>
        <v>0</v>
      </c>
      <c r="AC50" s="65">
        <f t="shared" si="13"/>
        <v>0</v>
      </c>
      <c r="AD50" s="12">
        <f t="shared" si="13"/>
        <v>0</v>
      </c>
      <c r="AE50" s="13"/>
    </row>
    <row r="51" spans="1:31" ht="19.899999999999999" customHeight="1">
      <c r="A51" s="138"/>
      <c r="B51" s="96"/>
      <c r="C51" s="99"/>
      <c r="D51" s="109"/>
      <c r="E51" s="102"/>
      <c r="F51" s="105"/>
      <c r="G51" s="2" t="s">
        <v>26</v>
      </c>
      <c r="H51" s="14" t="s">
        <v>26</v>
      </c>
      <c r="I51" s="14"/>
      <c r="J51" s="15" t="s">
        <v>26</v>
      </c>
      <c r="K51" s="32" t="s">
        <v>26</v>
      </c>
      <c r="L51" s="16" t="s">
        <v>26</v>
      </c>
      <c r="M51" s="32" t="s">
        <v>26</v>
      </c>
      <c r="N51" s="16" t="s">
        <v>26</v>
      </c>
      <c r="O51" s="32" t="s">
        <v>26</v>
      </c>
      <c r="P51" s="16" t="s">
        <v>26</v>
      </c>
      <c r="Q51" s="32" t="s">
        <v>26</v>
      </c>
      <c r="R51" s="16" t="s">
        <v>26</v>
      </c>
      <c r="S51" s="32" t="s">
        <v>26</v>
      </c>
      <c r="T51" s="16" t="s">
        <v>26</v>
      </c>
      <c r="U51" s="32" t="s">
        <v>26</v>
      </c>
      <c r="V51" s="16" t="s">
        <v>26</v>
      </c>
      <c r="W51" s="33" t="s">
        <v>26</v>
      </c>
      <c r="X51" s="16" t="s">
        <v>26</v>
      </c>
      <c r="Y51" s="14" t="s">
        <v>26</v>
      </c>
      <c r="Z51" s="16" t="s">
        <v>26</v>
      </c>
      <c r="AA51" s="14" t="s">
        <v>26</v>
      </c>
      <c r="AB51" s="16" t="s">
        <v>26</v>
      </c>
      <c r="AC51" s="14" t="s">
        <v>26</v>
      </c>
      <c r="AD51" s="16" t="s">
        <v>26</v>
      </c>
      <c r="AE51" s="63"/>
    </row>
    <row r="52" spans="1:31" ht="19.899999999999999" customHeight="1">
      <c r="A52" s="138"/>
      <c r="B52" s="96"/>
      <c r="C52" s="99"/>
      <c r="D52" s="109"/>
      <c r="E52" s="102"/>
      <c r="F52" s="106" t="s">
        <v>58</v>
      </c>
      <c r="G52" s="67"/>
      <c r="H52" s="47"/>
      <c r="I52" s="47"/>
      <c r="J52" s="30">
        <f>+H52+I52</f>
        <v>0</v>
      </c>
      <c r="K52" s="47"/>
      <c r="L52" s="30">
        <f>+J52+K52</f>
        <v>0</v>
      </c>
      <c r="M52" s="47"/>
      <c r="N52" s="30">
        <f>+L52+M52</f>
        <v>0</v>
      </c>
      <c r="O52" s="47"/>
      <c r="P52" s="30">
        <f>+N52+O52</f>
        <v>0</v>
      </c>
      <c r="Q52" s="47"/>
      <c r="R52" s="30">
        <f>+P52+Q52</f>
        <v>0</v>
      </c>
      <c r="S52" s="47"/>
      <c r="T52" s="30">
        <f>+R52+S52</f>
        <v>0</v>
      </c>
      <c r="U52" s="48"/>
      <c r="V52" s="30">
        <f>+T52+U52</f>
        <v>0</v>
      </c>
      <c r="W52" s="47"/>
      <c r="X52" s="30">
        <f>+V52+W52</f>
        <v>0</v>
      </c>
      <c r="Y52" s="47"/>
      <c r="Z52" s="30">
        <f>+X52+Y52</f>
        <v>0</v>
      </c>
      <c r="AA52" s="47"/>
      <c r="AB52" s="30">
        <f>+Z52+AA52</f>
        <v>0</v>
      </c>
      <c r="AC52" s="47"/>
      <c r="AD52" s="30">
        <f>+AB52+AC52</f>
        <v>0</v>
      </c>
      <c r="AE52" s="57">
        <f>AD50/E49</f>
        <v>0</v>
      </c>
    </row>
    <row r="53" spans="1:31" ht="19.899999999999999" customHeight="1">
      <c r="A53" s="138"/>
      <c r="B53" s="96"/>
      <c r="C53" s="99"/>
      <c r="D53" s="109"/>
      <c r="E53" s="102"/>
      <c r="F53" s="105"/>
      <c r="G53" s="3" t="s">
        <v>28</v>
      </c>
      <c r="H53" s="17" t="s">
        <v>28</v>
      </c>
      <c r="I53" s="17" t="s">
        <v>28</v>
      </c>
      <c r="J53" s="18" t="s">
        <v>28</v>
      </c>
      <c r="K53" s="17" t="s">
        <v>28</v>
      </c>
      <c r="L53" s="19" t="s">
        <v>28</v>
      </c>
      <c r="M53" s="17" t="s">
        <v>28</v>
      </c>
      <c r="N53" s="19" t="s">
        <v>28</v>
      </c>
      <c r="O53" s="17" t="s">
        <v>28</v>
      </c>
      <c r="P53" s="19" t="s">
        <v>28</v>
      </c>
      <c r="Q53" s="17" t="s">
        <v>28</v>
      </c>
      <c r="R53" s="19" t="s">
        <v>28</v>
      </c>
      <c r="S53" s="17" t="s">
        <v>28</v>
      </c>
      <c r="T53" s="19" t="s">
        <v>28</v>
      </c>
      <c r="U53" s="17" t="s">
        <v>28</v>
      </c>
      <c r="V53" s="19" t="s">
        <v>28</v>
      </c>
      <c r="W53" s="17" t="s">
        <v>28</v>
      </c>
      <c r="X53" s="19" t="s">
        <v>28</v>
      </c>
      <c r="Y53" s="17" t="s">
        <v>28</v>
      </c>
      <c r="Z53" s="19" t="s">
        <v>28</v>
      </c>
      <c r="AA53" s="17" t="s">
        <v>28</v>
      </c>
      <c r="AB53" s="19" t="s">
        <v>28</v>
      </c>
      <c r="AC53" s="17" t="s">
        <v>28</v>
      </c>
      <c r="AD53" s="19" t="s">
        <v>28</v>
      </c>
      <c r="AE53" s="94"/>
    </row>
    <row r="54" spans="1:31" ht="19.899999999999999" customHeight="1">
      <c r="A54" s="139"/>
      <c r="B54" s="97"/>
      <c r="C54" s="100"/>
      <c r="D54" s="110"/>
      <c r="E54" s="103"/>
      <c r="F54" s="107"/>
      <c r="G54" s="68"/>
      <c r="H54" s="20"/>
      <c r="I54" s="20"/>
      <c r="J54" s="21">
        <f>I54</f>
        <v>0</v>
      </c>
      <c r="K54" s="20"/>
      <c r="L54" s="21">
        <f>K54</f>
        <v>0</v>
      </c>
      <c r="M54" s="20"/>
      <c r="N54" s="21">
        <f>M54</f>
        <v>0</v>
      </c>
      <c r="O54" s="20"/>
      <c r="P54" s="21">
        <f>O54</f>
        <v>0</v>
      </c>
      <c r="Q54" s="20"/>
      <c r="R54" s="21">
        <f>Q54</f>
        <v>0</v>
      </c>
      <c r="S54" s="20"/>
      <c r="T54" s="21">
        <f>S54</f>
        <v>0</v>
      </c>
      <c r="U54" s="49"/>
      <c r="V54" s="21">
        <f>U54</f>
        <v>0</v>
      </c>
      <c r="W54" s="20"/>
      <c r="X54" s="21">
        <f>W54</f>
        <v>0</v>
      </c>
      <c r="Y54" s="20"/>
      <c r="Z54" s="21">
        <f>Y54</f>
        <v>0</v>
      </c>
      <c r="AA54" s="20"/>
      <c r="AB54" s="21">
        <f>AA54</f>
        <v>0</v>
      </c>
      <c r="AC54" s="20"/>
      <c r="AD54" s="21">
        <f>AC54</f>
        <v>0</v>
      </c>
      <c r="AE54" s="94"/>
    </row>
    <row r="55" spans="1:31">
      <c r="AE55" s="64"/>
    </row>
  </sheetData>
  <mergeCells count="95">
    <mergeCell ref="A49:A54"/>
    <mergeCell ref="D19:D24"/>
    <mergeCell ref="D25:D30"/>
    <mergeCell ref="D31:D36"/>
    <mergeCell ref="D37:D42"/>
    <mergeCell ref="D43:D48"/>
    <mergeCell ref="D49:D54"/>
    <mergeCell ref="A19:A24"/>
    <mergeCell ref="A25:A30"/>
    <mergeCell ref="A31:A36"/>
    <mergeCell ref="A37:A42"/>
    <mergeCell ref="A43:A48"/>
    <mergeCell ref="B25:B30"/>
    <mergeCell ref="C25:C30"/>
    <mergeCell ref="D11:D12"/>
    <mergeCell ref="A11:A12"/>
    <mergeCell ref="A13:A18"/>
    <mergeCell ref="D13:D18"/>
    <mergeCell ref="B1:B5"/>
    <mergeCell ref="C1:F5"/>
    <mergeCell ref="B13:B18"/>
    <mergeCell ref="C13:C18"/>
    <mergeCell ref="E13:E18"/>
    <mergeCell ref="F13:F15"/>
    <mergeCell ref="F16:F18"/>
    <mergeCell ref="G1:L1"/>
    <mergeCell ref="G2:L2"/>
    <mergeCell ref="G3:L3"/>
    <mergeCell ref="G4:L4"/>
    <mergeCell ref="G5:L5"/>
    <mergeCell ref="N11:N12"/>
    <mergeCell ref="C6:F6"/>
    <mergeCell ref="G6:L6"/>
    <mergeCell ref="B8:F8"/>
    <mergeCell ref="B9:F9"/>
    <mergeCell ref="B11:B12"/>
    <mergeCell ref="C11:C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Z11:Z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AA11:AA12"/>
    <mergeCell ref="AB11:AB12"/>
    <mergeCell ref="AC11:AC12"/>
    <mergeCell ref="AD11:AD12"/>
    <mergeCell ref="AE11:AE12"/>
    <mergeCell ref="E25:E30"/>
    <mergeCell ref="F25:F27"/>
    <mergeCell ref="F28:F30"/>
    <mergeCell ref="B19:B24"/>
    <mergeCell ref="C19:C24"/>
    <mergeCell ref="E19:E24"/>
    <mergeCell ref="F19:F21"/>
    <mergeCell ref="F22:F24"/>
    <mergeCell ref="AE41:AE42"/>
    <mergeCell ref="B31:B36"/>
    <mergeCell ref="C31:C36"/>
    <mergeCell ref="E31:E36"/>
    <mergeCell ref="F31:F33"/>
    <mergeCell ref="F34:F36"/>
    <mergeCell ref="AE35:AE36"/>
    <mergeCell ref="B37:B42"/>
    <mergeCell ref="C37:C42"/>
    <mergeCell ref="E37:E42"/>
    <mergeCell ref="F37:F39"/>
    <mergeCell ref="F40:F42"/>
    <mergeCell ref="AE53:AE54"/>
    <mergeCell ref="B43:B48"/>
    <mergeCell ref="C43:C48"/>
    <mergeCell ref="E43:E48"/>
    <mergeCell ref="F43:F45"/>
    <mergeCell ref="F46:F48"/>
    <mergeCell ref="AE47:AE48"/>
    <mergeCell ref="B49:B54"/>
    <mergeCell ref="C49:C54"/>
    <mergeCell ref="E49:E54"/>
    <mergeCell ref="F49:F51"/>
    <mergeCell ref="F52:F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zoomScaleNormal="100" workbookViewId="0">
      <selection activeCell="E15" sqref="E15"/>
    </sheetView>
  </sheetViews>
  <sheetFormatPr defaultColWidth="11.42578125" defaultRowHeight="12"/>
  <cols>
    <col min="1" max="1" width="27.85546875" style="70" customWidth="1"/>
    <col min="2" max="2" width="34.85546875" style="70" customWidth="1"/>
    <col min="3" max="3" width="7.42578125" style="70" customWidth="1"/>
    <col min="4" max="4" width="10.42578125" style="70" customWidth="1"/>
    <col min="5" max="5" width="13" style="70" customWidth="1"/>
    <col min="6" max="6" width="11.28515625" style="70" customWidth="1"/>
    <col min="7" max="7" width="8.7109375" style="70" customWidth="1"/>
    <col min="8" max="8" width="12.140625" style="70" customWidth="1"/>
    <col min="9" max="9" width="11.28515625" style="70" customWidth="1"/>
    <col min="10" max="10" width="10.7109375" style="70" customWidth="1"/>
    <col min="11" max="11" width="14.85546875" style="70" customWidth="1"/>
    <col min="12" max="12" width="8.42578125" style="70" customWidth="1"/>
    <col min="13" max="16384" width="11.42578125" style="70"/>
  </cols>
  <sheetData>
    <row r="1" spans="1:14">
      <c r="A1" s="168" t="s">
        <v>61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4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</row>
    <row r="3" spans="1:14">
      <c r="A3" s="170" t="s">
        <v>62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1:14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5" spans="1:14" ht="12" customHeight="1">
      <c r="A5" s="171" t="s">
        <v>63</v>
      </c>
      <c r="B5" s="171" t="s">
        <v>64</v>
      </c>
      <c r="C5" s="171" t="s">
        <v>65</v>
      </c>
      <c r="D5" s="171" t="s">
        <v>66</v>
      </c>
      <c r="E5" s="172" t="s">
        <v>67</v>
      </c>
      <c r="F5" s="172"/>
      <c r="G5" s="171" t="s">
        <v>68</v>
      </c>
      <c r="H5" s="171" t="s">
        <v>69</v>
      </c>
      <c r="I5" s="173" t="s">
        <v>70</v>
      </c>
      <c r="J5" s="173"/>
      <c r="K5" s="173"/>
    </row>
    <row r="6" spans="1:14" ht="21" customHeight="1">
      <c r="A6" s="171"/>
      <c r="B6" s="171"/>
      <c r="C6" s="171"/>
      <c r="D6" s="171"/>
      <c r="E6" s="172"/>
      <c r="F6" s="172"/>
      <c r="G6" s="171"/>
      <c r="H6" s="171"/>
      <c r="I6" s="173"/>
      <c r="J6" s="173"/>
      <c r="K6" s="173"/>
    </row>
    <row r="7" spans="1:14" ht="50.25" customHeight="1">
      <c r="A7" s="171"/>
      <c r="B7" s="171"/>
      <c r="C7" s="171"/>
      <c r="D7" s="171"/>
      <c r="E7" s="82" t="s">
        <v>16</v>
      </c>
      <c r="F7" s="82" t="s">
        <v>71</v>
      </c>
      <c r="G7" s="171"/>
      <c r="H7" s="171"/>
      <c r="I7" s="83" t="s">
        <v>72</v>
      </c>
      <c r="J7" s="83" t="s">
        <v>68</v>
      </c>
      <c r="K7" s="83" t="s">
        <v>65</v>
      </c>
    </row>
    <row r="8" spans="1:14" ht="45" customHeight="1">
      <c r="A8" s="176" t="s">
        <v>22</v>
      </c>
      <c r="B8" s="176" t="s">
        <v>23</v>
      </c>
      <c r="C8" s="178">
        <v>0.15</v>
      </c>
      <c r="D8" s="180">
        <v>1</v>
      </c>
      <c r="E8" s="79">
        <f>+'Plantilla SIG'!AD16</f>
        <v>4</v>
      </c>
      <c r="F8" s="182">
        <f>+'Plantilla SIG'!AD14</f>
        <v>1</v>
      </c>
      <c r="G8" s="174">
        <f>F8/D8</f>
        <v>1</v>
      </c>
      <c r="H8" s="188">
        <f t="shared" ref="H8" si="0">IF(G8&gt;100%,C8,G8*C8)</f>
        <v>0.15</v>
      </c>
      <c r="I8" s="190">
        <v>1</v>
      </c>
      <c r="J8" s="186">
        <f>+I8/D8</f>
        <v>1</v>
      </c>
      <c r="K8" s="186">
        <v>0.15</v>
      </c>
      <c r="M8" s="71"/>
    </row>
    <row r="9" spans="1:14" ht="45" customHeight="1">
      <c r="A9" s="177"/>
      <c r="B9" s="177"/>
      <c r="C9" s="179"/>
      <c r="D9" s="181"/>
      <c r="E9" s="80">
        <f>+'Plantilla SIG'!AD18</f>
        <v>4</v>
      </c>
      <c r="F9" s="183"/>
      <c r="G9" s="175"/>
      <c r="H9" s="187">
        <f t="shared" ref="H9" si="1">IF(G9&gt;100%,D9,G9*D9)</f>
        <v>0</v>
      </c>
      <c r="I9" s="191"/>
      <c r="J9" s="192"/>
      <c r="K9" s="187">
        <f t="shared" ref="K9:K11" si="2">IF(J9&gt;100%,G9,J9*G9)</f>
        <v>0</v>
      </c>
    </row>
    <row r="10" spans="1:14" ht="45" customHeight="1">
      <c r="A10" s="176" t="s">
        <v>30</v>
      </c>
      <c r="B10" s="176" t="s">
        <v>31</v>
      </c>
      <c r="C10" s="184">
        <v>0.15</v>
      </c>
      <c r="D10" s="184">
        <v>1</v>
      </c>
      <c r="E10" s="81">
        <f>+'Plantilla SIG'!AD22</f>
        <v>0</v>
      </c>
      <c r="F10" s="182">
        <f>E10/E11</f>
        <v>0</v>
      </c>
      <c r="G10" s="174">
        <f>F10/D10</f>
        <v>0</v>
      </c>
      <c r="H10" s="188">
        <f t="shared" ref="H10:H12" si="3">IF(G10&gt;100%,C10,G10*C10)</f>
        <v>0</v>
      </c>
      <c r="I10" s="190">
        <f>+Proyecciones!J20</f>
        <v>0</v>
      </c>
      <c r="J10" s="186">
        <f>+I10/D10</f>
        <v>0</v>
      </c>
      <c r="K10" s="186">
        <f t="shared" ref="K10" si="4">IF(J10&gt;100%,C10,J10*C10)</f>
        <v>0</v>
      </c>
      <c r="M10" s="71"/>
      <c r="N10" s="70" t="s">
        <v>73</v>
      </c>
    </row>
    <row r="11" spans="1:14" ht="45" customHeight="1">
      <c r="A11" s="177"/>
      <c r="B11" s="177"/>
      <c r="C11" s="185"/>
      <c r="D11" s="185"/>
      <c r="E11" s="81">
        <f>+'Plantilla SIG'!AD24</f>
        <v>1</v>
      </c>
      <c r="F11" s="183"/>
      <c r="G11" s="175"/>
      <c r="H11" s="189">
        <f t="shared" ref="H11:H13" si="5">IF(G11&gt;100%,D11,G11*D11)</f>
        <v>0</v>
      </c>
      <c r="I11" s="191"/>
      <c r="J11" s="192"/>
      <c r="K11" s="187">
        <f t="shared" si="2"/>
        <v>0</v>
      </c>
    </row>
    <row r="12" spans="1:14" ht="45" customHeight="1">
      <c r="A12" s="176" t="s">
        <v>35</v>
      </c>
      <c r="B12" s="176" t="s">
        <v>36</v>
      </c>
      <c r="C12" s="184">
        <v>0.2</v>
      </c>
      <c r="D12" s="184">
        <v>1</v>
      </c>
      <c r="E12" s="81">
        <f>+'Plantilla SIG'!AD28</f>
        <v>1</v>
      </c>
      <c r="F12" s="193">
        <f>+'Plantilla SIG'!AD26</f>
        <v>0.2</v>
      </c>
      <c r="G12" s="182">
        <f>F12/D12</f>
        <v>0.2</v>
      </c>
      <c r="H12" s="188">
        <f t="shared" si="3"/>
        <v>4.0000000000000008E-2</v>
      </c>
      <c r="I12" s="195">
        <v>0.2</v>
      </c>
      <c r="J12" s="186">
        <f>+I12/D12</f>
        <v>0.2</v>
      </c>
      <c r="K12" s="186">
        <f t="shared" ref="K12" si="6">IF(J12&gt;100%,C12,J12*C12)</f>
        <v>4.0000000000000008E-2</v>
      </c>
      <c r="M12" s="71"/>
      <c r="N12" s="71"/>
    </row>
    <row r="13" spans="1:14" ht="45" customHeight="1">
      <c r="A13" s="177"/>
      <c r="B13" s="177"/>
      <c r="C13" s="185"/>
      <c r="D13" s="185"/>
      <c r="E13" s="81">
        <f>+'Plantilla SIG'!AD30</f>
        <v>5</v>
      </c>
      <c r="F13" s="194"/>
      <c r="G13" s="183"/>
      <c r="H13" s="189">
        <f t="shared" si="5"/>
        <v>0</v>
      </c>
      <c r="I13" s="196"/>
      <c r="J13" s="192"/>
      <c r="K13" s="192">
        <f t="shared" ref="K13" si="7">IF(J13&gt;100%,G13,J13*G13)</f>
        <v>0</v>
      </c>
    </row>
    <row r="14" spans="1:14" ht="45" customHeight="1">
      <c r="A14" s="176" t="s">
        <v>74</v>
      </c>
      <c r="B14" s="176" t="s">
        <v>41</v>
      </c>
      <c r="C14" s="184">
        <v>0.15</v>
      </c>
      <c r="D14" s="180">
        <v>1</v>
      </c>
      <c r="E14" s="81">
        <f>'Plantilla SIG'!AD34</f>
        <v>2</v>
      </c>
      <c r="F14" s="182">
        <f>'Plantilla SIG'!AD32</f>
        <v>0.5</v>
      </c>
      <c r="G14" s="182">
        <f>F14/D14</f>
        <v>0.5</v>
      </c>
      <c r="H14" s="188">
        <f t="shared" ref="H14:H20" si="8">IF(G14&gt;100%,C14,G14*C14)</f>
        <v>7.4999999999999997E-2</v>
      </c>
      <c r="I14" s="197">
        <v>0.5</v>
      </c>
      <c r="J14" s="186">
        <f>+I14/D14</f>
        <v>0.5</v>
      </c>
      <c r="K14" s="186">
        <f t="shared" ref="K14" si="9">IF(J14&gt;100%,C14,J14*C14)</f>
        <v>7.4999999999999997E-2</v>
      </c>
      <c r="M14" s="71"/>
    </row>
    <row r="15" spans="1:14" ht="45" customHeight="1">
      <c r="A15" s="177"/>
      <c r="B15" s="177"/>
      <c r="C15" s="185"/>
      <c r="D15" s="181"/>
      <c r="E15" s="81">
        <f>'Plantilla SIG'!AD36</f>
        <v>4</v>
      </c>
      <c r="F15" s="183"/>
      <c r="G15" s="183"/>
      <c r="H15" s="189">
        <f t="shared" ref="H15:H21" si="10">IF(G15&gt;100%,D15,G15*D15)</f>
        <v>0</v>
      </c>
      <c r="I15" s="191"/>
      <c r="J15" s="192"/>
      <c r="K15" s="192">
        <f t="shared" ref="K15" si="11">IF(J15&gt;100%,G15,J15*G15)</f>
        <v>0</v>
      </c>
    </row>
    <row r="16" spans="1:14" ht="45" customHeight="1">
      <c r="A16" s="176" t="s">
        <v>75</v>
      </c>
      <c r="B16" s="176" t="s">
        <v>46</v>
      </c>
      <c r="C16" s="184">
        <v>0.15</v>
      </c>
      <c r="D16" s="180">
        <v>1</v>
      </c>
      <c r="E16" s="81">
        <f>'Plantilla SIG'!AD40</f>
        <v>1</v>
      </c>
      <c r="F16" s="182">
        <f>'Plantilla SIG'!AD38</f>
        <v>0.5</v>
      </c>
      <c r="G16" s="182">
        <f>F16/D16</f>
        <v>0.5</v>
      </c>
      <c r="H16" s="188">
        <f t="shared" si="8"/>
        <v>7.4999999999999997E-2</v>
      </c>
      <c r="I16" s="197">
        <v>0.5</v>
      </c>
      <c r="J16" s="186">
        <f>+I16/D16</f>
        <v>0.5</v>
      </c>
      <c r="K16" s="186">
        <f t="shared" ref="K16:K18" si="12">IF(J16&gt;100%,C16,J16*C16)</f>
        <v>7.4999999999999997E-2</v>
      </c>
      <c r="M16" s="71"/>
    </row>
    <row r="17" spans="1:13" ht="45" customHeight="1">
      <c r="A17" s="177"/>
      <c r="B17" s="177"/>
      <c r="C17" s="185"/>
      <c r="D17" s="181"/>
      <c r="E17" s="81">
        <f>'Plantilla SIG'!AD42</f>
        <v>2</v>
      </c>
      <c r="F17" s="183"/>
      <c r="G17" s="183"/>
      <c r="H17" s="189">
        <f t="shared" si="10"/>
        <v>0</v>
      </c>
      <c r="I17" s="191"/>
      <c r="J17" s="192"/>
      <c r="K17" s="192">
        <f t="shared" ref="K17:K19" si="13">IF(J17&gt;100%,G17,J17*G17)</f>
        <v>0</v>
      </c>
    </row>
    <row r="18" spans="1:13" ht="45" customHeight="1">
      <c r="A18" s="176" t="s">
        <v>76</v>
      </c>
      <c r="B18" s="176" t="s">
        <v>51</v>
      </c>
      <c r="C18" s="184">
        <v>0.1</v>
      </c>
      <c r="D18" s="180">
        <v>1</v>
      </c>
      <c r="E18" s="92">
        <f>'Plantilla SIG'!AD46</f>
        <v>2</v>
      </c>
      <c r="F18" s="182">
        <f>'Plantilla SIG'!AD44</f>
        <v>0.66669999999999996</v>
      </c>
      <c r="G18" s="182">
        <f>F18/D18</f>
        <v>0.66669999999999996</v>
      </c>
      <c r="H18" s="188">
        <f t="shared" si="8"/>
        <v>6.6669999999999993E-2</v>
      </c>
      <c r="I18" s="197">
        <v>0.66669999999999996</v>
      </c>
      <c r="J18" s="186">
        <f>+I18/D18</f>
        <v>0.66669999999999996</v>
      </c>
      <c r="K18" s="186">
        <f t="shared" si="12"/>
        <v>6.6669999999999993E-2</v>
      </c>
      <c r="M18" s="93" t="s">
        <v>77</v>
      </c>
    </row>
    <row r="19" spans="1:13" ht="45" customHeight="1">
      <c r="A19" s="177"/>
      <c r="B19" s="177"/>
      <c r="C19" s="185"/>
      <c r="D19" s="181"/>
      <c r="E19" s="81">
        <f>'Plantilla SIG'!AD48</f>
        <v>3</v>
      </c>
      <c r="F19" s="183"/>
      <c r="G19" s="183"/>
      <c r="H19" s="189">
        <f t="shared" si="10"/>
        <v>0</v>
      </c>
      <c r="I19" s="191"/>
      <c r="J19" s="192"/>
      <c r="K19" s="192">
        <f t="shared" si="13"/>
        <v>0</v>
      </c>
    </row>
    <row r="20" spans="1:13" ht="45" customHeight="1">
      <c r="A20" s="176" t="s">
        <v>78</v>
      </c>
      <c r="B20" s="176" t="s">
        <v>56</v>
      </c>
      <c r="C20" s="184">
        <v>0.1</v>
      </c>
      <c r="D20" s="180">
        <v>1</v>
      </c>
      <c r="E20" s="81">
        <f>'Plantilla SIG'!AD52</f>
        <v>1</v>
      </c>
      <c r="F20" s="182">
        <f>'Plantilla SIG'!AD50</f>
        <v>0.5</v>
      </c>
      <c r="G20" s="182">
        <f>F20/D20</f>
        <v>0.5</v>
      </c>
      <c r="H20" s="188">
        <f t="shared" si="8"/>
        <v>0.05</v>
      </c>
      <c r="I20" s="197">
        <v>0.5</v>
      </c>
      <c r="J20" s="186">
        <f>+I20/D20</f>
        <v>0.5</v>
      </c>
      <c r="K20" s="186">
        <f t="shared" ref="K20" si="14">IF(J20&gt;100%,C20,J20*C20)</f>
        <v>0.05</v>
      </c>
      <c r="M20" s="71"/>
    </row>
    <row r="21" spans="1:13" ht="45" customHeight="1">
      <c r="A21" s="177"/>
      <c r="B21" s="177"/>
      <c r="C21" s="185"/>
      <c r="D21" s="181"/>
      <c r="E21" s="81">
        <f>'Plantilla SIG'!AD54</f>
        <v>2</v>
      </c>
      <c r="F21" s="183"/>
      <c r="G21" s="183"/>
      <c r="H21" s="189">
        <f t="shared" si="10"/>
        <v>0</v>
      </c>
      <c r="I21" s="191"/>
      <c r="J21" s="192"/>
      <c r="K21" s="192">
        <f t="shared" ref="K21" si="15">IF(J21&gt;100%,G21,J21*G21)</f>
        <v>0</v>
      </c>
    </row>
    <row r="22" spans="1:13" ht="15.6">
      <c r="A22" s="72"/>
      <c r="B22" s="72"/>
      <c r="C22" s="73">
        <f>+SUM(C8:C21)</f>
        <v>1</v>
      </c>
      <c r="D22" s="74"/>
      <c r="E22" s="198" t="s">
        <v>79</v>
      </c>
      <c r="F22" s="199"/>
      <c r="G22" s="200"/>
      <c r="H22" s="75">
        <f>H8+H10+H12+H14+H16+H20+H18</f>
        <v>0.45667000000000002</v>
      </c>
      <c r="I22" s="76" t="s">
        <v>80</v>
      </c>
      <c r="K22" s="77">
        <f>+SUM(K8:K21)</f>
        <v>0.45667000000000002</v>
      </c>
    </row>
    <row r="23" spans="1:13">
      <c r="E23" s="198" t="s">
        <v>81</v>
      </c>
      <c r="F23" s="199"/>
      <c r="G23" s="200"/>
      <c r="H23" s="78">
        <f>+H24-H22</f>
        <v>0.54332999999999998</v>
      </c>
      <c r="I23" s="71"/>
    </row>
    <row r="24" spans="1:13">
      <c r="E24" s="198" t="s">
        <v>82</v>
      </c>
      <c r="F24" s="199"/>
      <c r="G24" s="200"/>
      <c r="H24" s="78">
        <v>1</v>
      </c>
    </row>
    <row r="25" spans="1:13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</row>
    <row r="26" spans="1:13">
      <c r="H26" s="71"/>
    </row>
  </sheetData>
  <mergeCells count="84">
    <mergeCell ref="F18:F19"/>
    <mergeCell ref="D18:D19"/>
    <mergeCell ref="C18:C19"/>
    <mergeCell ref="B18:B19"/>
    <mergeCell ref="A18:A19"/>
    <mergeCell ref="I18:I19"/>
    <mergeCell ref="J18:J19"/>
    <mergeCell ref="K18:K19"/>
    <mergeCell ref="H18:H19"/>
    <mergeCell ref="G18:G19"/>
    <mergeCell ref="G20:G21"/>
    <mergeCell ref="E22:G22"/>
    <mergeCell ref="E23:G23"/>
    <mergeCell ref="E24:G24"/>
    <mergeCell ref="A25:K25"/>
    <mergeCell ref="H20:H21"/>
    <mergeCell ref="I20:I21"/>
    <mergeCell ref="J20:J21"/>
    <mergeCell ref="K20:K21"/>
    <mergeCell ref="A20:A21"/>
    <mergeCell ref="B20:B21"/>
    <mergeCell ref="C20:C21"/>
    <mergeCell ref="D20:D21"/>
    <mergeCell ref="F20:F21"/>
    <mergeCell ref="A16:A17"/>
    <mergeCell ref="B16:B17"/>
    <mergeCell ref="C16:C17"/>
    <mergeCell ref="D16:D17"/>
    <mergeCell ref="F16:F17"/>
    <mergeCell ref="G16:G17"/>
    <mergeCell ref="H16:H17"/>
    <mergeCell ref="I16:I17"/>
    <mergeCell ref="J16:J17"/>
    <mergeCell ref="K16:K17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F14:F15"/>
    <mergeCell ref="G12:G13"/>
    <mergeCell ref="H12:H13"/>
    <mergeCell ref="I12:I13"/>
    <mergeCell ref="J12:J13"/>
    <mergeCell ref="K12:K13"/>
    <mergeCell ref="A12:A13"/>
    <mergeCell ref="B12:B13"/>
    <mergeCell ref="C12:C13"/>
    <mergeCell ref="D12:D13"/>
    <mergeCell ref="F12:F13"/>
    <mergeCell ref="K8:K9"/>
    <mergeCell ref="H10:H11"/>
    <mergeCell ref="I10:I11"/>
    <mergeCell ref="J10:J11"/>
    <mergeCell ref="K10:K11"/>
    <mergeCell ref="H8:H9"/>
    <mergeCell ref="I8:I9"/>
    <mergeCell ref="J8:J9"/>
    <mergeCell ref="G10:G11"/>
    <mergeCell ref="A8:A9"/>
    <mergeCell ref="B8:B9"/>
    <mergeCell ref="C8:C9"/>
    <mergeCell ref="D8:D9"/>
    <mergeCell ref="F8:F9"/>
    <mergeCell ref="G8:G9"/>
    <mergeCell ref="A10:A11"/>
    <mergeCell ref="B10:B11"/>
    <mergeCell ref="C10:C11"/>
    <mergeCell ref="D10:D11"/>
    <mergeCell ref="F10:F11"/>
    <mergeCell ref="A1:K2"/>
    <mergeCell ref="A3:K4"/>
    <mergeCell ref="A5:A7"/>
    <mergeCell ref="B5:B7"/>
    <mergeCell ref="C5:C7"/>
    <mergeCell ref="D5:D7"/>
    <mergeCell ref="E5:F6"/>
    <mergeCell ref="G5:G7"/>
    <mergeCell ref="H5:H7"/>
    <mergeCell ref="I5:K6"/>
  </mergeCells>
  <phoneticPr fontId="9" type="noConversion"/>
  <printOptions horizontalCentered="1"/>
  <pageMargins left="0.19685039370078741" right="0.19685039370078741" top="0.19685039370078741" bottom="0.19685039370078741" header="0.31496062992125984" footer="0.31496062992125984"/>
  <pageSetup scale="77" orientation="landscape" r:id="rId1"/>
  <rowBreaks count="1" manualBreakCount="1">
    <brk id="2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C17F14BA96A84FA01A012F8ABC8E6F" ma:contentTypeVersion="18" ma:contentTypeDescription="Crear nuevo documento." ma:contentTypeScope="" ma:versionID="1815f065644c78e898ccc06fb3a7d5f3">
  <xsd:schema xmlns:xsd="http://www.w3.org/2001/XMLSchema" xmlns:xs="http://www.w3.org/2001/XMLSchema" xmlns:p="http://schemas.microsoft.com/office/2006/metadata/properties" xmlns:ns2="e0a20089-3ff3-4049-88bf-878df07f6ca2" xmlns:ns3="63f039dc-d422-4dbb-8aaa-f168ed29604a" targetNamespace="http://schemas.microsoft.com/office/2006/metadata/properties" ma:root="true" ma:fieldsID="f658c612518ebb6dfbc0fbb1c67761d2" ns2:_="" ns3:_="">
    <xsd:import namespace="e0a20089-3ff3-4049-88bf-878df07f6ca2"/>
    <xsd:import namespace="63f039dc-d422-4dbb-8aaa-f168ed2960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089-3ff3-4049-88bf-878df07f6c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ba74041-7728-433f-a3eb-147781119167}" ma:internalName="TaxCatchAll" ma:showField="CatchAllData" ma:web="e0a20089-3ff3-4049-88bf-878df07f6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039dc-d422-4dbb-8aaa-f168ed29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b5f5c4a-c245-4be6-8d47-400e725a2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f039dc-d422-4dbb-8aaa-f168ed29604a">
      <Terms xmlns="http://schemas.microsoft.com/office/infopath/2007/PartnerControls"/>
    </lcf76f155ced4ddcb4097134ff3c332f>
    <TaxCatchAll xmlns="e0a20089-3ff3-4049-88bf-878df07f6c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2A9D8-1388-4E8A-A504-6B77BE627726}"/>
</file>

<file path=customXml/itemProps2.xml><?xml version="1.0" encoding="utf-8"?>
<ds:datastoreItem xmlns:ds="http://schemas.openxmlformats.org/officeDocument/2006/customXml" ds:itemID="{35EE4DC6-49AC-4F07-9F23-12017B510583}"/>
</file>

<file path=customXml/itemProps3.xml><?xml version="1.0" encoding="utf-8"?>
<ds:datastoreItem xmlns:ds="http://schemas.openxmlformats.org/officeDocument/2006/customXml" ds:itemID="{E3BDFC23-4233-4C0E-81BC-873480E64789}"/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Magallanes</dc:title>
  <dc:subject/>
  <dc:creator>Ma. Cristina Torres</dc:creator>
  <cp:keywords/>
  <dc:description/>
  <cp:lastModifiedBy/>
  <cp:revision/>
  <dcterms:created xsi:type="dcterms:W3CDTF">2008-08-20T14:03:15Z</dcterms:created>
  <dcterms:modified xsi:type="dcterms:W3CDTF">2026-02-23T13:34:48Z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0x01010056C17F14BA96A84FA01A012F8ABC8E6F</vt:lpwstr>
  </property>
  <property fmtid="{D5CDD505-2E9C-101B-9397-08002B2CF9AE}" pid="3" name="MediaServiceImageTags">
    <vt:lpwstr/>
  </property>
</Properties>
</file>