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ADP/DR Coquimbo/Diciembre 2025/"/>
    </mc:Choice>
  </mc:AlternateContent>
  <xr:revisionPtr revIDLastSave="0" documentId="8_{0031CB83-1FF8-45C1-9736-2C5C29A58E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lantilla SIG" sheetId="7" r:id="rId1"/>
    <sheet name="Proyección" sheetId="9" r:id="rId2"/>
    <sheet name="Consolidado" sheetId="10" r:id="rId3"/>
  </sheets>
  <externalReferences>
    <externalReference r:id="rId4"/>
  </externalReferences>
  <definedNames>
    <definedName name="_xlnm.Print_Titles" localSheetId="0">'Plantilla SIG'!$B:$B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0" l="1"/>
  <c r="H21" i="10"/>
  <c r="E21" i="10"/>
  <c r="I20" i="10"/>
  <c r="J20" i="10" s="1"/>
  <c r="K20" i="10" s="1"/>
  <c r="F20" i="10"/>
  <c r="G20" i="10" s="1"/>
  <c r="H20" i="10" s="1"/>
  <c r="E20" i="10"/>
  <c r="K19" i="10"/>
  <c r="H19" i="10"/>
  <c r="E19" i="10"/>
  <c r="I18" i="10"/>
  <c r="J18" i="10" s="1"/>
  <c r="K18" i="10" s="1"/>
  <c r="F18" i="10"/>
  <c r="G18" i="10" s="1"/>
  <c r="H18" i="10" s="1"/>
  <c r="E18" i="10"/>
  <c r="K17" i="10"/>
  <c r="H17" i="10"/>
  <c r="E17" i="10"/>
  <c r="I16" i="10"/>
  <c r="J16" i="10" s="1"/>
  <c r="K16" i="10" s="1"/>
  <c r="F16" i="10"/>
  <c r="G16" i="10" s="1"/>
  <c r="H16" i="10" s="1"/>
  <c r="E16" i="10"/>
  <c r="K15" i="10"/>
  <c r="H15" i="10"/>
  <c r="E15" i="10"/>
  <c r="I14" i="10"/>
  <c r="J14" i="10" s="1"/>
  <c r="K14" i="10" s="1"/>
  <c r="F14" i="10"/>
  <c r="G14" i="10" s="1"/>
  <c r="H14" i="10" s="1"/>
  <c r="E14" i="10"/>
  <c r="K13" i="10"/>
  <c r="H13" i="10"/>
  <c r="E13" i="10"/>
  <c r="I12" i="10"/>
  <c r="J12" i="10" s="1"/>
  <c r="K12" i="10" s="1"/>
  <c r="F12" i="10"/>
  <c r="G12" i="10" s="1"/>
  <c r="H12" i="10" s="1"/>
  <c r="E12" i="10"/>
  <c r="K11" i="10"/>
  <c r="H11" i="10"/>
  <c r="E11" i="10"/>
  <c r="I10" i="10"/>
  <c r="J10" i="10" s="1"/>
  <c r="K10" i="10" s="1"/>
  <c r="F10" i="10"/>
  <c r="G10" i="10" s="1"/>
  <c r="H10" i="10" s="1"/>
  <c r="E10" i="10"/>
  <c r="K9" i="10"/>
  <c r="H9" i="10"/>
  <c r="E9" i="10"/>
  <c r="I8" i="10"/>
  <c r="J8" i="10" s="1"/>
  <c r="K8" i="10" s="1"/>
  <c r="K22" i="10" s="1"/>
  <c r="F8" i="10"/>
  <c r="G8" i="10" s="1"/>
  <c r="H8" i="10" s="1"/>
  <c r="H22" i="10" s="1"/>
  <c r="H23" i="10" s="1"/>
  <c r="E8" i="10"/>
  <c r="AD54" i="9"/>
  <c r="AB54" i="9"/>
  <c r="Z54" i="9"/>
  <c r="X54" i="9"/>
  <c r="V54" i="9"/>
  <c r="T54" i="9"/>
  <c r="R54" i="9"/>
  <c r="P54" i="9"/>
  <c r="N54" i="9"/>
  <c r="L54" i="9"/>
  <c r="J54" i="9"/>
  <c r="J52" i="9"/>
  <c r="L52" i="9" s="1"/>
  <c r="AC50" i="9"/>
  <c r="AA50" i="9"/>
  <c r="Y50" i="9"/>
  <c r="W50" i="9"/>
  <c r="U50" i="9"/>
  <c r="S50" i="9"/>
  <c r="Q50" i="9"/>
  <c r="O50" i="9"/>
  <c r="M50" i="9"/>
  <c r="K50" i="9"/>
  <c r="J50" i="9"/>
  <c r="I50" i="9"/>
  <c r="H50" i="9"/>
  <c r="G50" i="9"/>
  <c r="AD48" i="9"/>
  <c r="AB48" i="9"/>
  <c r="Z48" i="9"/>
  <c r="X48" i="9"/>
  <c r="V48" i="9"/>
  <c r="T48" i="9"/>
  <c r="R48" i="9"/>
  <c r="P48" i="9"/>
  <c r="N48" i="9"/>
  <c r="L48" i="9"/>
  <c r="J48" i="9"/>
  <c r="J46" i="9"/>
  <c r="L46" i="9" s="1"/>
  <c r="AC44" i="9"/>
  <c r="AA44" i="9"/>
  <c r="Y44" i="9"/>
  <c r="W44" i="9"/>
  <c r="U44" i="9"/>
  <c r="S44" i="9"/>
  <c r="Q44" i="9"/>
  <c r="O44" i="9"/>
  <c r="M44" i="9"/>
  <c r="K44" i="9"/>
  <c r="J44" i="9"/>
  <c r="I44" i="9"/>
  <c r="H44" i="9"/>
  <c r="G44" i="9"/>
  <c r="AD42" i="9"/>
  <c r="AB42" i="9"/>
  <c r="Z42" i="9"/>
  <c r="X42" i="9"/>
  <c r="V42" i="9"/>
  <c r="T42" i="9"/>
  <c r="R42" i="9"/>
  <c r="P42" i="9"/>
  <c r="N42" i="9"/>
  <c r="L42" i="9"/>
  <c r="J42" i="9"/>
  <c r="J40" i="9"/>
  <c r="L40" i="9" s="1"/>
  <c r="AC38" i="9"/>
  <c r="AA38" i="9"/>
  <c r="Y38" i="9"/>
  <c r="W38" i="9"/>
  <c r="U38" i="9"/>
  <c r="S38" i="9"/>
  <c r="Q38" i="9"/>
  <c r="O38" i="9"/>
  <c r="M38" i="9"/>
  <c r="K38" i="9"/>
  <c r="J38" i="9"/>
  <c r="I38" i="9"/>
  <c r="H38" i="9"/>
  <c r="G38" i="9"/>
  <c r="AD36" i="9"/>
  <c r="AB36" i="9"/>
  <c r="Z36" i="9"/>
  <c r="X36" i="9"/>
  <c r="V36" i="9"/>
  <c r="T36" i="9"/>
  <c r="R36" i="9"/>
  <c r="P36" i="9"/>
  <c r="N36" i="9"/>
  <c r="L36" i="9"/>
  <c r="J36" i="9"/>
  <c r="J34" i="9"/>
  <c r="L34" i="9" s="1"/>
  <c r="AC32" i="9"/>
  <c r="AA32" i="9"/>
  <c r="Y32" i="9"/>
  <c r="W32" i="9"/>
  <c r="U32" i="9"/>
  <c r="S32" i="9"/>
  <c r="Q32" i="9"/>
  <c r="O32" i="9"/>
  <c r="M32" i="9"/>
  <c r="K32" i="9"/>
  <c r="J32" i="9"/>
  <c r="I32" i="9"/>
  <c r="H32" i="9"/>
  <c r="G32" i="9"/>
  <c r="J28" i="9"/>
  <c r="L28" i="9" s="1"/>
  <c r="AC26" i="9"/>
  <c r="AA26" i="9"/>
  <c r="Y26" i="9"/>
  <c r="W26" i="9"/>
  <c r="U26" i="9"/>
  <c r="S26" i="9"/>
  <c r="Q26" i="9"/>
  <c r="O26" i="9"/>
  <c r="M26" i="9"/>
  <c r="K26" i="9"/>
  <c r="J26" i="9"/>
  <c r="I26" i="9"/>
  <c r="H26" i="9"/>
  <c r="G26" i="9"/>
  <c r="AD24" i="9"/>
  <c r="AB24" i="9"/>
  <c r="Z24" i="9"/>
  <c r="X24" i="9"/>
  <c r="V24" i="9"/>
  <c r="T24" i="9"/>
  <c r="R24" i="9"/>
  <c r="P24" i="9"/>
  <c r="N24" i="9"/>
  <c r="L24" i="9"/>
  <c r="J24" i="9"/>
  <c r="J22" i="9"/>
  <c r="L22" i="9" s="1"/>
  <c r="N22" i="9" s="1"/>
  <c r="N20" i="9" s="1"/>
  <c r="AC20" i="9"/>
  <c r="AA20" i="9"/>
  <c r="Y20" i="9"/>
  <c r="W20" i="9"/>
  <c r="U20" i="9"/>
  <c r="S20" i="9"/>
  <c r="Q20" i="9"/>
  <c r="O20" i="9"/>
  <c r="M20" i="9"/>
  <c r="L20" i="9"/>
  <c r="K20" i="9"/>
  <c r="J20" i="9"/>
  <c r="I20" i="9"/>
  <c r="H20" i="9"/>
  <c r="G20" i="9"/>
  <c r="AD18" i="9"/>
  <c r="AB18" i="9"/>
  <c r="Z18" i="9"/>
  <c r="X18" i="9"/>
  <c r="V18" i="9"/>
  <c r="T18" i="9"/>
  <c r="R18" i="9"/>
  <c r="P18" i="9"/>
  <c r="N18" i="9"/>
  <c r="L18" i="9"/>
  <c r="J18" i="9"/>
  <c r="J16" i="9"/>
  <c r="L16" i="9" s="1"/>
  <c r="L14" i="9" s="1"/>
  <c r="AC14" i="9"/>
  <c r="AA14" i="9"/>
  <c r="Y14" i="9"/>
  <c r="W14" i="9"/>
  <c r="U14" i="9"/>
  <c r="S14" i="9"/>
  <c r="Q14" i="9"/>
  <c r="O14" i="9"/>
  <c r="M14" i="9"/>
  <c r="K14" i="9"/>
  <c r="J14" i="9"/>
  <c r="I14" i="9"/>
  <c r="H14" i="9"/>
  <c r="G14" i="9"/>
  <c r="AD54" i="7"/>
  <c r="AB54" i="7"/>
  <c r="Z54" i="7"/>
  <c r="X54" i="7"/>
  <c r="V54" i="7"/>
  <c r="T54" i="7"/>
  <c r="R54" i="7"/>
  <c r="P54" i="7"/>
  <c r="N54" i="7"/>
  <c r="L54" i="7"/>
  <c r="J54" i="7"/>
  <c r="J52" i="7"/>
  <c r="L52" i="7" s="1"/>
  <c r="AC50" i="7"/>
  <c r="AA50" i="7"/>
  <c r="Y50" i="7"/>
  <c r="W50" i="7"/>
  <c r="U50" i="7"/>
  <c r="S50" i="7"/>
  <c r="Q50" i="7"/>
  <c r="O50" i="7"/>
  <c r="M50" i="7"/>
  <c r="K50" i="7"/>
  <c r="I50" i="7"/>
  <c r="H50" i="7"/>
  <c r="G50" i="7"/>
  <c r="AD48" i="7"/>
  <c r="AB48" i="7"/>
  <c r="Z48" i="7"/>
  <c r="X48" i="7"/>
  <c r="V48" i="7"/>
  <c r="T48" i="7"/>
  <c r="R48" i="7"/>
  <c r="P48" i="7"/>
  <c r="N48" i="7"/>
  <c r="L48" i="7"/>
  <c r="J48" i="7"/>
  <c r="J46" i="7"/>
  <c r="L46" i="7" s="1"/>
  <c r="AC44" i="7"/>
  <c r="AA44" i="7"/>
  <c r="Y44" i="7"/>
  <c r="W44" i="7"/>
  <c r="U44" i="7"/>
  <c r="S44" i="7"/>
  <c r="Q44" i="7"/>
  <c r="O44" i="7"/>
  <c r="M44" i="7"/>
  <c r="K44" i="7"/>
  <c r="I44" i="7"/>
  <c r="H44" i="7"/>
  <c r="G44" i="7"/>
  <c r="AD42" i="7"/>
  <c r="AB42" i="7"/>
  <c r="Z42" i="7"/>
  <c r="X42" i="7"/>
  <c r="V42" i="7"/>
  <c r="T42" i="7"/>
  <c r="R42" i="7"/>
  <c r="P42" i="7"/>
  <c r="N42" i="7"/>
  <c r="L42" i="7"/>
  <c r="J42" i="7"/>
  <c r="J40" i="7"/>
  <c r="L40" i="7" s="1"/>
  <c r="AC38" i="7"/>
  <c r="AA38" i="7"/>
  <c r="Y38" i="7"/>
  <c r="W38" i="7"/>
  <c r="U38" i="7"/>
  <c r="S38" i="7"/>
  <c r="Q38" i="7"/>
  <c r="O38" i="7"/>
  <c r="M38" i="7"/>
  <c r="K38" i="7"/>
  <c r="I38" i="7"/>
  <c r="H38" i="7"/>
  <c r="G38" i="7"/>
  <c r="AD36" i="7"/>
  <c r="AB36" i="7"/>
  <c r="Z36" i="7"/>
  <c r="X36" i="7"/>
  <c r="V36" i="7"/>
  <c r="T36" i="7"/>
  <c r="R36" i="7"/>
  <c r="P36" i="7"/>
  <c r="N36" i="7"/>
  <c r="L36" i="7"/>
  <c r="J36" i="7"/>
  <c r="J34" i="7"/>
  <c r="L34" i="7" s="1"/>
  <c r="AC32" i="7"/>
  <c r="AA32" i="7"/>
  <c r="Y32" i="7"/>
  <c r="W32" i="7"/>
  <c r="U32" i="7"/>
  <c r="S32" i="7"/>
  <c r="Q32" i="7"/>
  <c r="O32" i="7"/>
  <c r="M32" i="7"/>
  <c r="K32" i="7"/>
  <c r="I32" i="7"/>
  <c r="H32" i="7"/>
  <c r="G32" i="7"/>
  <c r="J28" i="7"/>
  <c r="L28" i="7" s="1"/>
  <c r="AC26" i="7"/>
  <c r="AA26" i="7"/>
  <c r="Y26" i="7"/>
  <c r="W26" i="7"/>
  <c r="U26" i="7"/>
  <c r="S26" i="7"/>
  <c r="Q26" i="7"/>
  <c r="O26" i="7"/>
  <c r="M26" i="7"/>
  <c r="K26" i="7"/>
  <c r="I26" i="7"/>
  <c r="H26" i="7"/>
  <c r="G26" i="7"/>
  <c r="AD24" i="7"/>
  <c r="AB24" i="7"/>
  <c r="Z24" i="7"/>
  <c r="X24" i="7"/>
  <c r="V24" i="7"/>
  <c r="T24" i="7"/>
  <c r="R24" i="7"/>
  <c r="P24" i="7"/>
  <c r="N24" i="7"/>
  <c r="L24" i="7"/>
  <c r="J24" i="7"/>
  <c r="J22" i="7"/>
  <c r="J20" i="7" s="1"/>
  <c r="AC20" i="7"/>
  <c r="AA20" i="7"/>
  <c r="Y20" i="7"/>
  <c r="W20" i="7"/>
  <c r="U20" i="7"/>
  <c r="S20" i="7"/>
  <c r="Q20" i="7"/>
  <c r="O20" i="7"/>
  <c r="M20" i="7"/>
  <c r="K20" i="7"/>
  <c r="I20" i="7"/>
  <c r="H20" i="7"/>
  <c r="G20" i="7"/>
  <c r="AD18" i="7"/>
  <c r="AB18" i="7"/>
  <c r="Z18" i="7"/>
  <c r="X18" i="7"/>
  <c r="V18" i="7"/>
  <c r="T18" i="7"/>
  <c r="R18" i="7"/>
  <c r="P18" i="7"/>
  <c r="N18" i="7"/>
  <c r="L18" i="7"/>
  <c r="J18" i="7"/>
  <c r="J16" i="7"/>
  <c r="J14" i="7" s="1"/>
  <c r="AC14" i="7"/>
  <c r="AA14" i="7"/>
  <c r="Y14" i="7"/>
  <c r="W14" i="7"/>
  <c r="U14" i="7"/>
  <c r="S14" i="7"/>
  <c r="Q14" i="7"/>
  <c r="O14" i="7"/>
  <c r="M14" i="7"/>
  <c r="K14" i="7"/>
  <c r="I14" i="7"/>
  <c r="H14" i="7"/>
  <c r="G14" i="7"/>
  <c r="J50" i="7" l="1"/>
  <c r="J44" i="7"/>
  <c r="J38" i="7"/>
  <c r="J32" i="7"/>
  <c r="J26" i="7"/>
  <c r="L22" i="7"/>
  <c r="L16" i="7"/>
  <c r="L14" i="7" s="1"/>
  <c r="L50" i="9"/>
  <c r="N52" i="9"/>
  <c r="N40" i="9"/>
  <c r="L38" i="9"/>
  <c r="L32" i="9"/>
  <c r="N34" i="9"/>
  <c r="N28" i="9"/>
  <c r="L26" i="9"/>
  <c r="N46" i="9"/>
  <c r="L44" i="9"/>
  <c r="N16" i="9"/>
  <c r="P22" i="9"/>
  <c r="L38" i="7"/>
  <c r="N40" i="7"/>
  <c r="L32" i="7"/>
  <c r="N34" i="7"/>
  <c r="N46" i="7"/>
  <c r="L44" i="7"/>
  <c r="N28" i="7"/>
  <c r="L26" i="7"/>
  <c r="L50" i="7"/>
  <c r="N52" i="7"/>
  <c r="L20" i="7" l="1"/>
  <c r="N22" i="7"/>
  <c r="N16" i="7"/>
  <c r="P20" i="9"/>
  <c r="R22" i="9"/>
  <c r="N14" i="9"/>
  <c r="P16" i="9"/>
  <c r="P46" i="9"/>
  <c r="N44" i="9"/>
  <c r="N26" i="9"/>
  <c r="P28" i="9"/>
  <c r="P34" i="9"/>
  <c r="N32" i="9"/>
  <c r="N38" i="9"/>
  <c r="P40" i="9"/>
  <c r="P52" i="9"/>
  <c r="N50" i="9"/>
  <c r="P16" i="7"/>
  <c r="N14" i="7"/>
  <c r="P52" i="7"/>
  <c r="N50" i="7"/>
  <c r="N26" i="7"/>
  <c r="P28" i="7"/>
  <c r="P46" i="7"/>
  <c r="N44" i="7"/>
  <c r="P34" i="7"/>
  <c r="N32" i="7"/>
  <c r="P40" i="7"/>
  <c r="N38" i="7"/>
  <c r="N20" i="7" l="1"/>
  <c r="P22" i="7"/>
  <c r="R52" i="9"/>
  <c r="P50" i="9"/>
  <c r="R40" i="9"/>
  <c r="P38" i="9"/>
  <c r="P32" i="9"/>
  <c r="R34" i="9"/>
  <c r="P26" i="9"/>
  <c r="R28" i="9"/>
  <c r="R46" i="9"/>
  <c r="P44" i="9"/>
  <c r="R16" i="9"/>
  <c r="P14" i="9"/>
  <c r="R20" i="9"/>
  <c r="T22" i="9"/>
  <c r="R40" i="7"/>
  <c r="P38" i="7"/>
  <c r="R34" i="7"/>
  <c r="P32" i="7"/>
  <c r="R46" i="7"/>
  <c r="P44" i="7"/>
  <c r="R28" i="7"/>
  <c r="P26" i="7"/>
  <c r="P50" i="7"/>
  <c r="R52" i="7"/>
  <c r="R16" i="7"/>
  <c r="P14" i="7"/>
  <c r="P20" i="7" l="1"/>
  <c r="R22" i="7"/>
  <c r="R14" i="9"/>
  <c r="T16" i="9"/>
  <c r="T46" i="9"/>
  <c r="R44" i="9"/>
  <c r="T28" i="9"/>
  <c r="R26" i="9"/>
  <c r="R32" i="9"/>
  <c r="T34" i="9"/>
  <c r="R38" i="9"/>
  <c r="T40" i="9"/>
  <c r="T20" i="9"/>
  <c r="V22" i="9"/>
  <c r="T52" i="9"/>
  <c r="R50" i="9"/>
  <c r="T16" i="7"/>
  <c r="R14" i="7"/>
  <c r="T52" i="7"/>
  <c r="R50" i="7"/>
  <c r="T28" i="7"/>
  <c r="R26" i="7"/>
  <c r="T46" i="7"/>
  <c r="R44" i="7"/>
  <c r="R32" i="7"/>
  <c r="T34" i="7"/>
  <c r="T40" i="7"/>
  <c r="R38" i="7"/>
  <c r="T22" i="7" l="1"/>
  <c r="R20" i="7"/>
  <c r="V52" i="9"/>
  <c r="T50" i="9"/>
  <c r="X22" i="9"/>
  <c r="V20" i="9"/>
  <c r="V40" i="9"/>
  <c r="T38" i="9"/>
  <c r="V34" i="9"/>
  <c r="T32" i="9"/>
  <c r="V28" i="9"/>
  <c r="T26" i="9"/>
  <c r="T44" i="9"/>
  <c r="V46" i="9"/>
  <c r="T14" i="9"/>
  <c r="V16" i="9"/>
  <c r="V40" i="7"/>
  <c r="T38" i="7"/>
  <c r="T32" i="7"/>
  <c r="V34" i="7"/>
  <c r="T44" i="7"/>
  <c r="V46" i="7"/>
  <c r="V28" i="7"/>
  <c r="T26" i="7"/>
  <c r="V52" i="7"/>
  <c r="T50" i="7"/>
  <c r="V16" i="7"/>
  <c r="T14" i="7"/>
  <c r="V22" i="7" l="1"/>
  <c r="T20" i="7"/>
  <c r="V14" i="9"/>
  <c r="X16" i="9"/>
  <c r="X46" i="9"/>
  <c r="V44" i="9"/>
  <c r="V26" i="9"/>
  <c r="X28" i="9"/>
  <c r="V32" i="9"/>
  <c r="X34" i="9"/>
  <c r="V38" i="9"/>
  <c r="X40" i="9"/>
  <c r="X20" i="9"/>
  <c r="Z22" i="9"/>
  <c r="V50" i="9"/>
  <c r="X52" i="9"/>
  <c r="X16" i="7"/>
  <c r="V14" i="7"/>
  <c r="X52" i="7"/>
  <c r="V50" i="7"/>
  <c r="X28" i="7"/>
  <c r="V26" i="7"/>
  <c r="X46" i="7"/>
  <c r="V44" i="7"/>
  <c r="V32" i="7"/>
  <c r="X34" i="7"/>
  <c r="X40" i="7"/>
  <c r="V38" i="7"/>
  <c r="X22" i="7" l="1"/>
  <c r="V20" i="7"/>
  <c r="X50" i="9"/>
  <c r="Z52" i="9"/>
  <c r="Z20" i="9"/>
  <c r="AB22" i="9"/>
  <c r="X38" i="9"/>
  <c r="Z40" i="9"/>
  <c r="X32" i="9"/>
  <c r="Z34" i="9"/>
  <c r="X26" i="9"/>
  <c r="Z28" i="9"/>
  <c r="X44" i="9"/>
  <c r="Z46" i="9"/>
  <c r="Z16" i="9"/>
  <c r="X14" i="9"/>
  <c r="Z40" i="7"/>
  <c r="X38" i="7"/>
  <c r="Z34" i="7"/>
  <c r="X32" i="7"/>
  <c r="X44" i="7"/>
  <c r="Z46" i="7"/>
  <c r="X26" i="7"/>
  <c r="Z28" i="7"/>
  <c r="Z52" i="7"/>
  <c r="X50" i="7"/>
  <c r="X14" i="7"/>
  <c r="Z16" i="7"/>
  <c r="Z22" i="7" l="1"/>
  <c r="X20" i="7"/>
  <c r="Z14" i="9"/>
  <c r="AB16" i="9"/>
  <c r="AB46" i="9"/>
  <c r="Z44" i="9"/>
  <c r="AB28" i="9"/>
  <c r="Z26" i="9"/>
  <c r="Z32" i="9"/>
  <c r="AB34" i="9"/>
  <c r="AB40" i="9"/>
  <c r="Z38" i="9"/>
  <c r="AB20" i="9"/>
  <c r="AD22" i="9"/>
  <c r="AD20" i="9" s="1"/>
  <c r="AE22" i="9" s="1"/>
  <c r="Z50" i="9"/>
  <c r="AB52" i="9"/>
  <c r="Z14" i="7"/>
  <c r="AB16" i="7"/>
  <c r="AB52" i="7"/>
  <c r="Z50" i="7"/>
  <c r="Z26" i="7"/>
  <c r="AB28" i="7"/>
  <c r="Z44" i="7"/>
  <c r="AB46" i="7"/>
  <c r="Z32" i="7"/>
  <c r="AB34" i="7"/>
  <c r="AB40" i="7"/>
  <c r="Z38" i="7"/>
  <c r="Z20" i="7" l="1"/>
  <c r="AB22" i="7"/>
  <c r="AB50" i="9"/>
  <c r="AD52" i="9"/>
  <c r="AD50" i="9" s="1"/>
  <c r="AE52" i="9" s="1"/>
  <c r="AD40" i="9"/>
  <c r="AD38" i="9" s="1"/>
  <c r="AE40" i="9" s="1"/>
  <c r="AB38" i="9"/>
  <c r="AD34" i="9"/>
  <c r="AD32" i="9" s="1"/>
  <c r="AE34" i="9" s="1"/>
  <c r="AB32" i="9"/>
  <c r="AB26" i="9"/>
  <c r="AD28" i="9"/>
  <c r="AD26" i="9" s="1"/>
  <c r="AB44" i="9"/>
  <c r="AD46" i="9"/>
  <c r="AD44" i="9" s="1"/>
  <c r="AE46" i="9" s="1"/>
  <c r="AD16" i="9"/>
  <c r="AD14" i="9" s="1"/>
  <c r="AE16" i="9" s="1"/>
  <c r="AB14" i="9"/>
  <c r="AB32" i="7"/>
  <c r="AD34" i="7"/>
  <c r="AD32" i="7" s="1"/>
  <c r="AE34" i="7" s="1"/>
  <c r="AB44" i="7"/>
  <c r="AD46" i="7"/>
  <c r="AD44" i="7" s="1"/>
  <c r="AE46" i="7" s="1"/>
  <c r="AB38" i="7"/>
  <c r="AD40" i="7"/>
  <c r="AD38" i="7" s="1"/>
  <c r="AE40" i="7" s="1"/>
  <c r="AB26" i="7"/>
  <c r="AD28" i="7"/>
  <c r="AD26" i="7" s="1"/>
  <c r="AE28" i="7" s="1"/>
  <c r="AD52" i="7"/>
  <c r="AD50" i="7" s="1"/>
  <c r="AE52" i="7" s="1"/>
  <c r="AB50" i="7"/>
  <c r="AB14" i="7"/>
  <c r="AD16" i="7"/>
  <c r="AD14" i="7" s="1"/>
  <c r="AE16" i="7" s="1"/>
  <c r="AB20" i="7" l="1"/>
  <c r="AD22" i="7"/>
  <c r="AD20" i="7" s="1"/>
  <c r="AE22" i="7" s="1"/>
</calcChain>
</file>

<file path=xl/sharedStrings.xml><?xml version="1.0" encoding="utf-8"?>
<sst xmlns="http://schemas.openxmlformats.org/spreadsheetml/2006/main" count="1162" uniqueCount="86">
  <si>
    <t>PLANTILLA SIG COMPROMISOS INSTITUCIONALES</t>
  </si>
  <si>
    <t>DIVISIÓN PLANIFICACION  Y DESARROLLO</t>
  </si>
  <si>
    <t>DEPARTAMENTO COMPROMISOS INSTITUCIONALES</t>
  </si>
  <si>
    <t>SUBDEPARTAMENTO GESTION DE INDICADORES INSTITUCIONALES</t>
  </si>
  <si>
    <t>Fecha: julio 2025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</si>
  <si>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</si>
  <si>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</si>
  <si>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</si>
  <si>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Alta Dirección Pública</t>
  </si>
  <si>
    <t>Director Regional - Región de Coquimbo, Sr. Juan Paulo Garrido Piccioli</t>
  </si>
  <si>
    <t>Primer Período, tercer  año julio 2025 - junio 2026</t>
  </si>
  <si>
    <t>NUMERO</t>
  </si>
  <si>
    <t xml:space="preserve">INDICADOR </t>
  </si>
  <si>
    <t>FORMULA</t>
  </si>
  <si>
    <t>PONDERACIÓN</t>
  </si>
  <si>
    <t>Meta a agosto 2026</t>
  </si>
  <si>
    <t>Operandos</t>
  </si>
  <si>
    <t>Operandos  Estimados Meta</t>
  </si>
  <si>
    <t>Acum.</t>
  </si>
  <si>
    <t>Cumplimiento
Efectivo
a la fecha</t>
  </si>
  <si>
    <t>% Cumplimiento de Meta</t>
  </si>
  <si>
    <t>ADP_DR04_04</t>
  </si>
  <si>
    <t>4.Porcentaje de líneas de acción implementadas del Plan de Calidad de Servicios en la región en el año t</t>
  </si>
  <si>
    <t xml:space="preserve">(Numero de lineas de accion implentadas del Plan de Calidad de Servicio en la región en el año t / Total de líneas de acción definidas en el Plan de calidad de Servicios en año t) *100) </t>
  </si>
  <si>
    <t>Numero de lineas de accion implentadas del Plan de Calidad de Servicio en la región en el año t</t>
  </si>
  <si>
    <t xml:space="preserve">Valor indicador=   </t>
  </si>
  <si>
    <t xml:space="preserve">Operando 1=   </t>
  </si>
  <si>
    <t>Total de líneas de acción definidas en el Plan de calidad de Servicios en año t</t>
  </si>
  <si>
    <t xml:space="preserve">Operando 2=    </t>
  </si>
  <si>
    <t>ADP_DR04_05</t>
  </si>
  <si>
    <t>5.	Porcentaje de actividades cumplidas del Plan de difusión en materias de Estado Verde  en el año t</t>
  </si>
  <si>
    <t>(Número de actividades cumplidas del Plan de difusión en materias de Estado Verde desarrolladas en la región en el año t / Número total de actividades cumplidas del Plan de difusión en materias de Estado Verde programados en la región en el año t)* 100</t>
  </si>
  <si>
    <t>(Número de actividades cumplidas del Plan de difusión en materias de Estado Verde desarrolladas en la región en el año t</t>
  </si>
  <si>
    <t xml:space="preserve"> Número total de actividades cumplidas del Plan de difusión en materias de Estado Verde programados en la región en el año t)* 100</t>
  </si>
  <si>
    <t>ADP_DR04_07</t>
  </si>
  <si>
    <t xml:space="preserve">7.	Porcentaje de funcionarios/as capacitados en la región en temáticas de Integridad en el </t>
  </si>
  <si>
    <t>(Sumatoria de funcionarios/as capacitados en la región en temáticas de Integridad en el año t / Dotación de funcionarios/as de la Región en el año t)*100</t>
  </si>
  <si>
    <t>Sumatoria de funcionarios/as capacitados en la región en temáticas de Integridad en el año t</t>
  </si>
  <si>
    <t>Dotación de funcionarios/as de la Región en el año t)*100</t>
  </si>
  <si>
    <t>ADP_DR04_08</t>
  </si>
  <si>
    <t>8.	Porcentaje de actividades cumplidas del Plan para generar iniciativas de innovación, en el año t</t>
  </si>
  <si>
    <t>(Sumatoria de actividades cumplidas del Plan para generar iniciativas de innovación, en el año t / Número total de actividades definidas en el Plan en el periodo) *100</t>
  </si>
  <si>
    <t>Sumatoria de actividades cumplidas del Plan para generar iniciativas de innovación, en el año t</t>
  </si>
  <si>
    <t>Sumatoria total de actividades definidas en el Plan en el periodo</t>
  </si>
  <si>
    <t>ADP_DR04_09</t>
  </si>
  <si>
    <t>9.	Porcentaje de actividades cumplidas del Plan de Difusión de temáticas de Seguridad Social y otras en la comunidad en el año t</t>
  </si>
  <si>
    <t>(Sumatoria de actividades cumplidas del Plan de Difusión de temáticas de Seguridad Social y otras en la comunidad en el año t / N° total de actividades programadas del Plan en el año t) *100</t>
  </si>
  <si>
    <t>(Sumatoria de actividades cumplidas del Plan de Difusión de temáticas de Seguridad Social y otras en la comunidad en el año t</t>
  </si>
  <si>
    <t xml:space="preserve"> N° total de actividades programadas del Plan en el año t) *100</t>
  </si>
  <si>
    <t>ADP_DR04_10</t>
  </si>
  <si>
    <t>10.	Porcentaje de actividades cumplidas del plan de acción para la Satisfacción Laboral en el año t</t>
  </si>
  <si>
    <t>(Sumatoria de actividades cumplidas del plan de acción para la Satisfacción Laboral en al año t / N° total de actividades programadas del plan de acción para la Satisfacción Laboral en el año t)*100</t>
  </si>
  <si>
    <t xml:space="preserve">(Sumatoria de actividades cumplidas del plan de acción para la Satisfacción Laboral en al año t </t>
  </si>
  <si>
    <t>/ N° total de actividades programadas del plan de acción para la Satisfacción Laboral en el año t)*100</t>
  </si>
  <si>
    <t>ADP_DR04_11</t>
  </si>
  <si>
    <t>11. Porcentaje de actividades realizadas de acuerdo al plan para mejorar la eficiencia y eficacia de la gestión de continuidad operacional en Sucursal La Serena</t>
  </si>
  <si>
    <t>(N°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Serena) *100</t>
  </si>
  <si>
    <t xml:space="preserve">N° de actividades cumplidas de acuerdo al plan para mejorar la eficiencia y eficacia de la gestión de continuidad operacional en Sucursal La Serena en el año t </t>
  </si>
  <si>
    <t xml:space="preserve">N° de actividades definidas en el plan l para mejorar la eficiencia y eficacia de la gestión de continuidad operacional en Sucursal La Serena en el año t </t>
  </si>
  <si>
    <t>PROYECCIONES</t>
  </si>
  <si>
    <t>Meta a julio 2025</t>
  </si>
  <si>
    <t xml:space="preserve"> </t>
  </si>
  <si>
    <t>CONVENIO DE DESEMPEÑO ALTA DIRECCIÓN PÚBLICA</t>
  </si>
  <si>
    <t>Director Regional - Región de Coquimbo Sr.  Juan Paulo Garrido Piccioli  (julio 2025 - junio 2026)</t>
  </si>
  <si>
    <t>Indicador</t>
  </si>
  <si>
    <t>Fórmula de Cálculo</t>
  </si>
  <si>
    <t>Pond.</t>
  </si>
  <si>
    <t>Meta junio 2026</t>
  </si>
  <si>
    <t>Valores según Fórmula de Cálculo</t>
  </si>
  <si>
    <t>% Cumpli- miento</t>
  </si>
  <si>
    <t>Total Pond.</t>
  </si>
  <si>
    <t>Proyección</t>
  </si>
  <si>
    <t>Efectivo a enero 2026</t>
  </si>
  <si>
    <t>Resultado a enero 2026</t>
  </si>
  <si>
    <t>1.Porcentaje de líneas de acción implementadas del Plan de Calidad de Servicios en la región en el año t</t>
  </si>
  <si>
    <t>2.	Porcentaje de actividades cumplidas del Plan de difusión en materias de Estado Verde  en el año t</t>
  </si>
  <si>
    <t>mero de actividades cumplidas del Plan de difusión en materias de Estado Verde desarrolladas en la región en el año t / Número total de actividades cumplidas del Plan de difusión en materias de Estado Verde programados en la región en el año t)* 100</t>
  </si>
  <si>
    <t xml:space="preserve">3.	Porcentaje de funcionarios/as capacitados en la región en temáticas de Integridad en el año t </t>
  </si>
  <si>
    <t>4.	Porcentaje de actividades cumplidas del Plan para generar iniciativas de innovación, en el año t</t>
  </si>
  <si>
    <t>5.	Porcentaje de actividades cumplidas del Plan de Difusión de temáticas de Seguridad Social y otras en la comunidad en el año t</t>
  </si>
  <si>
    <t>7.	Porcentaje de actividades cumplidas del plan de acción para la Satisfacción Laboral en el año t</t>
  </si>
  <si>
    <t>8.Porcentaje de actividades realizadas de acuerdo al plan para mejorar la eficiencia y eficacia de la gestión de continuidad operacional en Sucursal La Serena .</t>
  </si>
  <si>
    <t>(N° de actividades cumplidas de acuerdo al plan para mejorar la eficiencia y eficacia de la gestión de continuidad operacional en La Serena / N° de actividades definidas en el plan l para mejorar la eficiencia y eficacia de la gestión de continuidad operacional en Sucursal La Serena) *100</t>
  </si>
  <si>
    <t>% de cumplimiernto informado</t>
  </si>
  <si>
    <t>% de cumplimiento por informar</t>
  </si>
  <si>
    <t>% de cumplimiento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</si>
</sst>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.0"/>
  </numFmts>
  <fonts count="20">
    <font>
      <sz val="10"/>
      <name val="Arial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14"/>
      <name val="Arial Narrow"/>
      <family val="2"/>
    </font>
    <font>
      <u/>
      <sz val="10"/>
      <name val="Arial Narrow"/>
      <family val="2"/>
    </font>
    <font>
      <sz val="8"/>
      <color rgb="FF000000"/>
      <name val="Arial Narrow"/>
      <charset val="1"/>
    </font>
    <font>
      <u/>
      <sz val="8"/>
      <name val="Arial Narrow"/>
      <family val="2"/>
    </font>
    <font>
      <u/>
      <sz val="8"/>
      <color rgb="FF000000"/>
      <name val="Arial Narrow"/>
      <charset val="1"/>
    </font>
    <font>
      <b/>
      <sz val="1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b/>
      <sz val="9"/>
      <color theme="3" tint="-0.499984740745262"/>
      <name val="Arial Narrow"/>
      <family val="2"/>
    </font>
    <font>
      <b/>
      <sz val="10"/>
      <color theme="3" tint="-0.499984740745262"/>
      <name val="Arial Narrow"/>
      <family val="2"/>
    </font>
    <font>
      <sz val="10"/>
      <color theme="3" tint="-0.499984740745262"/>
      <name val="Calibri"/>
      <family val="2"/>
      <scheme val="minor"/>
    </font>
    <font>
      <sz val="9"/>
      <color theme="3" tint="-0.499984740745262"/>
      <name val="Arial Narrow"/>
      <family val="2"/>
    </font>
    <font>
      <b/>
      <sz val="12"/>
      <color theme="3" tint="-0.499984740745262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7">
    <xf numFmtId="0" fontId="0" fillId="0" borderId="0" xfId="0"/>
    <xf numFmtId="0" fontId="5" fillId="0" borderId="0" xfId="0" applyFont="1"/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7" fillId="0" borderId="4" xfId="0" applyFont="1" applyBorder="1"/>
    <xf numFmtId="0" fontId="7" fillId="0" borderId="0" xfId="0" applyFont="1"/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1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3" fontId="3" fillId="0" borderId="8" xfId="0" applyNumberFormat="1" applyFont="1" applyBorder="1" applyAlignment="1">
      <alignment horizontal="left" vertical="center" wrapText="1"/>
    </xf>
    <xf numFmtId="0" fontId="8" fillId="0" borderId="0" xfId="0" applyFont="1"/>
    <xf numFmtId="0" fontId="3" fillId="5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10" fontId="3" fillId="4" borderId="8" xfId="1" applyNumberFormat="1" applyFont="1" applyFill="1" applyBorder="1" applyAlignment="1">
      <alignment vertical="center"/>
    </xf>
    <xf numFmtId="0" fontId="3" fillId="5" borderId="8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left" vertical="center" wrapText="1"/>
    </xf>
    <xf numFmtId="3" fontId="3" fillId="5" borderId="8" xfId="0" applyNumberFormat="1" applyFont="1" applyFill="1" applyBorder="1" applyAlignment="1">
      <alignment horizontal="left" vertical="center" wrapText="1"/>
    </xf>
    <xf numFmtId="3" fontId="3" fillId="4" borderId="9" xfId="0" applyNumberFormat="1" applyFont="1" applyFill="1" applyBorder="1" applyAlignment="1">
      <alignment horizontal="left" vertical="center" wrapText="1"/>
    </xf>
    <xf numFmtId="3" fontId="3" fillId="4" borderId="8" xfId="0" applyNumberFormat="1" applyFont="1" applyFill="1" applyBorder="1" applyAlignment="1">
      <alignment horizontal="left" vertical="center" wrapText="1"/>
    </xf>
    <xf numFmtId="3" fontId="3" fillId="7" borderId="10" xfId="0" applyNumberFormat="1" applyFont="1" applyFill="1" applyBorder="1" applyAlignment="1">
      <alignment horizontal="right" vertical="center" wrapText="1"/>
    </xf>
    <xf numFmtId="3" fontId="3" fillId="4" borderId="11" xfId="0" applyNumberFormat="1" applyFont="1" applyFill="1" applyBorder="1" applyAlignment="1">
      <alignment horizontal="right" vertical="center" wrapText="1"/>
    </xf>
    <xf numFmtId="3" fontId="3" fillId="2" borderId="8" xfId="0" applyNumberFormat="1" applyFont="1" applyFill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10" fontId="3" fillId="3" borderId="8" xfId="1" applyNumberFormat="1" applyFont="1" applyFill="1" applyBorder="1" applyAlignment="1" applyProtection="1">
      <alignment horizontal="right" vertical="center"/>
    </xf>
    <xf numFmtId="10" fontId="3" fillId="2" borderId="9" xfId="1" applyNumberFormat="1" applyFont="1" applyFill="1" applyBorder="1" applyAlignment="1" applyProtection="1">
      <alignment vertical="center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3" fontId="3" fillId="3" borderId="8" xfId="0" applyNumberFormat="1" applyFont="1" applyFill="1" applyBorder="1" applyAlignment="1">
      <alignment horizontal="right" vertical="center" wrapText="1"/>
    </xf>
    <xf numFmtId="3" fontId="3" fillId="4" borderId="8" xfId="0" applyNumberFormat="1" applyFont="1" applyFill="1" applyBorder="1" applyAlignment="1">
      <alignment horizontal="right" vertical="center" wrapText="1"/>
    </xf>
    <xf numFmtId="3" fontId="3" fillId="3" borderId="10" xfId="0" applyNumberFormat="1" applyFont="1" applyFill="1" applyBorder="1" applyAlignment="1">
      <alignment horizontal="right" vertical="center" wrapText="1"/>
    </xf>
    <xf numFmtId="0" fontId="3" fillId="5" borderId="12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3" fontId="3" fillId="5" borderId="0" xfId="0" applyNumberFormat="1" applyFont="1" applyFill="1" applyAlignment="1">
      <alignment horizontal="left" vertical="center" wrapText="1"/>
    </xf>
    <xf numFmtId="3" fontId="3" fillId="4" borderId="10" xfId="0" applyNumberFormat="1" applyFont="1" applyFill="1" applyBorder="1" applyAlignment="1">
      <alignment horizontal="right" vertical="center" wrapText="1"/>
    </xf>
    <xf numFmtId="3" fontId="3" fillId="4" borderId="9" xfId="0" applyNumberFormat="1" applyFont="1" applyFill="1" applyBorder="1" applyAlignment="1">
      <alignment horizontal="right" vertical="center" wrapText="1"/>
    </xf>
    <xf numFmtId="3" fontId="3" fillId="7" borderId="8" xfId="0" applyNumberFormat="1" applyFont="1" applyFill="1" applyBorder="1" applyAlignment="1" applyProtection="1">
      <alignment horizontal="right" vertical="center" wrapText="1"/>
      <protection locked="0"/>
    </xf>
    <xf numFmtId="3" fontId="3" fillId="7" borderId="10" xfId="0" applyNumberFormat="1" applyFont="1" applyFill="1" applyBorder="1" applyAlignment="1" applyProtection="1">
      <alignment horizontal="right" vertical="center" wrapText="1"/>
      <protection locked="0"/>
    </xf>
    <xf numFmtId="3" fontId="3" fillId="2" borderId="9" xfId="0" applyNumberFormat="1" applyFont="1" applyFill="1" applyBorder="1" applyAlignment="1">
      <alignment horizontal="left" vertical="center" wrapText="1"/>
    </xf>
    <xf numFmtId="3" fontId="3" fillId="2" borderId="8" xfId="0" applyNumberFormat="1" applyFont="1" applyFill="1" applyBorder="1" applyAlignment="1">
      <alignment horizontal="left" vertical="center" wrapText="1"/>
    </xf>
    <xf numFmtId="3" fontId="3" fillId="2" borderId="11" xfId="0" applyNumberFormat="1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horizontal="left" vertical="center" wrapText="1"/>
    </xf>
    <xf numFmtId="10" fontId="3" fillId="4" borderId="29" xfId="1" applyNumberFormat="1" applyFont="1" applyFill="1" applyBorder="1" applyAlignment="1">
      <alignment vertical="center"/>
    </xf>
    <xf numFmtId="0" fontId="3" fillId="4" borderId="29" xfId="0" applyFont="1" applyFill="1" applyBorder="1" applyAlignment="1">
      <alignment horizontal="left" vertical="center" wrapText="1"/>
    </xf>
    <xf numFmtId="3" fontId="3" fillId="4" borderId="29" xfId="0" applyNumberFormat="1" applyFont="1" applyFill="1" applyBorder="1" applyAlignment="1">
      <alignment horizontal="right" vertical="center" wrapText="1"/>
    </xf>
    <xf numFmtId="3" fontId="3" fillId="4" borderId="29" xfId="0" applyNumberFormat="1" applyFont="1" applyFill="1" applyBorder="1" applyAlignment="1">
      <alignment horizontal="left" vertical="center" wrapText="1"/>
    </xf>
    <xf numFmtId="3" fontId="3" fillId="4" borderId="5" xfId="0" applyNumberFormat="1" applyFont="1" applyFill="1" applyBorder="1" applyAlignment="1">
      <alignment horizontal="right" vertical="center" wrapText="1"/>
    </xf>
    <xf numFmtId="10" fontId="3" fillId="4" borderId="9" xfId="1" applyNumberFormat="1" applyFont="1" applyFill="1" applyBorder="1" applyAlignment="1" applyProtection="1">
      <alignment vertical="center"/>
    </xf>
    <xf numFmtId="3" fontId="3" fillId="7" borderId="8" xfId="0" applyNumberFormat="1" applyFont="1" applyFill="1" applyBorder="1" applyAlignment="1">
      <alignment horizontal="right" vertical="center" wrapText="1"/>
    </xf>
    <xf numFmtId="3" fontId="3" fillId="8" borderId="8" xfId="0" applyNumberFormat="1" applyFont="1" applyFill="1" applyBorder="1" applyAlignment="1">
      <alignment horizontal="right" vertical="center" wrapText="1"/>
    </xf>
    <xf numFmtId="3" fontId="3" fillId="8" borderId="10" xfId="0" applyNumberFormat="1" applyFont="1" applyFill="1" applyBorder="1" applyAlignment="1">
      <alignment horizontal="right" vertical="center" wrapText="1"/>
    </xf>
    <xf numFmtId="164" fontId="7" fillId="7" borderId="0" xfId="13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 vertical="center" wrapText="1"/>
    </xf>
    <xf numFmtId="10" fontId="3" fillId="7" borderId="8" xfId="1" applyNumberFormat="1" applyFont="1" applyFill="1" applyBorder="1" applyAlignment="1">
      <alignment vertical="center"/>
    </xf>
    <xf numFmtId="10" fontId="3" fillId="7" borderId="8" xfId="1" applyNumberFormat="1" applyFont="1" applyFill="1" applyBorder="1" applyAlignment="1" applyProtection="1">
      <alignment horizontal="right" vertical="center"/>
    </xf>
    <xf numFmtId="3" fontId="3" fillId="9" borderId="8" xfId="0" applyNumberFormat="1" applyFont="1" applyFill="1" applyBorder="1" applyAlignment="1">
      <alignment horizontal="right" vertical="center" wrapText="1"/>
    </xf>
    <xf numFmtId="3" fontId="3" fillId="9" borderId="10" xfId="0" applyNumberFormat="1" applyFont="1" applyFill="1" applyBorder="1" applyAlignment="1">
      <alignment horizontal="right" vertical="center" wrapText="1"/>
    </xf>
    <xf numFmtId="3" fontId="3" fillId="9" borderId="0" xfId="0" applyNumberFormat="1" applyFont="1" applyFill="1"/>
    <xf numFmtId="10" fontId="2" fillId="6" borderId="8" xfId="1" applyNumberFormat="1" applyFont="1" applyFill="1" applyBorder="1" applyAlignment="1" applyProtection="1">
      <alignment horizontal="right" vertical="center"/>
    </xf>
    <xf numFmtId="10" fontId="2" fillId="6" borderId="8" xfId="0" applyNumberFormat="1" applyFont="1" applyFill="1" applyBorder="1" applyAlignment="1">
      <alignment horizontal="right" vertical="center" wrapText="1"/>
    </xf>
    <xf numFmtId="165" fontId="3" fillId="9" borderId="0" xfId="0" applyNumberFormat="1" applyFont="1" applyFill="1"/>
    <xf numFmtId="9" fontId="3" fillId="5" borderId="30" xfId="1" applyFont="1" applyFill="1" applyBorder="1" applyAlignment="1">
      <alignment vertical="center"/>
    </xf>
    <xf numFmtId="9" fontId="3" fillId="5" borderId="31" xfId="1" applyFont="1" applyFill="1" applyBorder="1" applyAlignment="1">
      <alignment vertical="center"/>
    </xf>
    <xf numFmtId="10" fontId="3" fillId="5" borderId="31" xfId="1" applyNumberFormat="1" applyFont="1" applyFill="1" applyBorder="1" applyAlignment="1">
      <alignment horizontal="center" vertical="center"/>
    </xf>
    <xf numFmtId="9" fontId="3" fillId="5" borderId="32" xfId="1" applyFont="1" applyFill="1" applyBorder="1" applyAlignment="1">
      <alignment vertical="center"/>
    </xf>
    <xf numFmtId="9" fontId="3" fillId="5" borderId="33" xfId="1" applyFont="1" applyFill="1" applyBorder="1" applyAlignment="1">
      <alignment vertical="center"/>
    </xf>
    <xf numFmtId="10" fontId="3" fillId="0" borderId="33" xfId="1" applyNumberFormat="1" applyFont="1" applyBorder="1" applyAlignment="1">
      <alignment vertical="center"/>
    </xf>
    <xf numFmtId="10" fontId="3" fillId="0" borderId="31" xfId="1" applyNumberFormat="1" applyFont="1" applyBorder="1" applyAlignment="1">
      <alignment vertical="center"/>
    </xf>
    <xf numFmtId="10" fontId="3" fillId="0" borderId="31" xfId="1" applyNumberFormat="1" applyFont="1" applyBorder="1" applyAlignment="1">
      <alignment horizontal="center" vertical="center"/>
    </xf>
    <xf numFmtId="10" fontId="3" fillId="5" borderId="33" xfId="1" applyNumberFormat="1" applyFont="1" applyFill="1" applyBorder="1" applyAlignment="1">
      <alignment vertical="center"/>
    </xf>
    <xf numFmtId="10" fontId="3" fillId="5" borderId="31" xfId="1" applyNumberFormat="1" applyFont="1" applyFill="1" applyBorder="1" applyAlignment="1">
      <alignment vertical="center"/>
    </xf>
    <xf numFmtId="0" fontId="5" fillId="0" borderId="31" xfId="0" applyFont="1" applyBorder="1"/>
    <xf numFmtId="10" fontId="3" fillId="2" borderId="0" xfId="1" applyNumberFormat="1" applyFont="1" applyFill="1" applyBorder="1" applyAlignment="1" applyProtection="1">
      <alignment vertical="center"/>
    </xf>
    <xf numFmtId="0" fontId="3" fillId="2" borderId="29" xfId="0" applyFont="1" applyFill="1" applyBorder="1" applyAlignment="1">
      <alignment horizontal="left" vertical="center" wrapText="1"/>
    </xf>
    <xf numFmtId="3" fontId="3" fillId="2" borderId="29" xfId="0" applyNumberFormat="1" applyFont="1" applyFill="1" applyBorder="1" applyAlignment="1">
      <alignment horizontal="right" vertical="center" wrapText="1"/>
    </xf>
    <xf numFmtId="3" fontId="3" fillId="2" borderId="29" xfId="0" applyNumberFormat="1" applyFont="1" applyFill="1" applyBorder="1" applyAlignment="1">
      <alignment horizontal="left" vertical="center" wrapText="1"/>
    </xf>
    <xf numFmtId="3" fontId="3" fillId="2" borderId="5" xfId="0" applyNumberFormat="1" applyFont="1" applyFill="1" applyBorder="1" applyAlignment="1">
      <alignment horizontal="right" vertical="center" wrapText="1"/>
    </xf>
    <xf numFmtId="0" fontId="9" fillId="0" borderId="0" xfId="0" applyFont="1"/>
    <xf numFmtId="10" fontId="3" fillId="5" borderId="30" xfId="1" applyNumberFormat="1" applyFont="1" applyFill="1" applyBorder="1" applyAlignment="1">
      <alignment vertical="center"/>
    </xf>
    <xf numFmtId="0" fontId="15" fillId="11" borderId="35" xfId="0" applyFont="1" applyFill="1" applyBorder="1" applyAlignment="1">
      <alignment horizontal="center" vertical="center" wrapText="1"/>
    </xf>
    <xf numFmtId="0" fontId="15" fillId="7" borderId="35" xfId="0" applyFont="1" applyFill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3" fontId="18" fillId="0" borderId="15" xfId="0" applyNumberFormat="1" applyFont="1" applyBorder="1" applyAlignment="1">
      <alignment horizontal="center" vertical="center" wrapText="1"/>
    </xf>
    <xf numFmtId="3" fontId="18" fillId="0" borderId="3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10" fontId="19" fillId="12" borderId="35" xfId="0" applyNumberFormat="1" applyFont="1" applyFill="1" applyBorder="1" applyAlignment="1">
      <alignment horizontal="center" vertical="center" wrapText="1"/>
    </xf>
    <xf numFmtId="10" fontId="18" fillId="0" borderId="0" xfId="0" applyNumberFormat="1" applyFont="1" applyAlignment="1">
      <alignment horizontal="center" vertical="center" wrapText="1"/>
    </xf>
    <xf numFmtId="0" fontId="18" fillId="0" borderId="0" xfId="0" applyFont="1"/>
    <xf numFmtId="10" fontId="19" fillId="7" borderId="35" xfId="0" applyNumberFormat="1" applyFont="1" applyFill="1" applyBorder="1" applyAlignment="1">
      <alignment horizontal="center" vertical="center" wrapText="1"/>
    </xf>
    <xf numFmtId="10" fontId="18" fillId="0" borderId="35" xfId="0" applyNumberFormat="1" applyFont="1" applyBorder="1" applyAlignment="1">
      <alignment horizontal="center" vertical="center" wrapText="1"/>
    </xf>
    <xf numFmtId="10" fontId="18" fillId="0" borderId="0" xfId="0" applyNumberFormat="1" applyFont="1"/>
    <xf numFmtId="0" fontId="11" fillId="4" borderId="6" xfId="0" applyFont="1" applyFill="1" applyBorder="1" applyAlignment="1">
      <alignment horizontal="justify" vertical="center" wrapText="1"/>
    </xf>
    <xf numFmtId="0" fontId="11" fillId="4" borderId="8" xfId="0" applyFont="1" applyFill="1" applyBorder="1" applyAlignment="1">
      <alignment horizontal="justify" vertical="center"/>
    </xf>
    <xf numFmtId="0" fontId="11" fillId="4" borderId="10" xfId="0" applyFont="1" applyFill="1" applyBorder="1" applyAlignment="1">
      <alignment horizontal="justify" vertical="center"/>
    </xf>
    <xf numFmtId="0" fontId="3" fillId="4" borderId="6" xfId="0" applyFont="1" applyFill="1" applyBorder="1" applyAlignment="1">
      <alignment horizontal="justify" vertical="center" wrapText="1"/>
    </xf>
    <xf numFmtId="0" fontId="3" fillId="4" borderId="8" xfId="0" applyFont="1" applyFill="1" applyBorder="1" applyAlignment="1">
      <alignment horizontal="justify" vertical="center"/>
    </xf>
    <xf numFmtId="0" fontId="3" fillId="4" borderId="10" xfId="0" applyFont="1" applyFill="1" applyBorder="1" applyAlignment="1">
      <alignment horizontal="justify" vertical="center"/>
    </xf>
    <xf numFmtId="0" fontId="11" fillId="10" borderId="6" xfId="0" applyFont="1" applyFill="1" applyBorder="1" applyAlignment="1">
      <alignment horizontal="left" vertical="center" wrapText="1"/>
    </xf>
    <xf numFmtId="0" fontId="11" fillId="10" borderId="8" xfId="0" applyFont="1" applyFill="1" applyBorder="1" applyAlignment="1">
      <alignment horizontal="left" vertical="center" wrapText="1"/>
    </xf>
    <xf numFmtId="0" fontId="11" fillId="10" borderId="10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horizontal="left" vertical="center" wrapText="1"/>
    </xf>
    <xf numFmtId="0" fontId="2" fillId="2" borderId="6" xfId="6" applyFont="1" applyFill="1" applyBorder="1" applyAlignment="1">
      <alignment horizontal="center" vertical="center" wrapText="1"/>
    </xf>
    <xf numFmtId="0" fontId="2" fillId="2" borderId="10" xfId="6" applyFont="1" applyFill="1" applyBorder="1" applyAlignment="1">
      <alignment horizontal="center" vertical="center" wrapText="1"/>
    </xf>
    <xf numFmtId="10" fontId="11" fillId="4" borderId="6" xfId="0" applyNumberFormat="1" applyFont="1" applyFill="1" applyBorder="1" applyAlignment="1">
      <alignment horizontal="center" vertical="center" wrapText="1"/>
    </xf>
    <xf numFmtId="10" fontId="11" fillId="4" borderId="8" xfId="0" applyNumberFormat="1" applyFont="1" applyFill="1" applyBorder="1" applyAlignment="1">
      <alignment horizontal="center" vertical="center" wrapText="1"/>
    </xf>
    <xf numFmtId="10" fontId="11" fillId="4" borderId="10" xfId="0" applyNumberFormat="1" applyFont="1" applyFill="1" applyBorder="1" applyAlignment="1">
      <alignment horizontal="center" vertical="center" wrapText="1"/>
    </xf>
    <xf numFmtId="10" fontId="11" fillId="4" borderId="6" xfId="1" applyNumberFormat="1" applyFont="1" applyFill="1" applyBorder="1" applyAlignment="1">
      <alignment horizontal="center" vertical="center" wrapText="1"/>
    </xf>
    <xf numFmtId="10" fontId="11" fillId="4" borderId="8" xfId="1" applyNumberFormat="1" applyFont="1" applyFill="1" applyBorder="1" applyAlignment="1">
      <alignment horizontal="center" vertical="center" wrapText="1"/>
    </xf>
    <xf numFmtId="10" fontId="11" fillId="4" borderId="10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justify" vertical="center" wrapText="1"/>
    </xf>
    <xf numFmtId="0" fontId="11" fillId="4" borderId="10" xfId="0" applyFont="1" applyFill="1" applyBorder="1" applyAlignment="1">
      <alignment horizontal="justify" vertical="center" wrapText="1"/>
    </xf>
    <xf numFmtId="0" fontId="11" fillId="10" borderId="6" xfId="0" applyFont="1" applyFill="1" applyBorder="1" applyAlignment="1">
      <alignment horizontal="justify" vertical="center" wrapText="1"/>
    </xf>
    <xf numFmtId="0" fontId="11" fillId="10" borderId="8" xfId="0" applyFont="1" applyFill="1" applyBorder="1" applyAlignment="1">
      <alignment horizontal="justify" vertical="center"/>
    </xf>
    <xf numFmtId="0" fontId="11" fillId="10" borderId="10" xfId="0" applyFont="1" applyFill="1" applyBorder="1" applyAlignment="1">
      <alignment horizontal="justify" vertical="center"/>
    </xf>
    <xf numFmtId="0" fontId="12" fillId="4" borderId="6" xfId="0" applyFont="1" applyFill="1" applyBorder="1" applyAlignment="1">
      <alignment horizontal="justify" vertical="center" wrapText="1"/>
    </xf>
    <xf numFmtId="9" fontId="3" fillId="4" borderId="6" xfId="1" applyFont="1" applyFill="1" applyBorder="1" applyAlignment="1">
      <alignment horizontal="center" vertical="center" wrapText="1"/>
    </xf>
    <xf numFmtId="9" fontId="3" fillId="4" borderId="8" xfId="1" applyFont="1" applyFill="1" applyBorder="1" applyAlignment="1">
      <alignment horizontal="center" vertical="center" wrapText="1"/>
    </xf>
    <xf numFmtId="9" fontId="3" fillId="4" borderId="10" xfId="1" applyFont="1" applyFill="1" applyBorder="1" applyAlignment="1">
      <alignment horizontal="center" vertical="center" wrapText="1"/>
    </xf>
    <xf numFmtId="10" fontId="3" fillId="5" borderId="31" xfId="1" applyNumberFormat="1" applyFont="1" applyFill="1" applyBorder="1" applyAlignment="1">
      <alignment horizontal="center" vertical="center"/>
    </xf>
    <xf numFmtId="10" fontId="3" fillId="5" borderId="34" xfId="1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10" fontId="3" fillId="5" borderId="32" xfId="1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10" fontId="3" fillId="4" borderId="6" xfId="0" applyNumberFormat="1" applyFont="1" applyFill="1" applyBorder="1" applyAlignment="1">
      <alignment horizontal="center" vertical="center" wrapText="1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10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17" fontId="2" fillId="4" borderId="6" xfId="0" applyNumberFormat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justify" vertical="center" wrapText="1"/>
    </xf>
    <xf numFmtId="0" fontId="3" fillId="4" borderId="10" xfId="0" applyFont="1" applyFill="1" applyBorder="1" applyAlignment="1">
      <alignment horizontal="justify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0" fontId="3" fillId="4" borderId="6" xfId="1" applyNumberFormat="1" applyFont="1" applyFill="1" applyBorder="1" applyAlignment="1">
      <alignment horizontal="center" vertical="center" wrapText="1"/>
    </xf>
    <xf numFmtId="10" fontId="3" fillId="4" borderId="8" xfId="1" applyNumberFormat="1" applyFont="1" applyFill="1" applyBorder="1" applyAlignment="1">
      <alignment horizontal="center" vertical="center" wrapText="1"/>
    </xf>
    <xf numFmtId="10" fontId="3" fillId="4" borderId="10" xfId="1" applyNumberFormat="1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left" vertical="center" wrapText="1"/>
    </xf>
    <xf numFmtId="0" fontId="3" fillId="10" borderId="8" xfId="0" applyFont="1" applyFill="1" applyBorder="1" applyAlignment="1">
      <alignment horizontal="left" vertical="center" wrapText="1"/>
    </xf>
    <xf numFmtId="0" fontId="3" fillId="10" borderId="10" xfId="0" applyFont="1" applyFill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15" xfId="0" applyFont="1" applyBorder="1" applyAlignment="1">
      <alignment horizontal="left" wrapText="1"/>
    </xf>
    <xf numFmtId="17" fontId="2" fillId="4" borderId="12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17" fontId="2" fillId="4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justify" vertical="center" wrapText="1"/>
    </xf>
    <xf numFmtId="0" fontId="3" fillId="10" borderId="8" xfId="0" applyFont="1" applyFill="1" applyBorder="1" applyAlignment="1">
      <alignment horizontal="justify" vertical="center"/>
    </xf>
    <xf numFmtId="0" fontId="3" fillId="10" borderId="10" xfId="0" applyFont="1" applyFill="1" applyBorder="1" applyAlignment="1">
      <alignment horizontal="justify" vertical="center"/>
    </xf>
    <xf numFmtId="0" fontId="10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left"/>
    </xf>
    <xf numFmtId="0" fontId="13" fillId="0" borderId="1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4" fillId="11" borderId="35" xfId="0" applyFont="1" applyFill="1" applyBorder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center" wrapText="1"/>
    </xf>
    <xf numFmtId="0" fontId="15" fillId="11" borderId="35" xfId="0" applyFont="1" applyFill="1" applyBorder="1" applyAlignment="1">
      <alignment horizontal="center" vertical="top" wrapText="1"/>
    </xf>
    <xf numFmtId="0" fontId="16" fillId="7" borderId="35" xfId="0" applyFont="1" applyFill="1" applyBorder="1" applyAlignment="1">
      <alignment horizontal="center" vertical="center" wrapText="1"/>
    </xf>
    <xf numFmtId="10" fontId="18" fillId="5" borderId="2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0" fontId="18" fillId="7" borderId="23" xfId="0" applyNumberFormat="1" applyFont="1" applyFill="1" applyBorder="1" applyAlignment="1">
      <alignment horizontal="center" vertical="center" wrapText="1"/>
    </xf>
    <xf numFmtId="10" fontId="18" fillId="7" borderId="4" xfId="0" applyNumberFormat="1" applyFont="1" applyFill="1" applyBorder="1" applyAlignment="1">
      <alignment horizontal="center" vertical="center" wrapText="1"/>
    </xf>
    <xf numFmtId="10" fontId="18" fillId="7" borderId="23" xfId="0" applyNumberFormat="1" applyFont="1" applyFill="1" applyBorder="1" applyAlignment="1">
      <alignment horizontal="center" vertical="center"/>
    </xf>
    <xf numFmtId="10" fontId="18" fillId="7" borderId="4" xfId="0" applyNumberFormat="1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top" wrapText="1"/>
    </xf>
    <xf numFmtId="0" fontId="17" fillId="0" borderId="4" xfId="0" applyFont="1" applyBorder="1" applyAlignment="1">
      <alignment horizontal="justify" vertical="top" wrapText="1"/>
    </xf>
    <xf numFmtId="9" fontId="18" fillId="0" borderId="23" xfId="0" applyNumberFormat="1" applyFont="1" applyBorder="1" applyAlignment="1">
      <alignment horizontal="center" vertical="center" wrapText="1"/>
    </xf>
    <xf numFmtId="9" fontId="18" fillId="0" borderId="4" xfId="0" applyNumberFormat="1" applyFont="1" applyBorder="1" applyAlignment="1">
      <alignment horizontal="center" vertical="center" wrapText="1"/>
    </xf>
    <xf numFmtId="10" fontId="18" fillId="0" borderId="23" xfId="0" applyNumberFormat="1" applyFont="1" applyBorder="1" applyAlignment="1">
      <alignment horizontal="center" vertical="center" wrapText="1"/>
    </xf>
    <xf numFmtId="10" fontId="18" fillId="0" borderId="4" xfId="0" applyNumberFormat="1" applyFont="1" applyBorder="1" applyAlignment="1">
      <alignment horizontal="center" vertical="center" wrapText="1"/>
    </xf>
    <xf numFmtId="10" fontId="18" fillId="5" borderId="23" xfId="0" applyNumberFormat="1" applyFont="1" applyFill="1" applyBorder="1" applyAlignment="1">
      <alignment horizontal="center" vertical="center" wrapText="1"/>
    </xf>
    <xf numFmtId="10" fontId="18" fillId="5" borderId="4" xfId="0" applyNumberFormat="1" applyFont="1" applyFill="1" applyBorder="1" applyAlignment="1">
      <alignment horizontal="center" vertical="center" wrapText="1"/>
    </xf>
    <xf numFmtId="9" fontId="18" fillId="0" borderId="23" xfId="1" applyFont="1" applyBorder="1" applyAlignment="1">
      <alignment horizontal="center" vertical="center" wrapText="1"/>
    </xf>
    <xf numFmtId="9" fontId="18" fillId="0" borderId="4" xfId="1" applyFont="1" applyBorder="1" applyAlignment="1">
      <alignment horizontal="center" vertical="center" wrapText="1"/>
    </xf>
    <xf numFmtId="10" fontId="18" fillId="0" borderId="23" xfId="1" applyNumberFormat="1" applyFont="1" applyFill="1" applyBorder="1" applyAlignment="1">
      <alignment horizontal="center" vertical="center" wrapText="1"/>
    </xf>
    <xf numFmtId="10" fontId="18" fillId="0" borderId="4" xfId="1" applyNumberFormat="1" applyFont="1" applyFill="1" applyBorder="1" applyAlignment="1">
      <alignment horizontal="center" vertical="center" wrapText="1"/>
    </xf>
    <xf numFmtId="10" fontId="18" fillId="5" borderId="4" xfId="0" applyNumberFormat="1" applyFont="1" applyFill="1" applyBorder="1" applyAlignment="1">
      <alignment horizontal="center" vertical="center"/>
    </xf>
    <xf numFmtId="10" fontId="18" fillId="0" borderId="23" xfId="1" applyNumberFormat="1" applyFont="1" applyBorder="1" applyAlignment="1">
      <alignment horizontal="center" vertical="center" wrapText="1"/>
    </xf>
    <xf numFmtId="10" fontId="18" fillId="0" borderId="4" xfId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justify" vertical="top" wrapText="1"/>
    </xf>
    <xf numFmtId="0" fontId="18" fillId="0" borderId="16" xfId="0" applyFont="1" applyBorder="1" applyAlignment="1">
      <alignment horizontal="left" wrapText="1"/>
    </xf>
    <xf numFmtId="0" fontId="18" fillId="0" borderId="17" xfId="0" applyFont="1" applyBorder="1" applyAlignment="1">
      <alignment horizontal="left" wrapText="1"/>
    </xf>
    <xf numFmtId="0" fontId="18" fillId="0" borderId="15" xfId="0" applyFont="1" applyBorder="1" applyAlignment="1">
      <alignment horizontal="left" wrapText="1"/>
    </xf>
    <xf numFmtId="0" fontId="18" fillId="0" borderId="0" xfId="0" applyFont="1" applyAlignment="1">
      <alignment horizontal="left"/>
    </xf>
  </cellXfs>
  <cellStyles count="20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2 2 2" xfId="17" xr:uid="{00000000-0005-0000-0000-000003000000}"/>
    <cellStyle name="Millares 2 2 3" xfId="15" xr:uid="{00000000-0005-0000-0000-000004000000}"/>
    <cellStyle name="Millares 2 3" xfId="7" xr:uid="{00000000-0005-0000-0000-000005000000}"/>
    <cellStyle name="Millares 2 3 2" xfId="16" xr:uid="{00000000-0005-0000-0000-000006000000}"/>
    <cellStyle name="Millares 2 4" xfId="14" xr:uid="{00000000-0005-0000-0000-000007000000}"/>
    <cellStyle name="Millares 3" xfId="12" xr:uid="{00000000-0005-0000-0000-000008000000}"/>
    <cellStyle name="Millares 3 2" xfId="18" xr:uid="{00000000-0005-0000-0000-000009000000}"/>
    <cellStyle name="Millares 4" xfId="13" xr:uid="{00000000-0005-0000-0000-00000A000000}"/>
    <cellStyle name="Millares 4 2" xfId="19" xr:uid="{00000000-0005-0000-0000-00000B000000}"/>
    <cellStyle name="Normal" xfId="0" builtinId="0"/>
    <cellStyle name="Normal 2" xfId="6" xr:uid="{00000000-0005-0000-0000-00000D000000}"/>
    <cellStyle name="Normal 3" xfId="11" xr:uid="{00000000-0005-0000-0000-00000E000000}"/>
    <cellStyle name="Porcentaje" xfId="1" builtinId="5"/>
    <cellStyle name="Porcentaje 2" xfId="3" xr:uid="{00000000-0005-0000-0000-000010000000}"/>
    <cellStyle name="Porcentaje 2 2" xfId="5" xr:uid="{00000000-0005-0000-0000-000011000000}"/>
    <cellStyle name="Porcentaje 2 2 2" xfId="10" xr:uid="{00000000-0005-0000-0000-000012000000}"/>
    <cellStyle name="Porcentaje 2 3" xfId="8" xr:uid="{00000000-0005-0000-0000-000013000000}"/>
  </cellStyles>
  <dxfs count="0"/>
  <tableStyles count="0" defaultTableStyle="TableStyleMedium9" defaultPivotStyle="PivotStyleLight16"/>
  <colors>
    <mruColors>
      <color rgb="FFCCFFFF"/>
      <color rgb="FFD5F9F8"/>
      <color rgb="FF66FF33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7165300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2E9FF931-37BD-4DB4-9083-AACFDBAF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95BFD4D1-6ED2-4830-916C-6DF817FDC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575D5ED6-1D13-4899-984F-60723AD9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" name="Picture 67" descr="image002">
          <a:extLst>
            <a:ext uri="{FF2B5EF4-FFF2-40B4-BE49-F238E27FC236}">
              <a16:creationId xmlns:a16="http://schemas.microsoft.com/office/drawing/2014/main" id="{5B2746C2-E57D-4B67-B068-335B4B90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9" name="7 CuadroTexto">
          <a:extLst>
            <a:ext uri="{FF2B5EF4-FFF2-40B4-BE49-F238E27FC236}">
              <a16:creationId xmlns:a16="http://schemas.microsoft.com/office/drawing/2014/main" id="{B4AC6F2F-DB4A-47C4-B5A5-F113BAA8A42C}"/>
            </a:ext>
          </a:extLst>
        </xdr:cNvPr>
        <xdr:cNvSpPr txBox="1"/>
      </xdr:nvSpPr>
      <xdr:spPr>
        <a:xfrm rot="18892825" flipV="1">
          <a:off x="25869899" y="127939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" name="Picture 67" descr="image002">
          <a:extLst>
            <a:ext uri="{FF2B5EF4-FFF2-40B4-BE49-F238E27FC236}">
              <a16:creationId xmlns:a16="http://schemas.microsoft.com/office/drawing/2014/main" id="{B58A931A-219F-485C-8A56-68F35D37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D4752ABC-A05B-41C5-90F4-EB740235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" name="9 CuadroTexto">
          <a:extLst>
            <a:ext uri="{FF2B5EF4-FFF2-40B4-BE49-F238E27FC236}">
              <a16:creationId xmlns:a16="http://schemas.microsoft.com/office/drawing/2014/main" id="{24E4736E-D7B4-49DE-A7B9-1AC3C8FA67CC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7616E46C-3FD3-4860-8577-7C63466A3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92B0C030-6BEA-45D1-8E7F-E5DFBD3D7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" name="12 CuadroTexto">
          <a:extLst>
            <a:ext uri="{FF2B5EF4-FFF2-40B4-BE49-F238E27FC236}">
              <a16:creationId xmlns:a16="http://schemas.microsoft.com/office/drawing/2014/main" id="{1A42C4EF-1256-465F-9C51-A7C614FB4138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54</xdr:row>
      <xdr:rowOff>0</xdr:rowOff>
    </xdr:from>
    <xdr:ext cx="80010" cy="72391"/>
    <xdr:sp macro="" textlink="">
      <xdr:nvSpPr>
        <xdr:cNvPr id="4" name="7 CuadroTexto">
          <a:extLst>
            <a:ext uri="{FF2B5EF4-FFF2-40B4-BE49-F238E27FC236}">
              <a16:creationId xmlns:a16="http://schemas.microsoft.com/office/drawing/2014/main" id="{BBFBC9DC-9D58-40F0-8D4F-4FD031851282}"/>
            </a:ext>
          </a:extLst>
        </xdr:cNvPr>
        <xdr:cNvSpPr txBox="1"/>
      </xdr:nvSpPr>
      <xdr:spPr>
        <a:xfrm rot="18892825" flipV="1">
          <a:off x="26365199" y="12683491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7" name="7 CuadroTexto">
          <a:extLst>
            <a:ext uri="{FF2B5EF4-FFF2-40B4-BE49-F238E27FC236}">
              <a16:creationId xmlns:a16="http://schemas.microsoft.com/office/drawing/2014/main" id="{92F4567D-475F-49FA-86ED-7451F74E998F}"/>
            </a:ext>
          </a:extLst>
        </xdr:cNvPr>
        <xdr:cNvSpPr txBox="1"/>
      </xdr:nvSpPr>
      <xdr:spPr>
        <a:xfrm rot="18892825" flipV="1">
          <a:off x="26365199" y="117652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8" name="7 CuadroTexto">
          <a:extLst>
            <a:ext uri="{FF2B5EF4-FFF2-40B4-BE49-F238E27FC236}">
              <a16:creationId xmlns:a16="http://schemas.microsoft.com/office/drawing/2014/main" id="{663629EE-5172-402D-BC36-133E0413F2D4}"/>
            </a:ext>
          </a:extLst>
        </xdr:cNvPr>
        <xdr:cNvSpPr txBox="1"/>
      </xdr:nvSpPr>
      <xdr:spPr>
        <a:xfrm rot="18892825" flipV="1">
          <a:off x="26365199" y="117652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9" name="7 CuadroTexto">
          <a:extLst>
            <a:ext uri="{FF2B5EF4-FFF2-40B4-BE49-F238E27FC236}">
              <a16:creationId xmlns:a16="http://schemas.microsoft.com/office/drawing/2014/main" id="{C5309206-4FDC-4817-B907-E9D8B7578292}"/>
            </a:ext>
          </a:extLst>
        </xdr:cNvPr>
        <xdr:cNvSpPr txBox="1"/>
      </xdr:nvSpPr>
      <xdr:spPr>
        <a:xfrm rot="18892825" flipV="1">
          <a:off x="26365199" y="117652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20" name="7 CuadroTexto">
          <a:extLst>
            <a:ext uri="{FF2B5EF4-FFF2-40B4-BE49-F238E27FC236}">
              <a16:creationId xmlns:a16="http://schemas.microsoft.com/office/drawing/2014/main" id="{01783102-23E2-4FBF-8107-774CE2AE5FFC}"/>
            </a:ext>
          </a:extLst>
        </xdr:cNvPr>
        <xdr:cNvSpPr txBox="1"/>
      </xdr:nvSpPr>
      <xdr:spPr>
        <a:xfrm rot="18892825" flipV="1">
          <a:off x="26365199" y="102793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44</xdr:row>
      <xdr:rowOff>72388</xdr:rowOff>
    </xdr:from>
    <xdr:ext cx="80010" cy="72391"/>
    <xdr:sp macro="" textlink="">
      <xdr:nvSpPr>
        <xdr:cNvPr id="21" name="7 CuadroTexto">
          <a:extLst>
            <a:ext uri="{FF2B5EF4-FFF2-40B4-BE49-F238E27FC236}">
              <a16:creationId xmlns:a16="http://schemas.microsoft.com/office/drawing/2014/main" id="{E2352A1A-1A09-44EA-85C4-173121F6A9E3}"/>
            </a:ext>
          </a:extLst>
        </xdr:cNvPr>
        <xdr:cNvSpPr txBox="1"/>
      </xdr:nvSpPr>
      <xdr:spPr>
        <a:xfrm rot="18892825" flipV="1">
          <a:off x="26365199" y="102793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" name="Picture 67" descr="image00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" name="Picture 67" descr="image00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" name="Picture 67" descr="image002">
          <a:extLst>
            <a:ext uri="{FF2B5EF4-FFF2-40B4-BE49-F238E27FC236}">
              <a16:creationId xmlns:a16="http://schemas.microsoft.com/office/drawing/2014/main" id="{00000000-0008-0000-0200-000007000000}"/>
            </a:ext>
            <a:ext uri="{147F2762-F138-4A5C-976F-8EAC2B608ADB}">
              <a16:predDERef xmlns:a16="http://schemas.microsoft.com/office/drawing/2014/main" pre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" name="Picture 67" descr="image002">
          <a:extLst>
            <a:ext uri="{FF2B5EF4-FFF2-40B4-BE49-F238E27FC236}">
              <a16:creationId xmlns:a16="http://schemas.microsoft.com/office/drawing/2014/main" id="{00000000-0008-0000-0200-000009000000}"/>
            </a:ext>
            <a:ext uri="{147F2762-F138-4A5C-976F-8EAC2B608ADB}">
              <a16:predDERef xmlns:a16="http://schemas.microsoft.com/office/drawing/2014/main" pre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" name="Picture 67" descr="image002">
          <a:extLst>
            <a:ext uri="{FF2B5EF4-FFF2-40B4-BE49-F238E27FC236}">
              <a16:creationId xmlns:a16="http://schemas.microsoft.com/office/drawing/2014/main" id="{00000000-0008-0000-0200-00000B000000}"/>
            </a:ext>
            <a:ext uri="{147F2762-F138-4A5C-976F-8EAC2B608ADB}">
              <a16:predDERef xmlns:a16="http://schemas.microsoft.com/office/drawing/2014/main" pre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" name="Picture 67" descr="image002">
          <a:extLst>
            <a:ext uri="{FF2B5EF4-FFF2-40B4-BE49-F238E27FC236}">
              <a16:creationId xmlns:a16="http://schemas.microsoft.com/office/drawing/2014/main" id="{00000000-0008-0000-0200-00000C000000}"/>
            </a:ext>
            <a:ext uri="{147F2762-F138-4A5C-976F-8EAC2B608ADB}">
              <a16:predDERef xmlns:a16="http://schemas.microsoft.com/office/drawing/2014/main" pre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" name="Picture 67" descr="image002">
          <a:extLst>
            <a:ext uri="{FF2B5EF4-FFF2-40B4-BE49-F238E27FC236}">
              <a16:creationId xmlns:a16="http://schemas.microsoft.com/office/drawing/2014/main" id="{8274F0F9-2AD2-498E-9F5D-078E30BD23AE}"/>
            </a:ext>
            <a:ext uri="{147F2762-F138-4A5C-976F-8EAC2B608ADB}">
              <a16:predDERef xmlns:a16="http://schemas.microsoft.com/office/drawing/2014/main" pre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" name="Picture 67" descr="image002">
          <a:extLst>
            <a:ext uri="{FF2B5EF4-FFF2-40B4-BE49-F238E27FC236}">
              <a16:creationId xmlns:a16="http://schemas.microsoft.com/office/drawing/2014/main" id="{2AA1FB22-9FD3-40B9-B789-8492AB7F049F}"/>
            </a:ext>
            <a:ext uri="{147F2762-F138-4A5C-976F-8EAC2B608ADB}">
              <a16:predDERef xmlns:a16="http://schemas.microsoft.com/office/drawing/2014/main" pre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16" name="10 CuadroTexto">
          <a:extLst>
            <a:ext uri="{FF2B5EF4-FFF2-40B4-BE49-F238E27FC236}">
              <a16:creationId xmlns:a16="http://schemas.microsoft.com/office/drawing/2014/main" id="{5C610B33-94C5-47A8-B4E9-BB23A034624D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" name="Picture 67" descr="image002">
          <a:extLst>
            <a:ext uri="{FF2B5EF4-FFF2-40B4-BE49-F238E27FC236}">
              <a16:creationId xmlns:a16="http://schemas.microsoft.com/office/drawing/2014/main" id="{2320F915-3208-4283-978E-0A024342D16C}"/>
            </a:ext>
            <a:ext uri="{147F2762-F138-4A5C-976F-8EAC2B608ADB}">
              <a16:predDERef xmlns:a16="http://schemas.microsoft.com/office/drawing/2014/main" pred="{5C610B33-94C5-47A8-B4E9-BB23A034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" name="Picture 67" descr="image002">
          <a:extLst>
            <a:ext uri="{FF2B5EF4-FFF2-40B4-BE49-F238E27FC236}">
              <a16:creationId xmlns:a16="http://schemas.microsoft.com/office/drawing/2014/main" id="{D55988FB-B41E-45DD-95CB-BCBF5E590F0D}"/>
            </a:ext>
            <a:ext uri="{147F2762-F138-4A5C-976F-8EAC2B608ADB}">
              <a16:predDERef xmlns:a16="http://schemas.microsoft.com/office/drawing/2014/main" pred="{5C610B33-94C5-47A8-B4E9-BB23A034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" name="Picture 67" descr="image002">
          <a:extLst>
            <a:ext uri="{FF2B5EF4-FFF2-40B4-BE49-F238E27FC236}">
              <a16:creationId xmlns:a16="http://schemas.microsoft.com/office/drawing/2014/main" id="{CF91B7D8-D011-499C-A487-5E86F81C4066}"/>
            </a:ext>
            <a:ext uri="{147F2762-F138-4A5C-976F-8EAC2B608ADB}">
              <a16:predDERef xmlns:a16="http://schemas.microsoft.com/office/drawing/2014/main" pred="{5C610B33-94C5-47A8-B4E9-BB23A034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" name="Picture 67" descr="image002">
          <a:extLst>
            <a:ext uri="{FF2B5EF4-FFF2-40B4-BE49-F238E27FC236}">
              <a16:creationId xmlns:a16="http://schemas.microsoft.com/office/drawing/2014/main" id="{787F6CE8-5759-41C1-81CE-17D3CA3D6803}"/>
            </a:ext>
            <a:ext uri="{147F2762-F138-4A5C-976F-8EAC2B608ADB}">
              <a16:predDERef xmlns:a16="http://schemas.microsoft.com/office/drawing/2014/main" pred="{5C610B33-94C5-47A8-B4E9-BB23A034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2" name="Picture 67" descr="image002">
          <a:extLst>
            <a:ext uri="{FF2B5EF4-FFF2-40B4-BE49-F238E27FC236}">
              <a16:creationId xmlns:a16="http://schemas.microsoft.com/office/drawing/2014/main" id="{E452BE83-0510-4330-AD84-C1F6C658D46E}"/>
            </a:ext>
            <a:ext uri="{147F2762-F138-4A5C-976F-8EAC2B608ADB}">
              <a16:predDERef xmlns:a16="http://schemas.microsoft.com/office/drawing/2014/main" pred="{0E5CAFB0-0749-4918-92ED-C0C3CED9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3" name="Picture 67" descr="image002">
          <a:extLst>
            <a:ext uri="{FF2B5EF4-FFF2-40B4-BE49-F238E27FC236}">
              <a16:creationId xmlns:a16="http://schemas.microsoft.com/office/drawing/2014/main" id="{E6CB6F49-A4F1-4906-BE4C-7F22528A820F}"/>
            </a:ext>
            <a:ext uri="{147F2762-F138-4A5C-976F-8EAC2B608ADB}">
              <a16:predDERef xmlns:a16="http://schemas.microsoft.com/office/drawing/2014/main" pred="{0E5CAFB0-0749-4918-92ED-C0C3CED94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24" name="9 CuadroTexto">
          <a:extLst>
            <a:ext uri="{FF2B5EF4-FFF2-40B4-BE49-F238E27FC236}">
              <a16:creationId xmlns:a16="http://schemas.microsoft.com/office/drawing/2014/main" id="{44652278-B540-4EB7-B7ED-488A65DCFB7F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5" name="Picture 67" descr="image002">
          <a:extLst>
            <a:ext uri="{FF2B5EF4-FFF2-40B4-BE49-F238E27FC236}">
              <a16:creationId xmlns:a16="http://schemas.microsoft.com/office/drawing/2014/main" id="{34ED4B20-DCD1-4BDC-93EC-E2FD2B2E114B}"/>
            </a:ext>
            <a:ext uri="{147F2762-F138-4A5C-976F-8EAC2B608ADB}">
              <a16:predDERef xmlns:a16="http://schemas.microsoft.com/office/drawing/2014/main" pred="{44652278-B540-4EB7-B7ED-488A65DC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6" name="Picture 67" descr="image002">
          <a:extLst>
            <a:ext uri="{FF2B5EF4-FFF2-40B4-BE49-F238E27FC236}">
              <a16:creationId xmlns:a16="http://schemas.microsoft.com/office/drawing/2014/main" id="{087EB6DD-4996-4FD9-8716-28E49DECD4F8}"/>
            </a:ext>
            <a:ext uri="{147F2762-F138-4A5C-976F-8EAC2B608ADB}">
              <a16:predDERef xmlns:a16="http://schemas.microsoft.com/office/drawing/2014/main" pred="{44652278-B540-4EB7-B7ED-488A65DCF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27" name="12 CuadroTexto">
          <a:extLst>
            <a:ext uri="{FF2B5EF4-FFF2-40B4-BE49-F238E27FC236}">
              <a16:creationId xmlns:a16="http://schemas.microsoft.com/office/drawing/2014/main" id="{8FD28043-B18D-44D3-A6BB-9701B052FC14}"/>
            </a:ext>
          </a:extLst>
        </xdr:cNvPr>
        <xdr:cNvSpPr txBox="1"/>
      </xdr:nvSpPr>
      <xdr:spPr>
        <a:xfrm>
          <a:off x="27308175" y="111252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8" name="Picture 67" descr="image002">
          <a:extLst>
            <a:ext uri="{FF2B5EF4-FFF2-40B4-BE49-F238E27FC236}">
              <a16:creationId xmlns:a16="http://schemas.microsoft.com/office/drawing/2014/main" id="{440F9707-B936-4C6F-84E6-9852559BD5CB}"/>
            </a:ext>
            <a:ext uri="{147F2762-F138-4A5C-976F-8EAC2B608ADB}">
              <a16:predDERef xmlns:a16="http://schemas.microsoft.com/office/drawing/2014/main" pred="{8FD28043-B18D-44D3-A6BB-9701B052F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9" name="Picture 67" descr="image002">
          <a:extLst>
            <a:ext uri="{FF2B5EF4-FFF2-40B4-BE49-F238E27FC236}">
              <a16:creationId xmlns:a16="http://schemas.microsoft.com/office/drawing/2014/main" id="{A8A8A92B-CAAF-4600-9CB9-DFDECF7AB1E2}"/>
            </a:ext>
            <a:ext uri="{147F2762-F138-4A5C-976F-8EAC2B608ADB}">
              <a16:predDERef xmlns:a16="http://schemas.microsoft.com/office/drawing/2014/main" pred="{8FD28043-B18D-44D3-A6BB-9701B052F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30" name="10 CuadroTexto">
          <a:extLst>
            <a:ext uri="{FF2B5EF4-FFF2-40B4-BE49-F238E27FC236}">
              <a16:creationId xmlns:a16="http://schemas.microsoft.com/office/drawing/2014/main" id="{9C452036-F0D5-4BCB-9134-D4F9DCA1C2E4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1" name="Picture 67" descr="image002">
          <a:extLst>
            <a:ext uri="{FF2B5EF4-FFF2-40B4-BE49-F238E27FC236}">
              <a16:creationId xmlns:a16="http://schemas.microsoft.com/office/drawing/2014/main" id="{CA535561-ACD9-4CF3-9318-D77EDF0B3B74}"/>
            </a:ext>
            <a:ext uri="{147F2762-F138-4A5C-976F-8EAC2B608ADB}">
              <a16:predDERef xmlns:a16="http://schemas.microsoft.com/office/drawing/2014/main" pred="{9C452036-F0D5-4BCB-9134-D4F9DCA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2" name="Picture 67" descr="image002">
          <a:extLst>
            <a:ext uri="{FF2B5EF4-FFF2-40B4-BE49-F238E27FC236}">
              <a16:creationId xmlns:a16="http://schemas.microsoft.com/office/drawing/2014/main" id="{A584B10C-A272-48BA-952D-4F09D6A7B833}"/>
            </a:ext>
            <a:ext uri="{147F2762-F138-4A5C-976F-8EAC2B608ADB}">
              <a16:predDERef xmlns:a16="http://schemas.microsoft.com/office/drawing/2014/main" pred="{9C452036-F0D5-4BCB-9134-D4F9DCA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3" name="Picture 67" descr="image002">
          <a:extLst>
            <a:ext uri="{FF2B5EF4-FFF2-40B4-BE49-F238E27FC236}">
              <a16:creationId xmlns:a16="http://schemas.microsoft.com/office/drawing/2014/main" id="{3C3DA735-3F71-4DF3-A6BF-CCD7086D991B}"/>
            </a:ext>
            <a:ext uri="{147F2762-F138-4A5C-976F-8EAC2B608ADB}">
              <a16:predDERef xmlns:a16="http://schemas.microsoft.com/office/drawing/2014/main" pred="{9C452036-F0D5-4BCB-9134-D4F9DCA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4" name="Picture 67" descr="image002">
          <a:extLst>
            <a:ext uri="{FF2B5EF4-FFF2-40B4-BE49-F238E27FC236}">
              <a16:creationId xmlns:a16="http://schemas.microsoft.com/office/drawing/2014/main" id="{447ACF53-D82F-4C94-90F6-782D22D9F647}"/>
            </a:ext>
            <a:ext uri="{147F2762-F138-4A5C-976F-8EAC2B608ADB}">
              <a16:predDERef xmlns:a16="http://schemas.microsoft.com/office/drawing/2014/main" pred="{9C452036-F0D5-4BCB-9134-D4F9DCA1C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207877" cy="217560"/>
    <xdr:sp macro="" textlink="">
      <xdr:nvSpPr>
        <xdr:cNvPr id="35" name="7 CuadroTexto">
          <a:extLst>
            <a:ext uri="{FF2B5EF4-FFF2-40B4-BE49-F238E27FC236}">
              <a16:creationId xmlns:a16="http://schemas.microsoft.com/office/drawing/2014/main" id="{E5E1B6DA-1787-49B0-AB36-9C39C97758CB}"/>
            </a:ext>
          </a:extLst>
        </xdr:cNvPr>
        <xdr:cNvSpPr txBox="1"/>
      </xdr:nvSpPr>
      <xdr:spPr>
        <a:xfrm>
          <a:off x="25938480" y="12900660"/>
          <a:ext cx="20787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L" sz="800" baseline="0">
              <a:solidFill>
                <a:srgbClr val="FF0000"/>
              </a:solidFill>
            </a:rPr>
            <a:t> </a:t>
          </a:r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6" name="Picture 67" descr="image002">
          <a:extLst>
            <a:ext uri="{FF2B5EF4-FFF2-40B4-BE49-F238E27FC236}">
              <a16:creationId xmlns:a16="http://schemas.microsoft.com/office/drawing/2014/main" id="{BD14144D-8A3C-42C6-948B-33D0320CCB0F}"/>
            </a:ext>
            <a:ext uri="{147F2762-F138-4A5C-976F-8EAC2B608ADB}">
              <a16:predDERef xmlns:a16="http://schemas.microsoft.com/office/drawing/2014/main" pred="{E5E1B6DA-1787-49B0-AB36-9C39C977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7" name="Picture 67" descr="image002">
          <a:extLst>
            <a:ext uri="{FF2B5EF4-FFF2-40B4-BE49-F238E27FC236}">
              <a16:creationId xmlns:a16="http://schemas.microsoft.com/office/drawing/2014/main" id="{B8439656-34C5-4379-80B3-8A0F5AD06EE6}"/>
            </a:ext>
            <a:ext uri="{147F2762-F138-4A5C-976F-8EAC2B608ADB}">
              <a16:predDERef xmlns:a16="http://schemas.microsoft.com/office/drawing/2014/main" pred="{E5E1B6DA-1787-49B0-AB36-9C39C9775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38" name="9 CuadroTexto">
          <a:extLst>
            <a:ext uri="{FF2B5EF4-FFF2-40B4-BE49-F238E27FC236}">
              <a16:creationId xmlns:a16="http://schemas.microsoft.com/office/drawing/2014/main" id="{25968FF8-22B4-4D79-B204-FC8B71ADC0C2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39" name="Picture 67" descr="image002">
          <a:extLst>
            <a:ext uri="{FF2B5EF4-FFF2-40B4-BE49-F238E27FC236}">
              <a16:creationId xmlns:a16="http://schemas.microsoft.com/office/drawing/2014/main" id="{BC461084-0500-402F-8AC6-513A286E118D}"/>
            </a:ext>
            <a:ext uri="{147F2762-F138-4A5C-976F-8EAC2B608ADB}">
              <a16:predDERef xmlns:a16="http://schemas.microsoft.com/office/drawing/2014/main" pred="{25968FF8-22B4-4D79-B204-FC8B71AD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0" name="Picture 67" descr="image002">
          <a:extLst>
            <a:ext uri="{FF2B5EF4-FFF2-40B4-BE49-F238E27FC236}">
              <a16:creationId xmlns:a16="http://schemas.microsoft.com/office/drawing/2014/main" id="{8A19FA1A-D711-4DAF-A53A-A6057B342B15}"/>
            </a:ext>
            <a:ext uri="{147F2762-F138-4A5C-976F-8EAC2B608ADB}">
              <a16:predDERef xmlns:a16="http://schemas.microsoft.com/office/drawing/2014/main" pred="{25968FF8-22B4-4D79-B204-FC8B71AD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41" name="12 CuadroTexto">
          <a:extLst>
            <a:ext uri="{FF2B5EF4-FFF2-40B4-BE49-F238E27FC236}">
              <a16:creationId xmlns:a16="http://schemas.microsoft.com/office/drawing/2014/main" id="{BB986E77-6DB5-4C7F-8342-6F72C8FCF243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2" name="Picture 67" descr="image002">
          <a:extLst>
            <a:ext uri="{FF2B5EF4-FFF2-40B4-BE49-F238E27FC236}">
              <a16:creationId xmlns:a16="http://schemas.microsoft.com/office/drawing/2014/main" id="{2DDBE0CE-7278-4C11-8D01-D416694A17E9}"/>
            </a:ext>
            <a:ext uri="{147F2762-F138-4A5C-976F-8EAC2B608ADB}">
              <a16:predDERef xmlns:a16="http://schemas.microsoft.com/office/drawing/2014/main" pred="{BB986E77-6DB5-4C7F-8342-6F72C8F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3" name="Picture 67" descr="image002">
          <a:extLst>
            <a:ext uri="{FF2B5EF4-FFF2-40B4-BE49-F238E27FC236}">
              <a16:creationId xmlns:a16="http://schemas.microsoft.com/office/drawing/2014/main" id="{1953C5A8-3CF8-4B9A-A8E6-A86841F0EBCC}"/>
            </a:ext>
            <a:ext uri="{147F2762-F138-4A5C-976F-8EAC2B608ADB}">
              <a16:predDERef xmlns:a16="http://schemas.microsoft.com/office/drawing/2014/main" pred="{BB986E77-6DB5-4C7F-8342-6F72C8F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4" name="Picture 67" descr="image002">
          <a:extLst>
            <a:ext uri="{FF2B5EF4-FFF2-40B4-BE49-F238E27FC236}">
              <a16:creationId xmlns:a16="http://schemas.microsoft.com/office/drawing/2014/main" id="{95C85A0C-8FC8-4EFB-B9FF-5E19F1CB024D}"/>
            </a:ext>
            <a:ext uri="{147F2762-F138-4A5C-976F-8EAC2B608ADB}">
              <a16:predDERef xmlns:a16="http://schemas.microsoft.com/office/drawing/2014/main" pred="{BB986E77-6DB5-4C7F-8342-6F72C8F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5" name="Picture 67" descr="image002">
          <a:extLst>
            <a:ext uri="{FF2B5EF4-FFF2-40B4-BE49-F238E27FC236}">
              <a16:creationId xmlns:a16="http://schemas.microsoft.com/office/drawing/2014/main" id="{5AEB4C2F-30D1-4DF6-A051-0B07BAE89EC1}"/>
            </a:ext>
            <a:ext uri="{147F2762-F138-4A5C-976F-8EAC2B608ADB}">
              <a16:predDERef xmlns:a16="http://schemas.microsoft.com/office/drawing/2014/main" pred="{BB986E77-6DB5-4C7F-8342-6F72C8F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184731" cy="217560"/>
    <xdr:sp macro="" textlink="">
      <xdr:nvSpPr>
        <xdr:cNvPr id="46" name="7 CuadroTexto">
          <a:extLst>
            <a:ext uri="{FF2B5EF4-FFF2-40B4-BE49-F238E27FC236}">
              <a16:creationId xmlns:a16="http://schemas.microsoft.com/office/drawing/2014/main" id="{5FF169E6-22A8-48EF-9876-B665146D9470}"/>
            </a:ext>
          </a:extLst>
        </xdr:cNvPr>
        <xdr:cNvSpPr txBox="1"/>
      </xdr:nvSpPr>
      <xdr:spPr>
        <a:xfrm>
          <a:off x="25938480" y="1290066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47" name="Picture 67" descr="image002">
          <a:extLst>
            <a:ext uri="{FF2B5EF4-FFF2-40B4-BE49-F238E27FC236}">
              <a16:creationId xmlns:a16="http://schemas.microsoft.com/office/drawing/2014/main" id="{B4A21A1E-29A5-4CE0-A02B-E7B54CA17185}"/>
            </a:ext>
            <a:ext uri="{147F2762-F138-4A5C-976F-8EAC2B608ADB}">
              <a16:predDERef xmlns:a16="http://schemas.microsoft.com/office/drawing/2014/main" pred="{5FF169E6-22A8-48EF-9876-B665146D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48" name="Picture 67" descr="image002">
          <a:extLst>
            <a:ext uri="{FF2B5EF4-FFF2-40B4-BE49-F238E27FC236}">
              <a16:creationId xmlns:a16="http://schemas.microsoft.com/office/drawing/2014/main" id="{87C553C8-FFE4-4494-AFA0-4FE42DA2293C}"/>
            </a:ext>
            <a:ext uri="{147F2762-F138-4A5C-976F-8EAC2B608ADB}">
              <a16:predDERef xmlns:a16="http://schemas.microsoft.com/office/drawing/2014/main" pred="{5FF169E6-22A8-48EF-9876-B665146D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49" name="9 CuadroTexto">
          <a:extLst>
            <a:ext uri="{FF2B5EF4-FFF2-40B4-BE49-F238E27FC236}">
              <a16:creationId xmlns:a16="http://schemas.microsoft.com/office/drawing/2014/main" id="{D41485B1-18C1-4A55-A7D4-85177E9A51EF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0" name="Picture 67" descr="image002">
          <a:extLst>
            <a:ext uri="{FF2B5EF4-FFF2-40B4-BE49-F238E27FC236}">
              <a16:creationId xmlns:a16="http://schemas.microsoft.com/office/drawing/2014/main" id="{AE49AC83-3484-4903-ABD1-0C4F0C6A1D81}"/>
            </a:ext>
            <a:ext uri="{147F2762-F138-4A5C-976F-8EAC2B608ADB}">
              <a16:predDERef xmlns:a16="http://schemas.microsoft.com/office/drawing/2014/main" pred="{D41485B1-18C1-4A55-A7D4-85177E9A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1" name="Picture 67" descr="image002">
          <a:extLst>
            <a:ext uri="{FF2B5EF4-FFF2-40B4-BE49-F238E27FC236}">
              <a16:creationId xmlns:a16="http://schemas.microsoft.com/office/drawing/2014/main" id="{9A4E2A2E-B105-4069-8A97-F2FC97AA9CA6}"/>
            </a:ext>
            <a:ext uri="{147F2762-F138-4A5C-976F-8EAC2B608ADB}">
              <a16:predDERef xmlns:a16="http://schemas.microsoft.com/office/drawing/2014/main" pred="{D41485B1-18C1-4A55-A7D4-85177E9A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52" name="12 CuadroTexto">
          <a:extLst>
            <a:ext uri="{FF2B5EF4-FFF2-40B4-BE49-F238E27FC236}">
              <a16:creationId xmlns:a16="http://schemas.microsoft.com/office/drawing/2014/main" id="{3B4BEA7A-FB6F-496D-97F9-316F180FB806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3" name="Picture 67" descr="image002">
          <a:extLst>
            <a:ext uri="{FF2B5EF4-FFF2-40B4-BE49-F238E27FC236}">
              <a16:creationId xmlns:a16="http://schemas.microsoft.com/office/drawing/2014/main" id="{3393CC77-9B52-4452-A512-4523CFBA2F68}"/>
            </a:ext>
            <a:ext uri="{147F2762-F138-4A5C-976F-8EAC2B608ADB}">
              <a16:predDERef xmlns:a16="http://schemas.microsoft.com/office/drawing/2014/main" pred="{3B4BEA7A-FB6F-496D-97F9-316F180FB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4" name="Picture 67" descr="image002">
          <a:extLst>
            <a:ext uri="{FF2B5EF4-FFF2-40B4-BE49-F238E27FC236}">
              <a16:creationId xmlns:a16="http://schemas.microsoft.com/office/drawing/2014/main" id="{9CAA3359-3A79-4CFC-8DF2-72A2D4DF55AE}"/>
            </a:ext>
            <a:ext uri="{147F2762-F138-4A5C-976F-8EAC2B608ADB}">
              <a16:predDERef xmlns:a16="http://schemas.microsoft.com/office/drawing/2014/main" pred="{3B4BEA7A-FB6F-496D-97F9-316F180FB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55" name="10 CuadroTexto">
          <a:extLst>
            <a:ext uri="{FF2B5EF4-FFF2-40B4-BE49-F238E27FC236}">
              <a16:creationId xmlns:a16="http://schemas.microsoft.com/office/drawing/2014/main" id="{7C2707AC-5246-4544-9A31-779188043F8E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6" name="Picture 67" descr="image002">
          <a:extLst>
            <a:ext uri="{FF2B5EF4-FFF2-40B4-BE49-F238E27FC236}">
              <a16:creationId xmlns:a16="http://schemas.microsoft.com/office/drawing/2014/main" id="{0F8015CD-EC2F-45F9-9D57-402AEBBE45A7}"/>
            </a:ext>
            <a:ext uri="{147F2762-F138-4A5C-976F-8EAC2B608ADB}">
              <a16:predDERef xmlns:a16="http://schemas.microsoft.com/office/drawing/2014/main" pred="{7C2707AC-5246-4544-9A31-77918804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7" name="Picture 67" descr="image002">
          <a:extLst>
            <a:ext uri="{FF2B5EF4-FFF2-40B4-BE49-F238E27FC236}">
              <a16:creationId xmlns:a16="http://schemas.microsoft.com/office/drawing/2014/main" id="{EB23E9EC-E937-41C8-B8A5-264EF96C0561}"/>
            </a:ext>
            <a:ext uri="{147F2762-F138-4A5C-976F-8EAC2B608ADB}">
              <a16:predDERef xmlns:a16="http://schemas.microsoft.com/office/drawing/2014/main" pred="{7C2707AC-5246-4544-9A31-77918804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58" name="Picture 67" descr="image002">
          <a:extLst>
            <a:ext uri="{FF2B5EF4-FFF2-40B4-BE49-F238E27FC236}">
              <a16:creationId xmlns:a16="http://schemas.microsoft.com/office/drawing/2014/main" id="{29501032-AECC-452D-9012-14719A0A8E6F}"/>
            </a:ext>
            <a:ext uri="{147F2762-F138-4A5C-976F-8EAC2B608ADB}">
              <a16:predDERef xmlns:a16="http://schemas.microsoft.com/office/drawing/2014/main" pred="{7C2707AC-5246-4544-9A31-77918804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59" name="Picture 67" descr="image002">
          <a:extLst>
            <a:ext uri="{FF2B5EF4-FFF2-40B4-BE49-F238E27FC236}">
              <a16:creationId xmlns:a16="http://schemas.microsoft.com/office/drawing/2014/main" id="{E64BF6E9-1EAA-4C75-B298-CE8201462BF9}"/>
            </a:ext>
            <a:ext uri="{147F2762-F138-4A5C-976F-8EAC2B608ADB}">
              <a16:predDERef xmlns:a16="http://schemas.microsoft.com/office/drawing/2014/main" pred="{7C2707AC-5246-4544-9A31-779188043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57</xdr:row>
      <xdr:rowOff>0</xdr:rowOff>
    </xdr:from>
    <xdr:ext cx="184731" cy="217560"/>
    <xdr:sp macro="" textlink="">
      <xdr:nvSpPr>
        <xdr:cNvPr id="60" name="7 CuadroTexto">
          <a:extLst>
            <a:ext uri="{FF2B5EF4-FFF2-40B4-BE49-F238E27FC236}">
              <a16:creationId xmlns:a16="http://schemas.microsoft.com/office/drawing/2014/main" id="{CB67329A-AD8D-4CCA-8121-E96DD4C8BC0B}"/>
            </a:ext>
          </a:extLst>
        </xdr:cNvPr>
        <xdr:cNvSpPr txBox="1"/>
      </xdr:nvSpPr>
      <xdr:spPr>
        <a:xfrm>
          <a:off x="25938480" y="1290066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1" name="Picture 67" descr="image002">
          <a:extLst>
            <a:ext uri="{FF2B5EF4-FFF2-40B4-BE49-F238E27FC236}">
              <a16:creationId xmlns:a16="http://schemas.microsoft.com/office/drawing/2014/main" id="{D243C42E-F800-41C2-BB24-938D6CD00CFC}"/>
            </a:ext>
            <a:ext uri="{147F2762-F138-4A5C-976F-8EAC2B608ADB}">
              <a16:predDERef xmlns:a16="http://schemas.microsoft.com/office/drawing/2014/main" pred="{CB67329A-AD8D-4CCA-8121-E96DD4C8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2" name="Picture 67" descr="image002">
          <a:extLst>
            <a:ext uri="{FF2B5EF4-FFF2-40B4-BE49-F238E27FC236}">
              <a16:creationId xmlns:a16="http://schemas.microsoft.com/office/drawing/2014/main" id="{DBAB3179-9922-418F-A237-3B8BEC0FAEA8}"/>
            </a:ext>
            <a:ext uri="{147F2762-F138-4A5C-976F-8EAC2B608ADB}">
              <a16:predDERef xmlns:a16="http://schemas.microsoft.com/office/drawing/2014/main" pred="{CB67329A-AD8D-4CCA-8121-E96DD4C8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3" name="9 CuadroTexto">
          <a:extLst>
            <a:ext uri="{FF2B5EF4-FFF2-40B4-BE49-F238E27FC236}">
              <a16:creationId xmlns:a16="http://schemas.microsoft.com/office/drawing/2014/main" id="{F853C47B-3E62-4237-B0CA-D87D1425DE01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4" name="Picture 67" descr="image002">
          <a:extLst>
            <a:ext uri="{FF2B5EF4-FFF2-40B4-BE49-F238E27FC236}">
              <a16:creationId xmlns:a16="http://schemas.microsoft.com/office/drawing/2014/main" id="{330C6E2A-A7F4-4103-9E40-7A5BB6A19994}"/>
            </a:ext>
            <a:ext uri="{147F2762-F138-4A5C-976F-8EAC2B608ADB}">
              <a16:predDERef xmlns:a16="http://schemas.microsoft.com/office/drawing/2014/main" pred="{F853C47B-3E62-4237-B0CA-D87D1425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5" name="Picture 67" descr="image002">
          <a:extLst>
            <a:ext uri="{FF2B5EF4-FFF2-40B4-BE49-F238E27FC236}">
              <a16:creationId xmlns:a16="http://schemas.microsoft.com/office/drawing/2014/main" id="{97DF2BA1-341C-4DE2-A1AD-39B002C05B38}"/>
            </a:ext>
            <a:ext uri="{147F2762-F138-4A5C-976F-8EAC2B608ADB}">
              <a16:predDERef xmlns:a16="http://schemas.microsoft.com/office/drawing/2014/main" pred="{F853C47B-3E62-4237-B0CA-D87D1425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6" name="12 CuadroTexto">
          <a:extLst>
            <a:ext uri="{FF2B5EF4-FFF2-40B4-BE49-F238E27FC236}">
              <a16:creationId xmlns:a16="http://schemas.microsoft.com/office/drawing/2014/main" id="{00418D6C-F9DE-442E-876E-96E8D0BA4D83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7" name="Picture 67" descr="image002">
          <a:extLst>
            <a:ext uri="{FF2B5EF4-FFF2-40B4-BE49-F238E27FC236}">
              <a16:creationId xmlns:a16="http://schemas.microsoft.com/office/drawing/2014/main" id="{A4C17707-81C2-4E4A-8C8B-7B30624CCEA9}"/>
            </a:ext>
            <a:ext uri="{147F2762-F138-4A5C-976F-8EAC2B608ADB}">
              <a16:predDERef xmlns:a16="http://schemas.microsoft.com/office/drawing/2014/main" pred="{00418D6C-F9DE-442E-876E-96E8D0BA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68" name="Picture 67" descr="image002">
          <a:extLst>
            <a:ext uri="{FF2B5EF4-FFF2-40B4-BE49-F238E27FC236}">
              <a16:creationId xmlns:a16="http://schemas.microsoft.com/office/drawing/2014/main" id="{DEAF5DC4-4772-4021-9FDE-F6D018810BB7}"/>
            </a:ext>
            <a:ext uri="{147F2762-F138-4A5C-976F-8EAC2B608ADB}">
              <a16:predDERef xmlns:a16="http://schemas.microsoft.com/office/drawing/2014/main" pred="{00418D6C-F9DE-442E-876E-96E8D0BA4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69" name="10 CuadroTexto">
          <a:extLst>
            <a:ext uri="{FF2B5EF4-FFF2-40B4-BE49-F238E27FC236}">
              <a16:creationId xmlns:a16="http://schemas.microsoft.com/office/drawing/2014/main" id="{525716F7-E438-4DBC-863B-6713498B9428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0" name="Picture 67" descr="image002">
          <a:extLst>
            <a:ext uri="{FF2B5EF4-FFF2-40B4-BE49-F238E27FC236}">
              <a16:creationId xmlns:a16="http://schemas.microsoft.com/office/drawing/2014/main" id="{24BF8E6D-8C4F-4FE2-AD58-70008844D960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1" name="Picture 67" descr="image002">
          <a:extLst>
            <a:ext uri="{FF2B5EF4-FFF2-40B4-BE49-F238E27FC236}">
              <a16:creationId xmlns:a16="http://schemas.microsoft.com/office/drawing/2014/main" id="{CED5AA14-69EF-427D-B92C-9B9ACDEE2022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2" name="Picture 67" descr="image002">
          <a:extLst>
            <a:ext uri="{FF2B5EF4-FFF2-40B4-BE49-F238E27FC236}">
              <a16:creationId xmlns:a16="http://schemas.microsoft.com/office/drawing/2014/main" id="{CC09EAFA-2F88-4E90-BB9F-1E8076B70340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3" name="Picture 67" descr="image002">
          <a:extLst>
            <a:ext uri="{FF2B5EF4-FFF2-40B4-BE49-F238E27FC236}">
              <a16:creationId xmlns:a16="http://schemas.microsoft.com/office/drawing/2014/main" id="{2FDAC2D5-0913-403C-86B7-712274DC038B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5" name="Picture 67" descr="image002">
          <a:extLst>
            <a:ext uri="{FF2B5EF4-FFF2-40B4-BE49-F238E27FC236}">
              <a16:creationId xmlns:a16="http://schemas.microsoft.com/office/drawing/2014/main" id="{E13DDBB3-E2AC-44E4-BA2B-D84188FE0481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6" name="Picture 67" descr="image002">
          <a:extLst>
            <a:ext uri="{FF2B5EF4-FFF2-40B4-BE49-F238E27FC236}">
              <a16:creationId xmlns:a16="http://schemas.microsoft.com/office/drawing/2014/main" id="{29A93D7D-70BD-46A9-B367-B66220FD6778}"/>
            </a:ext>
            <a:ext uri="{147F2762-F138-4A5C-976F-8EAC2B608ADB}">
              <a16:predDERef xmlns:a16="http://schemas.microsoft.com/office/drawing/2014/main" pred="{525716F7-E438-4DBC-863B-6713498B9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77" name="9 CuadroTexto">
          <a:extLst>
            <a:ext uri="{FF2B5EF4-FFF2-40B4-BE49-F238E27FC236}">
              <a16:creationId xmlns:a16="http://schemas.microsoft.com/office/drawing/2014/main" id="{9870B4D4-18C0-4C7D-88B6-9DD62AC1530C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78" name="Picture 67" descr="image002">
          <a:extLst>
            <a:ext uri="{FF2B5EF4-FFF2-40B4-BE49-F238E27FC236}">
              <a16:creationId xmlns:a16="http://schemas.microsoft.com/office/drawing/2014/main" id="{B06ED573-DBA3-4527-B983-716FCFBE3697}"/>
            </a:ext>
            <a:ext uri="{147F2762-F138-4A5C-976F-8EAC2B608ADB}">
              <a16:predDERef xmlns:a16="http://schemas.microsoft.com/office/drawing/2014/main" pred="{9870B4D4-18C0-4C7D-88B6-9DD62AC1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9" name="Picture 67" descr="image002">
          <a:extLst>
            <a:ext uri="{FF2B5EF4-FFF2-40B4-BE49-F238E27FC236}">
              <a16:creationId xmlns:a16="http://schemas.microsoft.com/office/drawing/2014/main" id="{2DEF7489-BC37-489F-B350-D881C441D2F0}"/>
            </a:ext>
            <a:ext uri="{147F2762-F138-4A5C-976F-8EAC2B608ADB}">
              <a16:predDERef xmlns:a16="http://schemas.microsoft.com/office/drawing/2014/main" pred="{9870B4D4-18C0-4C7D-88B6-9DD62AC15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45</xdr:row>
      <xdr:rowOff>0</xdr:rowOff>
    </xdr:from>
    <xdr:ext cx="171450" cy="361950"/>
    <xdr:sp macro="" textlink="">
      <xdr:nvSpPr>
        <xdr:cNvPr id="80" name="12 CuadroTexto">
          <a:extLst>
            <a:ext uri="{FF2B5EF4-FFF2-40B4-BE49-F238E27FC236}">
              <a16:creationId xmlns:a16="http://schemas.microsoft.com/office/drawing/2014/main" id="{F8739396-FEF7-4397-B9AC-2D1C2436695F}"/>
            </a:ext>
          </a:extLst>
        </xdr:cNvPr>
        <xdr:cNvSpPr txBox="1"/>
      </xdr:nvSpPr>
      <xdr:spPr>
        <a:xfrm>
          <a:off x="26517600" y="102679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1" name="Picture 67" descr="image002">
          <a:extLst>
            <a:ext uri="{FF2B5EF4-FFF2-40B4-BE49-F238E27FC236}">
              <a16:creationId xmlns:a16="http://schemas.microsoft.com/office/drawing/2014/main" id="{353D7D0F-36AB-4503-A930-F6F812BCD436}"/>
            </a:ext>
            <a:ext uri="{147F2762-F138-4A5C-976F-8EAC2B608ADB}">
              <a16:predDERef xmlns:a16="http://schemas.microsoft.com/office/drawing/2014/main" pred="{F8739396-FEF7-4397-B9AC-2D1C2436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2" name="Picture 67" descr="image002">
          <a:extLst>
            <a:ext uri="{FF2B5EF4-FFF2-40B4-BE49-F238E27FC236}">
              <a16:creationId xmlns:a16="http://schemas.microsoft.com/office/drawing/2014/main" id="{1D59A143-6CAC-400A-8B1C-1B488B146E17}"/>
            </a:ext>
            <a:ext uri="{147F2762-F138-4A5C-976F-8EAC2B608ADB}">
              <a16:predDERef xmlns:a16="http://schemas.microsoft.com/office/drawing/2014/main" pred="{F8739396-FEF7-4397-B9AC-2D1C2436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83" name="10 CuadroTexto">
          <a:extLst>
            <a:ext uri="{FF2B5EF4-FFF2-40B4-BE49-F238E27FC236}">
              <a16:creationId xmlns:a16="http://schemas.microsoft.com/office/drawing/2014/main" id="{78103705-E3F9-47FC-8420-8A97C403583D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4" name="Picture 67" descr="image002">
          <a:extLst>
            <a:ext uri="{FF2B5EF4-FFF2-40B4-BE49-F238E27FC236}">
              <a16:creationId xmlns:a16="http://schemas.microsoft.com/office/drawing/2014/main" id="{B92B565F-BF75-4835-BD4C-B6E7779A08C2}"/>
            </a:ext>
            <a:ext uri="{147F2762-F138-4A5C-976F-8EAC2B608ADB}">
              <a16:predDERef xmlns:a16="http://schemas.microsoft.com/office/drawing/2014/main" pred="{78103705-E3F9-47FC-8420-8A97C403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5" name="Picture 67" descr="image002">
          <a:extLst>
            <a:ext uri="{FF2B5EF4-FFF2-40B4-BE49-F238E27FC236}">
              <a16:creationId xmlns:a16="http://schemas.microsoft.com/office/drawing/2014/main" id="{3AB49A19-EE26-4BB0-ACAD-B1DF7A33988A}"/>
            </a:ext>
            <a:ext uri="{147F2762-F138-4A5C-976F-8EAC2B608ADB}">
              <a16:predDERef xmlns:a16="http://schemas.microsoft.com/office/drawing/2014/main" pred="{78103705-E3F9-47FC-8420-8A97C403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6" name="Picture 67" descr="image002">
          <a:extLst>
            <a:ext uri="{FF2B5EF4-FFF2-40B4-BE49-F238E27FC236}">
              <a16:creationId xmlns:a16="http://schemas.microsoft.com/office/drawing/2014/main" id="{FE4FCE23-8A91-4D9B-8E6A-C02E06F1E9F2}"/>
            </a:ext>
            <a:ext uri="{147F2762-F138-4A5C-976F-8EAC2B608ADB}">
              <a16:predDERef xmlns:a16="http://schemas.microsoft.com/office/drawing/2014/main" pred="{78103705-E3F9-47FC-8420-8A97C403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87" name="Picture 67" descr="image002">
          <a:extLst>
            <a:ext uri="{FF2B5EF4-FFF2-40B4-BE49-F238E27FC236}">
              <a16:creationId xmlns:a16="http://schemas.microsoft.com/office/drawing/2014/main" id="{B7855216-052D-4C17-A7BC-60DE200091EA}"/>
            </a:ext>
            <a:ext uri="{147F2762-F138-4A5C-976F-8EAC2B608ADB}">
              <a16:predDERef xmlns:a16="http://schemas.microsoft.com/office/drawing/2014/main" pred="{78103705-E3F9-47FC-8420-8A97C4035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1318260</xdr:colOff>
      <xdr:row>51</xdr:row>
      <xdr:rowOff>15240</xdr:rowOff>
    </xdr:from>
    <xdr:ext cx="184731" cy="217560"/>
    <xdr:sp macro="" textlink="">
      <xdr:nvSpPr>
        <xdr:cNvPr id="88" name="7 CuadroTexto">
          <a:extLst>
            <a:ext uri="{FF2B5EF4-FFF2-40B4-BE49-F238E27FC236}">
              <a16:creationId xmlns:a16="http://schemas.microsoft.com/office/drawing/2014/main" id="{A9AA89DB-6810-4DE3-9F66-1813610C168F}"/>
            </a:ext>
          </a:extLst>
        </xdr:cNvPr>
        <xdr:cNvSpPr txBox="1"/>
      </xdr:nvSpPr>
      <xdr:spPr>
        <a:xfrm>
          <a:off x="27256740" y="118110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89" name="Picture 67" descr="image002">
          <a:extLst>
            <a:ext uri="{FF2B5EF4-FFF2-40B4-BE49-F238E27FC236}">
              <a16:creationId xmlns:a16="http://schemas.microsoft.com/office/drawing/2014/main" id="{334187E3-6386-4BC1-8C3B-0246B8DE4DCD}"/>
            </a:ext>
            <a:ext uri="{147F2762-F138-4A5C-976F-8EAC2B608ADB}">
              <a16:predDERef xmlns:a16="http://schemas.microsoft.com/office/drawing/2014/main" pred="{A9AA89DB-6810-4DE3-9F66-1813610C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0" name="Picture 67" descr="image002">
          <a:extLst>
            <a:ext uri="{FF2B5EF4-FFF2-40B4-BE49-F238E27FC236}">
              <a16:creationId xmlns:a16="http://schemas.microsoft.com/office/drawing/2014/main" id="{19009592-AA93-4659-90F7-AF3AFD22A274}"/>
            </a:ext>
            <a:ext uri="{147F2762-F138-4A5C-976F-8EAC2B608ADB}">
              <a16:predDERef xmlns:a16="http://schemas.microsoft.com/office/drawing/2014/main" pred="{A9AA89DB-6810-4DE3-9F66-1813610C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91" name="9 CuadroTexto">
          <a:extLst>
            <a:ext uri="{FF2B5EF4-FFF2-40B4-BE49-F238E27FC236}">
              <a16:creationId xmlns:a16="http://schemas.microsoft.com/office/drawing/2014/main" id="{2A6FEA9A-9438-46B0-A716-EA3738A9B5CC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2" name="Picture 67" descr="image002">
          <a:extLst>
            <a:ext uri="{FF2B5EF4-FFF2-40B4-BE49-F238E27FC236}">
              <a16:creationId xmlns:a16="http://schemas.microsoft.com/office/drawing/2014/main" id="{BF76C3CC-42E4-40DF-9479-2B99DA6F954E}"/>
            </a:ext>
            <a:ext uri="{147F2762-F138-4A5C-976F-8EAC2B608ADB}">
              <a16:predDERef xmlns:a16="http://schemas.microsoft.com/office/drawing/2014/main" pred="{2A6FEA9A-9438-46B0-A716-EA3738A9B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3" name="Picture 67" descr="image002">
          <a:extLst>
            <a:ext uri="{FF2B5EF4-FFF2-40B4-BE49-F238E27FC236}">
              <a16:creationId xmlns:a16="http://schemas.microsoft.com/office/drawing/2014/main" id="{5D9F0CC7-57EC-4B73-9AD7-2B5F0B517892}"/>
            </a:ext>
            <a:ext uri="{147F2762-F138-4A5C-976F-8EAC2B608ADB}">
              <a16:predDERef xmlns:a16="http://schemas.microsoft.com/office/drawing/2014/main" pred="{2A6FEA9A-9438-46B0-A716-EA3738A9B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32</xdr:col>
      <xdr:colOff>0</xdr:colOff>
      <xdr:row>39</xdr:row>
      <xdr:rowOff>0</xdr:rowOff>
    </xdr:from>
    <xdr:ext cx="171450" cy="361950"/>
    <xdr:sp macro="" textlink="">
      <xdr:nvSpPr>
        <xdr:cNvPr id="94" name="12 CuadroTexto">
          <a:extLst>
            <a:ext uri="{FF2B5EF4-FFF2-40B4-BE49-F238E27FC236}">
              <a16:creationId xmlns:a16="http://schemas.microsoft.com/office/drawing/2014/main" id="{92E02C0C-6AA0-4553-AA7D-27E545F78421}"/>
            </a:ext>
          </a:extLst>
        </xdr:cNvPr>
        <xdr:cNvSpPr txBox="1"/>
      </xdr:nvSpPr>
      <xdr:spPr>
        <a:xfrm>
          <a:off x="27287220" y="89154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5" name="Picture 67" descr="image002">
          <a:extLst>
            <a:ext uri="{FF2B5EF4-FFF2-40B4-BE49-F238E27FC236}">
              <a16:creationId xmlns:a16="http://schemas.microsoft.com/office/drawing/2014/main" id="{DF65C95F-3525-452E-9AD6-081DB3CAB67A}"/>
            </a:ext>
            <a:ext uri="{147F2762-F138-4A5C-976F-8EAC2B608ADB}">
              <a16:predDERef xmlns:a16="http://schemas.microsoft.com/office/drawing/2014/main" pred="{92E02C0C-6AA0-4553-AA7D-27E545F7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6" name="Picture 67" descr="image002">
          <a:extLst>
            <a:ext uri="{FF2B5EF4-FFF2-40B4-BE49-F238E27FC236}">
              <a16:creationId xmlns:a16="http://schemas.microsoft.com/office/drawing/2014/main" id="{3B233573-FA75-4953-A4D5-406899438907}"/>
            </a:ext>
            <a:ext uri="{147F2762-F138-4A5C-976F-8EAC2B608ADB}">
              <a16:predDERef xmlns:a16="http://schemas.microsoft.com/office/drawing/2014/main" pred="{92E02C0C-6AA0-4553-AA7D-27E545F78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97" name="10 CuadroTexto">
          <a:extLst>
            <a:ext uri="{FF2B5EF4-FFF2-40B4-BE49-F238E27FC236}">
              <a16:creationId xmlns:a16="http://schemas.microsoft.com/office/drawing/2014/main" id="{3B99E015-8D1A-4C8C-B1EE-21AAE822EB62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98" name="Picture 67" descr="image002">
          <a:extLst>
            <a:ext uri="{FF2B5EF4-FFF2-40B4-BE49-F238E27FC236}">
              <a16:creationId xmlns:a16="http://schemas.microsoft.com/office/drawing/2014/main" id="{EF6B38B7-B2AD-41FB-95BA-5C1CFCAE92D8}"/>
            </a:ext>
            <a:ext uri="{147F2762-F138-4A5C-976F-8EAC2B608ADB}">
              <a16:predDERef xmlns:a16="http://schemas.microsoft.com/office/drawing/2014/main" pred="{3B99E015-8D1A-4C8C-B1EE-21AAE822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99" name="Picture 67" descr="image002">
          <a:extLst>
            <a:ext uri="{FF2B5EF4-FFF2-40B4-BE49-F238E27FC236}">
              <a16:creationId xmlns:a16="http://schemas.microsoft.com/office/drawing/2014/main" id="{36358B05-21A3-48A7-9017-36882853B807}"/>
            </a:ext>
            <a:ext uri="{147F2762-F138-4A5C-976F-8EAC2B608ADB}">
              <a16:predDERef xmlns:a16="http://schemas.microsoft.com/office/drawing/2014/main" pred="{3B99E015-8D1A-4C8C-B1EE-21AAE822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0" name="Picture 67" descr="image002">
          <a:extLst>
            <a:ext uri="{FF2B5EF4-FFF2-40B4-BE49-F238E27FC236}">
              <a16:creationId xmlns:a16="http://schemas.microsoft.com/office/drawing/2014/main" id="{5F090A4D-8429-46B5-8340-DFF9EBEAA672}"/>
            </a:ext>
            <a:ext uri="{147F2762-F138-4A5C-976F-8EAC2B608ADB}">
              <a16:predDERef xmlns:a16="http://schemas.microsoft.com/office/drawing/2014/main" pred="{3B99E015-8D1A-4C8C-B1EE-21AAE822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1" name="Picture 67" descr="image002">
          <a:extLst>
            <a:ext uri="{FF2B5EF4-FFF2-40B4-BE49-F238E27FC236}">
              <a16:creationId xmlns:a16="http://schemas.microsoft.com/office/drawing/2014/main" id="{31399841-0ED4-44AA-8A4D-DCFB24C5EEDA}"/>
            </a:ext>
            <a:ext uri="{147F2762-F138-4A5C-976F-8EAC2B608ADB}">
              <a16:predDERef xmlns:a16="http://schemas.microsoft.com/office/drawing/2014/main" pred="{3B99E015-8D1A-4C8C-B1EE-21AAE822E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02" name="7 CuadroTexto">
          <a:extLst>
            <a:ext uri="{FF2B5EF4-FFF2-40B4-BE49-F238E27FC236}">
              <a16:creationId xmlns:a16="http://schemas.microsoft.com/office/drawing/2014/main" id="{D3D5FE27-BDEA-4118-AC3D-03E4614FDC13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3" name="Picture 67" descr="image002">
          <a:extLst>
            <a:ext uri="{FF2B5EF4-FFF2-40B4-BE49-F238E27FC236}">
              <a16:creationId xmlns:a16="http://schemas.microsoft.com/office/drawing/2014/main" id="{8B8C6281-6410-4B66-BD91-9A98C8755F3D}"/>
            </a:ext>
            <a:ext uri="{147F2762-F138-4A5C-976F-8EAC2B608ADB}">
              <a16:predDERef xmlns:a16="http://schemas.microsoft.com/office/drawing/2014/main" pred="{D3D5FE27-BDEA-4118-AC3D-03E4614F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4" name="Picture 67" descr="image002">
          <a:extLst>
            <a:ext uri="{FF2B5EF4-FFF2-40B4-BE49-F238E27FC236}">
              <a16:creationId xmlns:a16="http://schemas.microsoft.com/office/drawing/2014/main" id="{5E037BAF-2E9D-4B71-BD51-3F447F28854F}"/>
            </a:ext>
            <a:ext uri="{147F2762-F138-4A5C-976F-8EAC2B608ADB}">
              <a16:predDERef xmlns:a16="http://schemas.microsoft.com/office/drawing/2014/main" pred="{D3D5FE27-BDEA-4118-AC3D-03E4614FD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05" name="9 CuadroTexto">
          <a:extLst>
            <a:ext uri="{FF2B5EF4-FFF2-40B4-BE49-F238E27FC236}">
              <a16:creationId xmlns:a16="http://schemas.microsoft.com/office/drawing/2014/main" id="{D3214E61-FB8A-4A83-A867-9593BF287672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6" name="Picture 67" descr="image002">
          <a:extLst>
            <a:ext uri="{FF2B5EF4-FFF2-40B4-BE49-F238E27FC236}">
              <a16:creationId xmlns:a16="http://schemas.microsoft.com/office/drawing/2014/main" id="{E39D6832-7554-462C-AAD3-078062A53B4D}"/>
            </a:ext>
            <a:ext uri="{147F2762-F138-4A5C-976F-8EAC2B608ADB}">
              <a16:predDERef xmlns:a16="http://schemas.microsoft.com/office/drawing/2014/main" pred="{D3214E61-FB8A-4A83-A867-9593BF28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07" name="Picture 67" descr="image002">
          <a:extLst>
            <a:ext uri="{FF2B5EF4-FFF2-40B4-BE49-F238E27FC236}">
              <a16:creationId xmlns:a16="http://schemas.microsoft.com/office/drawing/2014/main" id="{D6044686-84E4-4E0B-912C-B02E06F82074}"/>
            </a:ext>
            <a:ext uri="{147F2762-F138-4A5C-976F-8EAC2B608ADB}">
              <a16:predDERef xmlns:a16="http://schemas.microsoft.com/office/drawing/2014/main" pred="{D3214E61-FB8A-4A83-A867-9593BF28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08" name="12 CuadroTexto">
          <a:extLst>
            <a:ext uri="{FF2B5EF4-FFF2-40B4-BE49-F238E27FC236}">
              <a16:creationId xmlns:a16="http://schemas.microsoft.com/office/drawing/2014/main" id="{049DC920-B2A7-428D-91EF-D943A292890B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09" name="Picture 67" descr="image002">
          <a:extLst>
            <a:ext uri="{FF2B5EF4-FFF2-40B4-BE49-F238E27FC236}">
              <a16:creationId xmlns:a16="http://schemas.microsoft.com/office/drawing/2014/main" id="{79C8315E-B67A-4C49-86E3-E4280DDD9B62}"/>
            </a:ext>
            <a:ext uri="{147F2762-F138-4A5C-976F-8EAC2B608ADB}">
              <a16:predDERef xmlns:a16="http://schemas.microsoft.com/office/drawing/2014/main" pred="{049DC920-B2A7-428D-91EF-D943A2928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0" name="Picture 67" descr="image002">
          <a:extLst>
            <a:ext uri="{FF2B5EF4-FFF2-40B4-BE49-F238E27FC236}">
              <a16:creationId xmlns:a16="http://schemas.microsoft.com/office/drawing/2014/main" id="{E5C0F5CA-0496-4FE0-9C19-C9172C97F4F1}"/>
            </a:ext>
            <a:ext uri="{147F2762-F138-4A5C-976F-8EAC2B608ADB}">
              <a16:predDERef xmlns:a16="http://schemas.microsoft.com/office/drawing/2014/main" pred="{049DC920-B2A7-428D-91EF-D943A2928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1" name="10 CuadroTexto">
          <a:extLst>
            <a:ext uri="{FF2B5EF4-FFF2-40B4-BE49-F238E27FC236}">
              <a16:creationId xmlns:a16="http://schemas.microsoft.com/office/drawing/2014/main" id="{CFB7198A-6AFD-4DE2-BE3C-E5F0F6559B6A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2" name="Picture 67" descr="image002">
          <a:extLst>
            <a:ext uri="{FF2B5EF4-FFF2-40B4-BE49-F238E27FC236}">
              <a16:creationId xmlns:a16="http://schemas.microsoft.com/office/drawing/2014/main" id="{F4360309-81DD-4B03-8C77-B415D3E0FB8A}"/>
            </a:ext>
            <a:ext uri="{147F2762-F138-4A5C-976F-8EAC2B608ADB}">
              <a16:predDERef xmlns:a16="http://schemas.microsoft.com/office/drawing/2014/main" pred="{CFB7198A-6AFD-4DE2-BE3C-E5F0F655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3" name="Picture 67" descr="image002">
          <a:extLst>
            <a:ext uri="{FF2B5EF4-FFF2-40B4-BE49-F238E27FC236}">
              <a16:creationId xmlns:a16="http://schemas.microsoft.com/office/drawing/2014/main" id="{EE2EF1B4-F141-412B-B4FB-7E2905BFB00C}"/>
            </a:ext>
            <a:ext uri="{147F2762-F138-4A5C-976F-8EAC2B608ADB}">
              <a16:predDERef xmlns:a16="http://schemas.microsoft.com/office/drawing/2014/main" pred="{CFB7198A-6AFD-4DE2-BE3C-E5F0F655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4" name="Picture 67" descr="image002">
          <a:extLst>
            <a:ext uri="{FF2B5EF4-FFF2-40B4-BE49-F238E27FC236}">
              <a16:creationId xmlns:a16="http://schemas.microsoft.com/office/drawing/2014/main" id="{2E63CE17-B925-4DB9-A489-3C36D473CF36}"/>
            </a:ext>
            <a:ext uri="{147F2762-F138-4A5C-976F-8EAC2B608ADB}">
              <a16:predDERef xmlns:a16="http://schemas.microsoft.com/office/drawing/2014/main" pred="{CFB7198A-6AFD-4DE2-BE3C-E5F0F655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5" name="Picture 67" descr="image002">
          <a:extLst>
            <a:ext uri="{FF2B5EF4-FFF2-40B4-BE49-F238E27FC236}">
              <a16:creationId xmlns:a16="http://schemas.microsoft.com/office/drawing/2014/main" id="{81F62416-9DD2-4182-BFBE-83DACE52C18F}"/>
            </a:ext>
            <a:ext uri="{147F2762-F138-4A5C-976F-8EAC2B608ADB}">
              <a16:predDERef xmlns:a16="http://schemas.microsoft.com/office/drawing/2014/main" pred="{CFB7198A-6AFD-4DE2-BE3C-E5F0F6559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16" name="7 CuadroTexto">
          <a:extLst>
            <a:ext uri="{FF2B5EF4-FFF2-40B4-BE49-F238E27FC236}">
              <a16:creationId xmlns:a16="http://schemas.microsoft.com/office/drawing/2014/main" id="{CF130816-C93A-4A54-B593-4798F5416C4F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17" name="Picture 67" descr="image002">
          <a:extLst>
            <a:ext uri="{FF2B5EF4-FFF2-40B4-BE49-F238E27FC236}">
              <a16:creationId xmlns:a16="http://schemas.microsoft.com/office/drawing/2014/main" id="{A20FFD52-469E-464E-AD67-EF5731326206}"/>
            </a:ext>
            <a:ext uri="{147F2762-F138-4A5C-976F-8EAC2B608ADB}">
              <a16:predDERef xmlns:a16="http://schemas.microsoft.com/office/drawing/2014/main" pred="{CF130816-C93A-4A54-B593-4798F541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18" name="Picture 67" descr="image002">
          <a:extLst>
            <a:ext uri="{FF2B5EF4-FFF2-40B4-BE49-F238E27FC236}">
              <a16:creationId xmlns:a16="http://schemas.microsoft.com/office/drawing/2014/main" id="{272BA711-2F7C-4229-8C2E-8A91FD7C1A58}"/>
            </a:ext>
            <a:ext uri="{147F2762-F138-4A5C-976F-8EAC2B608ADB}">
              <a16:predDERef xmlns:a16="http://schemas.microsoft.com/office/drawing/2014/main" pred="{CF130816-C93A-4A54-B593-4798F541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19" name="9 CuadroTexto">
          <a:extLst>
            <a:ext uri="{FF2B5EF4-FFF2-40B4-BE49-F238E27FC236}">
              <a16:creationId xmlns:a16="http://schemas.microsoft.com/office/drawing/2014/main" id="{0484D302-E816-47DB-9F52-9BD4207FE7C3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0" name="Picture 67" descr="image002">
          <a:extLst>
            <a:ext uri="{FF2B5EF4-FFF2-40B4-BE49-F238E27FC236}">
              <a16:creationId xmlns:a16="http://schemas.microsoft.com/office/drawing/2014/main" id="{D3E1FC7B-893E-45B7-BDC7-5F7B29F02CA0}"/>
            </a:ext>
            <a:ext uri="{147F2762-F138-4A5C-976F-8EAC2B608ADB}">
              <a16:predDERef xmlns:a16="http://schemas.microsoft.com/office/drawing/2014/main" pred="{0484D302-E816-47DB-9F52-9BD4207F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1" name="Picture 67" descr="image002">
          <a:extLst>
            <a:ext uri="{FF2B5EF4-FFF2-40B4-BE49-F238E27FC236}">
              <a16:creationId xmlns:a16="http://schemas.microsoft.com/office/drawing/2014/main" id="{FF246482-622D-485C-B7BF-BC3741928969}"/>
            </a:ext>
            <a:ext uri="{147F2762-F138-4A5C-976F-8EAC2B608ADB}">
              <a16:predDERef xmlns:a16="http://schemas.microsoft.com/office/drawing/2014/main" pred="{0484D302-E816-47DB-9F52-9BD4207FE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22" name="12 CuadroTexto">
          <a:extLst>
            <a:ext uri="{FF2B5EF4-FFF2-40B4-BE49-F238E27FC236}">
              <a16:creationId xmlns:a16="http://schemas.microsoft.com/office/drawing/2014/main" id="{DD0C1DA0-2E61-41AE-9127-2FC745A0505F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3" name="Picture 67" descr="image002">
          <a:extLst>
            <a:ext uri="{FF2B5EF4-FFF2-40B4-BE49-F238E27FC236}">
              <a16:creationId xmlns:a16="http://schemas.microsoft.com/office/drawing/2014/main" id="{F61B03F2-D1AC-4201-A5C4-43B065B1E933}"/>
            </a:ext>
            <a:ext uri="{147F2762-F138-4A5C-976F-8EAC2B608ADB}">
              <a16:predDERef xmlns:a16="http://schemas.microsoft.com/office/drawing/2014/main" pred="{DD0C1DA0-2E61-41AE-9127-2FC745A05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4" name="Picture 67" descr="image002">
          <a:extLst>
            <a:ext uri="{FF2B5EF4-FFF2-40B4-BE49-F238E27FC236}">
              <a16:creationId xmlns:a16="http://schemas.microsoft.com/office/drawing/2014/main" id="{0AD06F18-EF0B-4617-9B12-A8ECEB2148D1}"/>
            </a:ext>
            <a:ext uri="{147F2762-F138-4A5C-976F-8EAC2B608ADB}">
              <a16:predDERef xmlns:a16="http://schemas.microsoft.com/office/drawing/2014/main" pred="{DD0C1DA0-2E61-41AE-9127-2FC745A05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25" name="10 CuadroTexto">
          <a:extLst>
            <a:ext uri="{FF2B5EF4-FFF2-40B4-BE49-F238E27FC236}">
              <a16:creationId xmlns:a16="http://schemas.microsoft.com/office/drawing/2014/main" id="{CA52B903-548F-4570-A2A8-ED425CBA1824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6" name="Picture 67" descr="image002">
          <a:extLst>
            <a:ext uri="{FF2B5EF4-FFF2-40B4-BE49-F238E27FC236}">
              <a16:creationId xmlns:a16="http://schemas.microsoft.com/office/drawing/2014/main" id="{3D7B7A1C-605E-41C0-9D2A-DD76E2AAD6FD}"/>
            </a:ext>
            <a:ext uri="{147F2762-F138-4A5C-976F-8EAC2B608ADB}">
              <a16:predDERef xmlns:a16="http://schemas.microsoft.com/office/drawing/2014/main" pred="{CA52B903-548F-4570-A2A8-ED425CBA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7" name="Picture 67" descr="image002">
          <a:extLst>
            <a:ext uri="{FF2B5EF4-FFF2-40B4-BE49-F238E27FC236}">
              <a16:creationId xmlns:a16="http://schemas.microsoft.com/office/drawing/2014/main" id="{52BE28D8-2466-4A4F-9D50-CFDA8BA3D8C1}"/>
            </a:ext>
            <a:ext uri="{147F2762-F138-4A5C-976F-8EAC2B608ADB}">
              <a16:predDERef xmlns:a16="http://schemas.microsoft.com/office/drawing/2014/main" pred="{CA52B903-548F-4570-A2A8-ED425CBA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28" name="Picture 67" descr="image002">
          <a:extLst>
            <a:ext uri="{FF2B5EF4-FFF2-40B4-BE49-F238E27FC236}">
              <a16:creationId xmlns:a16="http://schemas.microsoft.com/office/drawing/2014/main" id="{A4FA30E3-3447-4DDD-B368-DA98B0E1630C}"/>
            </a:ext>
            <a:ext uri="{147F2762-F138-4A5C-976F-8EAC2B608ADB}">
              <a16:predDERef xmlns:a16="http://schemas.microsoft.com/office/drawing/2014/main" pred="{CA52B903-548F-4570-A2A8-ED425CBA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29" name="Picture 67" descr="image002">
          <a:extLst>
            <a:ext uri="{FF2B5EF4-FFF2-40B4-BE49-F238E27FC236}">
              <a16:creationId xmlns:a16="http://schemas.microsoft.com/office/drawing/2014/main" id="{C7F6519E-1834-4D31-A936-D5D12EC9973B}"/>
            </a:ext>
            <a:ext uri="{147F2762-F138-4A5C-976F-8EAC2B608ADB}">
              <a16:predDERef xmlns:a16="http://schemas.microsoft.com/office/drawing/2014/main" pred="{CA52B903-548F-4570-A2A8-ED425CBA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30" name="7 CuadroTexto">
          <a:extLst>
            <a:ext uri="{FF2B5EF4-FFF2-40B4-BE49-F238E27FC236}">
              <a16:creationId xmlns:a16="http://schemas.microsoft.com/office/drawing/2014/main" id="{A9E37EF4-7D21-4F9F-B65F-85769B600EAC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1" name="Picture 67" descr="image002">
          <a:extLst>
            <a:ext uri="{FF2B5EF4-FFF2-40B4-BE49-F238E27FC236}">
              <a16:creationId xmlns:a16="http://schemas.microsoft.com/office/drawing/2014/main" id="{886BB449-FF66-456B-BCA7-481DACCC7AB4}"/>
            </a:ext>
            <a:ext uri="{147F2762-F138-4A5C-976F-8EAC2B608ADB}">
              <a16:predDERef xmlns:a16="http://schemas.microsoft.com/office/drawing/2014/main" pred="{A9E37EF4-7D21-4F9F-B65F-85769B60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2" name="Picture 67" descr="image002">
          <a:extLst>
            <a:ext uri="{FF2B5EF4-FFF2-40B4-BE49-F238E27FC236}">
              <a16:creationId xmlns:a16="http://schemas.microsoft.com/office/drawing/2014/main" id="{24FE14CD-49B2-4F2D-A68E-E4F5FCE7E1D7}"/>
            </a:ext>
            <a:ext uri="{147F2762-F138-4A5C-976F-8EAC2B608ADB}">
              <a16:predDERef xmlns:a16="http://schemas.microsoft.com/office/drawing/2014/main" pred="{A9E37EF4-7D21-4F9F-B65F-85769B600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3" name="9 CuadroTexto">
          <a:extLst>
            <a:ext uri="{FF2B5EF4-FFF2-40B4-BE49-F238E27FC236}">
              <a16:creationId xmlns:a16="http://schemas.microsoft.com/office/drawing/2014/main" id="{D6DFFD6A-2A9E-4AC1-A70A-AC2E9114FD43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4" name="Picture 67" descr="image002">
          <a:extLst>
            <a:ext uri="{FF2B5EF4-FFF2-40B4-BE49-F238E27FC236}">
              <a16:creationId xmlns:a16="http://schemas.microsoft.com/office/drawing/2014/main" id="{C6BCA2C1-DA8D-4142-A841-779F3114E214}"/>
            </a:ext>
            <a:ext uri="{147F2762-F138-4A5C-976F-8EAC2B608ADB}">
              <a16:predDERef xmlns:a16="http://schemas.microsoft.com/office/drawing/2014/main" pred="{D6DFFD6A-2A9E-4AC1-A70A-AC2E911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5" name="Picture 67" descr="image002">
          <a:extLst>
            <a:ext uri="{FF2B5EF4-FFF2-40B4-BE49-F238E27FC236}">
              <a16:creationId xmlns:a16="http://schemas.microsoft.com/office/drawing/2014/main" id="{13A4975D-7E8B-4876-A19A-D70549BF0983}"/>
            </a:ext>
            <a:ext uri="{147F2762-F138-4A5C-976F-8EAC2B608ADB}">
              <a16:predDERef xmlns:a16="http://schemas.microsoft.com/office/drawing/2014/main" pred="{D6DFFD6A-2A9E-4AC1-A70A-AC2E911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6" name="12 CuadroTexto">
          <a:extLst>
            <a:ext uri="{FF2B5EF4-FFF2-40B4-BE49-F238E27FC236}">
              <a16:creationId xmlns:a16="http://schemas.microsoft.com/office/drawing/2014/main" id="{8307624B-5F7C-4593-B877-CACA73F4A78B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37" name="Picture 67" descr="image002">
          <a:extLst>
            <a:ext uri="{FF2B5EF4-FFF2-40B4-BE49-F238E27FC236}">
              <a16:creationId xmlns:a16="http://schemas.microsoft.com/office/drawing/2014/main" id="{F774D601-4278-475F-8E07-E72119C0E1AE}"/>
            </a:ext>
            <a:ext uri="{147F2762-F138-4A5C-976F-8EAC2B608ADB}">
              <a16:predDERef xmlns:a16="http://schemas.microsoft.com/office/drawing/2014/main" pred="{8307624B-5F7C-4593-B877-CACA73F4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38" name="Picture 67" descr="image002">
          <a:extLst>
            <a:ext uri="{FF2B5EF4-FFF2-40B4-BE49-F238E27FC236}">
              <a16:creationId xmlns:a16="http://schemas.microsoft.com/office/drawing/2014/main" id="{F2BD62D3-4B86-498E-9C56-A3FA5B461AE1}"/>
            </a:ext>
            <a:ext uri="{147F2762-F138-4A5C-976F-8EAC2B608ADB}">
              <a16:predDERef xmlns:a16="http://schemas.microsoft.com/office/drawing/2014/main" pred="{8307624B-5F7C-4593-B877-CACA73F4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39" name="10 CuadroTexto">
          <a:extLst>
            <a:ext uri="{FF2B5EF4-FFF2-40B4-BE49-F238E27FC236}">
              <a16:creationId xmlns:a16="http://schemas.microsoft.com/office/drawing/2014/main" id="{0CE9E391-0E4B-4292-B615-1B975AE081B1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0" name="Picture 67" descr="image002">
          <a:extLst>
            <a:ext uri="{FF2B5EF4-FFF2-40B4-BE49-F238E27FC236}">
              <a16:creationId xmlns:a16="http://schemas.microsoft.com/office/drawing/2014/main" id="{65D61E6A-E146-4911-9D9F-23D098434619}"/>
            </a:ext>
            <a:ext uri="{147F2762-F138-4A5C-976F-8EAC2B608ADB}">
              <a16:predDERef xmlns:a16="http://schemas.microsoft.com/office/drawing/2014/main" pred="{0CE9E391-0E4B-4292-B615-1B975AE0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1" name="Picture 67" descr="image002">
          <a:extLst>
            <a:ext uri="{FF2B5EF4-FFF2-40B4-BE49-F238E27FC236}">
              <a16:creationId xmlns:a16="http://schemas.microsoft.com/office/drawing/2014/main" id="{1D889370-3B59-4121-BE7D-B74D88B2374C}"/>
            </a:ext>
            <a:ext uri="{147F2762-F138-4A5C-976F-8EAC2B608ADB}">
              <a16:predDERef xmlns:a16="http://schemas.microsoft.com/office/drawing/2014/main" pred="{0CE9E391-0E4B-4292-B615-1B975AE0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2" name="Picture 67" descr="image002">
          <a:extLst>
            <a:ext uri="{FF2B5EF4-FFF2-40B4-BE49-F238E27FC236}">
              <a16:creationId xmlns:a16="http://schemas.microsoft.com/office/drawing/2014/main" id="{170EF3A3-EC52-4C30-9E6A-16E14CAF7656}"/>
            </a:ext>
            <a:ext uri="{147F2762-F138-4A5C-976F-8EAC2B608ADB}">
              <a16:predDERef xmlns:a16="http://schemas.microsoft.com/office/drawing/2014/main" pred="{0CE9E391-0E4B-4292-B615-1B975AE0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3" name="Picture 67" descr="image002">
          <a:extLst>
            <a:ext uri="{FF2B5EF4-FFF2-40B4-BE49-F238E27FC236}">
              <a16:creationId xmlns:a16="http://schemas.microsoft.com/office/drawing/2014/main" id="{0274DA43-30BF-49E1-A737-E6836F8B9BC5}"/>
            </a:ext>
            <a:ext uri="{147F2762-F138-4A5C-976F-8EAC2B608ADB}">
              <a16:predDERef xmlns:a16="http://schemas.microsoft.com/office/drawing/2014/main" pred="{0CE9E391-0E4B-4292-B615-1B975AE08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44" name="7 CuadroTexto">
          <a:extLst>
            <a:ext uri="{FF2B5EF4-FFF2-40B4-BE49-F238E27FC236}">
              <a16:creationId xmlns:a16="http://schemas.microsoft.com/office/drawing/2014/main" id="{997CC330-A44D-417B-8089-F3B000D84B9B}"/>
            </a:ext>
          </a:extLst>
        </xdr:cNvPr>
        <xdr:cNvSpPr txBox="1"/>
      </xdr:nvSpPr>
      <xdr:spPr>
        <a:xfrm rot="18892825" flipV="1">
          <a:off x="25869899" y="1167383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5" name="Picture 67" descr="image002">
          <a:extLst>
            <a:ext uri="{FF2B5EF4-FFF2-40B4-BE49-F238E27FC236}">
              <a16:creationId xmlns:a16="http://schemas.microsoft.com/office/drawing/2014/main" id="{6161B563-92D1-45A1-95BB-0F0F663B8C66}"/>
            </a:ext>
            <a:ext uri="{147F2762-F138-4A5C-976F-8EAC2B608ADB}">
              <a16:predDERef xmlns:a16="http://schemas.microsoft.com/office/drawing/2014/main" pred="{997CC330-A44D-417B-8089-F3B000D8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6" name="Picture 67" descr="image002">
          <a:extLst>
            <a:ext uri="{FF2B5EF4-FFF2-40B4-BE49-F238E27FC236}">
              <a16:creationId xmlns:a16="http://schemas.microsoft.com/office/drawing/2014/main" id="{1D3A3702-AC35-4072-ABD4-82EC68709691}"/>
            </a:ext>
            <a:ext uri="{147F2762-F138-4A5C-976F-8EAC2B608ADB}">
              <a16:predDERef xmlns:a16="http://schemas.microsoft.com/office/drawing/2014/main" pred="{997CC330-A44D-417B-8089-F3B000D84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47" name="9 CuadroTexto">
          <a:extLst>
            <a:ext uri="{FF2B5EF4-FFF2-40B4-BE49-F238E27FC236}">
              <a16:creationId xmlns:a16="http://schemas.microsoft.com/office/drawing/2014/main" id="{1EE8190E-B4F0-4B8A-A1E2-B81312472EFD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48" name="Picture 67" descr="image002">
          <a:extLst>
            <a:ext uri="{FF2B5EF4-FFF2-40B4-BE49-F238E27FC236}">
              <a16:creationId xmlns:a16="http://schemas.microsoft.com/office/drawing/2014/main" id="{B88C7048-00C8-4074-9D54-4E10B8B5E0F1}"/>
            </a:ext>
            <a:ext uri="{147F2762-F138-4A5C-976F-8EAC2B608ADB}">
              <a16:predDERef xmlns:a16="http://schemas.microsoft.com/office/drawing/2014/main" pred="{1EE8190E-B4F0-4B8A-A1E2-B8131247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49" name="Picture 67" descr="image002">
          <a:extLst>
            <a:ext uri="{FF2B5EF4-FFF2-40B4-BE49-F238E27FC236}">
              <a16:creationId xmlns:a16="http://schemas.microsoft.com/office/drawing/2014/main" id="{D1CEC0CA-D0D6-459A-B74E-629A4F4FABC3}"/>
            </a:ext>
            <a:ext uri="{147F2762-F138-4A5C-976F-8EAC2B608ADB}">
              <a16:predDERef xmlns:a16="http://schemas.microsoft.com/office/drawing/2014/main" pred="{1EE8190E-B4F0-4B8A-A1E2-B8131247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553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0" name="12 CuadroTexto">
          <a:extLst>
            <a:ext uri="{FF2B5EF4-FFF2-40B4-BE49-F238E27FC236}">
              <a16:creationId xmlns:a16="http://schemas.microsoft.com/office/drawing/2014/main" id="{AB543801-FD7D-43AA-99F2-5698FA423C37}"/>
            </a:ext>
          </a:extLst>
        </xdr:cNvPr>
        <xdr:cNvSpPr txBox="1"/>
      </xdr:nvSpPr>
      <xdr:spPr>
        <a:xfrm>
          <a:off x="25938480" y="754380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6" name="Picture 67" descr="image002">
          <a:extLst>
            <a:ext uri="{FF2B5EF4-FFF2-40B4-BE49-F238E27FC236}">
              <a16:creationId xmlns:a16="http://schemas.microsoft.com/office/drawing/2014/main" id="{4328E80D-7C35-4C58-BC48-46410FBF743C}"/>
            </a:ext>
            <a:ext uri="{147F2762-F138-4A5C-976F-8EAC2B608ADB}">
              <a16:predDERef xmlns:a16="http://schemas.microsoft.com/office/drawing/2014/main" pred="{AB543801-FD7D-43AA-99F2-5698FA42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74" name="Picture 67" descr="image002">
          <a:extLst>
            <a:ext uri="{FF2B5EF4-FFF2-40B4-BE49-F238E27FC236}">
              <a16:creationId xmlns:a16="http://schemas.microsoft.com/office/drawing/2014/main" id="{CE4B3A22-1E6E-4407-8170-204D88DEACA7}"/>
            </a:ext>
            <a:ext uri="{147F2762-F138-4A5C-976F-8EAC2B608ADB}">
              <a16:predDERef xmlns:a16="http://schemas.microsoft.com/office/drawing/2014/main" pred="{AB543801-FD7D-43AA-99F2-5698FA42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1" name="10 CuadroTexto">
          <a:extLst>
            <a:ext uri="{FF2B5EF4-FFF2-40B4-BE49-F238E27FC236}">
              <a16:creationId xmlns:a16="http://schemas.microsoft.com/office/drawing/2014/main" id="{D3CCCCD7-46D2-48FC-84BF-EBE5E5B6D3FF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2" name="Picture 67" descr="image002">
          <a:extLst>
            <a:ext uri="{FF2B5EF4-FFF2-40B4-BE49-F238E27FC236}">
              <a16:creationId xmlns:a16="http://schemas.microsoft.com/office/drawing/2014/main" id="{DE809CEF-4351-4FA7-BFB6-7B3330768F19}"/>
            </a:ext>
            <a:ext uri="{147F2762-F138-4A5C-976F-8EAC2B608ADB}">
              <a16:predDERef xmlns:a16="http://schemas.microsoft.com/office/drawing/2014/main" pred="{D3CCCCD7-46D2-48FC-84BF-EBE5E5B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3" name="Picture 67" descr="image002">
          <a:extLst>
            <a:ext uri="{FF2B5EF4-FFF2-40B4-BE49-F238E27FC236}">
              <a16:creationId xmlns:a16="http://schemas.microsoft.com/office/drawing/2014/main" id="{2CDF0615-6F0B-43DB-83C9-9A962B11DEFA}"/>
            </a:ext>
            <a:ext uri="{147F2762-F138-4A5C-976F-8EAC2B608ADB}">
              <a16:predDERef xmlns:a16="http://schemas.microsoft.com/office/drawing/2014/main" pred="{D3CCCCD7-46D2-48FC-84BF-EBE5E5B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4" name="Picture 67" descr="image002">
          <a:extLst>
            <a:ext uri="{FF2B5EF4-FFF2-40B4-BE49-F238E27FC236}">
              <a16:creationId xmlns:a16="http://schemas.microsoft.com/office/drawing/2014/main" id="{246FD951-015F-4E61-A2B4-448E0BBB8174}"/>
            </a:ext>
            <a:ext uri="{147F2762-F138-4A5C-976F-8EAC2B608ADB}">
              <a16:predDERef xmlns:a16="http://schemas.microsoft.com/office/drawing/2014/main" pred="{D3CCCCD7-46D2-48FC-84BF-EBE5E5B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5" name="Picture 67" descr="image002">
          <a:extLst>
            <a:ext uri="{FF2B5EF4-FFF2-40B4-BE49-F238E27FC236}">
              <a16:creationId xmlns:a16="http://schemas.microsoft.com/office/drawing/2014/main" id="{E706AF78-03B0-4565-8D1D-6530F5A76B84}"/>
            </a:ext>
            <a:ext uri="{147F2762-F138-4A5C-976F-8EAC2B608ADB}">
              <a16:predDERef xmlns:a16="http://schemas.microsoft.com/office/drawing/2014/main" pred="{D3CCCCD7-46D2-48FC-84BF-EBE5E5B6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56" name="7 CuadroTexto">
          <a:extLst>
            <a:ext uri="{FF2B5EF4-FFF2-40B4-BE49-F238E27FC236}">
              <a16:creationId xmlns:a16="http://schemas.microsoft.com/office/drawing/2014/main" id="{09CC8EC2-D138-4760-BF59-900F812103E8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57" name="Picture 67" descr="image002">
          <a:extLst>
            <a:ext uri="{FF2B5EF4-FFF2-40B4-BE49-F238E27FC236}">
              <a16:creationId xmlns:a16="http://schemas.microsoft.com/office/drawing/2014/main" id="{A76CD6C6-B61B-40B7-B6F8-CAE29929F239}"/>
            </a:ext>
            <a:ext uri="{147F2762-F138-4A5C-976F-8EAC2B608ADB}">
              <a16:predDERef xmlns:a16="http://schemas.microsoft.com/office/drawing/2014/main" pred="{09CC8EC2-D138-4760-BF59-900F81210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58" name="Picture 67" descr="image002">
          <a:extLst>
            <a:ext uri="{FF2B5EF4-FFF2-40B4-BE49-F238E27FC236}">
              <a16:creationId xmlns:a16="http://schemas.microsoft.com/office/drawing/2014/main" id="{1E89E573-81F1-4FCB-8534-0EDB3BA85CB0}"/>
            </a:ext>
            <a:ext uri="{147F2762-F138-4A5C-976F-8EAC2B608ADB}">
              <a16:predDERef xmlns:a16="http://schemas.microsoft.com/office/drawing/2014/main" pred="{09CC8EC2-D138-4760-BF59-900F81210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59" name="9 CuadroTexto">
          <a:extLst>
            <a:ext uri="{FF2B5EF4-FFF2-40B4-BE49-F238E27FC236}">
              <a16:creationId xmlns:a16="http://schemas.microsoft.com/office/drawing/2014/main" id="{6DE1E52E-ACEF-4D65-8C85-1DC0B5535BAA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0" name="Picture 67" descr="image002">
          <a:extLst>
            <a:ext uri="{FF2B5EF4-FFF2-40B4-BE49-F238E27FC236}">
              <a16:creationId xmlns:a16="http://schemas.microsoft.com/office/drawing/2014/main" id="{68D2B297-F2A0-4D8C-B770-6A1AAB410D43}"/>
            </a:ext>
            <a:ext uri="{147F2762-F138-4A5C-976F-8EAC2B608ADB}">
              <a16:predDERef xmlns:a16="http://schemas.microsoft.com/office/drawing/2014/main" pred="{6DE1E52E-ACEF-4D65-8C85-1DC0B553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1" name="Picture 67" descr="image002">
          <a:extLst>
            <a:ext uri="{FF2B5EF4-FFF2-40B4-BE49-F238E27FC236}">
              <a16:creationId xmlns:a16="http://schemas.microsoft.com/office/drawing/2014/main" id="{EAFEF42F-6FFB-4503-B024-03B98304815F}"/>
            </a:ext>
            <a:ext uri="{147F2762-F138-4A5C-976F-8EAC2B608ADB}">
              <a16:predDERef xmlns:a16="http://schemas.microsoft.com/office/drawing/2014/main" pred="{6DE1E52E-ACEF-4D65-8C85-1DC0B5535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2" name="12 CuadroTexto">
          <a:extLst>
            <a:ext uri="{FF2B5EF4-FFF2-40B4-BE49-F238E27FC236}">
              <a16:creationId xmlns:a16="http://schemas.microsoft.com/office/drawing/2014/main" id="{A7C626F1-66A7-4FE7-B1F6-ED39CEA96487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3" name="Picture 67" descr="image002">
          <a:extLst>
            <a:ext uri="{FF2B5EF4-FFF2-40B4-BE49-F238E27FC236}">
              <a16:creationId xmlns:a16="http://schemas.microsoft.com/office/drawing/2014/main" id="{F550C828-CC7D-454D-8F15-4B143E0F6133}"/>
            </a:ext>
            <a:ext uri="{147F2762-F138-4A5C-976F-8EAC2B608ADB}">
              <a16:predDERef xmlns:a16="http://schemas.microsoft.com/office/drawing/2014/main" pred="{A7C626F1-66A7-4FE7-B1F6-ED39CEA9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4" name="Picture 67" descr="image002">
          <a:extLst>
            <a:ext uri="{FF2B5EF4-FFF2-40B4-BE49-F238E27FC236}">
              <a16:creationId xmlns:a16="http://schemas.microsoft.com/office/drawing/2014/main" id="{194968DF-95D3-45B7-9460-A6CE4F57AA4A}"/>
            </a:ext>
            <a:ext uri="{147F2762-F138-4A5C-976F-8EAC2B608ADB}">
              <a16:predDERef xmlns:a16="http://schemas.microsoft.com/office/drawing/2014/main" pred="{A7C626F1-66A7-4FE7-B1F6-ED39CEA9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65" name="10 CuadroTexto">
          <a:extLst>
            <a:ext uri="{FF2B5EF4-FFF2-40B4-BE49-F238E27FC236}">
              <a16:creationId xmlns:a16="http://schemas.microsoft.com/office/drawing/2014/main" id="{A3693C46-49E7-40B5-9A41-030AD4512676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6" name="Picture 67" descr="image002">
          <a:extLst>
            <a:ext uri="{FF2B5EF4-FFF2-40B4-BE49-F238E27FC236}">
              <a16:creationId xmlns:a16="http://schemas.microsoft.com/office/drawing/2014/main" id="{5D620C67-EDC5-4FB3-8091-8C68C379E412}"/>
            </a:ext>
            <a:ext uri="{147F2762-F138-4A5C-976F-8EAC2B608ADB}">
              <a16:predDERef xmlns:a16="http://schemas.microsoft.com/office/drawing/2014/main" pred="{A3693C46-49E7-40B5-9A41-030AD451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7" name="Picture 67" descr="image002">
          <a:extLst>
            <a:ext uri="{FF2B5EF4-FFF2-40B4-BE49-F238E27FC236}">
              <a16:creationId xmlns:a16="http://schemas.microsoft.com/office/drawing/2014/main" id="{1D04F509-F383-4CE3-A275-4856835B2EE0}"/>
            </a:ext>
            <a:ext uri="{147F2762-F138-4A5C-976F-8EAC2B608ADB}">
              <a16:predDERef xmlns:a16="http://schemas.microsoft.com/office/drawing/2014/main" pred="{A3693C46-49E7-40B5-9A41-030AD451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68" name="Picture 67" descr="image002">
          <a:extLst>
            <a:ext uri="{FF2B5EF4-FFF2-40B4-BE49-F238E27FC236}">
              <a16:creationId xmlns:a16="http://schemas.microsoft.com/office/drawing/2014/main" id="{61B93CFD-F3AE-4F6E-AC1F-ABA8911625D5}"/>
            </a:ext>
            <a:ext uri="{147F2762-F138-4A5C-976F-8EAC2B608ADB}">
              <a16:predDERef xmlns:a16="http://schemas.microsoft.com/office/drawing/2014/main" pred="{A3693C46-49E7-40B5-9A41-030AD451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69" name="Picture 67" descr="image002">
          <a:extLst>
            <a:ext uri="{FF2B5EF4-FFF2-40B4-BE49-F238E27FC236}">
              <a16:creationId xmlns:a16="http://schemas.microsoft.com/office/drawing/2014/main" id="{62B98D9D-B818-4D33-9E89-62B2BFC6B7C1}"/>
            </a:ext>
            <a:ext uri="{147F2762-F138-4A5C-976F-8EAC2B608ADB}">
              <a16:predDERef xmlns:a16="http://schemas.microsoft.com/office/drawing/2014/main" pred="{A3693C46-49E7-40B5-9A41-030AD451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70" name="7 CuadroTexto">
          <a:extLst>
            <a:ext uri="{FF2B5EF4-FFF2-40B4-BE49-F238E27FC236}">
              <a16:creationId xmlns:a16="http://schemas.microsoft.com/office/drawing/2014/main" id="{0DA57824-A747-4A3F-B0E5-0962CA6FE543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1" name="Picture 67" descr="image002">
          <a:extLst>
            <a:ext uri="{FF2B5EF4-FFF2-40B4-BE49-F238E27FC236}">
              <a16:creationId xmlns:a16="http://schemas.microsoft.com/office/drawing/2014/main" id="{4CAC658E-F563-4248-8E47-7E6A065C65E3}"/>
            </a:ext>
            <a:ext uri="{147F2762-F138-4A5C-976F-8EAC2B608ADB}">
              <a16:predDERef xmlns:a16="http://schemas.microsoft.com/office/drawing/2014/main" pred="{0DA57824-A747-4A3F-B0E5-0962CA6F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2" name="Picture 67" descr="image002">
          <a:extLst>
            <a:ext uri="{FF2B5EF4-FFF2-40B4-BE49-F238E27FC236}">
              <a16:creationId xmlns:a16="http://schemas.microsoft.com/office/drawing/2014/main" id="{5BAA2470-B56A-407C-8F12-06C1F571F09D}"/>
            </a:ext>
            <a:ext uri="{147F2762-F138-4A5C-976F-8EAC2B608ADB}">
              <a16:predDERef xmlns:a16="http://schemas.microsoft.com/office/drawing/2014/main" pred="{0DA57824-A747-4A3F-B0E5-0962CA6F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3" name="9 CuadroTexto">
          <a:extLst>
            <a:ext uri="{FF2B5EF4-FFF2-40B4-BE49-F238E27FC236}">
              <a16:creationId xmlns:a16="http://schemas.microsoft.com/office/drawing/2014/main" id="{04E7B157-E501-4220-9714-A764B4437B59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4" name="Picture 67" descr="image002">
          <a:extLst>
            <a:ext uri="{FF2B5EF4-FFF2-40B4-BE49-F238E27FC236}">
              <a16:creationId xmlns:a16="http://schemas.microsoft.com/office/drawing/2014/main" id="{14AB19C9-5329-47EA-95B1-1B674B6E5BFA}"/>
            </a:ext>
            <a:ext uri="{147F2762-F138-4A5C-976F-8EAC2B608ADB}">
              <a16:predDERef xmlns:a16="http://schemas.microsoft.com/office/drawing/2014/main" pred="{04E7B157-E501-4220-9714-A764B443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5" name="Picture 67" descr="image002">
          <a:extLst>
            <a:ext uri="{FF2B5EF4-FFF2-40B4-BE49-F238E27FC236}">
              <a16:creationId xmlns:a16="http://schemas.microsoft.com/office/drawing/2014/main" id="{D9182574-800B-43B3-B9CE-4361691B0BA0}"/>
            </a:ext>
            <a:ext uri="{147F2762-F138-4A5C-976F-8EAC2B608ADB}">
              <a16:predDERef xmlns:a16="http://schemas.microsoft.com/office/drawing/2014/main" pred="{04E7B157-E501-4220-9714-A764B443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6" name="12 CuadroTexto">
          <a:extLst>
            <a:ext uri="{FF2B5EF4-FFF2-40B4-BE49-F238E27FC236}">
              <a16:creationId xmlns:a16="http://schemas.microsoft.com/office/drawing/2014/main" id="{03948DF8-920F-48D0-9621-5067E014B03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77" name="Picture 67" descr="image002">
          <a:extLst>
            <a:ext uri="{FF2B5EF4-FFF2-40B4-BE49-F238E27FC236}">
              <a16:creationId xmlns:a16="http://schemas.microsoft.com/office/drawing/2014/main" id="{BB9E972B-1106-4DFC-9BD9-A3C157453258}"/>
            </a:ext>
            <a:ext uri="{147F2762-F138-4A5C-976F-8EAC2B608ADB}">
              <a16:predDERef xmlns:a16="http://schemas.microsoft.com/office/drawing/2014/main" pred="{03948DF8-920F-48D0-9621-5067E014B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78" name="Picture 67" descr="image002">
          <a:extLst>
            <a:ext uri="{FF2B5EF4-FFF2-40B4-BE49-F238E27FC236}">
              <a16:creationId xmlns:a16="http://schemas.microsoft.com/office/drawing/2014/main" id="{5EE381CB-71B2-43DC-8171-9FD3849329A8}"/>
            </a:ext>
            <a:ext uri="{147F2762-F138-4A5C-976F-8EAC2B608ADB}">
              <a16:predDERef xmlns:a16="http://schemas.microsoft.com/office/drawing/2014/main" pred="{03948DF8-920F-48D0-9621-5067E014B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79" name="10 CuadroTexto">
          <a:extLst>
            <a:ext uri="{FF2B5EF4-FFF2-40B4-BE49-F238E27FC236}">
              <a16:creationId xmlns:a16="http://schemas.microsoft.com/office/drawing/2014/main" id="{3C742A30-BD2A-4DB1-9AF5-F80444F816E1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0" name="Picture 67" descr="image002">
          <a:extLst>
            <a:ext uri="{FF2B5EF4-FFF2-40B4-BE49-F238E27FC236}">
              <a16:creationId xmlns:a16="http://schemas.microsoft.com/office/drawing/2014/main" id="{B89BA3A7-7C5C-4676-8455-643291E9193E}"/>
            </a:ext>
            <a:ext uri="{147F2762-F138-4A5C-976F-8EAC2B608ADB}">
              <a16:predDERef xmlns:a16="http://schemas.microsoft.com/office/drawing/2014/main" pred="{3C742A30-BD2A-4DB1-9AF5-F80444F8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1" name="Picture 67" descr="image002">
          <a:extLst>
            <a:ext uri="{FF2B5EF4-FFF2-40B4-BE49-F238E27FC236}">
              <a16:creationId xmlns:a16="http://schemas.microsoft.com/office/drawing/2014/main" id="{FC28F1CB-2D90-4B44-8516-636FA756261A}"/>
            </a:ext>
            <a:ext uri="{147F2762-F138-4A5C-976F-8EAC2B608ADB}">
              <a16:predDERef xmlns:a16="http://schemas.microsoft.com/office/drawing/2014/main" pred="{3C742A30-BD2A-4DB1-9AF5-F80444F8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2" name="Picture 67" descr="image002">
          <a:extLst>
            <a:ext uri="{FF2B5EF4-FFF2-40B4-BE49-F238E27FC236}">
              <a16:creationId xmlns:a16="http://schemas.microsoft.com/office/drawing/2014/main" id="{6E5BC746-00F8-46BC-B2A0-49C6E2898E5F}"/>
            </a:ext>
            <a:ext uri="{147F2762-F138-4A5C-976F-8EAC2B608ADB}">
              <a16:predDERef xmlns:a16="http://schemas.microsoft.com/office/drawing/2014/main" pred="{3C742A30-BD2A-4DB1-9AF5-F80444F8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3" name="Picture 67" descr="image002">
          <a:extLst>
            <a:ext uri="{FF2B5EF4-FFF2-40B4-BE49-F238E27FC236}">
              <a16:creationId xmlns:a16="http://schemas.microsoft.com/office/drawing/2014/main" id="{E449366E-0C1A-4F1C-9D51-98E0CE18DB65}"/>
            </a:ext>
            <a:ext uri="{147F2762-F138-4A5C-976F-8EAC2B608ADB}">
              <a16:predDERef xmlns:a16="http://schemas.microsoft.com/office/drawing/2014/main" pred="{3C742A30-BD2A-4DB1-9AF5-F80444F81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84" name="7 CuadroTexto">
          <a:extLst>
            <a:ext uri="{FF2B5EF4-FFF2-40B4-BE49-F238E27FC236}">
              <a16:creationId xmlns:a16="http://schemas.microsoft.com/office/drawing/2014/main" id="{814ED654-1439-40D4-A8B1-73A5D406B93C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5" name="Picture 67" descr="image002">
          <a:extLst>
            <a:ext uri="{FF2B5EF4-FFF2-40B4-BE49-F238E27FC236}">
              <a16:creationId xmlns:a16="http://schemas.microsoft.com/office/drawing/2014/main" id="{F515DEE3-1376-4866-AC15-B01469D484ED}"/>
            </a:ext>
            <a:ext uri="{147F2762-F138-4A5C-976F-8EAC2B608ADB}">
              <a16:predDERef xmlns:a16="http://schemas.microsoft.com/office/drawing/2014/main" pred="{814ED654-1439-40D4-A8B1-73A5D406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6" name="Picture 67" descr="image002">
          <a:extLst>
            <a:ext uri="{FF2B5EF4-FFF2-40B4-BE49-F238E27FC236}">
              <a16:creationId xmlns:a16="http://schemas.microsoft.com/office/drawing/2014/main" id="{9B67BAF9-A7A9-4826-B214-E45F401B63B6}"/>
            </a:ext>
            <a:ext uri="{147F2762-F138-4A5C-976F-8EAC2B608ADB}">
              <a16:predDERef xmlns:a16="http://schemas.microsoft.com/office/drawing/2014/main" pred="{814ED654-1439-40D4-A8B1-73A5D406B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87" name="9 CuadroTexto">
          <a:extLst>
            <a:ext uri="{FF2B5EF4-FFF2-40B4-BE49-F238E27FC236}">
              <a16:creationId xmlns:a16="http://schemas.microsoft.com/office/drawing/2014/main" id="{026F189F-FCAD-4DFC-B8C2-79FDC0E71DF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88" name="Picture 67" descr="image002">
          <a:extLst>
            <a:ext uri="{FF2B5EF4-FFF2-40B4-BE49-F238E27FC236}">
              <a16:creationId xmlns:a16="http://schemas.microsoft.com/office/drawing/2014/main" id="{8C3ADDF9-7F68-4A77-80EC-A1F494ED0CBE}"/>
            </a:ext>
            <a:ext uri="{147F2762-F138-4A5C-976F-8EAC2B608ADB}">
              <a16:predDERef xmlns:a16="http://schemas.microsoft.com/office/drawing/2014/main" pred="{026F189F-FCAD-4DFC-B8C2-79FDC0E71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89" name="Picture 67" descr="image002">
          <a:extLst>
            <a:ext uri="{FF2B5EF4-FFF2-40B4-BE49-F238E27FC236}">
              <a16:creationId xmlns:a16="http://schemas.microsoft.com/office/drawing/2014/main" id="{CD4A5053-5C36-4844-A4B8-BFE4F23C8599}"/>
            </a:ext>
            <a:ext uri="{147F2762-F138-4A5C-976F-8EAC2B608ADB}">
              <a16:predDERef xmlns:a16="http://schemas.microsoft.com/office/drawing/2014/main" pred="{026F189F-FCAD-4DFC-B8C2-79FDC0E71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90" name="12 CuadroTexto">
          <a:extLst>
            <a:ext uri="{FF2B5EF4-FFF2-40B4-BE49-F238E27FC236}">
              <a16:creationId xmlns:a16="http://schemas.microsoft.com/office/drawing/2014/main" id="{BD8D5FBC-85B5-4A43-93B6-0603E0B4ACF9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1" name="Picture 67" descr="image002">
          <a:extLst>
            <a:ext uri="{FF2B5EF4-FFF2-40B4-BE49-F238E27FC236}">
              <a16:creationId xmlns:a16="http://schemas.microsoft.com/office/drawing/2014/main" id="{CA588465-BD2E-4BA0-B237-687AC9317623}"/>
            </a:ext>
            <a:ext uri="{147F2762-F138-4A5C-976F-8EAC2B608ADB}">
              <a16:predDERef xmlns:a16="http://schemas.microsoft.com/office/drawing/2014/main" pred="{BD8D5FBC-85B5-4A43-93B6-0603E0B4A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2" name="Picture 67" descr="image002">
          <a:extLst>
            <a:ext uri="{FF2B5EF4-FFF2-40B4-BE49-F238E27FC236}">
              <a16:creationId xmlns:a16="http://schemas.microsoft.com/office/drawing/2014/main" id="{AD749272-9D32-4C16-A476-7EEEFC0088FC}"/>
            </a:ext>
            <a:ext uri="{147F2762-F138-4A5C-976F-8EAC2B608ADB}">
              <a16:predDERef xmlns:a16="http://schemas.microsoft.com/office/drawing/2014/main" pred="{BD8D5FBC-85B5-4A43-93B6-0603E0B4A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193" name="10 CuadroTexto">
          <a:extLst>
            <a:ext uri="{FF2B5EF4-FFF2-40B4-BE49-F238E27FC236}">
              <a16:creationId xmlns:a16="http://schemas.microsoft.com/office/drawing/2014/main" id="{F341B604-FD88-41FA-B6F4-4728658D42DB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4" name="Picture 67" descr="image002">
          <a:extLst>
            <a:ext uri="{FF2B5EF4-FFF2-40B4-BE49-F238E27FC236}">
              <a16:creationId xmlns:a16="http://schemas.microsoft.com/office/drawing/2014/main" id="{1C2F62AE-541C-4AC9-A593-17F84099E17B}"/>
            </a:ext>
            <a:ext uri="{147F2762-F138-4A5C-976F-8EAC2B608ADB}">
              <a16:predDERef xmlns:a16="http://schemas.microsoft.com/office/drawing/2014/main" pred="{F341B604-FD88-41FA-B6F4-4728658D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5" name="Picture 67" descr="image002">
          <a:extLst>
            <a:ext uri="{FF2B5EF4-FFF2-40B4-BE49-F238E27FC236}">
              <a16:creationId xmlns:a16="http://schemas.microsoft.com/office/drawing/2014/main" id="{065BADC8-261A-41CE-B838-80397D2DDDC8}"/>
            </a:ext>
            <a:ext uri="{147F2762-F138-4A5C-976F-8EAC2B608ADB}">
              <a16:predDERef xmlns:a16="http://schemas.microsoft.com/office/drawing/2014/main" pred="{F341B604-FD88-41FA-B6F4-4728658D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6" name="Picture 67" descr="image002">
          <a:extLst>
            <a:ext uri="{FF2B5EF4-FFF2-40B4-BE49-F238E27FC236}">
              <a16:creationId xmlns:a16="http://schemas.microsoft.com/office/drawing/2014/main" id="{15DDB20A-5C37-4933-915F-2C8F606E79F9}"/>
            </a:ext>
            <a:ext uri="{147F2762-F138-4A5C-976F-8EAC2B608ADB}">
              <a16:predDERef xmlns:a16="http://schemas.microsoft.com/office/drawing/2014/main" pred="{F341B604-FD88-41FA-B6F4-4728658D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197" name="Picture 67" descr="image002">
          <a:extLst>
            <a:ext uri="{FF2B5EF4-FFF2-40B4-BE49-F238E27FC236}">
              <a16:creationId xmlns:a16="http://schemas.microsoft.com/office/drawing/2014/main" id="{286C3460-B4BC-46A4-9136-16FB95915011}"/>
            </a:ext>
            <a:ext uri="{147F2762-F138-4A5C-976F-8EAC2B608ADB}">
              <a16:predDERef xmlns:a16="http://schemas.microsoft.com/office/drawing/2014/main" pred="{F341B604-FD88-41FA-B6F4-4728658D4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198" name="7 CuadroTexto">
          <a:extLst>
            <a:ext uri="{FF2B5EF4-FFF2-40B4-BE49-F238E27FC236}">
              <a16:creationId xmlns:a16="http://schemas.microsoft.com/office/drawing/2014/main" id="{0E28A75F-6B3E-4522-B530-521994776B1A}"/>
            </a:ext>
          </a:extLst>
        </xdr:cNvPr>
        <xdr:cNvSpPr txBox="1"/>
      </xdr:nvSpPr>
      <xdr:spPr>
        <a:xfrm rot="18892825" flipV="1">
          <a:off x="25155524" y="1174622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199" name="Picture 67" descr="image002">
          <a:extLst>
            <a:ext uri="{FF2B5EF4-FFF2-40B4-BE49-F238E27FC236}">
              <a16:creationId xmlns:a16="http://schemas.microsoft.com/office/drawing/2014/main" id="{1A7EED7C-76F9-4C03-B3CD-BAAF2DF24E1D}"/>
            </a:ext>
            <a:ext uri="{147F2762-F138-4A5C-976F-8EAC2B608ADB}">
              <a16:predDERef xmlns:a16="http://schemas.microsoft.com/office/drawing/2014/main" pred="{0E28A75F-6B3E-4522-B530-52199477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0" name="Picture 67" descr="image002">
          <a:extLst>
            <a:ext uri="{FF2B5EF4-FFF2-40B4-BE49-F238E27FC236}">
              <a16:creationId xmlns:a16="http://schemas.microsoft.com/office/drawing/2014/main" id="{99A0840E-2B2B-41DF-B78F-5902D70864FC}"/>
            </a:ext>
            <a:ext uri="{147F2762-F138-4A5C-976F-8EAC2B608ADB}">
              <a16:predDERef xmlns:a16="http://schemas.microsoft.com/office/drawing/2014/main" pred="{0E28A75F-6B3E-4522-B530-52199477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201" name="9 CuadroTexto">
          <a:extLst>
            <a:ext uri="{FF2B5EF4-FFF2-40B4-BE49-F238E27FC236}">
              <a16:creationId xmlns:a16="http://schemas.microsoft.com/office/drawing/2014/main" id="{FBD563B4-88F1-4497-B36A-F3072D86B86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02" name="Picture 67" descr="image002">
          <a:extLst>
            <a:ext uri="{FF2B5EF4-FFF2-40B4-BE49-F238E27FC236}">
              <a16:creationId xmlns:a16="http://schemas.microsoft.com/office/drawing/2014/main" id="{43C078E2-D49D-46E7-97FC-45E274C2D916}"/>
            </a:ext>
            <a:ext uri="{147F2762-F138-4A5C-976F-8EAC2B608ADB}">
              <a16:predDERef xmlns:a16="http://schemas.microsoft.com/office/drawing/2014/main" pred="{FBD563B4-88F1-4497-B36A-F3072D8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3" name="Picture 67" descr="image002">
          <a:extLst>
            <a:ext uri="{FF2B5EF4-FFF2-40B4-BE49-F238E27FC236}">
              <a16:creationId xmlns:a16="http://schemas.microsoft.com/office/drawing/2014/main" id="{21DC8015-6C21-457D-B549-6416A8E57F6E}"/>
            </a:ext>
            <a:ext uri="{147F2762-F138-4A5C-976F-8EAC2B608ADB}">
              <a16:predDERef xmlns:a16="http://schemas.microsoft.com/office/drawing/2014/main" pred="{FBD563B4-88F1-4497-B36A-F3072D86B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0</xdr:colOff>
      <xdr:row>33</xdr:row>
      <xdr:rowOff>0</xdr:rowOff>
    </xdr:from>
    <xdr:ext cx="171450" cy="361950"/>
    <xdr:sp macro="" textlink="">
      <xdr:nvSpPr>
        <xdr:cNvPr id="204" name="12 CuadroTexto">
          <a:extLst>
            <a:ext uri="{FF2B5EF4-FFF2-40B4-BE49-F238E27FC236}">
              <a16:creationId xmlns:a16="http://schemas.microsoft.com/office/drawing/2014/main" id="{41FC68FC-6E20-4B48-BA02-F740FA2DF6DD}"/>
            </a:ext>
          </a:extLst>
        </xdr:cNvPr>
        <xdr:cNvSpPr txBox="1"/>
      </xdr:nvSpPr>
      <xdr:spPr>
        <a:xfrm>
          <a:off x="25203150" y="7524750"/>
          <a:ext cx="17145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05" name="Picture 67" descr="image002">
          <a:extLst>
            <a:ext uri="{FF2B5EF4-FFF2-40B4-BE49-F238E27FC236}">
              <a16:creationId xmlns:a16="http://schemas.microsoft.com/office/drawing/2014/main" id="{0DF2F24D-DEDD-4B6B-9B63-4E3F7FCF92B3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6" name="Picture 67" descr="image002">
          <a:extLst>
            <a:ext uri="{FF2B5EF4-FFF2-40B4-BE49-F238E27FC236}">
              <a16:creationId xmlns:a16="http://schemas.microsoft.com/office/drawing/2014/main" id="{646DC441-2706-4438-B653-B271F554A30B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07" name="Picture 67" descr="image002">
          <a:extLst>
            <a:ext uri="{FF2B5EF4-FFF2-40B4-BE49-F238E27FC236}">
              <a16:creationId xmlns:a16="http://schemas.microsoft.com/office/drawing/2014/main" id="{5AD22356-9F3F-40FD-9189-9A64F188C7B4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08" name="Picture 67" descr="image002">
          <a:extLst>
            <a:ext uri="{FF2B5EF4-FFF2-40B4-BE49-F238E27FC236}">
              <a16:creationId xmlns:a16="http://schemas.microsoft.com/office/drawing/2014/main" id="{159B475B-4A9E-4E21-87B7-DA8E73A592A5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09" name="Picture 67" descr="image002">
          <a:extLst>
            <a:ext uri="{FF2B5EF4-FFF2-40B4-BE49-F238E27FC236}">
              <a16:creationId xmlns:a16="http://schemas.microsoft.com/office/drawing/2014/main" id="{85182652-8364-4611-BECB-D99DEC37A144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10" name="Picture 67" descr="image002">
          <a:extLst>
            <a:ext uri="{FF2B5EF4-FFF2-40B4-BE49-F238E27FC236}">
              <a16:creationId xmlns:a16="http://schemas.microsoft.com/office/drawing/2014/main" id="{19ECF59D-1008-4B15-B9CC-33FE5DF9967A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11" name="Picture 67" descr="image002">
          <a:extLst>
            <a:ext uri="{FF2B5EF4-FFF2-40B4-BE49-F238E27FC236}">
              <a16:creationId xmlns:a16="http://schemas.microsoft.com/office/drawing/2014/main" id="{DA157A6A-BFCF-4F60-A600-BF74436FCD3D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12" name="Picture 67" descr="image002">
          <a:extLst>
            <a:ext uri="{FF2B5EF4-FFF2-40B4-BE49-F238E27FC236}">
              <a16:creationId xmlns:a16="http://schemas.microsoft.com/office/drawing/2014/main" id="{658F27A8-1B0C-4F64-97C8-1ADE449E573E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13" name="Picture 67" descr="image002">
          <a:extLst>
            <a:ext uri="{FF2B5EF4-FFF2-40B4-BE49-F238E27FC236}">
              <a16:creationId xmlns:a16="http://schemas.microsoft.com/office/drawing/2014/main" id="{6F753D4E-925E-4D30-84F0-2BE5E85EF95B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214" name="Picture 67" descr="image002">
          <a:extLst>
            <a:ext uri="{FF2B5EF4-FFF2-40B4-BE49-F238E27FC236}">
              <a16:creationId xmlns:a16="http://schemas.microsoft.com/office/drawing/2014/main" id="{215AFC56-D38E-4069-939F-6A5EEAAE21CD}"/>
            </a:ext>
            <a:ext uri="{147F2762-F138-4A5C-976F-8EAC2B608ADB}">
              <a16:predDERef xmlns:a16="http://schemas.microsoft.com/office/drawing/2014/main" pred="{41FC68FC-6E20-4B48-BA02-F740FA2DF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796290</xdr:colOff>
      <xdr:row>54</xdr:row>
      <xdr:rowOff>0</xdr:rowOff>
    </xdr:from>
    <xdr:ext cx="80010" cy="72391"/>
    <xdr:sp macro="" textlink="">
      <xdr:nvSpPr>
        <xdr:cNvPr id="215" name="7 CuadroTexto">
          <a:extLst>
            <a:ext uri="{FF2B5EF4-FFF2-40B4-BE49-F238E27FC236}">
              <a16:creationId xmlns:a16="http://schemas.microsoft.com/office/drawing/2014/main" id="{E6F882FD-9B77-47FA-9B15-97FC9CC8AE8F}"/>
            </a:ext>
          </a:extLst>
        </xdr:cNvPr>
        <xdr:cNvSpPr txBox="1"/>
      </xdr:nvSpPr>
      <xdr:spPr>
        <a:xfrm rot="18892825" flipV="1">
          <a:off x="26365199" y="12683491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796290</xdr:colOff>
      <xdr:row>50</xdr:row>
      <xdr:rowOff>72388</xdr:rowOff>
    </xdr:from>
    <xdr:ext cx="80010" cy="72391"/>
    <xdr:sp macro="" textlink="">
      <xdr:nvSpPr>
        <xdr:cNvPr id="216" name="7 CuadroTexto">
          <a:extLst>
            <a:ext uri="{FF2B5EF4-FFF2-40B4-BE49-F238E27FC236}">
              <a16:creationId xmlns:a16="http://schemas.microsoft.com/office/drawing/2014/main" id="{0F195083-D963-4674-99BE-9EC202EF3164}"/>
            </a:ext>
          </a:extLst>
        </xdr:cNvPr>
        <xdr:cNvSpPr txBox="1"/>
      </xdr:nvSpPr>
      <xdr:spPr>
        <a:xfrm rot="18892825" flipV="1">
          <a:off x="26365199" y="11765279"/>
          <a:ext cx="72391" cy="800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s-CL" sz="800">
            <a:solidFill>
              <a:srgbClr val="FF0000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sites/GestindeIndicadores-DivisinPlanificacin/Documentos%20compartidos/2026/ADP%202026/Seguimiento%20mensual%20ADP/01%20Enero%202026/DR%20Coquimbo/ADP%20DR%20Coquimbo%20enero%202026.xlsx" TargetMode="External"/><Relationship Id="rId1" Type="http://schemas.openxmlformats.org/officeDocument/2006/relationships/externalLinkPath" Target="/sites/GestindeIndicadores-DivisinPlanificacin/Documentos%20compartidos/2026/ADP%202026/Seguimiento%20mensual%20ADP/01%20Enero%202026/DR%20Coquimbo/ADP%20DR%20Coquimbo%20en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tilla SIG"/>
      <sheetName val="Proyección"/>
      <sheetName val="Consolidado"/>
    </sheetNames>
    <sheetDataSet>
      <sheetData sheetId="0">
        <row r="14">
          <cell r="AB14">
            <v>0.66666666666666696</v>
          </cell>
        </row>
        <row r="16">
          <cell r="AB16">
            <v>2</v>
          </cell>
        </row>
        <row r="18">
          <cell r="AB18">
            <v>3</v>
          </cell>
        </row>
        <row r="22">
          <cell r="AB22">
            <v>0</v>
          </cell>
          <cell r="AC22">
            <v>0</v>
          </cell>
        </row>
        <row r="24">
          <cell r="AB24">
            <v>2</v>
          </cell>
        </row>
        <row r="26">
          <cell r="AB26">
            <v>0</v>
          </cell>
        </row>
        <row r="28">
          <cell r="AB28">
            <v>0</v>
          </cell>
        </row>
        <row r="30">
          <cell r="AB30">
            <v>86</v>
          </cell>
        </row>
        <row r="32">
          <cell r="AB32">
            <v>0.4</v>
          </cell>
        </row>
        <row r="34">
          <cell r="AB34">
            <v>2</v>
          </cell>
        </row>
        <row r="36">
          <cell r="AB36">
            <v>5</v>
          </cell>
        </row>
        <row r="38">
          <cell r="AB38">
            <v>0.6</v>
          </cell>
        </row>
        <row r="40">
          <cell r="AB40">
            <v>6</v>
          </cell>
        </row>
        <row r="42">
          <cell r="AB42">
            <v>10</v>
          </cell>
        </row>
        <row r="46">
          <cell r="AB46">
            <v>1</v>
          </cell>
          <cell r="AC46">
            <v>0.25</v>
          </cell>
        </row>
        <row r="48">
          <cell r="AB48">
            <v>4</v>
          </cell>
        </row>
        <row r="52">
          <cell r="AB52">
            <v>2</v>
          </cell>
          <cell r="AC52">
            <v>0.66666666666666696</v>
          </cell>
        </row>
        <row r="54">
          <cell r="AB54">
            <v>3</v>
          </cell>
        </row>
      </sheetData>
      <sheetData sheetId="1">
        <row r="14">
          <cell r="R14">
            <v>0.66669999999999996</v>
          </cell>
        </row>
        <row r="20">
          <cell r="R20">
            <v>0</v>
          </cell>
        </row>
        <row r="26">
          <cell r="R26">
            <v>0</v>
          </cell>
        </row>
        <row r="32">
          <cell r="R32">
            <v>0.4</v>
          </cell>
        </row>
        <row r="38">
          <cell r="R38">
            <v>0.6</v>
          </cell>
        </row>
        <row r="44">
          <cell r="R44">
            <v>0.25</v>
          </cell>
        </row>
        <row r="50">
          <cell r="R50">
            <v>0.66666666666666696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84"/>
  <sheetViews>
    <sheetView showGridLines="0" tabSelected="1" topLeftCell="A11" zoomScaleNormal="100" workbookViewId="0">
      <pane xSplit="7" ySplit="2" topLeftCell="H13" activePane="bottomRight" state="frozen"/>
      <selection pane="bottomRight" activeCell="A11" sqref="A11:XFD11"/>
      <selection pane="bottomLeft" activeCell="A13" sqref="A13"/>
      <selection pane="topRight" activeCell="F11" sqref="F11"/>
    </sheetView>
  </sheetViews>
  <sheetFormatPr defaultColWidth="11.42578125" defaultRowHeight="12.75" customHeight="1"/>
  <cols>
    <col min="1" max="1" width="11.42578125" style="1"/>
    <col min="2" max="3" width="25.7109375" style="1" customWidth="1"/>
    <col min="4" max="4" width="14.85546875" style="1" customWidth="1"/>
    <col min="5" max="5" width="9.42578125" style="1" customWidth="1"/>
    <col min="6" max="6" width="28.140625" style="1" customWidth="1"/>
    <col min="7" max="7" width="13.42578125" style="1" customWidth="1"/>
    <col min="8" max="30" width="11.42578125" style="1"/>
    <col min="31" max="31" width="12.7109375" style="1" customWidth="1"/>
    <col min="32" max="16384" width="11.42578125" style="1"/>
  </cols>
  <sheetData>
    <row r="1" spans="1:32" ht="15.75" customHeight="1">
      <c r="B1" s="189"/>
      <c r="C1" s="167" t="s">
        <v>0</v>
      </c>
      <c r="D1" s="168"/>
      <c r="E1" s="168"/>
      <c r="F1" s="169"/>
      <c r="G1" s="167" t="s">
        <v>1</v>
      </c>
      <c r="H1" s="168"/>
      <c r="I1" s="168"/>
      <c r="J1" s="168"/>
      <c r="K1" s="168"/>
      <c r="L1" s="169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5.75" customHeight="1">
      <c r="B2" s="190"/>
      <c r="C2" s="170"/>
      <c r="D2" s="171"/>
      <c r="E2" s="171"/>
      <c r="F2" s="172"/>
      <c r="G2" s="170" t="s">
        <v>2</v>
      </c>
      <c r="H2" s="171"/>
      <c r="I2" s="171"/>
      <c r="J2" s="171"/>
      <c r="K2" s="171"/>
      <c r="L2" s="17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15.75" customHeight="1">
      <c r="B3" s="190"/>
      <c r="C3" s="170"/>
      <c r="D3" s="171"/>
      <c r="E3" s="171"/>
      <c r="F3" s="172"/>
      <c r="G3" s="170" t="s">
        <v>3</v>
      </c>
      <c r="H3" s="171"/>
      <c r="I3" s="171"/>
      <c r="J3" s="171"/>
      <c r="K3" s="171"/>
      <c r="L3" s="172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12.95" customHeight="1">
      <c r="B4" s="190"/>
      <c r="C4" s="170"/>
      <c r="D4" s="171"/>
      <c r="E4" s="171"/>
      <c r="F4" s="172"/>
      <c r="G4" s="173"/>
      <c r="H4" s="174"/>
      <c r="I4" s="174"/>
      <c r="J4" s="174"/>
      <c r="K4" s="174"/>
      <c r="L4" s="17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3.5" customHeight="1">
      <c r="B5" s="191"/>
      <c r="C5" s="192"/>
      <c r="D5" s="193"/>
      <c r="E5" s="193"/>
      <c r="F5" s="194"/>
      <c r="G5" s="176" t="s">
        <v>4</v>
      </c>
      <c r="H5" s="177"/>
      <c r="I5" s="177"/>
      <c r="J5" s="177"/>
      <c r="K5" s="177"/>
      <c r="L5" s="178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2.95" customHeight="1">
      <c r="B6" s="4" t="s">
        <v>5</v>
      </c>
      <c r="C6" s="180" t="s">
        <v>6</v>
      </c>
      <c r="D6" s="181"/>
      <c r="E6" s="181"/>
      <c r="F6" s="182"/>
      <c r="G6" s="180" t="s">
        <v>7</v>
      </c>
      <c r="H6" s="181"/>
      <c r="I6" s="181"/>
      <c r="J6" s="181"/>
      <c r="K6" s="181"/>
      <c r="L6" s="18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20.100000000000001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20.100000000000001" customHeight="1">
      <c r="B8" s="188" t="s">
        <v>8</v>
      </c>
      <c r="C8" s="188"/>
      <c r="D8" s="188"/>
      <c r="E8" s="188"/>
      <c r="F8" s="18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20.100000000000001" customHeight="1">
      <c r="B9" s="188" t="s">
        <v>9</v>
      </c>
      <c r="C9" s="188"/>
      <c r="D9" s="188"/>
      <c r="E9" s="188"/>
      <c r="F9" s="188"/>
      <c r="G9" s="7"/>
      <c r="H9" s="8"/>
      <c r="I9" s="9"/>
      <c r="J9" s="10"/>
      <c r="K9"/>
      <c r="L9"/>
      <c r="M9"/>
      <c r="N9"/>
      <c r="O9"/>
      <c r="P9" s="11"/>
      <c r="Q9" s="11"/>
      <c r="R9" s="11"/>
      <c r="S9" s="11"/>
      <c r="T9" s="11"/>
      <c r="U9" s="11"/>
      <c r="V9" s="11"/>
      <c r="W9" s="11"/>
      <c r="X9"/>
      <c r="Y9"/>
      <c r="Z9"/>
      <c r="AA9"/>
      <c r="AB9"/>
      <c r="AC9"/>
      <c r="AD9"/>
      <c r="AE9"/>
      <c r="AF9"/>
    </row>
    <row r="10" spans="1:32" ht="20.100000000000001" customHeight="1">
      <c r="B10" s="15" t="s">
        <v>10</v>
      </c>
      <c r="AF10"/>
    </row>
    <row r="11" spans="1:32" ht="24.95" customHeight="1">
      <c r="A11" s="120" t="s">
        <v>11</v>
      </c>
      <c r="B11" s="120" t="s">
        <v>12</v>
      </c>
      <c r="C11" s="120" t="s">
        <v>13</v>
      </c>
      <c r="D11" s="112" t="s">
        <v>14</v>
      </c>
      <c r="E11" s="112" t="s">
        <v>15</v>
      </c>
      <c r="F11" s="120" t="s">
        <v>16</v>
      </c>
      <c r="G11" s="120" t="s">
        <v>17</v>
      </c>
      <c r="H11" s="136">
        <v>45839</v>
      </c>
      <c r="I11" s="136">
        <v>45870</v>
      </c>
      <c r="J11" s="158" t="s">
        <v>18</v>
      </c>
      <c r="K11" s="155">
        <v>45901</v>
      </c>
      <c r="L11" s="133" t="s">
        <v>18</v>
      </c>
      <c r="M11" s="155">
        <v>45931</v>
      </c>
      <c r="N11" s="133" t="s">
        <v>18</v>
      </c>
      <c r="O11" s="155">
        <v>45962</v>
      </c>
      <c r="P11" s="152" t="s">
        <v>18</v>
      </c>
      <c r="Q11" s="187">
        <v>45992</v>
      </c>
      <c r="R11" s="133" t="s">
        <v>18</v>
      </c>
      <c r="S11" s="183">
        <v>46023</v>
      </c>
      <c r="T11" s="120" t="s">
        <v>18</v>
      </c>
      <c r="U11" s="183">
        <v>46054</v>
      </c>
      <c r="V11" s="133" t="s">
        <v>18</v>
      </c>
      <c r="W11" s="136">
        <v>38777</v>
      </c>
      <c r="X11" s="120" t="s">
        <v>18</v>
      </c>
      <c r="Y11" s="136">
        <v>46113</v>
      </c>
      <c r="Z11" s="120" t="s">
        <v>18</v>
      </c>
      <c r="AA11" s="185">
        <v>46143</v>
      </c>
      <c r="AB11" s="120" t="s">
        <v>18</v>
      </c>
      <c r="AC11" s="136">
        <v>46174</v>
      </c>
      <c r="AD11" s="112" t="s">
        <v>19</v>
      </c>
      <c r="AE11" s="120" t="s">
        <v>20</v>
      </c>
    </row>
    <row r="12" spans="1:32" ht="24.95" customHeight="1">
      <c r="A12" s="121"/>
      <c r="B12" s="121"/>
      <c r="C12" s="121"/>
      <c r="D12" s="113"/>
      <c r="E12" s="113"/>
      <c r="F12" s="121"/>
      <c r="G12" s="138"/>
      <c r="H12" s="121"/>
      <c r="I12" s="121"/>
      <c r="J12" s="159"/>
      <c r="K12" s="154"/>
      <c r="L12" s="154"/>
      <c r="M12" s="154"/>
      <c r="N12" s="134"/>
      <c r="O12" s="154"/>
      <c r="P12" s="153"/>
      <c r="Q12" s="153"/>
      <c r="R12" s="134"/>
      <c r="S12" s="184"/>
      <c r="T12" s="121"/>
      <c r="U12" s="184"/>
      <c r="V12" s="154"/>
      <c r="W12" s="137"/>
      <c r="X12" s="137"/>
      <c r="Y12" s="137"/>
      <c r="Z12" s="137"/>
      <c r="AA12" s="186"/>
      <c r="AB12" s="137"/>
      <c r="AC12" s="121"/>
      <c r="AD12" s="113"/>
      <c r="AE12" s="179"/>
    </row>
    <row r="13" spans="1:32" ht="18" customHeight="1">
      <c r="A13" s="100" t="s">
        <v>21</v>
      </c>
      <c r="B13" s="103" t="s">
        <v>22</v>
      </c>
      <c r="C13" s="103" t="s">
        <v>23</v>
      </c>
      <c r="D13" s="114">
        <v>0.2</v>
      </c>
      <c r="E13" s="139">
        <v>1</v>
      </c>
      <c r="F13" s="142" t="s">
        <v>24</v>
      </c>
      <c r="G13" s="12" t="s">
        <v>25</v>
      </c>
      <c r="H13" s="16" t="s">
        <v>25</v>
      </c>
      <c r="I13" s="16" t="s">
        <v>25</v>
      </c>
      <c r="J13" s="17" t="s">
        <v>25</v>
      </c>
      <c r="K13" s="16" t="s">
        <v>25</v>
      </c>
      <c r="L13" s="2" t="s">
        <v>25</v>
      </c>
      <c r="M13" s="16" t="s">
        <v>25</v>
      </c>
      <c r="N13" s="2" t="s">
        <v>25</v>
      </c>
      <c r="O13" s="16" t="s">
        <v>25</v>
      </c>
      <c r="P13" s="2" t="s">
        <v>25</v>
      </c>
      <c r="Q13" s="16" t="s">
        <v>25</v>
      </c>
      <c r="R13" s="2" t="s">
        <v>25</v>
      </c>
      <c r="S13" s="16" t="s">
        <v>25</v>
      </c>
      <c r="T13" s="2" t="s">
        <v>25</v>
      </c>
      <c r="U13" s="16" t="s">
        <v>25</v>
      </c>
      <c r="V13" s="2" t="s">
        <v>25</v>
      </c>
      <c r="W13" s="16" t="s">
        <v>25</v>
      </c>
      <c r="X13" s="2" t="s">
        <v>25</v>
      </c>
      <c r="Y13" s="16" t="s">
        <v>25</v>
      </c>
      <c r="Z13" s="2" t="s">
        <v>25</v>
      </c>
      <c r="AA13" s="16" t="s">
        <v>25</v>
      </c>
      <c r="AB13" s="2" t="s">
        <v>25</v>
      </c>
      <c r="AC13" s="16" t="s">
        <v>25</v>
      </c>
      <c r="AD13" s="50" t="s">
        <v>25</v>
      </c>
      <c r="AE13" s="70"/>
    </row>
    <row r="14" spans="1:32" ht="18" customHeight="1">
      <c r="A14" s="122"/>
      <c r="B14" s="156"/>
      <c r="C14" s="156"/>
      <c r="D14" s="115"/>
      <c r="E14" s="140"/>
      <c r="F14" s="143"/>
      <c r="G14" s="67">
        <f>+E13</f>
        <v>1</v>
      </c>
      <c r="H14" s="63">
        <f>IF(H16&lt;&gt;0,+H16/H18,0%)</f>
        <v>0</v>
      </c>
      <c r="I14" s="63">
        <f>IF(I16&lt;&gt;0,+I16/I18,0%)</f>
        <v>0</v>
      </c>
      <c r="J14" s="56">
        <f>IF(J16&lt;&gt;0,ROUND(+J16/J18,4),0%)</f>
        <v>0</v>
      </c>
      <c r="K14" s="63">
        <f>IF(K16&lt;&gt;0,+K16/K18,0%)</f>
        <v>0</v>
      </c>
      <c r="L14" s="18">
        <f>IF(L16&lt;&gt;0,ROUND(+L16/L18,4),0%)</f>
        <v>0</v>
      </c>
      <c r="M14" s="62">
        <f>IF(M16&lt;&gt;0,+M16/M18,0%)</f>
        <v>0</v>
      </c>
      <c r="N14" s="18">
        <f>IF(N16&lt;&gt;0,ROUND(+N16/N18,4),0%)</f>
        <v>0</v>
      </c>
      <c r="O14" s="62">
        <f>IF(O16&lt;&gt;0,+O16/O18,0%)</f>
        <v>0</v>
      </c>
      <c r="P14" s="18">
        <f t="shared" ref="P14:AC14" si="0">IF(P16&lt;&gt;0,ROUND(+P16/P18,4),0%)</f>
        <v>0</v>
      </c>
      <c r="Q14" s="62">
        <f>IF(Q16&lt;&gt;0,+Q16/Q18,0%)</f>
        <v>0.66666666666666663</v>
      </c>
      <c r="R14" s="18">
        <f t="shared" si="0"/>
        <v>0.66669999999999996</v>
      </c>
      <c r="S14" s="62">
        <f t="shared" si="0"/>
        <v>0</v>
      </c>
      <c r="T14" s="18">
        <f t="shared" si="0"/>
        <v>0.66669999999999996</v>
      </c>
      <c r="U14" s="62">
        <f t="shared" si="0"/>
        <v>0</v>
      </c>
      <c r="V14" s="18">
        <f t="shared" si="0"/>
        <v>0.66669999999999996</v>
      </c>
      <c r="W14" s="62">
        <f t="shared" si="0"/>
        <v>0</v>
      </c>
      <c r="X14" s="18">
        <f t="shared" si="0"/>
        <v>0.66669999999999996</v>
      </c>
      <c r="Y14" s="62">
        <f t="shared" si="0"/>
        <v>0</v>
      </c>
      <c r="Z14" s="18">
        <f t="shared" si="0"/>
        <v>0.66669999999999996</v>
      </c>
      <c r="AA14" s="62">
        <f t="shared" si="0"/>
        <v>0</v>
      </c>
      <c r="AB14" s="18">
        <f t="shared" si="0"/>
        <v>0.66669999999999996</v>
      </c>
      <c r="AC14" s="62">
        <f t="shared" si="0"/>
        <v>0</v>
      </c>
      <c r="AD14" s="51">
        <f>IF(AD16&lt;&gt;0,+AD16/AD18,0%)</f>
        <v>0.66666666666666663</v>
      </c>
      <c r="AE14" s="71"/>
    </row>
    <row r="15" spans="1:32" ht="18" customHeight="1">
      <c r="A15" s="122"/>
      <c r="B15" s="156"/>
      <c r="C15" s="156"/>
      <c r="D15" s="115"/>
      <c r="E15" s="140"/>
      <c r="F15" s="144"/>
      <c r="G15" s="13" t="s">
        <v>26</v>
      </c>
      <c r="H15" s="19" t="s">
        <v>26</v>
      </c>
      <c r="I15" s="19" t="s">
        <v>26</v>
      </c>
      <c r="J15" s="20" t="s">
        <v>26</v>
      </c>
      <c r="K15" s="19" t="s">
        <v>26</v>
      </c>
      <c r="L15" s="3" t="s">
        <v>26</v>
      </c>
      <c r="M15" s="19" t="s">
        <v>26</v>
      </c>
      <c r="N15" s="3" t="s">
        <v>26</v>
      </c>
      <c r="O15" s="19" t="s">
        <v>26</v>
      </c>
      <c r="P15" s="3" t="s">
        <v>26</v>
      </c>
      <c r="Q15" s="19" t="s">
        <v>26</v>
      </c>
      <c r="R15" s="3" t="s">
        <v>26</v>
      </c>
      <c r="S15" s="19" t="s">
        <v>26</v>
      </c>
      <c r="T15" s="3" t="s">
        <v>26</v>
      </c>
      <c r="U15" s="19" t="s">
        <v>26</v>
      </c>
      <c r="V15" s="3" t="s">
        <v>26</v>
      </c>
      <c r="W15" s="19" t="s">
        <v>26</v>
      </c>
      <c r="X15" s="3" t="s">
        <v>26</v>
      </c>
      <c r="Y15" s="19" t="s">
        <v>26</v>
      </c>
      <c r="Z15" s="3" t="s">
        <v>26</v>
      </c>
      <c r="AA15" s="19" t="s">
        <v>26</v>
      </c>
      <c r="AB15" s="3" t="s">
        <v>26</v>
      </c>
      <c r="AC15" s="19" t="s">
        <v>26</v>
      </c>
      <c r="AD15" s="52" t="s">
        <v>26</v>
      </c>
      <c r="AE15" s="71"/>
    </row>
    <row r="16" spans="1:32" ht="18" customHeight="1">
      <c r="A16" s="122"/>
      <c r="B16" s="156"/>
      <c r="C16" s="156"/>
      <c r="D16" s="115"/>
      <c r="E16" s="140"/>
      <c r="F16" s="143" t="s">
        <v>27</v>
      </c>
      <c r="G16" s="64">
        <v>3</v>
      </c>
      <c r="H16" s="57">
        <v>0</v>
      </c>
      <c r="I16" s="57">
        <v>0</v>
      </c>
      <c r="J16" s="37">
        <f>+H16+I16</f>
        <v>0</v>
      </c>
      <c r="K16" s="57">
        <v>0</v>
      </c>
      <c r="L16" s="37">
        <f>+J16+K16</f>
        <v>0</v>
      </c>
      <c r="M16" s="57">
        <v>0</v>
      </c>
      <c r="N16" s="37">
        <f>+L16+M16</f>
        <v>0</v>
      </c>
      <c r="O16" s="57">
        <v>0</v>
      </c>
      <c r="P16" s="37">
        <f>+N16+O16</f>
        <v>0</v>
      </c>
      <c r="Q16" s="57">
        <v>2</v>
      </c>
      <c r="R16" s="37">
        <f>+P16+Q16</f>
        <v>2</v>
      </c>
      <c r="S16" s="57">
        <v>0</v>
      </c>
      <c r="T16" s="37">
        <f>+R16+S16</f>
        <v>2</v>
      </c>
      <c r="U16" s="58">
        <v>0</v>
      </c>
      <c r="V16" s="37">
        <f>+T16+U16</f>
        <v>2</v>
      </c>
      <c r="W16" s="57">
        <v>0</v>
      </c>
      <c r="X16" s="37">
        <f>+V16+W16</f>
        <v>2</v>
      </c>
      <c r="Y16" s="57">
        <v>0</v>
      </c>
      <c r="Z16" s="37">
        <f>+X16+Y16</f>
        <v>2</v>
      </c>
      <c r="AA16" s="57">
        <v>0</v>
      </c>
      <c r="AB16" s="37">
        <f>+Z16+AA16</f>
        <v>2</v>
      </c>
      <c r="AC16" s="57">
        <v>0</v>
      </c>
      <c r="AD16" s="53">
        <f>+AB16+AC16</f>
        <v>2</v>
      </c>
      <c r="AE16" s="72">
        <f>AD14/E13</f>
        <v>0.66666666666666663</v>
      </c>
    </row>
    <row r="17" spans="1:31" ht="18" customHeight="1">
      <c r="A17" s="122"/>
      <c r="B17" s="156"/>
      <c r="C17" s="156"/>
      <c r="D17" s="115"/>
      <c r="E17" s="140"/>
      <c r="F17" s="143"/>
      <c r="G17" s="14" t="s">
        <v>28</v>
      </c>
      <c r="H17" s="21" t="s">
        <v>28</v>
      </c>
      <c r="I17" s="21" t="s">
        <v>28</v>
      </c>
      <c r="J17" s="22" t="s">
        <v>28</v>
      </c>
      <c r="K17" s="21" t="s">
        <v>28</v>
      </c>
      <c r="L17" s="23" t="s">
        <v>28</v>
      </c>
      <c r="M17" s="21" t="s">
        <v>28</v>
      </c>
      <c r="N17" s="23" t="s">
        <v>28</v>
      </c>
      <c r="O17" s="21" t="s">
        <v>28</v>
      </c>
      <c r="P17" s="23" t="s">
        <v>28</v>
      </c>
      <c r="Q17" s="21" t="s">
        <v>28</v>
      </c>
      <c r="R17" s="23" t="s">
        <v>28</v>
      </c>
      <c r="S17" s="21" t="s">
        <v>28</v>
      </c>
      <c r="T17" s="23" t="s">
        <v>28</v>
      </c>
      <c r="U17" s="21" t="s">
        <v>28</v>
      </c>
      <c r="V17" s="23" t="s">
        <v>28</v>
      </c>
      <c r="W17" s="21" t="s">
        <v>28</v>
      </c>
      <c r="X17" s="23" t="s">
        <v>28</v>
      </c>
      <c r="Y17" s="21" t="s">
        <v>28</v>
      </c>
      <c r="Z17" s="23" t="s">
        <v>28</v>
      </c>
      <c r="AA17" s="21" t="s">
        <v>28</v>
      </c>
      <c r="AB17" s="23" t="s">
        <v>28</v>
      </c>
      <c r="AC17" s="21" t="s">
        <v>28</v>
      </c>
      <c r="AD17" s="54" t="s">
        <v>28</v>
      </c>
      <c r="AE17" s="71"/>
    </row>
    <row r="18" spans="1:31" ht="18" customHeight="1">
      <c r="A18" s="123"/>
      <c r="B18" s="157"/>
      <c r="C18" s="157"/>
      <c r="D18" s="116"/>
      <c r="E18" s="141"/>
      <c r="F18" s="144"/>
      <c r="G18" s="65">
        <v>3</v>
      </c>
      <c r="H18" s="24">
        <v>3</v>
      </c>
      <c r="I18" s="24">
        <v>3</v>
      </c>
      <c r="J18" s="25">
        <f>+I18</f>
        <v>3</v>
      </c>
      <c r="K18" s="24">
        <v>3</v>
      </c>
      <c r="L18" s="25">
        <f>+K18</f>
        <v>3</v>
      </c>
      <c r="M18" s="24">
        <v>3</v>
      </c>
      <c r="N18" s="25">
        <f>+M18</f>
        <v>3</v>
      </c>
      <c r="O18" s="24">
        <v>3</v>
      </c>
      <c r="P18" s="25">
        <f>+O18</f>
        <v>3</v>
      </c>
      <c r="Q18" s="24">
        <v>3</v>
      </c>
      <c r="R18" s="25">
        <f>+Q18</f>
        <v>3</v>
      </c>
      <c r="S18" s="24">
        <v>3</v>
      </c>
      <c r="T18" s="25">
        <f>+S18</f>
        <v>3</v>
      </c>
      <c r="U18" s="59">
        <v>3</v>
      </c>
      <c r="V18" s="25">
        <f>+U18</f>
        <v>3</v>
      </c>
      <c r="W18" s="24">
        <v>3</v>
      </c>
      <c r="X18" s="25">
        <f>+W18</f>
        <v>3</v>
      </c>
      <c r="Y18" s="24">
        <v>3</v>
      </c>
      <c r="Z18" s="25">
        <f>+Y18</f>
        <v>3</v>
      </c>
      <c r="AA18" s="24">
        <v>3</v>
      </c>
      <c r="AB18" s="25">
        <f>+AA18</f>
        <v>3</v>
      </c>
      <c r="AC18" s="24">
        <v>3</v>
      </c>
      <c r="AD18" s="55">
        <f>+AC18</f>
        <v>3</v>
      </c>
      <c r="AE18" s="73"/>
    </row>
    <row r="19" spans="1:31" ht="18" customHeight="1">
      <c r="A19" s="124" t="s">
        <v>29</v>
      </c>
      <c r="B19" s="195" t="s">
        <v>30</v>
      </c>
      <c r="C19" s="103" t="s">
        <v>31</v>
      </c>
      <c r="D19" s="114">
        <v>0.1</v>
      </c>
      <c r="E19" s="128">
        <v>1</v>
      </c>
      <c r="F19" s="148" t="s">
        <v>32</v>
      </c>
      <c r="G19" s="12" t="s">
        <v>25</v>
      </c>
      <c r="H19" s="16" t="s">
        <v>25</v>
      </c>
      <c r="I19" s="16" t="s">
        <v>25</v>
      </c>
      <c r="J19" s="2" t="s">
        <v>25</v>
      </c>
      <c r="K19" s="39" t="s">
        <v>25</v>
      </c>
      <c r="L19" s="2" t="s">
        <v>25</v>
      </c>
      <c r="M19" s="39" t="s">
        <v>25</v>
      </c>
      <c r="N19" s="2" t="s">
        <v>25</v>
      </c>
      <c r="O19" s="39" t="s">
        <v>25</v>
      </c>
      <c r="P19" s="2" t="s">
        <v>25</v>
      </c>
      <c r="Q19" s="39" t="s">
        <v>25</v>
      </c>
      <c r="R19" s="2" t="s">
        <v>25</v>
      </c>
      <c r="S19" s="39" t="s">
        <v>25</v>
      </c>
      <c r="T19" s="2" t="s">
        <v>25</v>
      </c>
      <c r="U19" s="39" t="s">
        <v>25</v>
      </c>
      <c r="V19" s="2" t="s">
        <v>25</v>
      </c>
      <c r="W19" s="16" t="s">
        <v>25</v>
      </c>
      <c r="X19" s="2" t="s">
        <v>25</v>
      </c>
      <c r="Y19" s="16" t="s">
        <v>25</v>
      </c>
      <c r="Z19" s="2" t="s">
        <v>25</v>
      </c>
      <c r="AA19" s="16" t="s">
        <v>25</v>
      </c>
      <c r="AB19" s="2" t="s">
        <v>25</v>
      </c>
      <c r="AC19" s="16" t="s">
        <v>25</v>
      </c>
      <c r="AD19" s="50" t="s">
        <v>25</v>
      </c>
      <c r="AE19" s="78"/>
    </row>
    <row r="20" spans="1:31" ht="18" customHeight="1">
      <c r="A20" s="125"/>
      <c r="B20" s="196"/>
      <c r="C20" s="104"/>
      <c r="D20" s="115"/>
      <c r="E20" s="129"/>
      <c r="F20" s="149"/>
      <c r="G20" s="68">
        <f>IF(G22&lt;&gt;0,+G22/G24,0%)</f>
        <v>1</v>
      </c>
      <c r="H20" s="32">
        <f>IF(H22&lt;&gt;0,+H22/H24,0%)</f>
        <v>0</v>
      </c>
      <c r="I20" s="32">
        <f>IF(I22&lt;&gt;0,+I22/I24,0%)</f>
        <v>0</v>
      </c>
      <c r="J20" s="18">
        <f>IF(J22&lt;&gt;0,+J22/J24,0%)</f>
        <v>0</v>
      </c>
      <c r="K20" s="32">
        <f t="shared" ref="K20:AD20" si="1">IF(K22&lt;&gt;0,+K22/K24,0%)</f>
        <v>0</v>
      </c>
      <c r="L20" s="18">
        <f t="shared" si="1"/>
        <v>0</v>
      </c>
      <c r="M20" s="32">
        <f t="shared" si="1"/>
        <v>0</v>
      </c>
      <c r="N20" s="18">
        <f t="shared" si="1"/>
        <v>0</v>
      </c>
      <c r="O20" s="32">
        <f t="shared" si="1"/>
        <v>0</v>
      </c>
      <c r="P20" s="18">
        <f t="shared" si="1"/>
        <v>0</v>
      </c>
      <c r="Q20" s="32">
        <f t="shared" si="1"/>
        <v>0</v>
      </c>
      <c r="R20" s="18">
        <f t="shared" si="1"/>
        <v>0</v>
      </c>
      <c r="S20" s="32">
        <f t="shared" si="1"/>
        <v>0</v>
      </c>
      <c r="T20" s="18">
        <f t="shared" si="1"/>
        <v>0</v>
      </c>
      <c r="U20" s="32">
        <f t="shared" si="1"/>
        <v>0</v>
      </c>
      <c r="V20" s="18">
        <f t="shared" si="1"/>
        <v>0</v>
      </c>
      <c r="W20" s="32">
        <f t="shared" si="1"/>
        <v>0</v>
      </c>
      <c r="X20" s="18">
        <f t="shared" si="1"/>
        <v>0</v>
      </c>
      <c r="Y20" s="32">
        <f t="shared" si="1"/>
        <v>0</v>
      </c>
      <c r="Z20" s="18">
        <f t="shared" si="1"/>
        <v>0</v>
      </c>
      <c r="AA20" s="62">
        <f t="shared" si="1"/>
        <v>0</v>
      </c>
      <c r="AB20" s="18">
        <f t="shared" si="1"/>
        <v>0</v>
      </c>
      <c r="AC20" s="62">
        <f t="shared" si="1"/>
        <v>0</v>
      </c>
      <c r="AD20" s="51">
        <f t="shared" si="1"/>
        <v>0</v>
      </c>
      <c r="AE20" s="79"/>
    </row>
    <row r="21" spans="1:31" ht="18" customHeight="1">
      <c r="A21" s="125"/>
      <c r="B21" s="196"/>
      <c r="C21" s="104"/>
      <c r="D21" s="115"/>
      <c r="E21" s="129"/>
      <c r="F21" s="149"/>
      <c r="G21" s="13" t="s">
        <v>26</v>
      </c>
      <c r="H21" s="19" t="s">
        <v>26</v>
      </c>
      <c r="I21" s="19"/>
      <c r="J21" s="3" t="s">
        <v>26</v>
      </c>
      <c r="K21" s="40" t="s">
        <v>26</v>
      </c>
      <c r="L21" s="3" t="s">
        <v>26</v>
      </c>
      <c r="M21" s="40" t="s">
        <v>26</v>
      </c>
      <c r="N21" s="3" t="s">
        <v>26</v>
      </c>
      <c r="O21" s="40" t="s">
        <v>26</v>
      </c>
      <c r="P21" s="3" t="s">
        <v>26</v>
      </c>
      <c r="Q21" s="40" t="s">
        <v>26</v>
      </c>
      <c r="R21" s="3" t="s">
        <v>26</v>
      </c>
      <c r="S21" s="40" t="s">
        <v>26</v>
      </c>
      <c r="T21" s="3" t="s">
        <v>26</v>
      </c>
      <c r="U21" s="40" t="s">
        <v>26</v>
      </c>
      <c r="V21" s="3" t="s">
        <v>26</v>
      </c>
      <c r="W21" s="41" t="s">
        <v>26</v>
      </c>
      <c r="X21" s="3" t="s">
        <v>26</v>
      </c>
      <c r="Y21" s="19" t="s">
        <v>26</v>
      </c>
      <c r="Z21" s="3" t="s">
        <v>26</v>
      </c>
      <c r="AA21" s="19" t="s">
        <v>26</v>
      </c>
      <c r="AB21" s="3" t="s">
        <v>26</v>
      </c>
      <c r="AC21" s="19" t="s">
        <v>26</v>
      </c>
      <c r="AD21" s="52" t="s">
        <v>26</v>
      </c>
      <c r="AE21" s="80"/>
    </row>
    <row r="22" spans="1:31" ht="18" customHeight="1">
      <c r="A22" s="125"/>
      <c r="B22" s="196"/>
      <c r="C22" s="104"/>
      <c r="D22" s="115"/>
      <c r="E22" s="129"/>
      <c r="F22" s="103" t="s">
        <v>33</v>
      </c>
      <c r="G22" s="64">
        <v>2</v>
      </c>
      <c r="H22" s="45">
        <v>0</v>
      </c>
      <c r="I22" s="45">
        <v>0</v>
      </c>
      <c r="J22" s="37">
        <f>+H22+I22</f>
        <v>0</v>
      </c>
      <c r="K22" s="45">
        <v>0</v>
      </c>
      <c r="L22" s="37">
        <f>+J22+K22</f>
        <v>0</v>
      </c>
      <c r="M22" s="45">
        <v>0</v>
      </c>
      <c r="N22" s="37">
        <f>+L22+M22</f>
        <v>0</v>
      </c>
      <c r="O22" s="45">
        <v>0</v>
      </c>
      <c r="P22" s="37">
        <f>+N22+O22</f>
        <v>0</v>
      </c>
      <c r="Q22" s="45">
        <v>0</v>
      </c>
      <c r="R22" s="37">
        <f>+P22+Q22</f>
        <v>0</v>
      </c>
      <c r="S22" s="45">
        <v>0</v>
      </c>
      <c r="T22" s="37">
        <f>+R22+S22</f>
        <v>0</v>
      </c>
      <c r="U22" s="45">
        <v>0</v>
      </c>
      <c r="V22" s="37">
        <f>+T22+U22</f>
        <v>0</v>
      </c>
      <c r="W22" s="45">
        <v>0</v>
      </c>
      <c r="X22" s="37">
        <f>+V22+W22</f>
        <v>0</v>
      </c>
      <c r="Y22" s="45">
        <v>0</v>
      </c>
      <c r="Z22" s="37">
        <f>+X22+Y22</f>
        <v>0</v>
      </c>
      <c r="AA22" s="45">
        <v>0</v>
      </c>
      <c r="AB22" s="37">
        <f>+Z22+AA22</f>
        <v>0</v>
      </c>
      <c r="AC22" s="45">
        <v>0</v>
      </c>
      <c r="AD22" s="53">
        <f>+AB22+AC22</f>
        <v>0</v>
      </c>
      <c r="AE22" s="72">
        <f>AD20/E19</f>
        <v>0</v>
      </c>
    </row>
    <row r="23" spans="1:31" ht="18" customHeight="1">
      <c r="A23" s="125"/>
      <c r="B23" s="196"/>
      <c r="C23" s="104"/>
      <c r="D23" s="115"/>
      <c r="E23" s="129"/>
      <c r="F23" s="104"/>
      <c r="G23" s="14" t="s">
        <v>28</v>
      </c>
      <c r="H23" s="21" t="s">
        <v>28</v>
      </c>
      <c r="I23" s="21" t="s">
        <v>28</v>
      </c>
      <c r="J23" s="23" t="s">
        <v>28</v>
      </c>
      <c r="K23" s="42" t="s">
        <v>28</v>
      </c>
      <c r="L23" s="23" t="s">
        <v>28</v>
      </c>
      <c r="M23" s="42" t="s">
        <v>28</v>
      </c>
      <c r="N23" s="23" t="s">
        <v>28</v>
      </c>
      <c r="O23" s="42" t="s">
        <v>28</v>
      </c>
      <c r="P23" s="23" t="s">
        <v>28</v>
      </c>
      <c r="Q23" s="42" t="s">
        <v>28</v>
      </c>
      <c r="R23" s="23" t="s">
        <v>28</v>
      </c>
      <c r="S23" s="42" t="s">
        <v>28</v>
      </c>
      <c r="T23" s="23" t="s">
        <v>28</v>
      </c>
      <c r="U23" s="42" t="s">
        <v>28</v>
      </c>
      <c r="V23" s="23" t="s">
        <v>28</v>
      </c>
      <c r="W23" s="21" t="s">
        <v>28</v>
      </c>
      <c r="X23" s="23" t="s">
        <v>28</v>
      </c>
      <c r="Y23" s="21" t="s">
        <v>28</v>
      </c>
      <c r="Z23" s="23" t="s">
        <v>28</v>
      </c>
      <c r="AA23" s="21" t="s">
        <v>28</v>
      </c>
      <c r="AB23" s="23" t="s">
        <v>28</v>
      </c>
      <c r="AC23" s="21" t="s">
        <v>28</v>
      </c>
      <c r="AD23" s="54" t="s">
        <v>28</v>
      </c>
      <c r="AE23" s="131"/>
    </row>
    <row r="24" spans="1:31" ht="18" customHeight="1">
      <c r="A24" s="126"/>
      <c r="B24" s="197"/>
      <c r="C24" s="105"/>
      <c r="D24" s="116"/>
      <c r="E24" s="130"/>
      <c r="F24" s="104"/>
      <c r="G24" s="65">
        <v>2</v>
      </c>
      <c r="H24" s="24">
        <v>2</v>
      </c>
      <c r="I24" s="24">
        <v>2</v>
      </c>
      <c r="J24" s="43">
        <f>I24</f>
        <v>2</v>
      </c>
      <c r="K24" s="46">
        <v>2</v>
      </c>
      <c r="L24" s="25">
        <f>K24</f>
        <v>2</v>
      </c>
      <c r="M24" s="46">
        <v>2</v>
      </c>
      <c r="N24" s="25">
        <f>M24</f>
        <v>2</v>
      </c>
      <c r="O24" s="46">
        <v>2</v>
      </c>
      <c r="P24" s="25">
        <f>O24</f>
        <v>2</v>
      </c>
      <c r="Q24" s="46">
        <v>2</v>
      </c>
      <c r="R24" s="25">
        <f>Q24</f>
        <v>2</v>
      </c>
      <c r="S24" s="46">
        <v>2</v>
      </c>
      <c r="T24" s="25">
        <f>S24</f>
        <v>2</v>
      </c>
      <c r="U24" s="46">
        <v>2</v>
      </c>
      <c r="V24" s="25">
        <f>U24</f>
        <v>2</v>
      </c>
      <c r="W24" s="46">
        <v>2</v>
      </c>
      <c r="X24" s="25">
        <f>W24</f>
        <v>2</v>
      </c>
      <c r="Y24" s="46">
        <v>2</v>
      </c>
      <c r="Z24" s="25">
        <f>Y24</f>
        <v>2</v>
      </c>
      <c r="AA24" s="46">
        <v>2</v>
      </c>
      <c r="AB24" s="25">
        <f>AA24</f>
        <v>2</v>
      </c>
      <c r="AC24" s="46">
        <v>2</v>
      </c>
      <c r="AD24" s="55">
        <f>AC24</f>
        <v>2</v>
      </c>
      <c r="AE24" s="135"/>
    </row>
    <row r="25" spans="1:31" ht="18" customHeight="1">
      <c r="A25" s="127" t="s">
        <v>34</v>
      </c>
      <c r="B25" s="103" t="s">
        <v>35</v>
      </c>
      <c r="C25" s="103" t="s">
        <v>36</v>
      </c>
      <c r="D25" s="117">
        <v>0.1</v>
      </c>
      <c r="E25" s="160">
        <v>0.2</v>
      </c>
      <c r="F25" s="148" t="s">
        <v>37</v>
      </c>
      <c r="G25" s="12" t="s">
        <v>25</v>
      </c>
      <c r="H25" s="27" t="s">
        <v>25</v>
      </c>
      <c r="I25" s="27" t="s">
        <v>25</v>
      </c>
      <c r="J25" s="28" t="s">
        <v>25</v>
      </c>
      <c r="K25" s="27" t="s">
        <v>25</v>
      </c>
      <c r="L25" s="29" t="s">
        <v>25</v>
      </c>
      <c r="M25" s="27" t="s">
        <v>25</v>
      </c>
      <c r="N25" s="29" t="s">
        <v>25</v>
      </c>
      <c r="O25" s="27" t="s">
        <v>25</v>
      </c>
      <c r="P25" s="29" t="s">
        <v>25</v>
      </c>
      <c r="Q25" s="27" t="s">
        <v>25</v>
      </c>
      <c r="R25" s="29" t="s">
        <v>25</v>
      </c>
      <c r="S25" s="27" t="s">
        <v>25</v>
      </c>
      <c r="T25" s="29" t="s">
        <v>25</v>
      </c>
      <c r="U25" s="12" t="s">
        <v>25</v>
      </c>
      <c r="V25" s="29" t="s">
        <v>25</v>
      </c>
      <c r="W25" s="12" t="s">
        <v>25</v>
      </c>
      <c r="X25" s="30" t="s">
        <v>25</v>
      </c>
      <c r="Y25" s="12" t="s">
        <v>25</v>
      </c>
      <c r="Z25" s="31" t="s">
        <v>25</v>
      </c>
      <c r="AA25" s="12" t="s">
        <v>25</v>
      </c>
      <c r="AB25" s="31" t="s">
        <v>25</v>
      </c>
      <c r="AC25" s="27" t="s">
        <v>25</v>
      </c>
      <c r="AD25" s="31" t="s">
        <v>25</v>
      </c>
      <c r="AE25" s="75"/>
    </row>
    <row r="26" spans="1:31" ht="18" customHeight="1">
      <c r="A26" s="101"/>
      <c r="B26" s="104"/>
      <c r="C26" s="104"/>
      <c r="D26" s="118"/>
      <c r="E26" s="161"/>
      <c r="F26" s="149"/>
      <c r="G26" s="68">
        <f>IF(G28&lt;&gt;0,+G28/G30,0%)</f>
        <v>0.19999999999999998</v>
      </c>
      <c r="H26" s="32">
        <f>IF(H28&lt;&gt;0,+H28/H30,0%)</f>
        <v>0</v>
      </c>
      <c r="I26" s="32">
        <f>IF(I28&lt;&gt;0,+I28/I30,0%)</f>
        <v>0</v>
      </c>
      <c r="J26" s="33">
        <f>IF(J28&lt;&gt;0,ROUND(+J28/J30,4),0%)</f>
        <v>0</v>
      </c>
      <c r="K26" s="32">
        <f>IF(K28&lt;&gt;0,+K28/K30,0%)</f>
        <v>0</v>
      </c>
      <c r="L26" s="33">
        <f>IF(L28&lt;&gt;0,ROUND(+L28/L30,4),0%)</f>
        <v>0</v>
      </c>
      <c r="M26" s="32">
        <f>IF(M28&lt;&gt;0,+M28/M30,0%)</f>
        <v>0</v>
      </c>
      <c r="N26" s="33">
        <f>IF(N28&lt;&gt;0,ROUND(+N28/N30,4),0%)</f>
        <v>0</v>
      </c>
      <c r="O26" s="32">
        <f>IF(O28&lt;&gt;0,+O28/O30,0%)</f>
        <v>0</v>
      </c>
      <c r="P26" s="33">
        <f>IF(P28&lt;&gt;0,ROUND(+P28/P30,4),0%)</f>
        <v>0</v>
      </c>
      <c r="Q26" s="32">
        <f>IF(Q28&lt;&gt;0,+Q28/Q30,0%)</f>
        <v>0</v>
      </c>
      <c r="R26" s="33">
        <f>IF(R28&lt;&gt;0,ROUND(+R28/R30,4),0%)</f>
        <v>0</v>
      </c>
      <c r="S26" s="32">
        <f>IF(S28&lt;&gt;0,+S28/S30,0%)</f>
        <v>0</v>
      </c>
      <c r="T26" s="33">
        <f>IF(T28&lt;&gt;0,ROUND(+T28/T30,4),0%)</f>
        <v>0</v>
      </c>
      <c r="U26" s="32">
        <f>IF(U28&lt;&gt;0,+U28/U30,0%)</f>
        <v>0</v>
      </c>
      <c r="V26" s="33">
        <f>IF(V28&lt;&gt;0,ROUND(+V28/V30,4),0%)</f>
        <v>0</v>
      </c>
      <c r="W26" s="32">
        <f>IF(W28&lt;&gt;0,+W28/W30,0%)</f>
        <v>0</v>
      </c>
      <c r="X26" s="33">
        <f>IF(X28&lt;&gt;0,ROUND(+X28/X30,4),0%)</f>
        <v>0</v>
      </c>
      <c r="Y26" s="32">
        <f>IF(Y28&lt;&gt;0,+Y28/Y30,0%)</f>
        <v>0</v>
      </c>
      <c r="Z26" s="33">
        <f>IF(Z28&lt;&gt;0,ROUND(+Z28/Z30,4),0%)</f>
        <v>0</v>
      </c>
      <c r="AA26" s="32">
        <f>IF(AA28&lt;&gt;0,+AA28/AA30,0%)</f>
        <v>0</v>
      </c>
      <c r="AB26" s="33">
        <f>IF(AB28&lt;&gt;0,ROUND(+AB28/AB30,4),0%)</f>
        <v>0</v>
      </c>
      <c r="AC26" s="32">
        <f>IF(AC28&lt;&gt;0,+AC28/AC30,0%)</f>
        <v>0</v>
      </c>
      <c r="AD26" s="81">
        <f>IF(AD28&lt;&gt;0,ROUND(+AD28/AD30,4),0%)</f>
        <v>0</v>
      </c>
      <c r="AE26" s="76"/>
    </row>
    <row r="27" spans="1:31" ht="18" customHeight="1">
      <c r="A27" s="101"/>
      <c r="B27" s="104"/>
      <c r="C27" s="104"/>
      <c r="D27" s="118"/>
      <c r="E27" s="161"/>
      <c r="F27" s="163"/>
      <c r="G27" s="13" t="s">
        <v>26</v>
      </c>
      <c r="H27" s="13" t="s">
        <v>26</v>
      </c>
      <c r="I27" s="13" t="s">
        <v>26</v>
      </c>
      <c r="J27" s="34" t="s">
        <v>26</v>
      </c>
      <c r="K27" s="13" t="s">
        <v>26</v>
      </c>
      <c r="L27" s="35" t="s">
        <v>26</v>
      </c>
      <c r="M27" s="13" t="s">
        <v>26</v>
      </c>
      <c r="N27" s="35" t="s">
        <v>26</v>
      </c>
      <c r="O27" s="13" t="s">
        <v>26</v>
      </c>
      <c r="P27" s="35" t="s">
        <v>26</v>
      </c>
      <c r="Q27" s="13" t="s">
        <v>26</v>
      </c>
      <c r="R27" s="35" t="s">
        <v>26</v>
      </c>
      <c r="S27" s="13" t="s">
        <v>26</v>
      </c>
      <c r="T27" s="35" t="s">
        <v>26</v>
      </c>
      <c r="U27" s="13" t="s">
        <v>26</v>
      </c>
      <c r="V27" s="35" t="s">
        <v>26</v>
      </c>
      <c r="W27" s="13" t="s">
        <v>26</v>
      </c>
      <c r="X27" s="35" t="s">
        <v>26</v>
      </c>
      <c r="Y27" s="13" t="s">
        <v>26</v>
      </c>
      <c r="Z27" s="35" t="s">
        <v>26</v>
      </c>
      <c r="AA27" s="13" t="s">
        <v>26</v>
      </c>
      <c r="AB27" s="35" t="s">
        <v>26</v>
      </c>
      <c r="AC27" s="13" t="s">
        <v>26</v>
      </c>
      <c r="AD27" s="82" t="s">
        <v>26</v>
      </c>
      <c r="AE27" s="76"/>
    </row>
    <row r="28" spans="1:31" ht="18" customHeight="1">
      <c r="A28" s="101"/>
      <c r="B28" s="104"/>
      <c r="C28" s="104"/>
      <c r="D28" s="118"/>
      <c r="E28" s="161"/>
      <c r="F28" s="148" t="s">
        <v>38</v>
      </c>
      <c r="G28" s="66">
        <v>17.2</v>
      </c>
      <c r="H28" s="36">
        <v>0</v>
      </c>
      <c r="I28" s="45">
        <v>0</v>
      </c>
      <c r="J28" s="37">
        <f>+H28+I28</f>
        <v>0</v>
      </c>
      <c r="K28" s="45">
        <v>0</v>
      </c>
      <c r="L28" s="37">
        <f>+J28+K28</f>
        <v>0</v>
      </c>
      <c r="M28" s="45">
        <v>0</v>
      </c>
      <c r="N28" s="37">
        <f>+L28+M28</f>
        <v>0</v>
      </c>
      <c r="O28" s="45">
        <v>0</v>
      </c>
      <c r="P28" s="37">
        <f>+N28+O28</f>
        <v>0</v>
      </c>
      <c r="Q28" s="45">
        <v>0</v>
      </c>
      <c r="R28" s="37">
        <f>+P28+Q28</f>
        <v>0</v>
      </c>
      <c r="S28" s="45">
        <v>0</v>
      </c>
      <c r="T28" s="37">
        <f>+R28+S28</f>
        <v>0</v>
      </c>
      <c r="U28" s="45">
        <v>0</v>
      </c>
      <c r="V28" s="37">
        <f>+T28+U28</f>
        <v>0</v>
      </c>
      <c r="W28" s="45">
        <v>0</v>
      </c>
      <c r="X28" s="37">
        <f>+V28+W28</f>
        <v>0</v>
      </c>
      <c r="Y28" s="45">
        <v>0</v>
      </c>
      <c r="Z28" s="37">
        <f>+X28+Y28</f>
        <v>0</v>
      </c>
      <c r="AA28" s="45">
        <v>0</v>
      </c>
      <c r="AB28" s="26">
        <f>+Z28+AA28</f>
        <v>0</v>
      </c>
      <c r="AC28" s="36">
        <v>0</v>
      </c>
      <c r="AD28" s="83">
        <f>+AB28+AC28</f>
        <v>0</v>
      </c>
      <c r="AE28" s="77">
        <f>AD26/E25</f>
        <v>0</v>
      </c>
    </row>
    <row r="29" spans="1:31" ht="18" customHeight="1">
      <c r="A29" s="101"/>
      <c r="B29" s="104"/>
      <c r="C29" s="104"/>
      <c r="D29" s="118"/>
      <c r="E29" s="161"/>
      <c r="F29" s="149"/>
      <c r="G29" s="13"/>
      <c r="H29" s="14" t="s">
        <v>28</v>
      </c>
      <c r="I29" s="14" t="s">
        <v>28</v>
      </c>
      <c r="J29" s="47" t="s">
        <v>28</v>
      </c>
      <c r="K29" s="14" t="s">
        <v>28</v>
      </c>
      <c r="L29" s="48" t="s">
        <v>28</v>
      </c>
      <c r="M29" s="14" t="s">
        <v>28</v>
      </c>
      <c r="N29" s="48" t="s">
        <v>28</v>
      </c>
      <c r="O29" s="14" t="s">
        <v>28</v>
      </c>
      <c r="P29" s="48" t="s">
        <v>28</v>
      </c>
      <c r="Q29" s="14" t="s">
        <v>28</v>
      </c>
      <c r="R29" s="48" t="s">
        <v>28</v>
      </c>
      <c r="S29" s="14" t="s">
        <v>28</v>
      </c>
      <c r="T29" s="48" t="s">
        <v>28</v>
      </c>
      <c r="U29" s="14" t="s">
        <v>28</v>
      </c>
      <c r="V29" s="48" t="s">
        <v>28</v>
      </c>
      <c r="W29" s="14" t="s">
        <v>28</v>
      </c>
      <c r="X29" s="48" t="s">
        <v>28</v>
      </c>
      <c r="Y29" s="14" t="s">
        <v>28</v>
      </c>
      <c r="Z29" s="48" t="s">
        <v>28</v>
      </c>
      <c r="AA29" s="14" t="s">
        <v>28</v>
      </c>
      <c r="AB29" s="48" t="s">
        <v>28</v>
      </c>
      <c r="AC29" s="14" t="s">
        <v>28</v>
      </c>
      <c r="AD29" s="84" t="s">
        <v>28</v>
      </c>
      <c r="AE29" s="76"/>
    </row>
    <row r="30" spans="1:31" ht="18" customHeight="1">
      <c r="A30" s="102"/>
      <c r="B30" s="105"/>
      <c r="C30" s="105"/>
      <c r="D30" s="119"/>
      <c r="E30" s="162"/>
      <c r="F30" s="151"/>
      <c r="G30" s="65">
        <v>86</v>
      </c>
      <c r="H30" s="38">
        <v>86</v>
      </c>
      <c r="I30" s="38">
        <v>86</v>
      </c>
      <c r="J30" s="49">
        <v>86</v>
      </c>
      <c r="K30" s="38">
        <v>86</v>
      </c>
      <c r="L30" s="49">
        <v>86</v>
      </c>
      <c r="M30" s="38">
        <v>86</v>
      </c>
      <c r="N30" s="49">
        <v>86</v>
      </c>
      <c r="O30" s="38">
        <v>86</v>
      </c>
      <c r="P30" s="49">
        <v>86</v>
      </c>
      <c r="Q30" s="38">
        <v>86</v>
      </c>
      <c r="R30" s="49">
        <v>86</v>
      </c>
      <c r="S30" s="38">
        <v>86</v>
      </c>
      <c r="T30" s="49">
        <v>86</v>
      </c>
      <c r="U30" s="38">
        <v>86</v>
      </c>
      <c r="V30" s="49">
        <v>86</v>
      </c>
      <c r="W30" s="38">
        <v>86</v>
      </c>
      <c r="X30" s="49">
        <v>86</v>
      </c>
      <c r="Y30" s="38">
        <v>86</v>
      </c>
      <c r="Z30" s="49">
        <v>86</v>
      </c>
      <c r="AA30" s="38">
        <v>86</v>
      </c>
      <c r="AB30" s="49">
        <v>86</v>
      </c>
      <c r="AC30" s="38">
        <v>86</v>
      </c>
      <c r="AD30" s="85">
        <v>86</v>
      </c>
      <c r="AE30" s="76"/>
    </row>
    <row r="31" spans="1:31" ht="18" customHeight="1">
      <c r="A31" s="100" t="s">
        <v>39</v>
      </c>
      <c r="B31" s="103" t="s">
        <v>40</v>
      </c>
      <c r="C31" s="103" t="s">
        <v>41</v>
      </c>
      <c r="D31" s="117">
        <v>0.1</v>
      </c>
      <c r="E31" s="128">
        <v>1</v>
      </c>
      <c r="F31" s="148" t="s">
        <v>42</v>
      </c>
      <c r="G31" s="12" t="s">
        <v>25</v>
      </c>
      <c r="H31" s="16" t="s">
        <v>25</v>
      </c>
      <c r="I31" s="16" t="s">
        <v>25</v>
      </c>
      <c r="J31" s="2" t="s">
        <v>25</v>
      </c>
      <c r="K31" s="39" t="s">
        <v>25</v>
      </c>
      <c r="L31" s="2" t="s">
        <v>25</v>
      </c>
      <c r="M31" s="39" t="s">
        <v>25</v>
      </c>
      <c r="N31" s="2" t="s">
        <v>25</v>
      </c>
      <c r="O31" s="39" t="s">
        <v>25</v>
      </c>
      <c r="P31" s="2" t="s">
        <v>25</v>
      </c>
      <c r="Q31" s="39" t="s">
        <v>25</v>
      </c>
      <c r="R31" s="2" t="s">
        <v>25</v>
      </c>
      <c r="S31" s="39" t="s">
        <v>25</v>
      </c>
      <c r="T31" s="2" t="s">
        <v>25</v>
      </c>
      <c r="U31" s="39" t="s">
        <v>25</v>
      </c>
      <c r="V31" s="2" t="s">
        <v>25</v>
      </c>
      <c r="W31" s="16" t="s">
        <v>25</v>
      </c>
      <c r="X31" s="2" t="s">
        <v>25</v>
      </c>
      <c r="Y31" s="16" t="s">
        <v>25</v>
      </c>
      <c r="Z31" s="2" t="s">
        <v>25</v>
      </c>
      <c r="AA31" s="16" t="s">
        <v>25</v>
      </c>
      <c r="AB31" s="2" t="s">
        <v>25</v>
      </c>
      <c r="AC31" s="16" t="s">
        <v>25</v>
      </c>
      <c r="AD31" s="50" t="s">
        <v>25</v>
      </c>
      <c r="AE31" s="78"/>
    </row>
    <row r="32" spans="1:31" ht="18" customHeight="1">
      <c r="A32" s="101"/>
      <c r="B32" s="104"/>
      <c r="C32" s="104"/>
      <c r="D32" s="118"/>
      <c r="E32" s="129"/>
      <c r="F32" s="149"/>
      <c r="G32" s="68">
        <f>IF(G34&lt;&gt;0,+G34/G36,0%)</f>
        <v>1</v>
      </c>
      <c r="H32" s="32">
        <f>IF(H34&lt;&gt;0,+H34/H36,0%)</f>
        <v>0</v>
      </c>
      <c r="I32" s="32">
        <f>IF(I34&lt;&gt;0,+I34/I36,0%)</f>
        <v>0</v>
      </c>
      <c r="J32" s="18">
        <f>IF(J34&lt;&gt;0,+J34/J36,0%)</f>
        <v>0</v>
      </c>
      <c r="K32" s="32">
        <f t="shared" ref="K32:AD32" si="2">IF(K34&lt;&gt;0,+K34/K36,0%)</f>
        <v>0</v>
      </c>
      <c r="L32" s="18">
        <f t="shared" si="2"/>
        <v>0</v>
      </c>
      <c r="M32" s="32">
        <f t="shared" si="2"/>
        <v>0</v>
      </c>
      <c r="N32" s="18">
        <f t="shared" si="2"/>
        <v>0</v>
      </c>
      <c r="O32" s="32">
        <f t="shared" si="2"/>
        <v>0.2</v>
      </c>
      <c r="P32" s="18">
        <f t="shared" si="2"/>
        <v>0.2</v>
      </c>
      <c r="Q32" s="32">
        <f t="shared" si="2"/>
        <v>0.2</v>
      </c>
      <c r="R32" s="18">
        <f t="shared" si="2"/>
        <v>0.4</v>
      </c>
      <c r="S32" s="32">
        <f t="shared" si="2"/>
        <v>0</v>
      </c>
      <c r="T32" s="18">
        <f t="shared" si="2"/>
        <v>0.4</v>
      </c>
      <c r="U32" s="32">
        <f t="shared" si="2"/>
        <v>0</v>
      </c>
      <c r="V32" s="18">
        <f t="shared" si="2"/>
        <v>0.4</v>
      </c>
      <c r="W32" s="32">
        <f t="shared" si="2"/>
        <v>0</v>
      </c>
      <c r="X32" s="18">
        <f t="shared" si="2"/>
        <v>0.4</v>
      </c>
      <c r="Y32" s="32">
        <f t="shared" si="2"/>
        <v>0</v>
      </c>
      <c r="Z32" s="18">
        <f t="shared" si="2"/>
        <v>0.4</v>
      </c>
      <c r="AA32" s="62">
        <f t="shared" si="2"/>
        <v>0</v>
      </c>
      <c r="AB32" s="18">
        <f t="shared" si="2"/>
        <v>0.4</v>
      </c>
      <c r="AC32" s="62">
        <f t="shared" si="2"/>
        <v>0</v>
      </c>
      <c r="AD32" s="51">
        <f t="shared" si="2"/>
        <v>0.4</v>
      </c>
      <c r="AE32" s="79"/>
    </row>
    <row r="33" spans="1:31" ht="18" customHeight="1">
      <c r="A33" s="101"/>
      <c r="B33" s="104"/>
      <c r="C33" s="104"/>
      <c r="D33" s="118"/>
      <c r="E33" s="129"/>
      <c r="F33" s="149"/>
      <c r="G33" s="13" t="s">
        <v>26</v>
      </c>
      <c r="H33" s="19" t="s">
        <v>26</v>
      </c>
      <c r="I33" s="19"/>
      <c r="J33" s="3" t="s">
        <v>26</v>
      </c>
      <c r="K33" s="40" t="s">
        <v>26</v>
      </c>
      <c r="L33" s="3" t="s">
        <v>26</v>
      </c>
      <c r="M33" s="40" t="s">
        <v>26</v>
      </c>
      <c r="N33" s="3" t="s">
        <v>26</v>
      </c>
      <c r="O33" s="40" t="s">
        <v>26</v>
      </c>
      <c r="P33" s="3" t="s">
        <v>26</v>
      </c>
      <c r="Q33" s="40" t="s">
        <v>26</v>
      </c>
      <c r="R33" s="3" t="s">
        <v>26</v>
      </c>
      <c r="S33" s="40" t="s">
        <v>26</v>
      </c>
      <c r="T33" s="3" t="s">
        <v>26</v>
      </c>
      <c r="U33" s="40" t="s">
        <v>26</v>
      </c>
      <c r="V33" s="3" t="s">
        <v>26</v>
      </c>
      <c r="W33" s="41" t="s">
        <v>26</v>
      </c>
      <c r="X33" s="3" t="s">
        <v>26</v>
      </c>
      <c r="Y33" s="19" t="s">
        <v>26</v>
      </c>
      <c r="Z33" s="3" t="s">
        <v>26</v>
      </c>
      <c r="AA33" s="19" t="s">
        <v>26</v>
      </c>
      <c r="AB33" s="3" t="s">
        <v>26</v>
      </c>
      <c r="AC33" s="19" t="s">
        <v>26</v>
      </c>
      <c r="AD33" s="52" t="s">
        <v>26</v>
      </c>
      <c r="AE33" s="80"/>
    </row>
    <row r="34" spans="1:31" ht="18" customHeight="1">
      <c r="A34" s="101"/>
      <c r="B34" s="104"/>
      <c r="C34" s="104"/>
      <c r="D34" s="118"/>
      <c r="E34" s="129"/>
      <c r="F34" s="103" t="s">
        <v>43</v>
      </c>
      <c r="G34" s="64">
        <v>5</v>
      </c>
      <c r="H34" s="45">
        <v>0</v>
      </c>
      <c r="I34" s="45">
        <v>0</v>
      </c>
      <c r="J34" s="37">
        <f>+H34+I34</f>
        <v>0</v>
      </c>
      <c r="K34" s="45">
        <v>0</v>
      </c>
      <c r="L34" s="37">
        <f>+J34+K34</f>
        <v>0</v>
      </c>
      <c r="M34" s="45">
        <v>0</v>
      </c>
      <c r="N34" s="37">
        <f>+L34+M34</f>
        <v>0</v>
      </c>
      <c r="O34" s="45">
        <v>1</v>
      </c>
      <c r="P34" s="37">
        <f>+N34+O34</f>
        <v>1</v>
      </c>
      <c r="Q34" s="45">
        <v>1</v>
      </c>
      <c r="R34" s="37">
        <f>+P34+Q34</f>
        <v>2</v>
      </c>
      <c r="S34" s="45">
        <v>0</v>
      </c>
      <c r="T34" s="37">
        <f>+R34+S34</f>
        <v>2</v>
      </c>
      <c r="U34" s="45">
        <v>0</v>
      </c>
      <c r="V34" s="37">
        <f>+T34+U34</f>
        <v>2</v>
      </c>
      <c r="W34" s="45">
        <v>0</v>
      </c>
      <c r="X34" s="37">
        <f>+V34+W34</f>
        <v>2</v>
      </c>
      <c r="Y34" s="45">
        <v>0</v>
      </c>
      <c r="Z34" s="37">
        <f>+X34+Y34</f>
        <v>2</v>
      </c>
      <c r="AA34" s="45">
        <v>0</v>
      </c>
      <c r="AB34" s="37">
        <f>+Z34+AA34</f>
        <v>2</v>
      </c>
      <c r="AC34" s="45">
        <v>0</v>
      </c>
      <c r="AD34" s="53">
        <f>+AB34+AC34</f>
        <v>2</v>
      </c>
      <c r="AE34" s="72">
        <f>AD32/E31</f>
        <v>0.4</v>
      </c>
    </row>
    <row r="35" spans="1:31" ht="18" customHeight="1">
      <c r="A35" s="101"/>
      <c r="B35" s="104"/>
      <c r="C35" s="104"/>
      <c r="D35" s="118"/>
      <c r="E35" s="129"/>
      <c r="F35" s="104"/>
      <c r="G35" s="14" t="s">
        <v>28</v>
      </c>
      <c r="H35" s="21" t="s">
        <v>28</v>
      </c>
      <c r="I35" s="21" t="s">
        <v>28</v>
      </c>
      <c r="J35" s="23" t="s">
        <v>28</v>
      </c>
      <c r="K35" s="42" t="s">
        <v>28</v>
      </c>
      <c r="L35" s="23" t="s">
        <v>28</v>
      </c>
      <c r="M35" s="42" t="s">
        <v>28</v>
      </c>
      <c r="N35" s="23" t="s">
        <v>28</v>
      </c>
      <c r="O35" s="42" t="s">
        <v>28</v>
      </c>
      <c r="P35" s="23" t="s">
        <v>28</v>
      </c>
      <c r="Q35" s="42" t="s">
        <v>28</v>
      </c>
      <c r="R35" s="23" t="s">
        <v>28</v>
      </c>
      <c r="S35" s="42" t="s">
        <v>28</v>
      </c>
      <c r="T35" s="23" t="s">
        <v>28</v>
      </c>
      <c r="U35" s="42" t="s">
        <v>28</v>
      </c>
      <c r="V35" s="23" t="s">
        <v>28</v>
      </c>
      <c r="W35" s="21" t="s">
        <v>28</v>
      </c>
      <c r="X35" s="23" t="s">
        <v>28</v>
      </c>
      <c r="Y35" s="21" t="s">
        <v>28</v>
      </c>
      <c r="Z35" s="23" t="s">
        <v>28</v>
      </c>
      <c r="AA35" s="21" t="s">
        <v>28</v>
      </c>
      <c r="AB35" s="23" t="s">
        <v>28</v>
      </c>
      <c r="AC35" s="21" t="s">
        <v>28</v>
      </c>
      <c r="AD35" s="54" t="s">
        <v>28</v>
      </c>
      <c r="AE35" s="131"/>
    </row>
    <row r="36" spans="1:31" ht="18" customHeight="1">
      <c r="A36" s="102"/>
      <c r="B36" s="105"/>
      <c r="C36" s="105"/>
      <c r="D36" s="119"/>
      <c r="E36" s="130"/>
      <c r="F36" s="104"/>
      <c r="G36" s="65">
        <v>5</v>
      </c>
      <c r="H36" s="24">
        <v>5</v>
      </c>
      <c r="I36" s="24">
        <v>5</v>
      </c>
      <c r="J36" s="43">
        <f>I36</f>
        <v>5</v>
      </c>
      <c r="K36" s="46">
        <v>5</v>
      </c>
      <c r="L36" s="25">
        <f>K36</f>
        <v>5</v>
      </c>
      <c r="M36" s="46">
        <v>5</v>
      </c>
      <c r="N36" s="25">
        <f>M36</f>
        <v>5</v>
      </c>
      <c r="O36" s="46">
        <v>5</v>
      </c>
      <c r="P36" s="25">
        <f>O36</f>
        <v>5</v>
      </c>
      <c r="Q36" s="46">
        <v>5</v>
      </c>
      <c r="R36" s="25">
        <f>Q36</f>
        <v>5</v>
      </c>
      <c r="S36" s="46">
        <v>5</v>
      </c>
      <c r="T36" s="25">
        <f>S36</f>
        <v>5</v>
      </c>
      <c r="U36" s="46">
        <v>5</v>
      </c>
      <c r="V36" s="25">
        <f>U36</f>
        <v>5</v>
      </c>
      <c r="W36" s="46">
        <v>5</v>
      </c>
      <c r="X36" s="25">
        <f>W36</f>
        <v>5</v>
      </c>
      <c r="Y36" s="46">
        <v>5</v>
      </c>
      <c r="Z36" s="25">
        <f>Y36</f>
        <v>5</v>
      </c>
      <c r="AA36" s="46">
        <v>5</v>
      </c>
      <c r="AB36" s="25">
        <f>AA36</f>
        <v>5</v>
      </c>
      <c r="AC36" s="46">
        <v>5</v>
      </c>
      <c r="AD36" s="55">
        <f>AC36</f>
        <v>5</v>
      </c>
      <c r="AE36" s="135"/>
    </row>
    <row r="37" spans="1:31" ht="19.899999999999999" customHeight="1">
      <c r="A37" s="106" t="s">
        <v>44</v>
      </c>
      <c r="B37" s="164" t="s">
        <v>45</v>
      </c>
      <c r="C37" s="103" t="s">
        <v>46</v>
      </c>
      <c r="D37" s="117">
        <v>0.1</v>
      </c>
      <c r="E37" s="128">
        <v>1</v>
      </c>
      <c r="F37" s="148" t="s">
        <v>47</v>
      </c>
      <c r="G37" s="12" t="s">
        <v>25</v>
      </c>
      <c r="H37" s="16" t="s">
        <v>25</v>
      </c>
      <c r="I37" s="16" t="s">
        <v>25</v>
      </c>
      <c r="J37" s="17" t="s">
        <v>25</v>
      </c>
      <c r="K37" s="39" t="s">
        <v>25</v>
      </c>
      <c r="L37" s="2" t="s">
        <v>25</v>
      </c>
      <c r="M37" s="39" t="s">
        <v>25</v>
      </c>
      <c r="N37" s="2" t="s">
        <v>25</v>
      </c>
      <c r="O37" s="39" t="s">
        <v>25</v>
      </c>
      <c r="P37" s="2" t="s">
        <v>25</v>
      </c>
      <c r="Q37" s="39" t="s">
        <v>25</v>
      </c>
      <c r="R37" s="2" t="s">
        <v>25</v>
      </c>
      <c r="S37" s="39" t="s">
        <v>25</v>
      </c>
      <c r="T37" s="2" t="s">
        <v>25</v>
      </c>
      <c r="U37" s="39" t="s">
        <v>25</v>
      </c>
      <c r="V37" s="2" t="s">
        <v>25</v>
      </c>
      <c r="W37" s="16" t="s">
        <v>25</v>
      </c>
      <c r="X37" s="2" t="s">
        <v>25</v>
      </c>
      <c r="Y37" s="16" t="s">
        <v>25</v>
      </c>
      <c r="Z37" s="2" t="s">
        <v>25</v>
      </c>
      <c r="AA37" s="16" t="s">
        <v>25</v>
      </c>
      <c r="AB37" s="2" t="s">
        <v>25</v>
      </c>
      <c r="AC37" s="16" t="s">
        <v>25</v>
      </c>
      <c r="AD37" s="50" t="s">
        <v>25</v>
      </c>
      <c r="AE37" s="78"/>
    </row>
    <row r="38" spans="1:31" ht="19.899999999999999" customHeight="1">
      <c r="A38" s="107"/>
      <c r="B38" s="165"/>
      <c r="C38" s="104"/>
      <c r="D38" s="118"/>
      <c r="E38" s="129"/>
      <c r="F38" s="149"/>
      <c r="G38" s="67">
        <f>IF(G40&lt;&gt;0,+G40/G42,0%)</f>
        <v>1</v>
      </c>
      <c r="H38" s="62">
        <f>IF(H40&lt;&gt;0,+H40/H42,0%)</f>
        <v>0.1</v>
      </c>
      <c r="I38" s="62">
        <f>IF(I40&lt;&gt;0,+I40/I42,0%)</f>
        <v>0.1</v>
      </c>
      <c r="J38" s="18">
        <f>IF(J40&lt;&gt;0,+J40/J42,0%)</f>
        <v>0.2</v>
      </c>
      <c r="K38" s="62">
        <f t="shared" ref="K38:AD38" si="3">IF(K40&lt;&gt;0,+K40/K42,0%)</f>
        <v>0.1</v>
      </c>
      <c r="L38" s="18">
        <f t="shared" si="3"/>
        <v>0.3</v>
      </c>
      <c r="M38" s="62">
        <f t="shared" si="3"/>
        <v>0</v>
      </c>
      <c r="N38" s="18">
        <f t="shared" si="3"/>
        <v>0.3</v>
      </c>
      <c r="O38" s="62">
        <f t="shared" si="3"/>
        <v>0</v>
      </c>
      <c r="P38" s="18">
        <f t="shared" si="3"/>
        <v>0.3</v>
      </c>
      <c r="Q38" s="62">
        <f t="shared" si="3"/>
        <v>0.1</v>
      </c>
      <c r="R38" s="18">
        <f t="shared" si="3"/>
        <v>0.4</v>
      </c>
      <c r="S38" s="62">
        <f t="shared" si="3"/>
        <v>0</v>
      </c>
      <c r="T38" s="18">
        <f t="shared" si="3"/>
        <v>0.4</v>
      </c>
      <c r="U38" s="62">
        <f t="shared" si="3"/>
        <v>0</v>
      </c>
      <c r="V38" s="18">
        <f t="shared" si="3"/>
        <v>0.4</v>
      </c>
      <c r="W38" s="62">
        <f t="shared" si="3"/>
        <v>0</v>
      </c>
      <c r="X38" s="18">
        <f t="shared" si="3"/>
        <v>0.4</v>
      </c>
      <c r="Y38" s="62">
        <f t="shared" si="3"/>
        <v>0</v>
      </c>
      <c r="Z38" s="18">
        <f t="shared" si="3"/>
        <v>0.4</v>
      </c>
      <c r="AA38" s="62">
        <f t="shared" si="3"/>
        <v>0</v>
      </c>
      <c r="AB38" s="18">
        <f t="shared" si="3"/>
        <v>0.4</v>
      </c>
      <c r="AC38" s="62">
        <f t="shared" si="3"/>
        <v>0</v>
      </c>
      <c r="AD38" s="51">
        <f t="shared" si="3"/>
        <v>0.4</v>
      </c>
      <c r="AE38" s="79"/>
    </row>
    <row r="39" spans="1:31" ht="19.899999999999999" customHeight="1">
      <c r="A39" s="107"/>
      <c r="B39" s="165"/>
      <c r="C39" s="104"/>
      <c r="D39" s="118"/>
      <c r="E39" s="129"/>
      <c r="F39" s="149"/>
      <c r="G39" s="13" t="s">
        <v>26</v>
      </c>
      <c r="H39" s="19" t="s">
        <v>26</v>
      </c>
      <c r="I39" s="19"/>
      <c r="J39" s="20" t="s">
        <v>26</v>
      </c>
      <c r="K39" s="40" t="s">
        <v>26</v>
      </c>
      <c r="L39" s="3" t="s">
        <v>26</v>
      </c>
      <c r="M39" s="40" t="s">
        <v>26</v>
      </c>
      <c r="N39" s="3" t="s">
        <v>26</v>
      </c>
      <c r="O39" s="40" t="s">
        <v>26</v>
      </c>
      <c r="P39" s="3" t="s">
        <v>26</v>
      </c>
      <c r="Q39" s="40" t="s">
        <v>26</v>
      </c>
      <c r="R39" s="3" t="s">
        <v>26</v>
      </c>
      <c r="S39" s="40" t="s">
        <v>26</v>
      </c>
      <c r="T39" s="3" t="s">
        <v>26</v>
      </c>
      <c r="U39" s="40" t="s">
        <v>26</v>
      </c>
      <c r="V39" s="3" t="s">
        <v>26</v>
      </c>
      <c r="W39" s="41" t="s">
        <v>26</v>
      </c>
      <c r="X39" s="3" t="s">
        <v>26</v>
      </c>
      <c r="Y39" s="19" t="s">
        <v>26</v>
      </c>
      <c r="Z39" s="3" t="s">
        <v>26</v>
      </c>
      <c r="AA39" s="19" t="s">
        <v>26</v>
      </c>
      <c r="AB39" s="3" t="s">
        <v>26</v>
      </c>
      <c r="AC39" s="19" t="s">
        <v>26</v>
      </c>
      <c r="AD39" s="52" t="s">
        <v>26</v>
      </c>
      <c r="AE39" s="80"/>
    </row>
    <row r="40" spans="1:31" ht="19.899999999999999" customHeight="1">
      <c r="A40" s="107"/>
      <c r="B40" s="165"/>
      <c r="C40" s="104"/>
      <c r="D40" s="118"/>
      <c r="E40" s="129"/>
      <c r="F40" s="150" t="s">
        <v>48</v>
      </c>
      <c r="G40" s="64">
        <v>10</v>
      </c>
      <c r="H40" s="45">
        <v>1</v>
      </c>
      <c r="I40" s="45">
        <v>1</v>
      </c>
      <c r="J40" s="44">
        <f>+H40+I40</f>
        <v>2</v>
      </c>
      <c r="K40" s="45">
        <v>1</v>
      </c>
      <c r="L40" s="37">
        <f>+J40+K40</f>
        <v>3</v>
      </c>
      <c r="M40" s="45">
        <v>0</v>
      </c>
      <c r="N40" s="37">
        <f>+L40+M40</f>
        <v>3</v>
      </c>
      <c r="O40" s="45">
        <v>0</v>
      </c>
      <c r="P40" s="37">
        <f>+N40+O40</f>
        <v>3</v>
      </c>
      <c r="Q40" s="45">
        <v>1</v>
      </c>
      <c r="R40" s="37">
        <f>+P40+Q40</f>
        <v>4</v>
      </c>
      <c r="S40" s="45">
        <v>0</v>
      </c>
      <c r="T40" s="37">
        <f>+R40+S40</f>
        <v>4</v>
      </c>
      <c r="U40" s="45">
        <v>0</v>
      </c>
      <c r="V40" s="37">
        <f>+T40+U40</f>
        <v>4</v>
      </c>
      <c r="W40" s="45">
        <v>0</v>
      </c>
      <c r="X40" s="37">
        <f>+V40+W40</f>
        <v>4</v>
      </c>
      <c r="Y40" s="45">
        <v>0</v>
      </c>
      <c r="Z40" s="37">
        <f>+X40+Y40</f>
        <v>4</v>
      </c>
      <c r="AA40" s="45">
        <v>0</v>
      </c>
      <c r="AB40" s="37">
        <f>+Z40+AA40</f>
        <v>4</v>
      </c>
      <c r="AC40" s="45">
        <v>0</v>
      </c>
      <c r="AD40" s="53">
        <f>+AB40+AC40</f>
        <v>4</v>
      </c>
      <c r="AE40" s="72">
        <f>AD38/E37</f>
        <v>0.4</v>
      </c>
    </row>
    <row r="41" spans="1:31" ht="19.899999999999999" customHeight="1">
      <c r="A41" s="107"/>
      <c r="B41" s="165"/>
      <c r="C41" s="104"/>
      <c r="D41" s="118"/>
      <c r="E41" s="129"/>
      <c r="F41" s="149"/>
      <c r="G41" s="14" t="s">
        <v>28</v>
      </c>
      <c r="H41" s="21" t="s">
        <v>28</v>
      </c>
      <c r="I41" s="21" t="s">
        <v>28</v>
      </c>
      <c r="J41" s="22" t="s">
        <v>28</v>
      </c>
      <c r="K41" s="42" t="s">
        <v>28</v>
      </c>
      <c r="L41" s="23" t="s">
        <v>28</v>
      </c>
      <c r="M41" s="42" t="s">
        <v>28</v>
      </c>
      <c r="N41" s="23" t="s">
        <v>28</v>
      </c>
      <c r="O41" s="42" t="s">
        <v>28</v>
      </c>
      <c r="P41" s="23" t="s">
        <v>28</v>
      </c>
      <c r="Q41" s="42" t="s">
        <v>28</v>
      </c>
      <c r="R41" s="23" t="s">
        <v>28</v>
      </c>
      <c r="S41" s="42" t="s">
        <v>28</v>
      </c>
      <c r="T41" s="23" t="s">
        <v>28</v>
      </c>
      <c r="U41" s="42" t="s">
        <v>28</v>
      </c>
      <c r="V41" s="23" t="s">
        <v>28</v>
      </c>
      <c r="W41" s="21" t="s">
        <v>28</v>
      </c>
      <c r="X41" s="23" t="s">
        <v>28</v>
      </c>
      <c r="Y41" s="21" t="s">
        <v>28</v>
      </c>
      <c r="Z41" s="23" t="s">
        <v>28</v>
      </c>
      <c r="AA41" s="21" t="s">
        <v>28</v>
      </c>
      <c r="AB41" s="23" t="s">
        <v>28</v>
      </c>
      <c r="AC41" s="21" t="s">
        <v>28</v>
      </c>
      <c r="AD41" s="54" t="s">
        <v>28</v>
      </c>
      <c r="AE41" s="131"/>
    </row>
    <row r="42" spans="1:31" ht="19.899999999999999" customHeight="1">
      <c r="A42" s="108"/>
      <c r="B42" s="166"/>
      <c r="C42" s="105"/>
      <c r="D42" s="119"/>
      <c r="E42" s="130"/>
      <c r="F42" s="151"/>
      <c r="G42" s="65">
        <v>10</v>
      </c>
      <c r="H42" s="24">
        <v>10</v>
      </c>
      <c r="I42" s="24">
        <v>10</v>
      </c>
      <c r="J42" s="43">
        <f>I42</f>
        <v>10</v>
      </c>
      <c r="K42" s="46">
        <v>10</v>
      </c>
      <c r="L42" s="25">
        <f>K42</f>
        <v>10</v>
      </c>
      <c r="M42" s="46">
        <v>10</v>
      </c>
      <c r="N42" s="25">
        <f>M42</f>
        <v>10</v>
      </c>
      <c r="O42" s="46">
        <v>10</v>
      </c>
      <c r="P42" s="25">
        <f>O42</f>
        <v>10</v>
      </c>
      <c r="Q42" s="24">
        <v>10</v>
      </c>
      <c r="R42" s="43">
        <f>Q42</f>
        <v>10</v>
      </c>
      <c r="S42" s="46">
        <v>10</v>
      </c>
      <c r="T42" s="25">
        <f>S42</f>
        <v>10</v>
      </c>
      <c r="U42" s="46">
        <v>10</v>
      </c>
      <c r="V42" s="25">
        <f>U42</f>
        <v>10</v>
      </c>
      <c r="W42" s="46">
        <v>10</v>
      </c>
      <c r="X42" s="25">
        <f>W42</f>
        <v>10</v>
      </c>
      <c r="Y42" s="46">
        <v>10</v>
      </c>
      <c r="Z42" s="25">
        <f>Y42</f>
        <v>10</v>
      </c>
      <c r="AA42" s="46">
        <v>10</v>
      </c>
      <c r="AB42" s="25">
        <f>AA42</f>
        <v>10</v>
      </c>
      <c r="AC42" s="46">
        <v>10</v>
      </c>
      <c r="AD42" s="55">
        <f>AC42</f>
        <v>10</v>
      </c>
      <c r="AE42" s="131"/>
    </row>
    <row r="43" spans="1:31" ht="19.899999999999999" customHeight="1">
      <c r="A43" s="106" t="s">
        <v>49</v>
      </c>
      <c r="B43" s="164" t="s">
        <v>50</v>
      </c>
      <c r="C43" s="103" t="s">
        <v>51</v>
      </c>
      <c r="D43" s="117">
        <v>0.2</v>
      </c>
      <c r="E43" s="128">
        <v>1</v>
      </c>
      <c r="F43" s="148" t="s">
        <v>52</v>
      </c>
      <c r="G43" s="12" t="s">
        <v>25</v>
      </c>
      <c r="H43" s="16" t="s">
        <v>25</v>
      </c>
      <c r="I43" s="16" t="s">
        <v>25</v>
      </c>
      <c r="J43" s="17" t="s">
        <v>25</v>
      </c>
      <c r="K43" s="39" t="s">
        <v>25</v>
      </c>
      <c r="L43" s="2" t="s">
        <v>25</v>
      </c>
      <c r="M43" s="39" t="s">
        <v>25</v>
      </c>
      <c r="N43" s="2" t="s">
        <v>25</v>
      </c>
      <c r="O43" s="39" t="s">
        <v>25</v>
      </c>
      <c r="P43" s="2" t="s">
        <v>25</v>
      </c>
      <c r="Q43" s="39" t="s">
        <v>25</v>
      </c>
      <c r="R43" s="2" t="s">
        <v>25</v>
      </c>
      <c r="S43" s="39" t="s">
        <v>25</v>
      </c>
      <c r="T43" s="2" t="s">
        <v>25</v>
      </c>
      <c r="U43" s="39" t="s">
        <v>25</v>
      </c>
      <c r="V43" s="2" t="s">
        <v>25</v>
      </c>
      <c r="W43" s="16" t="s">
        <v>25</v>
      </c>
      <c r="X43" s="2" t="s">
        <v>25</v>
      </c>
      <c r="Y43" s="16" t="s">
        <v>25</v>
      </c>
      <c r="Z43" s="2" t="s">
        <v>25</v>
      </c>
      <c r="AA43" s="16" t="s">
        <v>25</v>
      </c>
      <c r="AB43" s="2" t="s">
        <v>25</v>
      </c>
      <c r="AC43" s="16" t="s">
        <v>25</v>
      </c>
      <c r="AD43" s="50" t="s">
        <v>25</v>
      </c>
      <c r="AE43" s="87"/>
    </row>
    <row r="44" spans="1:31" ht="19.899999999999999" customHeight="1">
      <c r="A44" s="107"/>
      <c r="B44" s="165"/>
      <c r="C44" s="104"/>
      <c r="D44" s="118"/>
      <c r="E44" s="129"/>
      <c r="F44" s="149"/>
      <c r="G44" s="67">
        <f>IF(G46&lt;&gt;0,+G46/G48,0%)</f>
        <v>1</v>
      </c>
      <c r="H44" s="62">
        <f>IF(H46&lt;&gt;0,+H46/H48,0%)</f>
        <v>0</v>
      </c>
      <c r="I44" s="62">
        <f>IF(I46&lt;&gt;0,+I46/I48,0%)</f>
        <v>0</v>
      </c>
      <c r="J44" s="18">
        <f>IF(J46&lt;&gt;0,+J46/J48,0%)</f>
        <v>0</v>
      </c>
      <c r="K44" s="62">
        <f t="shared" ref="K44:AD44" si="4">IF(K46&lt;&gt;0,+K46/K48,0%)</f>
        <v>0</v>
      </c>
      <c r="L44" s="18">
        <f t="shared" si="4"/>
        <v>0</v>
      </c>
      <c r="M44" s="62">
        <f t="shared" si="4"/>
        <v>0</v>
      </c>
      <c r="N44" s="18">
        <f t="shared" si="4"/>
        <v>0</v>
      </c>
      <c r="O44" s="62">
        <f t="shared" si="4"/>
        <v>0.25</v>
      </c>
      <c r="P44" s="18">
        <f t="shared" si="4"/>
        <v>0.25</v>
      </c>
      <c r="Q44" s="62">
        <f t="shared" si="4"/>
        <v>0</v>
      </c>
      <c r="R44" s="18">
        <f t="shared" si="4"/>
        <v>0.25</v>
      </c>
      <c r="S44" s="62">
        <f t="shared" si="4"/>
        <v>0</v>
      </c>
      <c r="T44" s="18">
        <f t="shared" si="4"/>
        <v>0.25</v>
      </c>
      <c r="U44" s="62">
        <f t="shared" si="4"/>
        <v>0</v>
      </c>
      <c r="V44" s="18">
        <f t="shared" si="4"/>
        <v>0.25</v>
      </c>
      <c r="W44" s="62">
        <f t="shared" si="4"/>
        <v>0</v>
      </c>
      <c r="X44" s="18">
        <f t="shared" si="4"/>
        <v>0.25</v>
      </c>
      <c r="Y44" s="62">
        <f t="shared" si="4"/>
        <v>0</v>
      </c>
      <c r="Z44" s="18">
        <f t="shared" si="4"/>
        <v>0.25</v>
      </c>
      <c r="AA44" s="62">
        <f t="shared" si="4"/>
        <v>0</v>
      </c>
      <c r="AB44" s="18">
        <f t="shared" si="4"/>
        <v>0.25</v>
      </c>
      <c r="AC44" s="62">
        <f t="shared" si="4"/>
        <v>0</v>
      </c>
      <c r="AD44" s="51">
        <f t="shared" si="4"/>
        <v>0.25</v>
      </c>
      <c r="AE44" s="79"/>
    </row>
    <row r="45" spans="1:31" ht="19.899999999999999" customHeight="1">
      <c r="A45" s="107"/>
      <c r="B45" s="165"/>
      <c r="C45" s="104"/>
      <c r="D45" s="118"/>
      <c r="E45" s="129"/>
      <c r="F45" s="149"/>
      <c r="G45" s="13" t="s">
        <v>26</v>
      </c>
      <c r="H45" s="19" t="s">
        <v>26</v>
      </c>
      <c r="I45" s="19"/>
      <c r="J45" s="20" t="s">
        <v>26</v>
      </c>
      <c r="K45" s="40" t="s">
        <v>26</v>
      </c>
      <c r="L45" s="3" t="s">
        <v>26</v>
      </c>
      <c r="M45" s="40" t="s">
        <v>26</v>
      </c>
      <c r="N45" s="3" t="s">
        <v>26</v>
      </c>
      <c r="O45" s="40" t="s">
        <v>26</v>
      </c>
      <c r="P45" s="3" t="s">
        <v>26</v>
      </c>
      <c r="Q45" s="40" t="s">
        <v>26</v>
      </c>
      <c r="R45" s="3" t="s">
        <v>26</v>
      </c>
      <c r="S45" s="40" t="s">
        <v>26</v>
      </c>
      <c r="T45" s="3" t="s">
        <v>26</v>
      </c>
      <c r="U45" s="40" t="s">
        <v>26</v>
      </c>
      <c r="V45" s="3" t="s">
        <v>26</v>
      </c>
      <c r="W45" s="41" t="s">
        <v>26</v>
      </c>
      <c r="X45" s="3" t="s">
        <v>26</v>
      </c>
      <c r="Y45" s="19" t="s">
        <v>26</v>
      </c>
      <c r="Z45" s="3" t="s">
        <v>26</v>
      </c>
      <c r="AA45" s="19" t="s">
        <v>26</v>
      </c>
      <c r="AB45" s="3" t="s">
        <v>26</v>
      </c>
      <c r="AC45" s="19" t="s">
        <v>26</v>
      </c>
      <c r="AD45" s="52" t="s">
        <v>26</v>
      </c>
      <c r="AE45" s="80"/>
    </row>
    <row r="46" spans="1:31" ht="19.899999999999999" customHeight="1">
      <c r="A46" s="107"/>
      <c r="B46" s="165"/>
      <c r="C46" s="104"/>
      <c r="D46" s="118"/>
      <c r="E46" s="129"/>
      <c r="F46" s="150" t="s">
        <v>53</v>
      </c>
      <c r="G46" s="64">
        <v>4</v>
      </c>
      <c r="H46" s="45">
        <v>0</v>
      </c>
      <c r="I46" s="45">
        <v>0</v>
      </c>
      <c r="J46" s="44">
        <f>+H46+I46</f>
        <v>0</v>
      </c>
      <c r="K46" s="45">
        <v>0</v>
      </c>
      <c r="L46" s="37">
        <f>J46+K46</f>
        <v>0</v>
      </c>
      <c r="M46" s="45">
        <v>0</v>
      </c>
      <c r="N46" s="37">
        <f>+L46+M46</f>
        <v>0</v>
      </c>
      <c r="O46" s="45">
        <v>1</v>
      </c>
      <c r="P46" s="37">
        <f>+N46+O46</f>
        <v>1</v>
      </c>
      <c r="Q46" s="45">
        <v>0</v>
      </c>
      <c r="R46" s="37">
        <f>+P46+Q46</f>
        <v>1</v>
      </c>
      <c r="S46" s="45">
        <v>0</v>
      </c>
      <c r="T46" s="37">
        <f>+R46+S46</f>
        <v>1</v>
      </c>
      <c r="U46" s="45">
        <v>0</v>
      </c>
      <c r="V46" s="37">
        <f>+T46+U46</f>
        <v>1</v>
      </c>
      <c r="W46" s="45">
        <v>0</v>
      </c>
      <c r="X46" s="37">
        <f>+V46+W46</f>
        <v>1</v>
      </c>
      <c r="Y46" s="45">
        <v>0</v>
      </c>
      <c r="Z46" s="37">
        <f>+X46+Y46</f>
        <v>1</v>
      </c>
      <c r="AA46" s="45">
        <v>0</v>
      </c>
      <c r="AB46" s="37">
        <f>+Z46+AA46</f>
        <v>1</v>
      </c>
      <c r="AC46" s="45">
        <v>0</v>
      </c>
      <c r="AD46" s="53">
        <f>+AB46+AC46</f>
        <v>1</v>
      </c>
      <c r="AE46" s="72">
        <f>AD44/E43</f>
        <v>0.25</v>
      </c>
    </row>
    <row r="47" spans="1:31" ht="19.899999999999999" customHeight="1">
      <c r="A47" s="107"/>
      <c r="B47" s="165"/>
      <c r="C47" s="104"/>
      <c r="D47" s="118"/>
      <c r="E47" s="129"/>
      <c r="F47" s="149"/>
      <c r="G47" s="14" t="s">
        <v>28</v>
      </c>
      <c r="H47" s="21" t="s">
        <v>28</v>
      </c>
      <c r="I47" s="21" t="s">
        <v>28</v>
      </c>
      <c r="J47" s="22" t="s">
        <v>28</v>
      </c>
      <c r="K47" s="42" t="s">
        <v>28</v>
      </c>
      <c r="L47" s="23" t="s">
        <v>28</v>
      </c>
      <c r="M47" s="42" t="s">
        <v>28</v>
      </c>
      <c r="N47" s="23" t="s">
        <v>28</v>
      </c>
      <c r="O47" s="42" t="s">
        <v>28</v>
      </c>
      <c r="P47" s="23" t="s">
        <v>28</v>
      </c>
      <c r="Q47" s="42" t="s">
        <v>28</v>
      </c>
      <c r="R47" s="23" t="s">
        <v>28</v>
      </c>
      <c r="S47" s="42" t="s">
        <v>28</v>
      </c>
      <c r="T47" s="23" t="s">
        <v>28</v>
      </c>
      <c r="U47" s="42" t="s">
        <v>28</v>
      </c>
      <c r="V47" s="23" t="s">
        <v>28</v>
      </c>
      <c r="W47" s="21" t="s">
        <v>28</v>
      </c>
      <c r="X47" s="23" t="s">
        <v>28</v>
      </c>
      <c r="Y47" s="21" t="s">
        <v>28</v>
      </c>
      <c r="Z47" s="23" t="s">
        <v>28</v>
      </c>
      <c r="AA47" s="21" t="s">
        <v>28</v>
      </c>
      <c r="AB47" s="23" t="s">
        <v>28</v>
      </c>
      <c r="AC47" s="21" t="s">
        <v>28</v>
      </c>
      <c r="AD47" s="54" t="s">
        <v>28</v>
      </c>
      <c r="AE47" s="131"/>
    </row>
    <row r="48" spans="1:31" ht="19.899999999999999" customHeight="1">
      <c r="A48" s="108"/>
      <c r="B48" s="166"/>
      <c r="C48" s="105"/>
      <c r="D48" s="119"/>
      <c r="E48" s="130"/>
      <c r="F48" s="151"/>
      <c r="G48" s="65">
        <v>4</v>
      </c>
      <c r="H48" s="24">
        <v>4</v>
      </c>
      <c r="I48" s="24">
        <v>4</v>
      </c>
      <c r="J48" s="43">
        <f>I48</f>
        <v>4</v>
      </c>
      <c r="K48" s="46">
        <v>4</v>
      </c>
      <c r="L48" s="25">
        <f>K48</f>
        <v>4</v>
      </c>
      <c r="M48" s="46">
        <v>4</v>
      </c>
      <c r="N48" s="25">
        <f>M48</f>
        <v>4</v>
      </c>
      <c r="O48" s="46">
        <v>4</v>
      </c>
      <c r="P48" s="25">
        <f>O48</f>
        <v>4</v>
      </c>
      <c r="Q48" s="24">
        <v>4</v>
      </c>
      <c r="R48" s="43">
        <f>Q48</f>
        <v>4</v>
      </c>
      <c r="S48" s="46">
        <v>4</v>
      </c>
      <c r="T48" s="25">
        <f>S48</f>
        <v>4</v>
      </c>
      <c r="U48" s="46">
        <v>4</v>
      </c>
      <c r="V48" s="25">
        <f>U48</f>
        <v>4</v>
      </c>
      <c r="W48" s="46">
        <v>4</v>
      </c>
      <c r="X48" s="25">
        <f>W48</f>
        <v>4</v>
      </c>
      <c r="Y48" s="46">
        <v>4</v>
      </c>
      <c r="Z48" s="25">
        <f>Y48</f>
        <v>4</v>
      </c>
      <c r="AA48" s="46">
        <v>4</v>
      </c>
      <c r="AB48" s="25">
        <f>AA48</f>
        <v>4</v>
      </c>
      <c r="AC48" s="46">
        <v>4</v>
      </c>
      <c r="AD48" s="55">
        <f>AC48</f>
        <v>4</v>
      </c>
      <c r="AE48" s="132"/>
    </row>
    <row r="49" spans="1:34" ht="19.899999999999999" customHeight="1">
      <c r="A49" s="109" t="s">
        <v>54</v>
      </c>
      <c r="B49" s="145" t="s">
        <v>55</v>
      </c>
      <c r="C49" s="103" t="s">
        <v>56</v>
      </c>
      <c r="D49" s="117">
        <v>0.2</v>
      </c>
      <c r="E49" s="128">
        <v>1</v>
      </c>
      <c r="F49" s="148" t="s">
        <v>57</v>
      </c>
      <c r="G49" s="12" t="s">
        <v>25</v>
      </c>
      <c r="H49" s="16" t="s">
        <v>25</v>
      </c>
      <c r="I49" s="16" t="s">
        <v>25</v>
      </c>
      <c r="J49" s="17" t="s">
        <v>25</v>
      </c>
      <c r="K49" s="39" t="s">
        <v>25</v>
      </c>
      <c r="L49" s="2" t="s">
        <v>25</v>
      </c>
      <c r="M49" s="39" t="s">
        <v>25</v>
      </c>
      <c r="N49" s="2" t="s">
        <v>25</v>
      </c>
      <c r="O49" s="39" t="s">
        <v>25</v>
      </c>
      <c r="P49" s="2" t="s">
        <v>25</v>
      </c>
      <c r="Q49" s="39" t="s">
        <v>25</v>
      </c>
      <c r="R49" s="2" t="s">
        <v>25</v>
      </c>
      <c r="S49" s="39" t="s">
        <v>25</v>
      </c>
      <c r="T49" s="2" t="s">
        <v>25</v>
      </c>
      <c r="U49" s="39" t="s">
        <v>25</v>
      </c>
      <c r="V49" s="2" t="s">
        <v>25</v>
      </c>
      <c r="W49" s="16" t="s">
        <v>25</v>
      </c>
      <c r="X49" s="2" t="s">
        <v>25</v>
      </c>
      <c r="Y49" s="16" t="s">
        <v>25</v>
      </c>
      <c r="Z49" s="2" t="s">
        <v>25</v>
      </c>
      <c r="AA49" s="16" t="s">
        <v>25</v>
      </c>
      <c r="AB49" s="2" t="s">
        <v>25</v>
      </c>
      <c r="AC49" s="16" t="s">
        <v>25</v>
      </c>
      <c r="AD49" s="50" t="s">
        <v>25</v>
      </c>
      <c r="AE49" s="79"/>
    </row>
    <row r="50" spans="1:34" ht="19.899999999999999" customHeight="1">
      <c r="A50" s="110"/>
      <c r="B50" s="146"/>
      <c r="C50" s="104"/>
      <c r="D50" s="118"/>
      <c r="E50" s="129"/>
      <c r="F50" s="149"/>
      <c r="G50" s="67">
        <f>IF(G52&lt;&gt;0,+G52/G54,0%)</f>
        <v>1</v>
      </c>
      <c r="H50" s="62">
        <f>IF(H52&lt;&gt;0,+H52/H54,0%)</f>
        <v>0</v>
      </c>
      <c r="I50" s="62">
        <f>IF(I52&lt;&gt;0,+I52/I54,0%)</f>
        <v>0</v>
      </c>
      <c r="J50" s="18">
        <f>IF(J52&lt;&gt;0,+J52/J54,0%)</f>
        <v>0</v>
      </c>
      <c r="K50" s="62">
        <f t="shared" ref="K50:AD50" si="5">IF(K52&lt;&gt;0,+K52/K54,0%)</f>
        <v>0</v>
      </c>
      <c r="L50" s="18">
        <f t="shared" si="5"/>
        <v>0</v>
      </c>
      <c r="M50" s="62">
        <f t="shared" si="5"/>
        <v>0</v>
      </c>
      <c r="N50" s="18">
        <f t="shared" si="5"/>
        <v>0</v>
      </c>
      <c r="O50" s="62">
        <f t="shared" si="5"/>
        <v>0.66666666666666663</v>
      </c>
      <c r="P50" s="18">
        <f t="shared" si="5"/>
        <v>0.66666666666666663</v>
      </c>
      <c r="Q50" s="62">
        <f t="shared" si="5"/>
        <v>0</v>
      </c>
      <c r="R50" s="18">
        <f t="shared" si="5"/>
        <v>0.66666666666666663</v>
      </c>
      <c r="S50" s="62">
        <f t="shared" si="5"/>
        <v>0</v>
      </c>
      <c r="T50" s="18">
        <f t="shared" si="5"/>
        <v>0.66666666666666663</v>
      </c>
      <c r="U50" s="62">
        <f t="shared" si="5"/>
        <v>0</v>
      </c>
      <c r="V50" s="18">
        <f t="shared" si="5"/>
        <v>0.66666666666666663</v>
      </c>
      <c r="W50" s="62">
        <f t="shared" si="5"/>
        <v>0</v>
      </c>
      <c r="X50" s="18">
        <f t="shared" si="5"/>
        <v>0.66666666666666663</v>
      </c>
      <c r="Y50" s="62">
        <f t="shared" si="5"/>
        <v>0</v>
      </c>
      <c r="Z50" s="18">
        <f t="shared" si="5"/>
        <v>0.66666666666666663</v>
      </c>
      <c r="AA50" s="62">
        <f t="shared" si="5"/>
        <v>0</v>
      </c>
      <c r="AB50" s="18">
        <f t="shared" si="5"/>
        <v>0.66666666666666663</v>
      </c>
      <c r="AC50" s="62">
        <f t="shared" si="5"/>
        <v>0</v>
      </c>
      <c r="AD50" s="51">
        <f t="shared" si="5"/>
        <v>0.66666666666666663</v>
      </c>
      <c r="AE50" s="79"/>
    </row>
    <row r="51" spans="1:34" ht="19.899999999999999" customHeight="1">
      <c r="A51" s="110"/>
      <c r="B51" s="146"/>
      <c r="C51" s="104"/>
      <c r="D51" s="118"/>
      <c r="E51" s="129"/>
      <c r="F51" s="149"/>
      <c r="G51" s="13" t="s">
        <v>26</v>
      </c>
      <c r="H51" s="19" t="s">
        <v>26</v>
      </c>
      <c r="I51" s="19"/>
      <c r="J51" s="20" t="s">
        <v>26</v>
      </c>
      <c r="K51" s="40" t="s">
        <v>26</v>
      </c>
      <c r="L51" s="3" t="s">
        <v>26</v>
      </c>
      <c r="M51" s="40" t="s">
        <v>26</v>
      </c>
      <c r="N51" s="3" t="s">
        <v>26</v>
      </c>
      <c r="O51" s="40" t="s">
        <v>26</v>
      </c>
      <c r="P51" s="3" t="s">
        <v>26</v>
      </c>
      <c r="Q51" s="40" t="s">
        <v>26</v>
      </c>
      <c r="R51" s="3" t="s">
        <v>26</v>
      </c>
      <c r="S51" s="40" t="s">
        <v>26</v>
      </c>
      <c r="T51" s="3" t="s">
        <v>26</v>
      </c>
      <c r="U51" s="40" t="s">
        <v>26</v>
      </c>
      <c r="V51" s="3" t="s">
        <v>26</v>
      </c>
      <c r="W51" s="41" t="s">
        <v>26</v>
      </c>
      <c r="X51" s="3" t="s">
        <v>26</v>
      </c>
      <c r="Y51" s="19" t="s">
        <v>26</v>
      </c>
      <c r="Z51" s="3" t="s">
        <v>26</v>
      </c>
      <c r="AA51" s="19" t="s">
        <v>26</v>
      </c>
      <c r="AB51" s="3" t="s">
        <v>26</v>
      </c>
      <c r="AC51" s="19" t="s">
        <v>26</v>
      </c>
      <c r="AD51" s="52" t="s">
        <v>26</v>
      </c>
      <c r="AE51" s="80"/>
    </row>
    <row r="52" spans="1:34" ht="19.899999999999999" customHeight="1">
      <c r="A52" s="110"/>
      <c r="B52" s="146"/>
      <c r="C52" s="104"/>
      <c r="D52" s="118"/>
      <c r="E52" s="129"/>
      <c r="F52" s="150" t="s">
        <v>58</v>
      </c>
      <c r="G52" s="64">
        <v>3</v>
      </c>
      <c r="H52" s="45">
        <v>0</v>
      </c>
      <c r="I52" s="45">
        <v>0</v>
      </c>
      <c r="J52" s="44">
        <f>+H52+I52</f>
        <v>0</v>
      </c>
      <c r="K52" s="45">
        <v>0</v>
      </c>
      <c r="L52" s="37">
        <f>J52+K52</f>
        <v>0</v>
      </c>
      <c r="M52" s="45">
        <v>0</v>
      </c>
      <c r="N52" s="37">
        <f>+L52+M52</f>
        <v>0</v>
      </c>
      <c r="O52" s="45">
        <v>2</v>
      </c>
      <c r="P52" s="37">
        <f>+N52+O52</f>
        <v>2</v>
      </c>
      <c r="Q52" s="45">
        <v>0</v>
      </c>
      <c r="R52" s="37">
        <f>+P52+Q52</f>
        <v>2</v>
      </c>
      <c r="S52" s="45">
        <v>0</v>
      </c>
      <c r="T52" s="37">
        <f>+R52+S52</f>
        <v>2</v>
      </c>
      <c r="U52" s="45">
        <v>0</v>
      </c>
      <c r="V52" s="37">
        <f>+T52+U52</f>
        <v>2</v>
      </c>
      <c r="W52" s="45">
        <v>0</v>
      </c>
      <c r="X52" s="37">
        <f>+V52+W52</f>
        <v>2</v>
      </c>
      <c r="Y52" s="45">
        <v>0</v>
      </c>
      <c r="Z52" s="37">
        <f>+X52+Y52</f>
        <v>2</v>
      </c>
      <c r="AA52" s="45">
        <v>0</v>
      </c>
      <c r="AB52" s="37">
        <f>+Z52+AA52</f>
        <v>2</v>
      </c>
      <c r="AC52" s="45">
        <v>0</v>
      </c>
      <c r="AD52" s="53">
        <f>+AB52+AC52</f>
        <v>2</v>
      </c>
      <c r="AE52" s="72">
        <f>AD50/E49</f>
        <v>0.66666666666666663</v>
      </c>
    </row>
    <row r="53" spans="1:34" ht="19.899999999999999" customHeight="1">
      <c r="A53" s="110"/>
      <c r="B53" s="146"/>
      <c r="C53" s="104"/>
      <c r="D53" s="118"/>
      <c r="E53" s="129"/>
      <c r="F53" s="149"/>
      <c r="G53" s="14" t="s">
        <v>28</v>
      </c>
      <c r="H53" s="21" t="s">
        <v>28</v>
      </c>
      <c r="I53" s="21" t="s">
        <v>28</v>
      </c>
      <c r="J53" s="22" t="s">
        <v>28</v>
      </c>
      <c r="K53" s="42" t="s">
        <v>28</v>
      </c>
      <c r="L53" s="23" t="s">
        <v>28</v>
      </c>
      <c r="M53" s="42" t="s">
        <v>28</v>
      </c>
      <c r="N53" s="23" t="s">
        <v>28</v>
      </c>
      <c r="O53" s="42" t="s">
        <v>28</v>
      </c>
      <c r="P53" s="23" t="s">
        <v>28</v>
      </c>
      <c r="Q53" s="42" t="s">
        <v>28</v>
      </c>
      <c r="R53" s="23" t="s">
        <v>28</v>
      </c>
      <c r="S53" s="42" t="s">
        <v>28</v>
      </c>
      <c r="T53" s="23" t="s">
        <v>28</v>
      </c>
      <c r="U53" s="42" t="s">
        <v>28</v>
      </c>
      <c r="V53" s="23" t="s">
        <v>28</v>
      </c>
      <c r="W53" s="21" t="s">
        <v>28</v>
      </c>
      <c r="X53" s="23" t="s">
        <v>28</v>
      </c>
      <c r="Y53" s="21" t="s">
        <v>28</v>
      </c>
      <c r="Z53" s="23" t="s">
        <v>28</v>
      </c>
      <c r="AA53" s="21" t="s">
        <v>28</v>
      </c>
      <c r="AB53" s="23" t="s">
        <v>28</v>
      </c>
      <c r="AC53" s="21" t="s">
        <v>28</v>
      </c>
      <c r="AD53" s="54" t="s">
        <v>28</v>
      </c>
      <c r="AE53" s="131"/>
    </row>
    <row r="54" spans="1:34" ht="19.899999999999999" customHeight="1">
      <c r="A54" s="111"/>
      <c r="B54" s="147"/>
      <c r="C54" s="105"/>
      <c r="D54" s="119"/>
      <c r="E54" s="130"/>
      <c r="F54" s="151"/>
      <c r="G54" s="65">
        <v>3</v>
      </c>
      <c r="H54" s="24">
        <v>3</v>
      </c>
      <c r="I54" s="24">
        <v>3</v>
      </c>
      <c r="J54" s="43">
        <f>I54</f>
        <v>3</v>
      </c>
      <c r="K54" s="46">
        <v>3</v>
      </c>
      <c r="L54" s="25">
        <f>K54</f>
        <v>3</v>
      </c>
      <c r="M54" s="46">
        <v>3</v>
      </c>
      <c r="N54" s="25">
        <f>M54</f>
        <v>3</v>
      </c>
      <c r="O54" s="46">
        <v>3</v>
      </c>
      <c r="P54" s="25">
        <f>O54</f>
        <v>3</v>
      </c>
      <c r="Q54" s="24">
        <v>3</v>
      </c>
      <c r="R54" s="43">
        <f>Q54</f>
        <v>3</v>
      </c>
      <c r="S54" s="46">
        <v>3</v>
      </c>
      <c r="T54" s="25">
        <f>S54</f>
        <v>3</v>
      </c>
      <c r="U54" s="46">
        <v>3</v>
      </c>
      <c r="V54" s="25">
        <f>U54</f>
        <v>3</v>
      </c>
      <c r="W54" s="46">
        <v>3</v>
      </c>
      <c r="X54" s="25">
        <f>W54</f>
        <v>3</v>
      </c>
      <c r="Y54" s="46">
        <v>3</v>
      </c>
      <c r="Z54" s="25">
        <f>Y54</f>
        <v>3</v>
      </c>
      <c r="AA54" s="46">
        <v>3</v>
      </c>
      <c r="AB54" s="25">
        <f>AA54</f>
        <v>3</v>
      </c>
      <c r="AC54" s="46">
        <v>3</v>
      </c>
      <c r="AD54" s="55">
        <f>AC54</f>
        <v>3</v>
      </c>
      <c r="AE54" s="132"/>
      <c r="AH54" s="86"/>
    </row>
    <row r="55" spans="1:34"/>
    <row r="163" spans="7:21"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</row>
    <row r="164" spans="7:21"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</row>
    <row r="165" spans="7:21"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</row>
    <row r="166" spans="7:21"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</row>
    <row r="167" spans="7:21"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</row>
    <row r="168" spans="7:21"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</row>
    <row r="169" spans="7:21"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</row>
    <row r="170" spans="7:21"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</row>
    <row r="171" spans="7:21"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</row>
    <row r="172" spans="7:21"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</row>
    <row r="173" spans="7:21"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</row>
    <row r="174" spans="7:21"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</row>
    <row r="175" spans="7:21"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</row>
    <row r="176" spans="7:21"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</row>
    <row r="177" spans="7:21"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</row>
    <row r="178" spans="7:21"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</row>
    <row r="179" spans="7:21"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</row>
    <row r="180" spans="7:21"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</row>
    <row r="181" spans="7:21"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</row>
    <row r="182" spans="7:21"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</row>
    <row r="183" spans="7:21"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</row>
    <row r="184" spans="7:21"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</row>
  </sheetData>
  <mergeCells count="96">
    <mergeCell ref="B8:F8"/>
    <mergeCell ref="B9:F9"/>
    <mergeCell ref="B1:B5"/>
    <mergeCell ref="C1:F5"/>
    <mergeCell ref="E37:E42"/>
    <mergeCell ref="C6:F6"/>
    <mergeCell ref="B37:B42"/>
    <mergeCell ref="C37:C42"/>
    <mergeCell ref="F37:F39"/>
    <mergeCell ref="F40:F42"/>
    <mergeCell ref="B19:B24"/>
    <mergeCell ref="C19:C24"/>
    <mergeCell ref="E19:E24"/>
    <mergeCell ref="F19:F21"/>
    <mergeCell ref="F22:F24"/>
    <mergeCell ref="B25:B30"/>
    <mergeCell ref="AE11:AE12"/>
    <mergeCell ref="AE35:AE36"/>
    <mergeCell ref="AE47:AE48"/>
    <mergeCell ref="AE41:AE42"/>
    <mergeCell ref="G6:L6"/>
    <mergeCell ref="AC11:AC12"/>
    <mergeCell ref="AD11:AD12"/>
    <mergeCell ref="U11:U12"/>
    <mergeCell ref="V11:V12"/>
    <mergeCell ref="Z11:Z12"/>
    <mergeCell ref="T11:T12"/>
    <mergeCell ref="AA11:AA12"/>
    <mergeCell ref="AB11:AB12"/>
    <mergeCell ref="Q11:Q12"/>
    <mergeCell ref="R11:R12"/>
    <mergeCell ref="S11:S12"/>
    <mergeCell ref="G1:L1"/>
    <mergeCell ref="G2:L2"/>
    <mergeCell ref="G3:L3"/>
    <mergeCell ref="G4:L4"/>
    <mergeCell ref="G5:L5"/>
    <mergeCell ref="F25:F27"/>
    <mergeCell ref="F28:F30"/>
    <mergeCell ref="F16:F18"/>
    <mergeCell ref="B43:B48"/>
    <mergeCell ref="C43:C48"/>
    <mergeCell ref="E43:E48"/>
    <mergeCell ref="F43:F45"/>
    <mergeCell ref="F46:F48"/>
    <mergeCell ref="E49:E54"/>
    <mergeCell ref="F49:F51"/>
    <mergeCell ref="F52:F54"/>
    <mergeCell ref="B31:B36"/>
    <mergeCell ref="P11:P12"/>
    <mergeCell ref="L11:L12"/>
    <mergeCell ref="M11:M12"/>
    <mergeCell ref="O11:O12"/>
    <mergeCell ref="C31:C36"/>
    <mergeCell ref="F31:F33"/>
    <mergeCell ref="F34:F36"/>
    <mergeCell ref="B13:B18"/>
    <mergeCell ref="C13:C18"/>
    <mergeCell ref="J11:J12"/>
    <mergeCell ref="K11:K12"/>
    <mergeCell ref="E25:E30"/>
    <mergeCell ref="E31:E36"/>
    <mergeCell ref="AE53:AE54"/>
    <mergeCell ref="N11:N12"/>
    <mergeCell ref="B11:B12"/>
    <mergeCell ref="C11:C12"/>
    <mergeCell ref="AE23:AE24"/>
    <mergeCell ref="W11:W12"/>
    <mergeCell ref="X11:X12"/>
    <mergeCell ref="Y11:Y12"/>
    <mergeCell ref="E11:E12"/>
    <mergeCell ref="F11:F12"/>
    <mergeCell ref="G11:G12"/>
    <mergeCell ref="H11:H12"/>
    <mergeCell ref="I11:I12"/>
    <mergeCell ref="E13:E18"/>
    <mergeCell ref="F13:F15"/>
    <mergeCell ref="D37:D42"/>
    <mergeCell ref="D43:D48"/>
    <mergeCell ref="D49:D54"/>
    <mergeCell ref="A11:A12"/>
    <mergeCell ref="A13:A18"/>
    <mergeCell ref="A19:A24"/>
    <mergeCell ref="A25:A30"/>
    <mergeCell ref="B49:B54"/>
    <mergeCell ref="C49:C54"/>
    <mergeCell ref="D11:D12"/>
    <mergeCell ref="D13:D18"/>
    <mergeCell ref="D19:D24"/>
    <mergeCell ref="D25:D30"/>
    <mergeCell ref="D31:D36"/>
    <mergeCell ref="A31:A36"/>
    <mergeCell ref="C25:C30"/>
    <mergeCell ref="A37:A42"/>
    <mergeCell ref="A43:A48"/>
    <mergeCell ref="A49:A54"/>
  </mergeCells>
  <pageMargins left="0.70866141732283472" right="0.70866141732283472" top="0.74803149606299213" bottom="0.74803149606299213" header="0.31496062992125984" footer="0.31496062992125984"/>
  <pageSetup paperSize="120" scale="30" orientation="landscape" horizontalDpi="1200" verticalDpi="1200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62"/>
  <sheetViews>
    <sheetView topLeftCell="A11" workbookViewId="0">
      <selection activeCell="AF58" sqref="AF58"/>
    </sheetView>
  </sheetViews>
  <sheetFormatPr defaultColWidth="11.42578125" defaultRowHeight="12.75" customHeight="1"/>
  <cols>
    <col min="1" max="1" width="11.42578125" style="1"/>
    <col min="2" max="3" width="25.7109375" style="1" customWidth="1"/>
    <col min="4" max="4" width="13.140625" style="1" customWidth="1"/>
    <col min="5" max="5" width="9.42578125" style="1" customWidth="1"/>
    <col min="6" max="6" width="28.140625" style="1" customWidth="1"/>
    <col min="7" max="7" width="13.42578125" style="1" customWidth="1"/>
    <col min="8" max="30" width="11.42578125" style="1"/>
    <col min="31" max="31" width="12.7109375" style="1" customWidth="1"/>
    <col min="32" max="16384" width="11.42578125" style="1"/>
  </cols>
  <sheetData>
    <row r="1" spans="1:32" ht="15.75" hidden="1" customHeight="1">
      <c r="B1" s="189"/>
      <c r="C1" s="167" t="s">
        <v>0</v>
      </c>
      <c r="D1" s="168"/>
      <c r="E1" s="168"/>
      <c r="F1" s="169"/>
      <c r="G1" s="167" t="s">
        <v>1</v>
      </c>
      <c r="H1" s="168"/>
      <c r="I1" s="168"/>
      <c r="J1" s="168"/>
      <c r="K1" s="168"/>
      <c r="L1" s="169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ht="15.75" hidden="1" customHeight="1">
      <c r="B2" s="190"/>
      <c r="C2" s="170"/>
      <c r="D2" s="171"/>
      <c r="E2" s="171"/>
      <c r="F2" s="172"/>
      <c r="G2" s="170" t="s">
        <v>2</v>
      </c>
      <c r="H2" s="171"/>
      <c r="I2" s="171"/>
      <c r="J2" s="171"/>
      <c r="K2" s="171"/>
      <c r="L2" s="17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ht="15.75" hidden="1" customHeight="1">
      <c r="B3" s="190"/>
      <c r="C3" s="170"/>
      <c r="D3" s="171"/>
      <c r="E3" s="171"/>
      <c r="F3" s="172"/>
      <c r="G3" s="170" t="s">
        <v>3</v>
      </c>
      <c r="H3" s="171"/>
      <c r="I3" s="171"/>
      <c r="J3" s="171"/>
      <c r="K3" s="171"/>
      <c r="L3" s="172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ht="12.95" hidden="1" customHeight="1">
      <c r="B4" s="190"/>
      <c r="C4" s="170"/>
      <c r="D4" s="171"/>
      <c r="E4" s="171"/>
      <c r="F4" s="172"/>
      <c r="G4" s="200"/>
      <c r="H4" s="201"/>
      <c r="I4" s="201"/>
      <c r="J4" s="201"/>
      <c r="K4" s="201"/>
      <c r="L4" s="202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ht="13.5" hidden="1" customHeight="1">
      <c r="B5" s="191"/>
      <c r="C5" s="192"/>
      <c r="D5" s="193"/>
      <c r="E5" s="193"/>
      <c r="F5" s="194"/>
      <c r="G5" s="176" t="s">
        <v>4</v>
      </c>
      <c r="H5" s="177"/>
      <c r="I5" s="177"/>
      <c r="J5" s="177"/>
      <c r="K5" s="177"/>
      <c r="L5" s="178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ht="12.95" hidden="1" customHeight="1">
      <c r="B6" s="4" t="s">
        <v>5</v>
      </c>
      <c r="C6" s="180" t="s">
        <v>6</v>
      </c>
      <c r="D6" s="181"/>
      <c r="E6" s="181"/>
      <c r="F6" s="182"/>
      <c r="G6" s="180" t="s">
        <v>7</v>
      </c>
      <c r="H6" s="181"/>
      <c r="I6" s="181"/>
      <c r="J6" s="181"/>
      <c r="K6" s="181"/>
      <c r="L6" s="182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ht="20.100000000000001" hidden="1" customHeight="1">
      <c r="B7" s="203" t="s">
        <v>59</v>
      </c>
      <c r="C7" s="203"/>
      <c r="D7" s="203"/>
      <c r="E7" s="203"/>
      <c r="F7" s="203"/>
      <c r="G7" s="6"/>
      <c r="H7" s="6"/>
      <c r="I7" s="6"/>
      <c r="J7" s="6"/>
      <c r="K7" s="6"/>
      <c r="L7" s="6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ht="20.100000000000001" hidden="1" customHeight="1">
      <c r="B8" s="188" t="s">
        <v>8</v>
      </c>
      <c r="C8" s="188"/>
      <c r="D8" s="188"/>
      <c r="E8" s="188"/>
      <c r="F8" s="18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ht="20.100000000000001" hidden="1" customHeight="1">
      <c r="B9" s="188" t="s">
        <v>9</v>
      </c>
      <c r="C9" s="188"/>
      <c r="D9" s="188"/>
      <c r="E9" s="188"/>
      <c r="F9" s="188"/>
      <c r="G9" s="7"/>
      <c r="H9" s="8"/>
      <c r="I9" s="9"/>
      <c r="J9" s="10"/>
      <c r="K9"/>
      <c r="L9"/>
      <c r="M9"/>
      <c r="N9"/>
      <c r="O9"/>
      <c r="P9" s="11"/>
      <c r="Q9" s="11"/>
      <c r="R9" s="11"/>
      <c r="S9" s="11"/>
      <c r="T9" s="11"/>
      <c r="U9" s="11"/>
      <c r="V9" s="11"/>
      <c r="W9" s="11"/>
      <c r="X9"/>
      <c r="Y9"/>
      <c r="Z9"/>
      <c r="AA9"/>
      <c r="AB9"/>
      <c r="AC9"/>
      <c r="AD9"/>
      <c r="AE9"/>
      <c r="AF9"/>
    </row>
    <row r="10" spans="1:32" ht="20.100000000000001" hidden="1" customHeight="1">
      <c r="B10" s="15" t="s">
        <v>10</v>
      </c>
      <c r="AF10"/>
    </row>
    <row r="11" spans="1:32" ht="24.95" customHeight="1">
      <c r="A11" s="120" t="s">
        <v>12</v>
      </c>
      <c r="B11" s="120" t="s">
        <v>12</v>
      </c>
      <c r="C11" s="120" t="s">
        <v>13</v>
      </c>
      <c r="D11" s="112" t="s">
        <v>14</v>
      </c>
      <c r="E11" s="112" t="s">
        <v>60</v>
      </c>
      <c r="F11" s="120" t="s">
        <v>16</v>
      </c>
      <c r="G11" s="120" t="s">
        <v>17</v>
      </c>
      <c r="H11" s="136">
        <v>45839</v>
      </c>
      <c r="I11" s="136">
        <v>45870</v>
      </c>
      <c r="J11" s="158" t="s">
        <v>18</v>
      </c>
      <c r="K11" s="155">
        <v>45901</v>
      </c>
      <c r="L11" s="133" t="s">
        <v>18</v>
      </c>
      <c r="M11" s="155">
        <v>45931</v>
      </c>
      <c r="N11" s="133" t="s">
        <v>18</v>
      </c>
      <c r="O11" s="155">
        <v>45962</v>
      </c>
      <c r="P11" s="152" t="s">
        <v>18</v>
      </c>
      <c r="Q11" s="187">
        <v>45992</v>
      </c>
      <c r="R11" s="133" t="s">
        <v>18</v>
      </c>
      <c r="S11" s="183">
        <v>46023</v>
      </c>
      <c r="T11" s="120" t="s">
        <v>18</v>
      </c>
      <c r="U11" s="183">
        <v>46054</v>
      </c>
      <c r="V11" s="133" t="s">
        <v>18</v>
      </c>
      <c r="W11" s="136">
        <v>38777</v>
      </c>
      <c r="X11" s="120" t="s">
        <v>18</v>
      </c>
      <c r="Y11" s="136">
        <v>46113</v>
      </c>
      <c r="Z11" s="120" t="s">
        <v>18</v>
      </c>
      <c r="AA11" s="185">
        <v>46143</v>
      </c>
      <c r="AB11" s="120" t="s">
        <v>18</v>
      </c>
      <c r="AC11" s="136">
        <v>46174</v>
      </c>
      <c r="AD11" s="112" t="s">
        <v>19</v>
      </c>
      <c r="AE11" s="120" t="s">
        <v>20</v>
      </c>
    </row>
    <row r="12" spans="1:32" ht="24.95" customHeight="1">
      <c r="A12" s="121"/>
      <c r="B12" s="121"/>
      <c r="C12" s="121"/>
      <c r="D12" s="113"/>
      <c r="E12" s="113"/>
      <c r="F12" s="121"/>
      <c r="G12" s="138"/>
      <c r="H12" s="121"/>
      <c r="I12" s="121"/>
      <c r="J12" s="159"/>
      <c r="K12" s="154"/>
      <c r="L12" s="154"/>
      <c r="M12" s="154"/>
      <c r="N12" s="134"/>
      <c r="O12" s="154"/>
      <c r="P12" s="153"/>
      <c r="Q12" s="153"/>
      <c r="R12" s="134"/>
      <c r="S12" s="184"/>
      <c r="T12" s="121"/>
      <c r="U12" s="184"/>
      <c r="V12" s="154"/>
      <c r="W12" s="137"/>
      <c r="X12" s="137"/>
      <c r="Y12" s="137"/>
      <c r="Z12" s="137"/>
      <c r="AA12" s="186"/>
      <c r="AB12" s="137"/>
      <c r="AC12" s="121"/>
      <c r="AD12" s="113"/>
      <c r="AE12" s="179"/>
    </row>
    <row r="13" spans="1:32" ht="18" customHeight="1">
      <c r="A13" s="103" t="s">
        <v>21</v>
      </c>
      <c r="B13" s="103" t="s">
        <v>22</v>
      </c>
      <c r="C13" s="103" t="s">
        <v>23</v>
      </c>
      <c r="D13" s="139">
        <v>0.2</v>
      </c>
      <c r="E13" s="139">
        <v>1</v>
      </c>
      <c r="F13" s="142" t="s">
        <v>24</v>
      </c>
      <c r="G13" s="12" t="s">
        <v>25</v>
      </c>
      <c r="H13" s="16" t="s">
        <v>25</v>
      </c>
      <c r="I13" s="16" t="s">
        <v>25</v>
      </c>
      <c r="J13" s="17" t="s">
        <v>25</v>
      </c>
      <c r="K13" s="16" t="s">
        <v>25</v>
      </c>
      <c r="L13" s="2" t="s">
        <v>25</v>
      </c>
      <c r="M13" s="16" t="s">
        <v>25</v>
      </c>
      <c r="N13" s="2" t="s">
        <v>25</v>
      </c>
      <c r="O13" s="16" t="s">
        <v>25</v>
      </c>
      <c r="P13" s="2" t="s">
        <v>25</v>
      </c>
      <c r="Q13" s="16" t="s">
        <v>25</v>
      </c>
      <c r="R13" s="2" t="s">
        <v>25</v>
      </c>
      <c r="S13" s="16" t="s">
        <v>25</v>
      </c>
      <c r="T13" s="2" t="s">
        <v>25</v>
      </c>
      <c r="U13" s="16" t="s">
        <v>25</v>
      </c>
      <c r="V13" s="2" t="s">
        <v>25</v>
      </c>
      <c r="W13" s="16" t="s">
        <v>25</v>
      </c>
      <c r="X13" s="2" t="s">
        <v>25</v>
      </c>
      <c r="Y13" s="16" t="s">
        <v>25</v>
      </c>
      <c r="Z13" s="2" t="s">
        <v>25</v>
      </c>
      <c r="AA13" s="16" t="s">
        <v>25</v>
      </c>
      <c r="AB13" s="2" t="s">
        <v>25</v>
      </c>
      <c r="AC13" s="16" t="s">
        <v>25</v>
      </c>
      <c r="AD13" s="50" t="s">
        <v>25</v>
      </c>
      <c r="AE13" s="70"/>
    </row>
    <row r="14" spans="1:32" ht="18" customHeight="1">
      <c r="A14" s="156"/>
      <c r="B14" s="156"/>
      <c r="C14" s="156"/>
      <c r="D14" s="140"/>
      <c r="E14" s="140"/>
      <c r="F14" s="143"/>
      <c r="G14" s="67">
        <f>IF(G16&lt;&gt;0,+G16/G18,0%)</f>
        <v>1</v>
      </c>
      <c r="H14" s="63">
        <f>IF(H16&lt;&gt;0,+H16/H18,0%)</f>
        <v>0</v>
      </c>
      <c r="I14" s="63">
        <f>IF(I16&lt;&gt;0,+I16/I18,0%)</f>
        <v>0</v>
      </c>
      <c r="J14" s="56">
        <f>IF(J16&lt;&gt;0,ROUND(+J16/J18,4),0%)</f>
        <v>0</v>
      </c>
      <c r="K14" s="63">
        <f>IF(K16&lt;&gt;0,+K16/K18,0%)</f>
        <v>0</v>
      </c>
      <c r="L14" s="18">
        <f>IF(L16&lt;&gt;0,ROUND(+L16/L18,4),0%)</f>
        <v>0</v>
      </c>
      <c r="M14" s="62">
        <f>IF(M16&lt;&gt;0,+M16/M18,0%)</f>
        <v>0</v>
      </c>
      <c r="N14" s="18">
        <f>IF(N16&lt;&gt;0,ROUND(+N16/N18,4),0%)</f>
        <v>0</v>
      </c>
      <c r="O14" s="62">
        <f>IF(O16&lt;&gt;0,+O16/O18,0%)</f>
        <v>0</v>
      </c>
      <c r="P14" s="18">
        <f t="shared" ref="P14:AC14" si="0">IF(P16&lt;&gt;0,ROUND(+P16/P18,4),0%)</f>
        <v>0</v>
      </c>
      <c r="Q14" s="62">
        <f>IF(Q16&lt;&gt;0,+Q16/Q18,0%)</f>
        <v>0.66666666666666663</v>
      </c>
      <c r="R14" s="18">
        <f t="shared" si="0"/>
        <v>0.66669999999999996</v>
      </c>
      <c r="S14" s="62">
        <f t="shared" si="0"/>
        <v>0</v>
      </c>
      <c r="T14" s="18">
        <f t="shared" si="0"/>
        <v>0.66669999999999996</v>
      </c>
      <c r="U14" s="62">
        <f t="shared" si="0"/>
        <v>0</v>
      </c>
      <c r="V14" s="18">
        <f t="shared" si="0"/>
        <v>0.66669999999999996</v>
      </c>
      <c r="W14" s="62">
        <f t="shared" si="0"/>
        <v>0</v>
      </c>
      <c r="X14" s="18">
        <f t="shared" si="0"/>
        <v>0.66669999999999996</v>
      </c>
      <c r="Y14" s="62">
        <f t="shared" si="0"/>
        <v>0</v>
      </c>
      <c r="Z14" s="18">
        <f t="shared" si="0"/>
        <v>0.66669999999999996</v>
      </c>
      <c r="AA14" s="62">
        <f t="shared" si="0"/>
        <v>0</v>
      </c>
      <c r="AB14" s="18">
        <f t="shared" si="0"/>
        <v>0.66669999999999996</v>
      </c>
      <c r="AC14" s="62">
        <f t="shared" si="0"/>
        <v>0.33329999999999999</v>
      </c>
      <c r="AD14" s="51">
        <f>IF(AD16&lt;&gt;0,+AD16/AD18,0%)</f>
        <v>1</v>
      </c>
      <c r="AE14" s="71"/>
    </row>
    <row r="15" spans="1:32" ht="18" customHeight="1">
      <c r="A15" s="156"/>
      <c r="B15" s="156"/>
      <c r="C15" s="156"/>
      <c r="D15" s="140"/>
      <c r="E15" s="140"/>
      <c r="F15" s="144"/>
      <c r="G15" s="13" t="s">
        <v>26</v>
      </c>
      <c r="H15" s="19" t="s">
        <v>26</v>
      </c>
      <c r="I15" s="19" t="s">
        <v>26</v>
      </c>
      <c r="J15" s="20" t="s">
        <v>26</v>
      </c>
      <c r="K15" s="19" t="s">
        <v>26</v>
      </c>
      <c r="L15" s="3" t="s">
        <v>26</v>
      </c>
      <c r="M15" s="19" t="s">
        <v>26</v>
      </c>
      <c r="N15" s="3" t="s">
        <v>26</v>
      </c>
      <c r="O15" s="19" t="s">
        <v>26</v>
      </c>
      <c r="P15" s="3" t="s">
        <v>26</v>
      </c>
      <c r="Q15" s="19" t="s">
        <v>26</v>
      </c>
      <c r="R15" s="3" t="s">
        <v>26</v>
      </c>
      <c r="S15" s="19" t="s">
        <v>26</v>
      </c>
      <c r="T15" s="3" t="s">
        <v>26</v>
      </c>
      <c r="U15" s="19" t="s">
        <v>26</v>
      </c>
      <c r="V15" s="3" t="s">
        <v>26</v>
      </c>
      <c r="W15" s="19" t="s">
        <v>26</v>
      </c>
      <c r="X15" s="3" t="s">
        <v>26</v>
      </c>
      <c r="Y15" s="19" t="s">
        <v>26</v>
      </c>
      <c r="Z15" s="3" t="s">
        <v>26</v>
      </c>
      <c r="AA15" s="19" t="s">
        <v>26</v>
      </c>
      <c r="AB15" s="3" t="s">
        <v>26</v>
      </c>
      <c r="AC15" s="19" t="s">
        <v>26</v>
      </c>
      <c r="AD15" s="52" t="s">
        <v>26</v>
      </c>
      <c r="AE15" s="71"/>
    </row>
    <row r="16" spans="1:32" ht="18" customHeight="1">
      <c r="A16" s="156"/>
      <c r="B16" s="156"/>
      <c r="C16" s="156"/>
      <c r="D16" s="140"/>
      <c r="E16" s="140"/>
      <c r="F16" s="143" t="s">
        <v>27</v>
      </c>
      <c r="G16" s="64">
        <v>3</v>
      </c>
      <c r="H16" s="57">
        <v>0</v>
      </c>
      <c r="I16" s="57">
        <v>0</v>
      </c>
      <c r="J16" s="37">
        <f>+H16+I16</f>
        <v>0</v>
      </c>
      <c r="K16" s="57">
        <v>0</v>
      </c>
      <c r="L16" s="37">
        <f>+J16+K16</f>
        <v>0</v>
      </c>
      <c r="M16" s="57">
        <v>0</v>
      </c>
      <c r="N16" s="37">
        <f>+L16+M16</f>
        <v>0</v>
      </c>
      <c r="O16" s="57">
        <v>0</v>
      </c>
      <c r="P16" s="37">
        <f>+N16+O16</f>
        <v>0</v>
      </c>
      <c r="Q16" s="57">
        <v>2</v>
      </c>
      <c r="R16" s="37">
        <f>+P16+Q16</f>
        <v>2</v>
      </c>
      <c r="S16" s="57">
        <v>0</v>
      </c>
      <c r="T16" s="37">
        <f>+R16+S16</f>
        <v>2</v>
      </c>
      <c r="U16" s="58">
        <v>0</v>
      </c>
      <c r="V16" s="37">
        <f>+T16+U16</f>
        <v>2</v>
      </c>
      <c r="W16" s="57">
        <v>0</v>
      </c>
      <c r="X16" s="37">
        <f>+V16+W16</f>
        <v>2</v>
      </c>
      <c r="Y16" s="57">
        <v>0</v>
      </c>
      <c r="Z16" s="37">
        <f>+X16+Y16</f>
        <v>2</v>
      </c>
      <c r="AA16" s="57">
        <v>0</v>
      </c>
      <c r="AB16" s="37">
        <f>+Z16+AA16</f>
        <v>2</v>
      </c>
      <c r="AC16" s="57">
        <v>1</v>
      </c>
      <c r="AD16" s="53">
        <f>AB16+AC16</f>
        <v>3</v>
      </c>
      <c r="AE16" s="72">
        <f>AD14/E13</f>
        <v>1</v>
      </c>
    </row>
    <row r="17" spans="1:31" ht="18" customHeight="1">
      <c r="A17" s="156"/>
      <c r="B17" s="156"/>
      <c r="C17" s="156"/>
      <c r="D17" s="140"/>
      <c r="E17" s="140"/>
      <c r="F17" s="143"/>
      <c r="G17" s="14" t="s">
        <v>28</v>
      </c>
      <c r="H17" s="21" t="s">
        <v>28</v>
      </c>
      <c r="I17" s="21" t="s">
        <v>28</v>
      </c>
      <c r="J17" s="22" t="s">
        <v>28</v>
      </c>
      <c r="K17" s="21" t="s">
        <v>28</v>
      </c>
      <c r="L17" s="23" t="s">
        <v>28</v>
      </c>
      <c r="M17" s="21" t="s">
        <v>28</v>
      </c>
      <c r="N17" s="23" t="s">
        <v>28</v>
      </c>
      <c r="O17" s="21" t="s">
        <v>28</v>
      </c>
      <c r="P17" s="23" t="s">
        <v>28</v>
      </c>
      <c r="Q17" s="21" t="s">
        <v>28</v>
      </c>
      <c r="R17" s="23" t="s">
        <v>28</v>
      </c>
      <c r="S17" s="21" t="s">
        <v>28</v>
      </c>
      <c r="T17" s="23" t="s">
        <v>28</v>
      </c>
      <c r="U17" s="21" t="s">
        <v>28</v>
      </c>
      <c r="V17" s="23" t="s">
        <v>28</v>
      </c>
      <c r="W17" s="21" t="s">
        <v>28</v>
      </c>
      <c r="X17" s="23" t="s">
        <v>28</v>
      </c>
      <c r="Y17" s="21" t="s">
        <v>28</v>
      </c>
      <c r="Z17" s="23" t="s">
        <v>28</v>
      </c>
      <c r="AA17" s="21" t="s">
        <v>28</v>
      </c>
      <c r="AB17" s="23" t="s">
        <v>28</v>
      </c>
      <c r="AC17" s="21" t="s">
        <v>28</v>
      </c>
      <c r="AD17" s="54" t="s">
        <v>28</v>
      </c>
      <c r="AE17" s="71"/>
    </row>
    <row r="18" spans="1:31" ht="18" customHeight="1">
      <c r="A18" s="157"/>
      <c r="B18" s="157"/>
      <c r="C18" s="157"/>
      <c r="D18" s="141"/>
      <c r="E18" s="141"/>
      <c r="F18" s="144"/>
      <c r="G18" s="65">
        <v>3</v>
      </c>
      <c r="H18" s="24">
        <v>3</v>
      </c>
      <c r="I18" s="24">
        <v>3</v>
      </c>
      <c r="J18" s="25">
        <f>+I18</f>
        <v>3</v>
      </c>
      <c r="K18" s="24">
        <v>3</v>
      </c>
      <c r="L18" s="25">
        <f>+K18</f>
        <v>3</v>
      </c>
      <c r="M18" s="24">
        <v>3</v>
      </c>
      <c r="N18" s="25">
        <f>+M18</f>
        <v>3</v>
      </c>
      <c r="O18" s="24">
        <v>3</v>
      </c>
      <c r="P18" s="25">
        <f>+O18</f>
        <v>3</v>
      </c>
      <c r="Q18" s="24">
        <v>3</v>
      </c>
      <c r="R18" s="25">
        <f>+Q18</f>
        <v>3</v>
      </c>
      <c r="S18" s="24">
        <v>3</v>
      </c>
      <c r="T18" s="25">
        <f>+S18</f>
        <v>3</v>
      </c>
      <c r="U18" s="59">
        <v>3</v>
      </c>
      <c r="V18" s="25">
        <f>+U18</f>
        <v>3</v>
      </c>
      <c r="W18" s="24">
        <v>3</v>
      </c>
      <c r="X18" s="25">
        <f>+W18</f>
        <v>3</v>
      </c>
      <c r="Y18" s="24">
        <v>3</v>
      </c>
      <c r="Z18" s="25">
        <f>+Y18</f>
        <v>3</v>
      </c>
      <c r="AA18" s="24">
        <v>3</v>
      </c>
      <c r="AB18" s="25">
        <f>+AA18</f>
        <v>3</v>
      </c>
      <c r="AC18" s="24">
        <v>3</v>
      </c>
      <c r="AD18" s="55">
        <f>AC18</f>
        <v>3</v>
      </c>
      <c r="AE18" s="73"/>
    </row>
    <row r="19" spans="1:31" ht="18" customHeight="1">
      <c r="A19" s="195" t="s">
        <v>29</v>
      </c>
      <c r="B19" s="103" t="s">
        <v>30</v>
      </c>
      <c r="C19" s="103" t="s">
        <v>31</v>
      </c>
      <c r="D19" s="139">
        <v>0.1</v>
      </c>
      <c r="E19" s="128">
        <v>1</v>
      </c>
      <c r="F19" s="148" t="s">
        <v>32</v>
      </c>
      <c r="G19" s="12" t="s">
        <v>25</v>
      </c>
      <c r="H19" s="16" t="s">
        <v>25</v>
      </c>
      <c r="I19" s="16" t="s">
        <v>25</v>
      </c>
      <c r="J19" s="17" t="s">
        <v>25</v>
      </c>
      <c r="K19" s="16" t="s">
        <v>25</v>
      </c>
      <c r="L19" s="2" t="s">
        <v>25</v>
      </c>
      <c r="M19" s="16" t="s">
        <v>25</v>
      </c>
      <c r="N19" s="2" t="s">
        <v>25</v>
      </c>
      <c r="O19" s="16" t="s">
        <v>25</v>
      </c>
      <c r="P19" s="2" t="s">
        <v>25</v>
      </c>
      <c r="Q19" s="16" t="s">
        <v>25</v>
      </c>
      <c r="R19" s="2" t="s">
        <v>25</v>
      </c>
      <c r="S19" s="16" t="s">
        <v>25</v>
      </c>
      <c r="T19" s="2" t="s">
        <v>25</v>
      </c>
      <c r="U19" s="16" t="s">
        <v>25</v>
      </c>
      <c r="V19" s="2" t="s">
        <v>25</v>
      </c>
      <c r="W19" s="16" t="s">
        <v>25</v>
      </c>
      <c r="X19" s="2" t="s">
        <v>25</v>
      </c>
      <c r="Y19" s="16" t="s">
        <v>25</v>
      </c>
      <c r="Z19" s="2" t="s">
        <v>25</v>
      </c>
      <c r="AA19" s="16" t="s">
        <v>25</v>
      </c>
      <c r="AB19" s="2" t="s">
        <v>25</v>
      </c>
      <c r="AC19" s="16" t="s">
        <v>25</v>
      </c>
      <c r="AD19" s="50" t="s">
        <v>25</v>
      </c>
      <c r="AE19" s="74"/>
    </row>
    <row r="20" spans="1:31" ht="18" customHeight="1">
      <c r="A20" s="196"/>
      <c r="B20" s="104"/>
      <c r="C20" s="104"/>
      <c r="D20" s="140"/>
      <c r="E20" s="129"/>
      <c r="F20" s="149"/>
      <c r="G20" s="68">
        <f>IF(G22&lt;&gt;0,+G22/G24,0)</f>
        <v>1</v>
      </c>
      <c r="H20" s="63">
        <f>IF(H22&lt;&gt;0,+H22/H24,0%)</f>
        <v>0</v>
      </c>
      <c r="I20" s="63">
        <f>IF(I22&lt;&gt;0,+I22/I24,0%)</f>
        <v>0</v>
      </c>
      <c r="J20" s="56">
        <f>IF(J22&lt;&gt;0,ROUND(+J22/J24,4),0%)</f>
        <v>0</v>
      </c>
      <c r="K20" s="62">
        <f>IF(K22&lt;&gt;0,+K22/K24,0%)</f>
        <v>0</v>
      </c>
      <c r="L20" s="18">
        <f>IF(L22&lt;&gt;0,ROUND(+L22/L24,4),0%)</f>
        <v>0</v>
      </c>
      <c r="M20" s="62">
        <f>IF(M22&lt;&gt;0,+M22/M24,0%)</f>
        <v>0</v>
      </c>
      <c r="N20" s="18">
        <f>IF(N22&lt;&gt;0,ROUND(+N22/N24,4),0%)</f>
        <v>0</v>
      </c>
      <c r="O20" s="62">
        <f>IF(O22&lt;&gt;0,+O22/O24,0%)</f>
        <v>0</v>
      </c>
      <c r="P20" s="18">
        <f>IF(P22&lt;&gt;0,ROUND(+P22/P24,4),0%)</f>
        <v>0</v>
      </c>
      <c r="Q20" s="62">
        <f>IF(Q22&lt;&gt;0,+Q22/Q24,0%)</f>
        <v>0</v>
      </c>
      <c r="R20" s="18">
        <f>IF(R22&lt;&gt;0,ROUND(+R22/R24,4),0%)</f>
        <v>0</v>
      </c>
      <c r="S20" s="62">
        <f>IF(S22&lt;&gt;0,+S22/S24,0%)</f>
        <v>0</v>
      </c>
      <c r="T20" s="18">
        <f>IF(T22&lt;&gt;0,ROUND(+T22/T24,4),0%)</f>
        <v>0</v>
      </c>
      <c r="U20" s="62">
        <f>IF(U22&lt;&gt;0,+U22/U24,0%)</f>
        <v>0</v>
      </c>
      <c r="V20" s="18">
        <f>IF(V22&lt;&gt;0,ROUND(+V22/V24,4),0%)</f>
        <v>0</v>
      </c>
      <c r="W20" s="62">
        <f>IF(W22&lt;&gt;0,+W22/W24,0%)</f>
        <v>0</v>
      </c>
      <c r="X20" s="18">
        <f>IF(X22&lt;&gt;0,ROUND(+X22/X24,4),0%)</f>
        <v>0</v>
      </c>
      <c r="Y20" s="62">
        <f>IF(Y22&lt;&gt;0,+Y22/Y24,0%)</f>
        <v>0</v>
      </c>
      <c r="Z20" s="18">
        <f>IF(Z22&lt;&gt;0,ROUND(+Z22/Z24,4),0%)</f>
        <v>0</v>
      </c>
      <c r="AA20" s="62">
        <f>IF(AA22&lt;&gt;0,+AA22/AA24,0%)</f>
        <v>0</v>
      </c>
      <c r="AB20" s="18">
        <f>IF(AB22&lt;&gt;0,ROUND(+AB22/AB24,4),0%)</f>
        <v>0</v>
      </c>
      <c r="AC20" s="62">
        <f>IF(AC22&lt;&gt;0,+AC22/AC24,0%)</f>
        <v>1</v>
      </c>
      <c r="AD20" s="51">
        <f>IF(AD22&lt;&gt;0,+AD22/AD24,0%)</f>
        <v>1</v>
      </c>
      <c r="AE20" s="71"/>
    </row>
    <row r="21" spans="1:31" ht="18" customHeight="1">
      <c r="A21" s="196"/>
      <c r="B21" s="104"/>
      <c r="C21" s="104"/>
      <c r="D21" s="140"/>
      <c r="E21" s="129"/>
      <c r="F21" s="149"/>
      <c r="G21" s="13" t="s">
        <v>26</v>
      </c>
      <c r="H21" s="19" t="s">
        <v>26</v>
      </c>
      <c r="I21" s="19" t="s">
        <v>26</v>
      </c>
      <c r="J21" s="20" t="s">
        <v>26</v>
      </c>
      <c r="K21" s="19" t="s">
        <v>26</v>
      </c>
      <c r="L21" s="3" t="s">
        <v>26</v>
      </c>
      <c r="M21" s="19" t="s">
        <v>26</v>
      </c>
      <c r="N21" s="3" t="s">
        <v>26</v>
      </c>
      <c r="O21" s="19" t="s">
        <v>26</v>
      </c>
      <c r="P21" s="3" t="s">
        <v>26</v>
      </c>
      <c r="Q21" s="19" t="s">
        <v>26</v>
      </c>
      <c r="R21" s="3" t="s">
        <v>26</v>
      </c>
      <c r="S21" s="19" t="s">
        <v>26</v>
      </c>
      <c r="T21" s="3" t="s">
        <v>26</v>
      </c>
      <c r="U21" s="19" t="s">
        <v>26</v>
      </c>
      <c r="V21" s="3" t="s">
        <v>26</v>
      </c>
      <c r="W21" s="19" t="s">
        <v>26</v>
      </c>
      <c r="X21" s="3" t="s">
        <v>26</v>
      </c>
      <c r="Y21" s="19" t="s">
        <v>26</v>
      </c>
      <c r="Z21" s="3" t="s">
        <v>26</v>
      </c>
      <c r="AA21" s="57" t="s">
        <v>26</v>
      </c>
      <c r="AB21" s="3" t="s">
        <v>26</v>
      </c>
      <c r="AC21" s="19" t="s">
        <v>26</v>
      </c>
      <c r="AD21" s="52" t="s">
        <v>26</v>
      </c>
      <c r="AE21" s="71"/>
    </row>
    <row r="22" spans="1:31" ht="18" customHeight="1">
      <c r="A22" s="196"/>
      <c r="B22" s="104"/>
      <c r="C22" s="104"/>
      <c r="D22" s="140"/>
      <c r="E22" s="129"/>
      <c r="F22" s="103" t="s">
        <v>33</v>
      </c>
      <c r="G22" s="66">
        <v>2</v>
      </c>
      <c r="H22" s="57">
        <v>0</v>
      </c>
      <c r="I22" s="57">
        <v>0</v>
      </c>
      <c r="J22" s="26">
        <f>H22+I22</f>
        <v>0</v>
      </c>
      <c r="K22" s="57">
        <v>0</v>
      </c>
      <c r="L22" s="26">
        <f>J22+K22</f>
        <v>0</v>
      </c>
      <c r="M22" s="57">
        <v>0</v>
      </c>
      <c r="N22" s="26">
        <f>L22+M22</f>
        <v>0</v>
      </c>
      <c r="O22" s="57">
        <v>0</v>
      </c>
      <c r="P22" s="26">
        <f>N22+O22</f>
        <v>0</v>
      </c>
      <c r="Q22" s="57">
        <v>0</v>
      </c>
      <c r="R22" s="26">
        <f>P22+Q22</f>
        <v>0</v>
      </c>
      <c r="S22" s="57">
        <v>0</v>
      </c>
      <c r="T22" s="26">
        <f>R22+S22</f>
        <v>0</v>
      </c>
      <c r="U22" s="57">
        <v>0</v>
      </c>
      <c r="V22" s="26">
        <f>T22+U22</f>
        <v>0</v>
      </c>
      <c r="W22" s="57">
        <v>0</v>
      </c>
      <c r="X22" s="26">
        <f>V22+W22</f>
        <v>0</v>
      </c>
      <c r="Y22" s="57">
        <v>0</v>
      </c>
      <c r="Z22" s="26">
        <f>X22+Y22</f>
        <v>0</v>
      </c>
      <c r="AA22" s="57">
        <v>0</v>
      </c>
      <c r="AB22" s="37">
        <f>Z22+AA22</f>
        <v>0</v>
      </c>
      <c r="AC22" s="57">
        <v>2</v>
      </c>
      <c r="AD22" s="53">
        <f>AB22+AC22</f>
        <v>2</v>
      </c>
      <c r="AE22" s="72">
        <f>AD20/E19</f>
        <v>1</v>
      </c>
    </row>
    <row r="23" spans="1:31" ht="18" customHeight="1">
      <c r="A23" s="196"/>
      <c r="B23" s="104"/>
      <c r="C23" s="104"/>
      <c r="D23" s="140"/>
      <c r="E23" s="129"/>
      <c r="F23" s="104"/>
      <c r="G23" s="13" t="s">
        <v>28</v>
      </c>
      <c r="H23" s="21" t="s">
        <v>28</v>
      </c>
      <c r="I23" s="21" t="s">
        <v>28</v>
      </c>
      <c r="J23" s="48" t="s">
        <v>28</v>
      </c>
      <c r="K23" s="21" t="s">
        <v>28</v>
      </c>
      <c r="L23" s="48" t="s">
        <v>28</v>
      </c>
      <c r="M23" s="21" t="s">
        <v>28</v>
      </c>
      <c r="N23" s="48" t="s">
        <v>28</v>
      </c>
      <c r="O23" s="21" t="s">
        <v>28</v>
      </c>
      <c r="P23" s="48" t="s">
        <v>28</v>
      </c>
      <c r="Q23" s="14" t="s">
        <v>28</v>
      </c>
      <c r="R23" s="48" t="s">
        <v>28</v>
      </c>
      <c r="S23" s="14" t="s">
        <v>28</v>
      </c>
      <c r="T23" s="48" t="s">
        <v>28</v>
      </c>
      <c r="U23" s="14" t="s">
        <v>28</v>
      </c>
      <c r="V23" s="48" t="s">
        <v>28</v>
      </c>
      <c r="W23" s="14" t="s">
        <v>28</v>
      </c>
      <c r="X23" s="48" t="s">
        <v>28</v>
      </c>
      <c r="Y23" s="14" t="s">
        <v>28</v>
      </c>
      <c r="Z23" s="48" t="s">
        <v>28</v>
      </c>
      <c r="AA23" s="14" t="s">
        <v>28</v>
      </c>
      <c r="AB23" s="23" t="s">
        <v>28</v>
      </c>
      <c r="AC23" s="21" t="s">
        <v>28</v>
      </c>
      <c r="AD23" s="54" t="s">
        <v>28</v>
      </c>
      <c r="AE23" s="71"/>
    </row>
    <row r="24" spans="1:31" ht="18" customHeight="1">
      <c r="A24" s="197"/>
      <c r="B24" s="105"/>
      <c r="C24" s="105"/>
      <c r="D24" s="141"/>
      <c r="E24" s="130"/>
      <c r="F24" s="104"/>
      <c r="G24" s="65">
        <v>2</v>
      </c>
      <c r="H24" s="24">
        <v>2</v>
      </c>
      <c r="I24" s="24">
        <v>2</v>
      </c>
      <c r="J24" s="61">
        <f>I24</f>
        <v>2</v>
      </c>
      <c r="K24" s="24">
        <v>2</v>
      </c>
      <c r="L24" s="61">
        <f>K24</f>
        <v>2</v>
      </c>
      <c r="M24" s="24">
        <v>2</v>
      </c>
      <c r="N24" s="61">
        <f>M24</f>
        <v>2</v>
      </c>
      <c r="O24" s="24">
        <v>2</v>
      </c>
      <c r="P24" s="61">
        <f>O24</f>
        <v>2</v>
      </c>
      <c r="Q24" s="60">
        <v>2</v>
      </c>
      <c r="R24" s="61">
        <f>Q24</f>
        <v>2</v>
      </c>
      <c r="S24" s="60">
        <v>2</v>
      </c>
      <c r="T24" s="61">
        <f>S24</f>
        <v>2</v>
      </c>
      <c r="U24" s="60">
        <v>2</v>
      </c>
      <c r="V24" s="61">
        <f>U24</f>
        <v>2</v>
      </c>
      <c r="W24" s="60">
        <v>2</v>
      </c>
      <c r="X24" s="61">
        <f>W24</f>
        <v>2</v>
      </c>
      <c r="Y24" s="60">
        <v>2</v>
      </c>
      <c r="Z24" s="61">
        <f>Y24</f>
        <v>2</v>
      </c>
      <c r="AA24" s="60">
        <v>2</v>
      </c>
      <c r="AB24" s="43">
        <f>AA24</f>
        <v>2</v>
      </c>
      <c r="AC24" s="24">
        <v>2</v>
      </c>
      <c r="AD24" s="55">
        <f>AC24</f>
        <v>2</v>
      </c>
      <c r="AE24" s="73"/>
    </row>
    <row r="25" spans="1:31" ht="18" customHeight="1">
      <c r="A25" s="199" t="s">
        <v>34</v>
      </c>
      <c r="B25" s="103" t="s">
        <v>35</v>
      </c>
      <c r="C25" s="103" t="s">
        <v>36</v>
      </c>
      <c r="D25" s="160">
        <v>0.1</v>
      </c>
      <c r="E25" s="160">
        <v>0.2</v>
      </c>
      <c r="F25" s="148" t="s">
        <v>37</v>
      </c>
      <c r="G25" s="12" t="s">
        <v>25</v>
      </c>
      <c r="H25" s="27" t="s">
        <v>25</v>
      </c>
      <c r="I25" s="27" t="s">
        <v>25</v>
      </c>
      <c r="J25" s="28" t="s">
        <v>25</v>
      </c>
      <c r="K25" s="27" t="s">
        <v>25</v>
      </c>
      <c r="L25" s="29" t="s">
        <v>25</v>
      </c>
      <c r="M25" s="27" t="s">
        <v>25</v>
      </c>
      <c r="N25" s="29" t="s">
        <v>25</v>
      </c>
      <c r="O25" s="27" t="s">
        <v>25</v>
      </c>
      <c r="P25" s="29" t="s">
        <v>25</v>
      </c>
      <c r="Q25" s="27" t="s">
        <v>25</v>
      </c>
      <c r="R25" s="29" t="s">
        <v>25</v>
      </c>
      <c r="S25" s="27" t="s">
        <v>25</v>
      </c>
      <c r="T25" s="29" t="s">
        <v>25</v>
      </c>
      <c r="U25" s="12" t="s">
        <v>25</v>
      </c>
      <c r="V25" s="29" t="s">
        <v>25</v>
      </c>
      <c r="W25" s="12" t="s">
        <v>25</v>
      </c>
      <c r="X25" s="30" t="s">
        <v>25</v>
      </c>
      <c r="Y25" s="12" t="s">
        <v>25</v>
      </c>
      <c r="Z25" s="31" t="s">
        <v>25</v>
      </c>
      <c r="AA25" s="12" t="s">
        <v>25</v>
      </c>
      <c r="AB25" s="31" t="s">
        <v>25</v>
      </c>
      <c r="AC25" s="27" t="s">
        <v>25</v>
      </c>
      <c r="AD25" s="31" t="s">
        <v>25</v>
      </c>
      <c r="AE25" s="75"/>
    </row>
    <row r="26" spans="1:31" ht="18" customHeight="1">
      <c r="A26" s="104"/>
      <c r="B26" s="104"/>
      <c r="C26" s="104"/>
      <c r="D26" s="161"/>
      <c r="E26" s="161"/>
      <c r="F26" s="149"/>
      <c r="G26" s="67">
        <f>IF(G28&lt;&gt;0,+G28/G30,0%)</f>
        <v>0.19999999999999998</v>
      </c>
      <c r="H26" s="32">
        <f>IF(H28&lt;&gt;0,+H28/H30,0%)</f>
        <v>0</v>
      </c>
      <c r="I26" s="32">
        <f>IF(I28&lt;&gt;0,+I28/I30,0%)</f>
        <v>0</v>
      </c>
      <c r="J26" s="33">
        <f>IF(J28&lt;&gt;0,ROUND(+J28/J30,4),0%)</f>
        <v>0</v>
      </c>
      <c r="K26" s="32">
        <f>IF(K28&lt;&gt;0,+K28/K30,0%)</f>
        <v>0</v>
      </c>
      <c r="L26" s="33">
        <f>IF(L28&lt;&gt;0,ROUND(+L28/L30,4),0%)</f>
        <v>0</v>
      </c>
      <c r="M26" s="32">
        <f>IF(M28&lt;&gt;0,+M28/M30,0%)</f>
        <v>0</v>
      </c>
      <c r="N26" s="33">
        <f>IF(N28&lt;&gt;0,ROUND(+N28/N30,4),0%)</f>
        <v>0</v>
      </c>
      <c r="O26" s="32">
        <f>IF(O28&lt;&gt;0,+O28/O30,0%)</f>
        <v>0</v>
      </c>
      <c r="P26" s="33">
        <f>IF(P28&lt;&gt;0,ROUND(+P28/P30,4),0%)</f>
        <v>0</v>
      </c>
      <c r="Q26" s="32">
        <f>IF(Q28&lt;&gt;0,+Q28/Q30,0%)</f>
        <v>0</v>
      </c>
      <c r="R26" s="33">
        <f>IF(R28&lt;&gt;0,ROUND(+R28/R30,4),0%)</f>
        <v>0</v>
      </c>
      <c r="S26" s="32">
        <f>IF(S28&lt;&gt;0,+S28/S30,0%)</f>
        <v>0</v>
      </c>
      <c r="T26" s="33">
        <f>IF(T28&lt;&gt;0,ROUND(+T28/T30,4),0%)</f>
        <v>0</v>
      </c>
      <c r="U26" s="32">
        <f>IF(U28&lt;&gt;0,+U28/U30,0%)</f>
        <v>0</v>
      </c>
      <c r="V26" s="33">
        <f>IF(V28&lt;&gt;0,ROUND(+V28/V30,4),0%)</f>
        <v>0</v>
      </c>
      <c r="W26" s="32">
        <f>IF(W28&lt;&gt;0,+W28/W30,0%)</f>
        <v>0</v>
      </c>
      <c r="X26" s="33">
        <f>IF(X28&lt;&gt;0,ROUND(+X28/X30,4),0%)</f>
        <v>0</v>
      </c>
      <c r="Y26" s="32">
        <f>IF(Y28&lt;&gt;0,+Y28/Y30,0%)</f>
        <v>0.19999999999999998</v>
      </c>
      <c r="Z26" s="33">
        <f>IF(Z28&lt;&gt;0,ROUND(+Z28/Z30,4),0%)</f>
        <v>0.2</v>
      </c>
      <c r="AA26" s="32">
        <f>IF(AA28&lt;&gt;0,+AA28/AA30,0%)</f>
        <v>0</v>
      </c>
      <c r="AB26" s="33">
        <f>IF(AB28&lt;&gt;0,ROUND(+AB28/AB30,4),0%)</f>
        <v>0.2</v>
      </c>
      <c r="AC26" s="32">
        <f>IF(AC28&lt;&gt;0,+AC28/AC30,0%)</f>
        <v>0</v>
      </c>
      <c r="AD26" s="81">
        <f>IF(AD28&lt;&gt;0,ROUND(+AD28/AD30,4),0%)</f>
        <v>0.2</v>
      </c>
      <c r="AE26" s="76"/>
    </row>
    <row r="27" spans="1:31" ht="18" customHeight="1">
      <c r="A27" s="104"/>
      <c r="B27" s="104"/>
      <c r="C27" s="104"/>
      <c r="D27" s="161"/>
      <c r="E27" s="161"/>
      <c r="F27" s="163"/>
      <c r="G27" s="13" t="s">
        <v>26</v>
      </c>
      <c r="H27" s="13" t="s">
        <v>26</v>
      </c>
      <c r="I27" s="13" t="s">
        <v>26</v>
      </c>
      <c r="J27" s="34" t="s">
        <v>26</v>
      </c>
      <c r="K27" s="13" t="s">
        <v>26</v>
      </c>
      <c r="L27" s="35" t="s">
        <v>26</v>
      </c>
      <c r="M27" s="13" t="s">
        <v>26</v>
      </c>
      <c r="N27" s="35" t="s">
        <v>26</v>
      </c>
      <c r="O27" s="13" t="s">
        <v>26</v>
      </c>
      <c r="P27" s="35" t="s">
        <v>26</v>
      </c>
      <c r="Q27" s="13" t="s">
        <v>26</v>
      </c>
      <c r="R27" s="35" t="s">
        <v>26</v>
      </c>
      <c r="S27" s="13" t="s">
        <v>26</v>
      </c>
      <c r="T27" s="35" t="s">
        <v>26</v>
      </c>
      <c r="U27" s="13" t="s">
        <v>26</v>
      </c>
      <c r="V27" s="35" t="s">
        <v>26</v>
      </c>
      <c r="W27" s="13" t="s">
        <v>26</v>
      </c>
      <c r="X27" s="35" t="s">
        <v>26</v>
      </c>
      <c r="Y27" s="13" t="s">
        <v>26</v>
      </c>
      <c r="Z27" s="35" t="s">
        <v>26</v>
      </c>
      <c r="AA27" s="13" t="s">
        <v>26</v>
      </c>
      <c r="AB27" s="35" t="s">
        <v>26</v>
      </c>
      <c r="AC27" s="13" t="s">
        <v>26</v>
      </c>
      <c r="AD27" s="82" t="s">
        <v>26</v>
      </c>
      <c r="AE27" s="76"/>
    </row>
    <row r="28" spans="1:31" ht="18" customHeight="1">
      <c r="A28" s="104"/>
      <c r="B28" s="104"/>
      <c r="C28" s="104"/>
      <c r="D28" s="161"/>
      <c r="E28" s="161"/>
      <c r="F28" s="148" t="s">
        <v>38</v>
      </c>
      <c r="G28" s="69">
        <v>17.2</v>
      </c>
      <c r="H28" s="36">
        <v>0</v>
      </c>
      <c r="I28" s="45">
        <v>0</v>
      </c>
      <c r="J28" s="37">
        <f>+H28+I28</f>
        <v>0</v>
      </c>
      <c r="K28" s="45">
        <v>0</v>
      </c>
      <c r="L28" s="37">
        <f>+J28+K28</f>
        <v>0</v>
      </c>
      <c r="M28" s="45">
        <v>0</v>
      </c>
      <c r="N28" s="37">
        <f>+L28+M28</f>
        <v>0</v>
      </c>
      <c r="O28" s="45">
        <v>0</v>
      </c>
      <c r="P28" s="37">
        <f>+N28+O28</f>
        <v>0</v>
      </c>
      <c r="Q28" s="45">
        <v>0</v>
      </c>
      <c r="R28" s="37">
        <f>+P28+Q28</f>
        <v>0</v>
      </c>
      <c r="S28" s="45">
        <v>0</v>
      </c>
      <c r="T28" s="37">
        <f>+R28+S28</f>
        <v>0</v>
      </c>
      <c r="U28" s="45">
        <v>0</v>
      </c>
      <c r="V28" s="37">
        <f>+T28+U28</f>
        <v>0</v>
      </c>
      <c r="W28" s="45">
        <v>0</v>
      </c>
      <c r="X28" s="37">
        <f>+V28+W28</f>
        <v>0</v>
      </c>
      <c r="Y28" s="45">
        <v>17.2</v>
      </c>
      <c r="Z28" s="37">
        <f>+X28+Y28</f>
        <v>17.2</v>
      </c>
      <c r="AA28" s="45">
        <v>0</v>
      </c>
      <c r="AB28" s="26">
        <f>+Z28+AA28</f>
        <v>17.2</v>
      </c>
      <c r="AC28" s="36">
        <v>0</v>
      </c>
      <c r="AD28" s="83">
        <f>+AB28+AC28</f>
        <v>17.2</v>
      </c>
      <c r="AE28" s="77" t="s">
        <v>61</v>
      </c>
    </row>
    <row r="29" spans="1:31" ht="18" customHeight="1">
      <c r="A29" s="104"/>
      <c r="B29" s="104"/>
      <c r="C29" s="104"/>
      <c r="D29" s="161"/>
      <c r="E29" s="161"/>
      <c r="F29" s="149"/>
      <c r="G29" s="13" t="s">
        <v>28</v>
      </c>
      <c r="H29" s="14" t="s">
        <v>28</v>
      </c>
      <c r="I29" s="14" t="s">
        <v>28</v>
      </c>
      <c r="J29" s="47" t="s">
        <v>28</v>
      </c>
      <c r="K29" s="14" t="s">
        <v>28</v>
      </c>
      <c r="L29" s="48" t="s">
        <v>28</v>
      </c>
      <c r="M29" s="14" t="s">
        <v>28</v>
      </c>
      <c r="N29" s="48" t="s">
        <v>28</v>
      </c>
      <c r="O29" s="14" t="s">
        <v>28</v>
      </c>
      <c r="P29" s="48" t="s">
        <v>28</v>
      </c>
      <c r="Q29" s="14" t="s">
        <v>28</v>
      </c>
      <c r="R29" s="48" t="s">
        <v>28</v>
      </c>
      <c r="S29" s="14" t="s">
        <v>28</v>
      </c>
      <c r="T29" s="48" t="s">
        <v>28</v>
      </c>
      <c r="U29" s="14" t="s">
        <v>28</v>
      </c>
      <c r="V29" s="48" t="s">
        <v>28</v>
      </c>
      <c r="W29" s="14" t="s">
        <v>28</v>
      </c>
      <c r="X29" s="48" t="s">
        <v>28</v>
      </c>
      <c r="Y29" s="14" t="s">
        <v>28</v>
      </c>
      <c r="Z29" s="48" t="s">
        <v>28</v>
      </c>
      <c r="AA29" s="14" t="s">
        <v>28</v>
      </c>
      <c r="AB29" s="48" t="s">
        <v>28</v>
      </c>
      <c r="AC29" s="14" t="s">
        <v>28</v>
      </c>
      <c r="AD29" s="84" t="s">
        <v>28</v>
      </c>
      <c r="AE29" s="76"/>
    </row>
    <row r="30" spans="1:31" ht="18" customHeight="1">
      <c r="A30" s="105"/>
      <c r="B30" s="105"/>
      <c r="C30" s="105"/>
      <c r="D30" s="162"/>
      <c r="E30" s="162"/>
      <c r="F30" s="151"/>
      <c r="G30" s="65">
        <v>86</v>
      </c>
      <c r="H30" s="38">
        <v>86</v>
      </c>
      <c r="I30" s="38">
        <v>86</v>
      </c>
      <c r="J30" s="49">
        <v>86</v>
      </c>
      <c r="K30" s="38">
        <v>86</v>
      </c>
      <c r="L30" s="49">
        <v>86</v>
      </c>
      <c r="M30" s="38">
        <v>86</v>
      </c>
      <c r="N30" s="49">
        <v>86</v>
      </c>
      <c r="O30" s="38">
        <v>86</v>
      </c>
      <c r="P30" s="49">
        <v>86</v>
      </c>
      <c r="Q30" s="38">
        <v>86</v>
      </c>
      <c r="R30" s="49">
        <v>86</v>
      </c>
      <c r="S30" s="38">
        <v>86</v>
      </c>
      <c r="T30" s="49">
        <v>86</v>
      </c>
      <c r="U30" s="38">
        <v>86</v>
      </c>
      <c r="V30" s="49">
        <v>86</v>
      </c>
      <c r="W30" s="38">
        <v>86</v>
      </c>
      <c r="X30" s="49">
        <v>86</v>
      </c>
      <c r="Y30" s="38">
        <v>86</v>
      </c>
      <c r="Z30" s="49">
        <v>86</v>
      </c>
      <c r="AA30" s="38">
        <v>86</v>
      </c>
      <c r="AB30" s="49">
        <v>86</v>
      </c>
      <c r="AC30" s="38">
        <v>86</v>
      </c>
      <c r="AD30" s="85">
        <v>86</v>
      </c>
      <c r="AE30" s="76"/>
    </row>
    <row r="31" spans="1:31" ht="18" customHeight="1">
      <c r="A31" s="103" t="s">
        <v>39</v>
      </c>
      <c r="B31" s="103" t="s">
        <v>40</v>
      </c>
      <c r="C31" s="103" t="s">
        <v>41</v>
      </c>
      <c r="D31" s="160">
        <v>0.1</v>
      </c>
      <c r="E31" s="128">
        <v>1</v>
      </c>
      <c r="F31" s="148" t="s">
        <v>42</v>
      </c>
      <c r="G31" s="12" t="s">
        <v>25</v>
      </c>
      <c r="H31" s="16" t="s">
        <v>25</v>
      </c>
      <c r="I31" s="16" t="s">
        <v>25</v>
      </c>
      <c r="J31" s="2" t="s">
        <v>25</v>
      </c>
      <c r="K31" s="39" t="s">
        <v>25</v>
      </c>
      <c r="L31" s="2" t="s">
        <v>25</v>
      </c>
      <c r="M31" s="39" t="s">
        <v>25</v>
      </c>
      <c r="N31" s="2" t="s">
        <v>25</v>
      </c>
      <c r="O31" s="39" t="s">
        <v>25</v>
      </c>
      <c r="P31" s="2" t="s">
        <v>25</v>
      </c>
      <c r="Q31" s="39" t="s">
        <v>25</v>
      </c>
      <c r="R31" s="2" t="s">
        <v>25</v>
      </c>
      <c r="S31" s="39" t="s">
        <v>25</v>
      </c>
      <c r="T31" s="2" t="s">
        <v>25</v>
      </c>
      <c r="U31" s="39" t="s">
        <v>25</v>
      </c>
      <c r="V31" s="2" t="s">
        <v>25</v>
      </c>
      <c r="W31" s="16" t="s">
        <v>25</v>
      </c>
      <c r="X31" s="2" t="s">
        <v>25</v>
      </c>
      <c r="Y31" s="16" t="s">
        <v>25</v>
      </c>
      <c r="Z31" s="2" t="s">
        <v>25</v>
      </c>
      <c r="AA31" s="16" t="s">
        <v>25</v>
      </c>
      <c r="AB31" s="2" t="s">
        <v>25</v>
      </c>
      <c r="AC31" s="16" t="s">
        <v>25</v>
      </c>
      <c r="AD31" s="50" t="s">
        <v>25</v>
      </c>
      <c r="AE31" s="78"/>
    </row>
    <row r="32" spans="1:31" ht="18" customHeight="1">
      <c r="A32" s="104"/>
      <c r="B32" s="104"/>
      <c r="C32" s="104"/>
      <c r="D32" s="161"/>
      <c r="E32" s="129"/>
      <c r="F32" s="149"/>
      <c r="G32" s="68">
        <f>IF(G34&lt;&gt;0,+G34/G36,0%)</f>
        <v>1</v>
      </c>
      <c r="H32" s="32">
        <f>IF(H34&lt;&gt;0,+H34/H36,0%)</f>
        <v>0</v>
      </c>
      <c r="I32" s="32">
        <f>IF(I34&lt;&gt;0,+I34/I36,0%)</f>
        <v>0</v>
      </c>
      <c r="J32" s="18">
        <f>IF(J34&lt;&gt;0,+J34/J36,0%)</f>
        <v>0</v>
      </c>
      <c r="K32" s="32">
        <f t="shared" ref="K32:AD32" si="1">IF(K34&lt;&gt;0,+K34/K36,0%)</f>
        <v>0</v>
      </c>
      <c r="L32" s="18">
        <f t="shared" si="1"/>
        <v>0</v>
      </c>
      <c r="M32" s="32">
        <f t="shared" si="1"/>
        <v>0</v>
      </c>
      <c r="N32" s="18">
        <f t="shared" si="1"/>
        <v>0</v>
      </c>
      <c r="O32" s="32">
        <f t="shared" si="1"/>
        <v>0.2</v>
      </c>
      <c r="P32" s="18">
        <f t="shared" si="1"/>
        <v>0.2</v>
      </c>
      <c r="Q32" s="32">
        <f t="shared" si="1"/>
        <v>0.2</v>
      </c>
      <c r="R32" s="18">
        <f t="shared" si="1"/>
        <v>0.4</v>
      </c>
      <c r="S32" s="32">
        <f t="shared" si="1"/>
        <v>0</v>
      </c>
      <c r="T32" s="18">
        <f t="shared" si="1"/>
        <v>0.4</v>
      </c>
      <c r="U32" s="32">
        <f t="shared" si="1"/>
        <v>0</v>
      </c>
      <c r="V32" s="18">
        <f t="shared" si="1"/>
        <v>0.4</v>
      </c>
      <c r="W32" s="32">
        <f t="shared" si="1"/>
        <v>0.2</v>
      </c>
      <c r="X32" s="18">
        <f t="shared" si="1"/>
        <v>0.6</v>
      </c>
      <c r="Y32" s="32">
        <f t="shared" si="1"/>
        <v>0.2</v>
      </c>
      <c r="Z32" s="18">
        <f t="shared" si="1"/>
        <v>0.8</v>
      </c>
      <c r="AA32" s="62">
        <f t="shared" si="1"/>
        <v>0.2</v>
      </c>
      <c r="AB32" s="18">
        <f t="shared" si="1"/>
        <v>1</v>
      </c>
      <c r="AC32" s="62">
        <f t="shared" si="1"/>
        <v>0</v>
      </c>
      <c r="AD32" s="51">
        <f t="shared" si="1"/>
        <v>1</v>
      </c>
      <c r="AE32" s="79"/>
    </row>
    <row r="33" spans="1:31" ht="18" customHeight="1">
      <c r="A33" s="104"/>
      <c r="B33" s="104"/>
      <c r="C33" s="104"/>
      <c r="D33" s="161"/>
      <c r="E33" s="129"/>
      <c r="F33" s="149"/>
      <c r="G33" s="13" t="s">
        <v>26</v>
      </c>
      <c r="H33" s="19" t="s">
        <v>26</v>
      </c>
      <c r="I33" s="19"/>
      <c r="J33" s="3" t="s">
        <v>26</v>
      </c>
      <c r="K33" s="40" t="s">
        <v>26</v>
      </c>
      <c r="L33" s="3" t="s">
        <v>26</v>
      </c>
      <c r="M33" s="40" t="s">
        <v>26</v>
      </c>
      <c r="N33" s="3" t="s">
        <v>26</v>
      </c>
      <c r="O33" s="40" t="s">
        <v>26</v>
      </c>
      <c r="P33" s="3" t="s">
        <v>26</v>
      </c>
      <c r="Q33" s="40" t="s">
        <v>26</v>
      </c>
      <c r="R33" s="3" t="s">
        <v>26</v>
      </c>
      <c r="S33" s="40" t="s">
        <v>26</v>
      </c>
      <c r="T33" s="3" t="s">
        <v>26</v>
      </c>
      <c r="U33" s="40" t="s">
        <v>26</v>
      </c>
      <c r="V33" s="3" t="s">
        <v>26</v>
      </c>
      <c r="W33" s="41" t="s">
        <v>26</v>
      </c>
      <c r="X33" s="3" t="s">
        <v>26</v>
      </c>
      <c r="Y33" s="19" t="s">
        <v>26</v>
      </c>
      <c r="Z33" s="3" t="s">
        <v>26</v>
      </c>
      <c r="AA33" s="19" t="s">
        <v>26</v>
      </c>
      <c r="AB33" s="3" t="s">
        <v>26</v>
      </c>
      <c r="AC33" s="19" t="s">
        <v>26</v>
      </c>
      <c r="AD33" s="52" t="s">
        <v>26</v>
      </c>
      <c r="AE33" s="80"/>
    </row>
    <row r="34" spans="1:31" ht="18" customHeight="1">
      <c r="A34" s="104"/>
      <c r="B34" s="104"/>
      <c r="C34" s="104"/>
      <c r="D34" s="161"/>
      <c r="E34" s="129"/>
      <c r="F34" s="103" t="s">
        <v>43</v>
      </c>
      <c r="G34" s="64">
        <v>5</v>
      </c>
      <c r="H34" s="45">
        <v>0</v>
      </c>
      <c r="I34" s="45">
        <v>0</v>
      </c>
      <c r="J34" s="37">
        <f>+H34+I34</f>
        <v>0</v>
      </c>
      <c r="K34" s="45">
        <v>0</v>
      </c>
      <c r="L34" s="37">
        <f>+J34+K34</f>
        <v>0</v>
      </c>
      <c r="M34" s="45">
        <v>0</v>
      </c>
      <c r="N34" s="37">
        <f>+L34+M34</f>
        <v>0</v>
      </c>
      <c r="O34" s="45">
        <v>1</v>
      </c>
      <c r="P34" s="37">
        <f>+N34+O34</f>
        <v>1</v>
      </c>
      <c r="Q34" s="45">
        <v>1</v>
      </c>
      <c r="R34" s="37">
        <f>+P34+Q34</f>
        <v>2</v>
      </c>
      <c r="S34" s="45">
        <v>0</v>
      </c>
      <c r="T34" s="37">
        <f>+R34+S34</f>
        <v>2</v>
      </c>
      <c r="U34" s="45">
        <v>0</v>
      </c>
      <c r="V34" s="37">
        <f>+T34+U34</f>
        <v>2</v>
      </c>
      <c r="W34" s="45">
        <v>1</v>
      </c>
      <c r="X34" s="37">
        <f>+V34+W34</f>
        <v>3</v>
      </c>
      <c r="Y34" s="45">
        <v>1</v>
      </c>
      <c r="Z34" s="37">
        <f>+X34+Y34</f>
        <v>4</v>
      </c>
      <c r="AA34" s="45">
        <v>1</v>
      </c>
      <c r="AB34" s="37">
        <f>+Z34+AA34</f>
        <v>5</v>
      </c>
      <c r="AC34" s="45">
        <v>0</v>
      </c>
      <c r="AD34" s="53">
        <f>+AB34+AC34</f>
        <v>5</v>
      </c>
      <c r="AE34" s="72">
        <f>AD32/E31</f>
        <v>1</v>
      </c>
    </row>
    <row r="35" spans="1:31" ht="18" customHeight="1">
      <c r="A35" s="104"/>
      <c r="B35" s="104"/>
      <c r="C35" s="104"/>
      <c r="D35" s="161"/>
      <c r="E35" s="129"/>
      <c r="F35" s="104"/>
      <c r="G35" s="14" t="s">
        <v>28</v>
      </c>
      <c r="H35" s="21" t="s">
        <v>28</v>
      </c>
      <c r="I35" s="21" t="s">
        <v>28</v>
      </c>
      <c r="J35" s="23" t="s">
        <v>28</v>
      </c>
      <c r="K35" s="42" t="s">
        <v>28</v>
      </c>
      <c r="L35" s="23" t="s">
        <v>28</v>
      </c>
      <c r="M35" s="42" t="s">
        <v>28</v>
      </c>
      <c r="N35" s="23" t="s">
        <v>28</v>
      </c>
      <c r="O35" s="42" t="s">
        <v>28</v>
      </c>
      <c r="P35" s="23" t="s">
        <v>28</v>
      </c>
      <c r="Q35" s="42" t="s">
        <v>28</v>
      </c>
      <c r="R35" s="23" t="s">
        <v>28</v>
      </c>
      <c r="S35" s="42" t="s">
        <v>28</v>
      </c>
      <c r="T35" s="23" t="s">
        <v>28</v>
      </c>
      <c r="U35" s="42" t="s">
        <v>28</v>
      </c>
      <c r="V35" s="23" t="s">
        <v>28</v>
      </c>
      <c r="W35" s="21" t="s">
        <v>28</v>
      </c>
      <c r="X35" s="23" t="s">
        <v>28</v>
      </c>
      <c r="Y35" s="21" t="s">
        <v>28</v>
      </c>
      <c r="Z35" s="23" t="s">
        <v>28</v>
      </c>
      <c r="AA35" s="21" t="s">
        <v>28</v>
      </c>
      <c r="AB35" s="23" t="s">
        <v>28</v>
      </c>
      <c r="AC35" s="21" t="s">
        <v>28</v>
      </c>
      <c r="AD35" s="54" t="s">
        <v>28</v>
      </c>
      <c r="AE35" s="131"/>
    </row>
    <row r="36" spans="1:31" ht="18" customHeight="1">
      <c r="A36" s="105"/>
      <c r="B36" s="105"/>
      <c r="C36" s="105"/>
      <c r="D36" s="162"/>
      <c r="E36" s="130"/>
      <c r="F36" s="104"/>
      <c r="G36" s="65">
        <v>5</v>
      </c>
      <c r="H36" s="24">
        <v>5</v>
      </c>
      <c r="I36" s="24">
        <v>5</v>
      </c>
      <c r="J36" s="43">
        <f>I36</f>
        <v>5</v>
      </c>
      <c r="K36" s="46">
        <v>5</v>
      </c>
      <c r="L36" s="25">
        <f>K36</f>
        <v>5</v>
      </c>
      <c r="M36" s="46">
        <v>5</v>
      </c>
      <c r="N36" s="25">
        <f>M36</f>
        <v>5</v>
      </c>
      <c r="O36" s="46">
        <v>5</v>
      </c>
      <c r="P36" s="25">
        <f>O36</f>
        <v>5</v>
      </c>
      <c r="Q36" s="46">
        <v>5</v>
      </c>
      <c r="R36" s="25">
        <f>Q36</f>
        <v>5</v>
      </c>
      <c r="S36" s="46">
        <v>5</v>
      </c>
      <c r="T36" s="25">
        <f>S36</f>
        <v>5</v>
      </c>
      <c r="U36" s="46">
        <v>5</v>
      </c>
      <c r="V36" s="25">
        <f>U36</f>
        <v>5</v>
      </c>
      <c r="W36" s="46">
        <v>5</v>
      </c>
      <c r="X36" s="25">
        <f>W36</f>
        <v>5</v>
      </c>
      <c r="Y36" s="46">
        <v>5</v>
      </c>
      <c r="Z36" s="25">
        <f>Y36</f>
        <v>5</v>
      </c>
      <c r="AA36" s="46">
        <v>5</v>
      </c>
      <c r="AB36" s="25">
        <f>AA36</f>
        <v>5</v>
      </c>
      <c r="AC36" s="46">
        <v>5</v>
      </c>
      <c r="AD36" s="55">
        <f>AC36</f>
        <v>5</v>
      </c>
      <c r="AE36" s="135"/>
    </row>
    <row r="37" spans="1:31" ht="19.899999999999999" customHeight="1">
      <c r="A37" s="164" t="s">
        <v>44</v>
      </c>
      <c r="B37" s="145" t="s">
        <v>45</v>
      </c>
      <c r="C37" s="103" t="s">
        <v>46</v>
      </c>
      <c r="D37" s="160">
        <v>0.1</v>
      </c>
      <c r="E37" s="128">
        <v>1</v>
      </c>
      <c r="F37" s="148" t="s">
        <v>47</v>
      </c>
      <c r="G37" s="12" t="s">
        <v>25</v>
      </c>
      <c r="H37" s="16" t="s">
        <v>25</v>
      </c>
      <c r="I37" s="16" t="s">
        <v>25</v>
      </c>
      <c r="J37" s="17" t="s">
        <v>25</v>
      </c>
      <c r="K37" s="39" t="s">
        <v>25</v>
      </c>
      <c r="L37" s="2" t="s">
        <v>25</v>
      </c>
      <c r="M37" s="39" t="s">
        <v>25</v>
      </c>
      <c r="N37" s="2" t="s">
        <v>25</v>
      </c>
      <c r="O37" s="39" t="s">
        <v>25</v>
      </c>
      <c r="P37" s="2" t="s">
        <v>25</v>
      </c>
      <c r="Q37" s="39" t="s">
        <v>25</v>
      </c>
      <c r="R37" s="2" t="s">
        <v>25</v>
      </c>
      <c r="S37" s="39" t="s">
        <v>25</v>
      </c>
      <c r="T37" s="2" t="s">
        <v>25</v>
      </c>
      <c r="U37" s="39" t="s">
        <v>25</v>
      </c>
      <c r="V37" s="2" t="s">
        <v>25</v>
      </c>
      <c r="W37" s="16" t="s">
        <v>25</v>
      </c>
      <c r="X37" s="2" t="s">
        <v>25</v>
      </c>
      <c r="Y37" s="16" t="s">
        <v>25</v>
      </c>
      <c r="Z37" s="2" t="s">
        <v>25</v>
      </c>
      <c r="AA37" s="16" t="s">
        <v>25</v>
      </c>
      <c r="AB37" s="2" t="s">
        <v>25</v>
      </c>
      <c r="AC37" s="16" t="s">
        <v>25</v>
      </c>
      <c r="AD37" s="50" t="s">
        <v>25</v>
      </c>
      <c r="AE37" s="78"/>
    </row>
    <row r="38" spans="1:31" ht="19.899999999999999" customHeight="1">
      <c r="A38" s="165"/>
      <c r="B38" s="146"/>
      <c r="C38" s="104"/>
      <c r="D38" s="161"/>
      <c r="E38" s="129"/>
      <c r="F38" s="149"/>
      <c r="G38" s="67">
        <f>IF(G40&lt;&gt;0,+G40/G42,0%)</f>
        <v>1</v>
      </c>
      <c r="H38" s="62">
        <f>IF(H40&lt;&gt;0,+H40/H42,0%)</f>
        <v>0.1</v>
      </c>
      <c r="I38" s="62">
        <f>IF(I40&lt;&gt;0,+I40/I42,0%)</f>
        <v>0.1</v>
      </c>
      <c r="J38" s="18">
        <f>IF(J40&lt;&gt;0,+J40/J42,0%)</f>
        <v>0.2</v>
      </c>
      <c r="K38" s="62">
        <f t="shared" ref="K38:AD38" si="2">IF(K40&lt;&gt;0,+K40/K42,0%)</f>
        <v>0.1</v>
      </c>
      <c r="L38" s="18">
        <f t="shared" si="2"/>
        <v>0.3</v>
      </c>
      <c r="M38" s="62">
        <f t="shared" si="2"/>
        <v>0</v>
      </c>
      <c r="N38" s="18">
        <f t="shared" si="2"/>
        <v>0.3</v>
      </c>
      <c r="O38" s="62">
        <f t="shared" si="2"/>
        <v>0</v>
      </c>
      <c r="P38" s="18">
        <f t="shared" si="2"/>
        <v>0.3</v>
      </c>
      <c r="Q38" s="62">
        <f t="shared" si="2"/>
        <v>0.1</v>
      </c>
      <c r="R38" s="18">
        <f t="shared" si="2"/>
        <v>0.4</v>
      </c>
      <c r="S38" s="62">
        <f t="shared" si="2"/>
        <v>0.2</v>
      </c>
      <c r="T38" s="18">
        <f t="shared" si="2"/>
        <v>0.6</v>
      </c>
      <c r="U38" s="62">
        <f t="shared" si="2"/>
        <v>0.1</v>
      </c>
      <c r="V38" s="18">
        <f t="shared" si="2"/>
        <v>0.7</v>
      </c>
      <c r="W38" s="62">
        <f t="shared" si="2"/>
        <v>0.1</v>
      </c>
      <c r="X38" s="18">
        <f t="shared" si="2"/>
        <v>0.8</v>
      </c>
      <c r="Y38" s="62">
        <f t="shared" si="2"/>
        <v>0</v>
      </c>
      <c r="Z38" s="18">
        <f t="shared" si="2"/>
        <v>0.8</v>
      </c>
      <c r="AA38" s="62">
        <f t="shared" si="2"/>
        <v>0.1</v>
      </c>
      <c r="AB38" s="18">
        <f t="shared" si="2"/>
        <v>0.9</v>
      </c>
      <c r="AC38" s="62">
        <f t="shared" si="2"/>
        <v>0.1</v>
      </c>
      <c r="AD38" s="51">
        <f t="shared" si="2"/>
        <v>1</v>
      </c>
      <c r="AE38" s="79"/>
    </row>
    <row r="39" spans="1:31" ht="19.899999999999999" customHeight="1">
      <c r="A39" s="165"/>
      <c r="B39" s="146"/>
      <c r="C39" s="104"/>
      <c r="D39" s="161"/>
      <c r="E39" s="129"/>
      <c r="F39" s="149"/>
      <c r="G39" s="13" t="s">
        <v>26</v>
      </c>
      <c r="H39" s="19" t="s">
        <v>26</v>
      </c>
      <c r="I39" s="19"/>
      <c r="J39" s="20" t="s">
        <v>26</v>
      </c>
      <c r="K39" s="40" t="s">
        <v>26</v>
      </c>
      <c r="L39" s="3" t="s">
        <v>26</v>
      </c>
      <c r="M39" s="40" t="s">
        <v>26</v>
      </c>
      <c r="N39" s="3" t="s">
        <v>26</v>
      </c>
      <c r="O39" s="40" t="s">
        <v>26</v>
      </c>
      <c r="P39" s="3" t="s">
        <v>26</v>
      </c>
      <c r="Q39" s="40" t="s">
        <v>26</v>
      </c>
      <c r="R39" s="3" t="s">
        <v>26</v>
      </c>
      <c r="S39" s="40" t="s">
        <v>26</v>
      </c>
      <c r="T39" s="3" t="s">
        <v>26</v>
      </c>
      <c r="U39" s="40" t="s">
        <v>26</v>
      </c>
      <c r="V39" s="3" t="s">
        <v>26</v>
      </c>
      <c r="W39" s="41" t="s">
        <v>26</v>
      </c>
      <c r="X39" s="3" t="s">
        <v>26</v>
      </c>
      <c r="Y39" s="19" t="s">
        <v>26</v>
      </c>
      <c r="Z39" s="3" t="s">
        <v>26</v>
      </c>
      <c r="AA39" s="19" t="s">
        <v>26</v>
      </c>
      <c r="AB39" s="3" t="s">
        <v>26</v>
      </c>
      <c r="AC39" s="19" t="s">
        <v>26</v>
      </c>
      <c r="AD39" s="52" t="s">
        <v>26</v>
      </c>
      <c r="AE39" s="80"/>
    </row>
    <row r="40" spans="1:31" ht="19.899999999999999" customHeight="1">
      <c r="A40" s="165"/>
      <c r="B40" s="146"/>
      <c r="C40" s="104"/>
      <c r="D40" s="161"/>
      <c r="E40" s="129"/>
      <c r="F40" s="150" t="s">
        <v>48</v>
      </c>
      <c r="G40" s="64">
        <v>10</v>
      </c>
      <c r="H40" s="45">
        <v>1</v>
      </c>
      <c r="I40" s="45">
        <v>1</v>
      </c>
      <c r="J40" s="44">
        <f>+H40+I40</f>
        <v>2</v>
      </c>
      <c r="K40" s="45">
        <v>1</v>
      </c>
      <c r="L40" s="37">
        <f>+J40+K40</f>
        <v>3</v>
      </c>
      <c r="M40" s="45">
        <v>0</v>
      </c>
      <c r="N40" s="37">
        <f>+L40+M40</f>
        <v>3</v>
      </c>
      <c r="O40" s="45">
        <v>0</v>
      </c>
      <c r="P40" s="37">
        <f>+N40+O40</f>
        <v>3</v>
      </c>
      <c r="Q40" s="45">
        <v>1</v>
      </c>
      <c r="R40" s="37">
        <f>+P40+Q40</f>
        <v>4</v>
      </c>
      <c r="S40" s="45">
        <v>2</v>
      </c>
      <c r="T40" s="37">
        <f>+R40+S40</f>
        <v>6</v>
      </c>
      <c r="U40" s="45">
        <v>1</v>
      </c>
      <c r="V40" s="37">
        <f>+T40+U40</f>
        <v>7</v>
      </c>
      <c r="W40" s="45">
        <v>1</v>
      </c>
      <c r="X40" s="37">
        <f>+V40+W40</f>
        <v>8</v>
      </c>
      <c r="Y40" s="45">
        <v>0</v>
      </c>
      <c r="Z40" s="37">
        <f>+X40+Y40</f>
        <v>8</v>
      </c>
      <c r="AA40" s="45">
        <v>1</v>
      </c>
      <c r="AB40" s="37">
        <f>+Z40+AA40</f>
        <v>9</v>
      </c>
      <c r="AC40" s="45">
        <v>1</v>
      </c>
      <c r="AD40" s="53">
        <f>+AB40+AC40</f>
        <v>10</v>
      </c>
      <c r="AE40" s="72">
        <f>AD38/E37</f>
        <v>1</v>
      </c>
    </row>
    <row r="41" spans="1:31" ht="19.899999999999999" customHeight="1">
      <c r="A41" s="165"/>
      <c r="B41" s="146"/>
      <c r="C41" s="104"/>
      <c r="D41" s="161"/>
      <c r="E41" s="129"/>
      <c r="F41" s="149"/>
      <c r="G41" s="14" t="s">
        <v>28</v>
      </c>
      <c r="H41" s="21" t="s">
        <v>28</v>
      </c>
      <c r="I41" s="21" t="s">
        <v>28</v>
      </c>
      <c r="J41" s="22" t="s">
        <v>28</v>
      </c>
      <c r="K41" s="42" t="s">
        <v>28</v>
      </c>
      <c r="L41" s="23" t="s">
        <v>28</v>
      </c>
      <c r="M41" s="42" t="s">
        <v>28</v>
      </c>
      <c r="N41" s="23" t="s">
        <v>28</v>
      </c>
      <c r="O41" s="42" t="s">
        <v>28</v>
      </c>
      <c r="P41" s="23" t="s">
        <v>28</v>
      </c>
      <c r="Q41" s="42" t="s">
        <v>28</v>
      </c>
      <c r="R41" s="23" t="s">
        <v>28</v>
      </c>
      <c r="S41" s="42" t="s">
        <v>28</v>
      </c>
      <c r="T41" s="23" t="s">
        <v>28</v>
      </c>
      <c r="U41" s="42" t="s">
        <v>28</v>
      </c>
      <c r="V41" s="23" t="s">
        <v>28</v>
      </c>
      <c r="W41" s="21" t="s">
        <v>28</v>
      </c>
      <c r="X41" s="23" t="s">
        <v>28</v>
      </c>
      <c r="Y41" s="21" t="s">
        <v>28</v>
      </c>
      <c r="Z41" s="23" t="s">
        <v>28</v>
      </c>
      <c r="AA41" s="21" t="s">
        <v>28</v>
      </c>
      <c r="AB41" s="23" t="s">
        <v>28</v>
      </c>
      <c r="AC41" s="21" t="s">
        <v>28</v>
      </c>
      <c r="AD41" s="54" t="s">
        <v>28</v>
      </c>
      <c r="AE41" s="131"/>
    </row>
    <row r="42" spans="1:31" ht="19.899999999999999" customHeight="1">
      <c r="A42" s="166"/>
      <c r="B42" s="147"/>
      <c r="C42" s="105"/>
      <c r="D42" s="162"/>
      <c r="E42" s="130"/>
      <c r="F42" s="151"/>
      <c r="G42" s="65">
        <v>10</v>
      </c>
      <c r="H42" s="24">
        <v>10</v>
      </c>
      <c r="I42" s="24">
        <v>10</v>
      </c>
      <c r="J42" s="43">
        <f>I42</f>
        <v>10</v>
      </c>
      <c r="K42" s="46">
        <v>10</v>
      </c>
      <c r="L42" s="25">
        <f>K42</f>
        <v>10</v>
      </c>
      <c r="M42" s="46">
        <v>10</v>
      </c>
      <c r="N42" s="25">
        <f>M42</f>
        <v>10</v>
      </c>
      <c r="O42" s="46">
        <v>10</v>
      </c>
      <c r="P42" s="25">
        <f>O42</f>
        <v>10</v>
      </c>
      <c r="Q42" s="24">
        <v>10</v>
      </c>
      <c r="R42" s="43">
        <f>Q42</f>
        <v>10</v>
      </c>
      <c r="S42" s="46">
        <v>10</v>
      </c>
      <c r="T42" s="25">
        <f>S42</f>
        <v>10</v>
      </c>
      <c r="U42" s="46">
        <v>10</v>
      </c>
      <c r="V42" s="25">
        <f>U42</f>
        <v>10</v>
      </c>
      <c r="W42" s="46">
        <v>10</v>
      </c>
      <c r="X42" s="25">
        <f>W42</f>
        <v>10</v>
      </c>
      <c r="Y42" s="46">
        <v>10</v>
      </c>
      <c r="Z42" s="25">
        <f>Y42</f>
        <v>10</v>
      </c>
      <c r="AA42" s="46">
        <v>10</v>
      </c>
      <c r="AB42" s="25">
        <f>AA42</f>
        <v>10</v>
      </c>
      <c r="AC42" s="46">
        <v>10</v>
      </c>
      <c r="AD42" s="55">
        <f>AC42</f>
        <v>10</v>
      </c>
      <c r="AE42" s="135"/>
    </row>
    <row r="43" spans="1:31" ht="19.899999999999999" customHeight="1">
      <c r="A43" s="164" t="s">
        <v>49</v>
      </c>
      <c r="B43" s="145" t="s">
        <v>50</v>
      </c>
      <c r="C43" s="103" t="s">
        <v>51</v>
      </c>
      <c r="D43" s="160">
        <v>0.2</v>
      </c>
      <c r="E43" s="128">
        <v>1</v>
      </c>
      <c r="F43" s="148" t="s">
        <v>52</v>
      </c>
      <c r="G43" s="12" t="s">
        <v>25</v>
      </c>
      <c r="H43" s="16" t="s">
        <v>25</v>
      </c>
      <c r="I43" s="16" t="s">
        <v>25</v>
      </c>
      <c r="J43" s="17" t="s">
        <v>25</v>
      </c>
      <c r="K43" s="39" t="s">
        <v>25</v>
      </c>
      <c r="L43" s="2" t="s">
        <v>25</v>
      </c>
      <c r="M43" s="39" t="s">
        <v>25</v>
      </c>
      <c r="N43" s="2" t="s">
        <v>25</v>
      </c>
      <c r="O43" s="39" t="s">
        <v>25</v>
      </c>
      <c r="P43" s="2" t="s">
        <v>25</v>
      </c>
      <c r="Q43" s="39" t="s">
        <v>25</v>
      </c>
      <c r="R43" s="2" t="s">
        <v>25</v>
      </c>
      <c r="S43" s="39" t="s">
        <v>25</v>
      </c>
      <c r="T43" s="2" t="s">
        <v>25</v>
      </c>
      <c r="U43" s="39" t="s">
        <v>25</v>
      </c>
      <c r="V43" s="2" t="s">
        <v>25</v>
      </c>
      <c r="W43" s="16" t="s">
        <v>25</v>
      </c>
      <c r="X43" s="2" t="s">
        <v>25</v>
      </c>
      <c r="Y43" s="16" t="s">
        <v>25</v>
      </c>
      <c r="Z43" s="2" t="s">
        <v>25</v>
      </c>
      <c r="AA43" s="16" t="s">
        <v>25</v>
      </c>
      <c r="AB43" s="2" t="s">
        <v>25</v>
      </c>
      <c r="AC43" s="16" t="s">
        <v>25</v>
      </c>
      <c r="AD43" s="50" t="s">
        <v>25</v>
      </c>
      <c r="AE43" s="78"/>
    </row>
    <row r="44" spans="1:31" ht="19.899999999999999" customHeight="1">
      <c r="A44" s="165"/>
      <c r="B44" s="146"/>
      <c r="C44" s="104"/>
      <c r="D44" s="161"/>
      <c r="E44" s="129"/>
      <c r="F44" s="149"/>
      <c r="G44" s="67">
        <f>IF(G46&lt;&gt;0,+G46/G48,0%)</f>
        <v>1</v>
      </c>
      <c r="H44" s="62">
        <f>IF(H46&lt;&gt;0,+H46/H48,0%)</f>
        <v>0</v>
      </c>
      <c r="I44" s="62">
        <f>IF(I46&lt;&gt;0,+I46/I48,0%)</f>
        <v>0</v>
      </c>
      <c r="J44" s="18">
        <f>IF(J46&lt;&gt;0,+J46/J48,0%)</f>
        <v>0</v>
      </c>
      <c r="K44" s="62">
        <f t="shared" ref="K44:AD44" si="3">IF(K46&lt;&gt;0,+K46/K48,0%)</f>
        <v>0</v>
      </c>
      <c r="L44" s="18">
        <f t="shared" si="3"/>
        <v>0</v>
      </c>
      <c r="M44" s="62">
        <f t="shared" si="3"/>
        <v>0</v>
      </c>
      <c r="N44" s="18">
        <f t="shared" si="3"/>
        <v>0</v>
      </c>
      <c r="O44" s="62">
        <f t="shared" si="3"/>
        <v>0</v>
      </c>
      <c r="P44" s="18">
        <f t="shared" si="3"/>
        <v>0</v>
      </c>
      <c r="Q44" s="62">
        <f t="shared" si="3"/>
        <v>0.25</v>
      </c>
      <c r="R44" s="18">
        <f t="shared" si="3"/>
        <v>0.25</v>
      </c>
      <c r="S44" s="62">
        <f t="shared" si="3"/>
        <v>0</v>
      </c>
      <c r="T44" s="18">
        <f t="shared" si="3"/>
        <v>0.25</v>
      </c>
      <c r="U44" s="62">
        <f t="shared" si="3"/>
        <v>0</v>
      </c>
      <c r="V44" s="18">
        <f t="shared" si="3"/>
        <v>0.25</v>
      </c>
      <c r="W44" s="62">
        <f t="shared" si="3"/>
        <v>0</v>
      </c>
      <c r="X44" s="18">
        <f t="shared" si="3"/>
        <v>0.25</v>
      </c>
      <c r="Y44" s="62">
        <f t="shared" si="3"/>
        <v>0</v>
      </c>
      <c r="Z44" s="18">
        <f t="shared" si="3"/>
        <v>0.25</v>
      </c>
      <c r="AA44" s="62">
        <f t="shared" si="3"/>
        <v>0</v>
      </c>
      <c r="AB44" s="18">
        <f t="shared" si="3"/>
        <v>0.25</v>
      </c>
      <c r="AC44" s="62">
        <f t="shared" si="3"/>
        <v>0.75</v>
      </c>
      <c r="AD44" s="51">
        <f t="shared" si="3"/>
        <v>1</v>
      </c>
      <c r="AE44" s="79"/>
    </row>
    <row r="45" spans="1:31" ht="19.899999999999999" customHeight="1">
      <c r="A45" s="165"/>
      <c r="B45" s="146"/>
      <c r="C45" s="104"/>
      <c r="D45" s="161"/>
      <c r="E45" s="129"/>
      <c r="F45" s="149"/>
      <c r="G45" s="13" t="s">
        <v>26</v>
      </c>
      <c r="H45" s="19" t="s">
        <v>26</v>
      </c>
      <c r="I45" s="19"/>
      <c r="J45" s="20" t="s">
        <v>26</v>
      </c>
      <c r="K45" s="40" t="s">
        <v>26</v>
      </c>
      <c r="L45" s="3" t="s">
        <v>26</v>
      </c>
      <c r="M45" s="40" t="s">
        <v>26</v>
      </c>
      <c r="N45" s="3" t="s">
        <v>26</v>
      </c>
      <c r="O45" s="40" t="s">
        <v>26</v>
      </c>
      <c r="P45" s="3" t="s">
        <v>26</v>
      </c>
      <c r="Q45" s="40" t="s">
        <v>26</v>
      </c>
      <c r="R45" s="3" t="s">
        <v>26</v>
      </c>
      <c r="S45" s="40" t="s">
        <v>26</v>
      </c>
      <c r="T45" s="3" t="s">
        <v>26</v>
      </c>
      <c r="U45" s="40" t="s">
        <v>26</v>
      </c>
      <c r="V45" s="3" t="s">
        <v>26</v>
      </c>
      <c r="W45" s="41" t="s">
        <v>26</v>
      </c>
      <c r="X45" s="3" t="s">
        <v>26</v>
      </c>
      <c r="Y45" s="19" t="s">
        <v>26</v>
      </c>
      <c r="Z45" s="3" t="s">
        <v>26</v>
      </c>
      <c r="AA45" s="19" t="s">
        <v>26</v>
      </c>
      <c r="AB45" s="3" t="s">
        <v>26</v>
      </c>
      <c r="AC45" s="19" t="s">
        <v>26</v>
      </c>
      <c r="AD45" s="52" t="s">
        <v>26</v>
      </c>
      <c r="AE45" s="80"/>
    </row>
    <row r="46" spans="1:31" ht="19.899999999999999" customHeight="1">
      <c r="A46" s="165"/>
      <c r="B46" s="146"/>
      <c r="C46" s="104"/>
      <c r="D46" s="161"/>
      <c r="E46" s="129"/>
      <c r="F46" s="150" t="s">
        <v>53</v>
      </c>
      <c r="G46" s="64">
        <v>4</v>
      </c>
      <c r="H46" s="45">
        <v>0</v>
      </c>
      <c r="I46" s="45">
        <v>0</v>
      </c>
      <c r="J46" s="44">
        <f>+H46+I46</f>
        <v>0</v>
      </c>
      <c r="K46" s="45">
        <v>0</v>
      </c>
      <c r="L46" s="37">
        <f>+J46+K46</f>
        <v>0</v>
      </c>
      <c r="M46" s="45">
        <v>0</v>
      </c>
      <c r="N46" s="37">
        <f>+L46+M46</f>
        <v>0</v>
      </c>
      <c r="O46" s="45">
        <v>0</v>
      </c>
      <c r="P46" s="37">
        <f>+N46+O46</f>
        <v>0</v>
      </c>
      <c r="Q46" s="45">
        <v>1</v>
      </c>
      <c r="R46" s="37">
        <f>+P46+Q46</f>
        <v>1</v>
      </c>
      <c r="S46" s="45">
        <v>0</v>
      </c>
      <c r="T46" s="37">
        <f>+R46+S46</f>
        <v>1</v>
      </c>
      <c r="U46" s="45">
        <v>0</v>
      </c>
      <c r="V46" s="37">
        <f>+T46+U46</f>
        <v>1</v>
      </c>
      <c r="W46" s="45">
        <v>0</v>
      </c>
      <c r="X46" s="37">
        <f>+V46+W46</f>
        <v>1</v>
      </c>
      <c r="Y46" s="45">
        <v>0</v>
      </c>
      <c r="Z46" s="37">
        <f>+X46+Y46</f>
        <v>1</v>
      </c>
      <c r="AA46" s="45">
        <v>0</v>
      </c>
      <c r="AB46" s="37">
        <f>+Z46+AA46</f>
        <v>1</v>
      </c>
      <c r="AC46" s="45">
        <v>3</v>
      </c>
      <c r="AD46" s="53">
        <f>+AB46+AC46</f>
        <v>4</v>
      </c>
      <c r="AE46" s="72">
        <f>AD44/E43</f>
        <v>1</v>
      </c>
    </row>
    <row r="47" spans="1:31" ht="19.899999999999999" customHeight="1">
      <c r="A47" s="165"/>
      <c r="B47" s="146"/>
      <c r="C47" s="104"/>
      <c r="D47" s="161"/>
      <c r="E47" s="129"/>
      <c r="F47" s="149"/>
      <c r="G47" s="14"/>
      <c r="H47" s="21" t="s">
        <v>28</v>
      </c>
      <c r="I47" s="21" t="s">
        <v>28</v>
      </c>
      <c r="J47" s="22" t="s">
        <v>28</v>
      </c>
      <c r="K47" s="42" t="s">
        <v>28</v>
      </c>
      <c r="L47" s="23" t="s">
        <v>28</v>
      </c>
      <c r="M47" s="42" t="s">
        <v>28</v>
      </c>
      <c r="N47" s="23" t="s">
        <v>28</v>
      </c>
      <c r="O47" s="42" t="s">
        <v>28</v>
      </c>
      <c r="P47" s="23" t="s">
        <v>28</v>
      </c>
      <c r="Q47" s="42" t="s">
        <v>28</v>
      </c>
      <c r="R47" s="23" t="s">
        <v>28</v>
      </c>
      <c r="S47" s="42" t="s">
        <v>28</v>
      </c>
      <c r="T47" s="23" t="s">
        <v>28</v>
      </c>
      <c r="U47" s="42" t="s">
        <v>28</v>
      </c>
      <c r="V47" s="23" t="s">
        <v>28</v>
      </c>
      <c r="W47" s="21" t="s">
        <v>28</v>
      </c>
      <c r="X47" s="23" t="s">
        <v>28</v>
      </c>
      <c r="Y47" s="21" t="s">
        <v>28</v>
      </c>
      <c r="Z47" s="23" t="s">
        <v>28</v>
      </c>
      <c r="AA47" s="21" t="s">
        <v>28</v>
      </c>
      <c r="AB47" s="23" t="s">
        <v>28</v>
      </c>
      <c r="AC47" s="21" t="s">
        <v>28</v>
      </c>
      <c r="AD47" s="54" t="s">
        <v>28</v>
      </c>
      <c r="AE47" s="131"/>
    </row>
    <row r="48" spans="1:31" ht="19.899999999999999" customHeight="1">
      <c r="A48" s="166"/>
      <c r="B48" s="147"/>
      <c r="C48" s="105"/>
      <c r="D48" s="162"/>
      <c r="E48" s="130"/>
      <c r="F48" s="151"/>
      <c r="G48" s="65">
        <v>4</v>
      </c>
      <c r="H48" s="24">
        <v>4</v>
      </c>
      <c r="I48" s="24">
        <v>4</v>
      </c>
      <c r="J48" s="43">
        <f>I48</f>
        <v>4</v>
      </c>
      <c r="K48" s="46">
        <v>4</v>
      </c>
      <c r="L48" s="25">
        <f>K48</f>
        <v>4</v>
      </c>
      <c r="M48" s="46">
        <v>4</v>
      </c>
      <c r="N48" s="25">
        <f>M48</f>
        <v>4</v>
      </c>
      <c r="O48" s="46">
        <v>4</v>
      </c>
      <c r="P48" s="25">
        <f>O48</f>
        <v>4</v>
      </c>
      <c r="Q48" s="24">
        <v>4</v>
      </c>
      <c r="R48" s="43">
        <f>Q48</f>
        <v>4</v>
      </c>
      <c r="S48" s="46">
        <v>4</v>
      </c>
      <c r="T48" s="25">
        <f>S48</f>
        <v>4</v>
      </c>
      <c r="U48" s="46">
        <v>4</v>
      </c>
      <c r="V48" s="25">
        <f>U48</f>
        <v>4</v>
      </c>
      <c r="W48" s="46">
        <v>4</v>
      </c>
      <c r="X48" s="25">
        <f>W48</f>
        <v>4</v>
      </c>
      <c r="Y48" s="46">
        <v>4</v>
      </c>
      <c r="Z48" s="25">
        <f>Y48</f>
        <v>4</v>
      </c>
      <c r="AA48" s="46">
        <v>4</v>
      </c>
      <c r="AB48" s="25">
        <f>AA48</f>
        <v>4</v>
      </c>
      <c r="AC48" s="46">
        <v>4</v>
      </c>
      <c r="AD48" s="55">
        <f>AC48</f>
        <v>4</v>
      </c>
      <c r="AE48" s="135"/>
    </row>
    <row r="49" spans="1:34" ht="19.899999999999999" customHeight="1">
      <c r="A49" s="198" t="s">
        <v>54</v>
      </c>
      <c r="B49" s="145" t="s">
        <v>55</v>
      </c>
      <c r="C49" s="103" t="s">
        <v>56</v>
      </c>
      <c r="D49" s="160">
        <v>0.2</v>
      </c>
      <c r="E49" s="128">
        <v>1</v>
      </c>
      <c r="F49" s="148" t="s">
        <v>57</v>
      </c>
      <c r="G49" s="12" t="s">
        <v>25</v>
      </c>
      <c r="H49" s="16" t="s">
        <v>25</v>
      </c>
      <c r="I49" s="16" t="s">
        <v>25</v>
      </c>
      <c r="J49" s="17" t="s">
        <v>25</v>
      </c>
      <c r="K49" s="39" t="s">
        <v>25</v>
      </c>
      <c r="L49" s="2" t="s">
        <v>25</v>
      </c>
      <c r="M49" s="39" t="s">
        <v>25</v>
      </c>
      <c r="N49" s="2" t="s">
        <v>25</v>
      </c>
      <c r="O49" s="39" t="s">
        <v>25</v>
      </c>
      <c r="P49" s="2" t="s">
        <v>25</v>
      </c>
      <c r="Q49" s="39" t="s">
        <v>25</v>
      </c>
      <c r="R49" s="2" t="s">
        <v>25</v>
      </c>
      <c r="S49" s="39" t="s">
        <v>25</v>
      </c>
      <c r="T49" s="2" t="s">
        <v>25</v>
      </c>
      <c r="U49" s="39" t="s">
        <v>25</v>
      </c>
      <c r="V49" s="2" t="s">
        <v>25</v>
      </c>
      <c r="W49" s="16" t="s">
        <v>25</v>
      </c>
      <c r="X49" s="2" t="s">
        <v>25</v>
      </c>
      <c r="Y49" s="16" t="s">
        <v>25</v>
      </c>
      <c r="Z49" s="2" t="s">
        <v>25</v>
      </c>
      <c r="AA49" s="16" t="s">
        <v>25</v>
      </c>
      <c r="AB49" s="2" t="s">
        <v>25</v>
      </c>
      <c r="AC49" s="16" t="s">
        <v>25</v>
      </c>
      <c r="AD49" s="50" t="s">
        <v>25</v>
      </c>
      <c r="AE49" s="78"/>
    </row>
    <row r="50" spans="1:34" ht="19.899999999999999" customHeight="1">
      <c r="A50" s="146"/>
      <c r="B50" s="146"/>
      <c r="C50" s="104"/>
      <c r="D50" s="161"/>
      <c r="E50" s="129"/>
      <c r="F50" s="149"/>
      <c r="G50" s="67">
        <f>IF(G52&lt;&gt;0,+G52/G54,0%)</f>
        <v>1</v>
      </c>
      <c r="H50" s="62">
        <f>IF(H52&lt;&gt;0,+H52/H54,0%)</f>
        <v>0</v>
      </c>
      <c r="I50" s="62">
        <f>IF(I52&lt;&gt;0,+I52/I54,0%)</f>
        <v>0</v>
      </c>
      <c r="J50" s="18">
        <f>IF(J52&lt;&gt;0,+J52/J54,0%)</f>
        <v>0</v>
      </c>
      <c r="K50" s="62">
        <f t="shared" ref="K50:AD50" si="4">IF(K52&lt;&gt;0,+K52/K54,0%)</f>
        <v>0</v>
      </c>
      <c r="L50" s="18">
        <f t="shared" si="4"/>
        <v>0</v>
      </c>
      <c r="M50" s="62">
        <f t="shared" si="4"/>
        <v>0</v>
      </c>
      <c r="N50" s="18">
        <f t="shared" si="4"/>
        <v>0</v>
      </c>
      <c r="O50" s="62">
        <f t="shared" si="4"/>
        <v>0</v>
      </c>
      <c r="P50" s="18">
        <f t="shared" si="4"/>
        <v>0</v>
      </c>
      <c r="Q50" s="62">
        <f t="shared" si="4"/>
        <v>0.66666666666666663</v>
      </c>
      <c r="R50" s="18">
        <f t="shared" si="4"/>
        <v>0.66666666666666663</v>
      </c>
      <c r="S50" s="62">
        <f t="shared" si="4"/>
        <v>0</v>
      </c>
      <c r="T50" s="18">
        <f t="shared" si="4"/>
        <v>0.66666666666666663</v>
      </c>
      <c r="U50" s="62">
        <f t="shared" si="4"/>
        <v>0</v>
      </c>
      <c r="V50" s="18">
        <f t="shared" si="4"/>
        <v>0.66666666666666663</v>
      </c>
      <c r="W50" s="62">
        <f t="shared" si="4"/>
        <v>0</v>
      </c>
      <c r="X50" s="18">
        <f t="shared" si="4"/>
        <v>0.66666666666666663</v>
      </c>
      <c r="Y50" s="62">
        <f t="shared" si="4"/>
        <v>0</v>
      </c>
      <c r="Z50" s="18">
        <f t="shared" si="4"/>
        <v>0.22222222222222221</v>
      </c>
      <c r="AA50" s="62">
        <f t="shared" si="4"/>
        <v>0</v>
      </c>
      <c r="AB50" s="18">
        <f t="shared" si="4"/>
        <v>0.66666666666666663</v>
      </c>
      <c r="AC50" s="62">
        <f t="shared" si="4"/>
        <v>0.33333333333333331</v>
      </c>
      <c r="AD50" s="51">
        <f t="shared" si="4"/>
        <v>1</v>
      </c>
      <c r="AE50" s="79"/>
    </row>
    <row r="51" spans="1:34" ht="19.899999999999999" customHeight="1">
      <c r="A51" s="146"/>
      <c r="B51" s="146"/>
      <c r="C51" s="104"/>
      <c r="D51" s="161"/>
      <c r="E51" s="129"/>
      <c r="F51" s="149"/>
      <c r="G51" s="13" t="s">
        <v>26</v>
      </c>
      <c r="H51" s="19" t="s">
        <v>26</v>
      </c>
      <c r="I51" s="19"/>
      <c r="J51" s="20" t="s">
        <v>26</v>
      </c>
      <c r="K51" s="40" t="s">
        <v>26</v>
      </c>
      <c r="L51" s="3" t="s">
        <v>26</v>
      </c>
      <c r="M51" s="40" t="s">
        <v>26</v>
      </c>
      <c r="N51" s="3" t="s">
        <v>26</v>
      </c>
      <c r="O51" s="40" t="s">
        <v>26</v>
      </c>
      <c r="P51" s="3" t="s">
        <v>26</v>
      </c>
      <c r="Q51" s="40" t="s">
        <v>26</v>
      </c>
      <c r="R51" s="3" t="s">
        <v>26</v>
      </c>
      <c r="S51" s="40" t="s">
        <v>26</v>
      </c>
      <c r="T51" s="3" t="s">
        <v>26</v>
      </c>
      <c r="U51" s="40" t="s">
        <v>26</v>
      </c>
      <c r="V51" s="3" t="s">
        <v>26</v>
      </c>
      <c r="W51" s="41" t="s">
        <v>26</v>
      </c>
      <c r="X51" s="3" t="s">
        <v>26</v>
      </c>
      <c r="Y51" s="19" t="s">
        <v>26</v>
      </c>
      <c r="Z51" s="3" t="s">
        <v>26</v>
      </c>
      <c r="AA51" s="19" t="s">
        <v>26</v>
      </c>
      <c r="AB51" s="3" t="s">
        <v>26</v>
      </c>
      <c r="AC51" s="19" t="s">
        <v>26</v>
      </c>
      <c r="AD51" s="52" t="s">
        <v>26</v>
      </c>
      <c r="AE51" s="80"/>
    </row>
    <row r="52" spans="1:34" ht="19.899999999999999" customHeight="1">
      <c r="A52" s="146"/>
      <c r="B52" s="146"/>
      <c r="C52" s="104"/>
      <c r="D52" s="161"/>
      <c r="E52" s="129"/>
      <c r="F52" s="150" t="s">
        <v>58</v>
      </c>
      <c r="G52" s="64">
        <v>3</v>
      </c>
      <c r="H52" s="45">
        <v>0</v>
      </c>
      <c r="I52" s="45">
        <v>0</v>
      </c>
      <c r="J52" s="44">
        <f>+H52+I52</f>
        <v>0</v>
      </c>
      <c r="K52" s="45">
        <v>0</v>
      </c>
      <c r="L52" s="37">
        <f>J52+K52</f>
        <v>0</v>
      </c>
      <c r="M52" s="45">
        <v>0</v>
      </c>
      <c r="N52" s="37">
        <f>+L52+M52</f>
        <v>0</v>
      </c>
      <c r="O52" s="45">
        <v>0</v>
      </c>
      <c r="P52" s="37">
        <f>+N52+O52</f>
        <v>0</v>
      </c>
      <c r="Q52" s="45">
        <v>2</v>
      </c>
      <c r="R52" s="37">
        <f>+P52+Q52</f>
        <v>2</v>
      </c>
      <c r="S52" s="45">
        <v>0</v>
      </c>
      <c r="T52" s="37">
        <f>+R52+S52</f>
        <v>2</v>
      </c>
      <c r="U52" s="45">
        <v>0</v>
      </c>
      <c r="V52" s="37">
        <f>+T52+U52</f>
        <v>2</v>
      </c>
      <c r="W52" s="45">
        <v>0</v>
      </c>
      <c r="X52" s="37">
        <f>+V52+W52</f>
        <v>2</v>
      </c>
      <c r="Y52" s="45">
        <v>0</v>
      </c>
      <c r="Z52" s="37">
        <f>+X52+Y52</f>
        <v>2</v>
      </c>
      <c r="AA52" s="45">
        <v>0</v>
      </c>
      <c r="AB52" s="37">
        <f>+Z52+AA52</f>
        <v>2</v>
      </c>
      <c r="AC52" s="45">
        <v>1</v>
      </c>
      <c r="AD52" s="53">
        <f>+AB52+AC52</f>
        <v>3</v>
      </c>
      <c r="AE52" s="72">
        <f>AD50/E49</f>
        <v>1</v>
      </c>
    </row>
    <row r="53" spans="1:34" ht="19.899999999999999" customHeight="1">
      <c r="A53" s="146"/>
      <c r="B53" s="146"/>
      <c r="C53" s="104"/>
      <c r="D53" s="161"/>
      <c r="E53" s="129"/>
      <c r="F53" s="149"/>
      <c r="G53" s="14" t="s">
        <v>28</v>
      </c>
      <c r="H53" s="21" t="s">
        <v>28</v>
      </c>
      <c r="I53" s="21" t="s">
        <v>28</v>
      </c>
      <c r="J53" s="22" t="s">
        <v>28</v>
      </c>
      <c r="K53" s="42" t="s">
        <v>28</v>
      </c>
      <c r="L53" s="23" t="s">
        <v>28</v>
      </c>
      <c r="M53" s="42" t="s">
        <v>28</v>
      </c>
      <c r="N53" s="23" t="s">
        <v>28</v>
      </c>
      <c r="O53" s="42" t="s">
        <v>28</v>
      </c>
      <c r="P53" s="23" t="s">
        <v>28</v>
      </c>
      <c r="Q53" s="42" t="s">
        <v>28</v>
      </c>
      <c r="R53" s="23" t="s">
        <v>28</v>
      </c>
      <c r="S53" s="42" t="s">
        <v>28</v>
      </c>
      <c r="T53" s="23" t="s">
        <v>28</v>
      </c>
      <c r="U53" s="42" t="s">
        <v>28</v>
      </c>
      <c r="V53" s="23" t="s">
        <v>28</v>
      </c>
      <c r="W53" s="21" t="s">
        <v>28</v>
      </c>
      <c r="X53" s="23" t="s">
        <v>28</v>
      </c>
      <c r="Y53" s="21" t="s">
        <v>28</v>
      </c>
      <c r="Z53" s="23" t="s">
        <v>28</v>
      </c>
      <c r="AA53" s="21" t="s">
        <v>28</v>
      </c>
      <c r="AB53" s="23" t="s">
        <v>28</v>
      </c>
      <c r="AC53" s="21" t="s">
        <v>28</v>
      </c>
      <c r="AD53" s="54" t="s">
        <v>28</v>
      </c>
      <c r="AE53" s="131"/>
    </row>
    <row r="54" spans="1:34" ht="19.899999999999999" customHeight="1">
      <c r="A54" s="147"/>
      <c r="B54" s="147"/>
      <c r="C54" s="105"/>
      <c r="D54" s="162"/>
      <c r="E54" s="130"/>
      <c r="F54" s="151"/>
      <c r="G54" s="65">
        <v>3</v>
      </c>
      <c r="H54" s="24">
        <v>3</v>
      </c>
      <c r="I54" s="24">
        <v>3</v>
      </c>
      <c r="J54" s="43">
        <f>I54</f>
        <v>3</v>
      </c>
      <c r="K54" s="46">
        <v>3</v>
      </c>
      <c r="L54" s="25">
        <f>K54</f>
        <v>3</v>
      </c>
      <c r="M54" s="46">
        <v>3</v>
      </c>
      <c r="N54" s="25">
        <f>M54</f>
        <v>3</v>
      </c>
      <c r="O54" s="46">
        <v>3</v>
      </c>
      <c r="P54" s="25">
        <f>O54</f>
        <v>3</v>
      </c>
      <c r="Q54" s="24">
        <v>3</v>
      </c>
      <c r="R54" s="43">
        <f>Q54</f>
        <v>3</v>
      </c>
      <c r="S54" s="46">
        <v>3</v>
      </c>
      <c r="T54" s="25">
        <f>S54</f>
        <v>3</v>
      </c>
      <c r="U54" s="46">
        <v>3</v>
      </c>
      <c r="V54" s="25">
        <f>U54</f>
        <v>3</v>
      </c>
      <c r="W54" s="46">
        <v>3</v>
      </c>
      <c r="X54" s="25">
        <f>W54</f>
        <v>3</v>
      </c>
      <c r="Y54" s="46">
        <v>9</v>
      </c>
      <c r="Z54" s="25">
        <f>Y54</f>
        <v>9</v>
      </c>
      <c r="AA54" s="46">
        <v>3</v>
      </c>
      <c r="AB54" s="25">
        <f>AA54</f>
        <v>3</v>
      </c>
      <c r="AC54" s="46">
        <v>3</v>
      </c>
      <c r="AD54" s="55">
        <f>AC54</f>
        <v>3</v>
      </c>
      <c r="AE54" s="132"/>
    </row>
    <row r="55" spans="1:34"/>
    <row r="58" spans="1:34">
      <c r="AH58" s="86"/>
    </row>
    <row r="62" spans="1:34" ht="12.75" customHeight="1">
      <c r="C62" s="86"/>
      <c r="D62" s="86"/>
    </row>
  </sheetData>
  <mergeCells count="96">
    <mergeCell ref="C6:F6"/>
    <mergeCell ref="G6:L6"/>
    <mergeCell ref="B8:F8"/>
    <mergeCell ref="B9:F9"/>
    <mergeCell ref="B11:B12"/>
    <mergeCell ref="B7:F7"/>
    <mergeCell ref="D11:D12"/>
    <mergeCell ref="H11:H12"/>
    <mergeCell ref="I11:I12"/>
    <mergeCell ref="J11:J12"/>
    <mergeCell ref="C11:C12"/>
    <mergeCell ref="E11:E12"/>
    <mergeCell ref="G11:G12"/>
    <mergeCell ref="F11:F12"/>
    <mergeCell ref="B1:B5"/>
    <mergeCell ref="C1:F5"/>
    <mergeCell ref="G1:L1"/>
    <mergeCell ref="G2:L2"/>
    <mergeCell ref="G3:L3"/>
    <mergeCell ref="G4:L4"/>
    <mergeCell ref="G5:L5"/>
    <mergeCell ref="F13:F15"/>
    <mergeCell ref="B19:B24"/>
    <mergeCell ref="C19:C24"/>
    <mergeCell ref="E19:E24"/>
    <mergeCell ref="E13:E18"/>
    <mergeCell ref="B13:B18"/>
    <mergeCell ref="C13:C18"/>
    <mergeCell ref="F16:F18"/>
    <mergeCell ref="F19:F21"/>
    <mergeCell ref="F22:F24"/>
    <mergeCell ref="D13:D18"/>
    <mergeCell ref="D19:D24"/>
    <mergeCell ref="AE35:AE36"/>
    <mergeCell ref="F37:F39"/>
    <mergeCell ref="F40:F42"/>
    <mergeCell ref="AE41:AE42"/>
    <mergeCell ref="AE47:AE48"/>
    <mergeCell ref="F25:F27"/>
    <mergeCell ref="C25:C30"/>
    <mergeCell ref="E25:E30"/>
    <mergeCell ref="F28:F30"/>
    <mergeCell ref="B25:B30"/>
    <mergeCell ref="D25:D30"/>
    <mergeCell ref="E43:E48"/>
    <mergeCell ref="B43:B48"/>
    <mergeCell ref="C43:C48"/>
    <mergeCell ref="F43:F45"/>
    <mergeCell ref="B37:B42"/>
    <mergeCell ref="C37:C42"/>
    <mergeCell ref="F46:F48"/>
    <mergeCell ref="D37:D42"/>
    <mergeCell ref="D43:D48"/>
    <mergeCell ref="E31:E36"/>
    <mergeCell ref="E37:E42"/>
    <mergeCell ref="F31:F33"/>
    <mergeCell ref="F34:F36"/>
    <mergeCell ref="B31:B36"/>
    <mergeCell ref="C31:C36"/>
    <mergeCell ref="D31:D36"/>
    <mergeCell ref="AE53:AE54"/>
    <mergeCell ref="B49:B54"/>
    <mergeCell ref="C49:C54"/>
    <mergeCell ref="E49:E54"/>
    <mergeCell ref="F49:F51"/>
    <mergeCell ref="F52:F54"/>
    <mergeCell ref="D49:D54"/>
    <mergeCell ref="V11:V12"/>
    <mergeCell ref="K11:K12"/>
    <mergeCell ref="L11:L12"/>
    <mergeCell ref="M11:M12"/>
    <mergeCell ref="N11:N12"/>
    <mergeCell ref="W11:W12"/>
    <mergeCell ref="O11:O12"/>
    <mergeCell ref="X11:X12"/>
    <mergeCell ref="AE11:AE12"/>
    <mergeCell ref="Z11:Z12"/>
    <mergeCell ref="Y11:Y12"/>
    <mergeCell ref="Q11:Q12"/>
    <mergeCell ref="R11:R12"/>
    <mergeCell ref="S11:S12"/>
    <mergeCell ref="T11:T12"/>
    <mergeCell ref="AA11:AA12"/>
    <mergeCell ref="AB11:AB12"/>
    <mergeCell ref="AC11:AC12"/>
    <mergeCell ref="AD11:AD12"/>
    <mergeCell ref="U11:U12"/>
    <mergeCell ref="P11:P12"/>
    <mergeCell ref="A37:A42"/>
    <mergeCell ref="A43:A48"/>
    <mergeCell ref="A49:A54"/>
    <mergeCell ref="A11:A12"/>
    <mergeCell ref="A13:A18"/>
    <mergeCell ref="A19:A24"/>
    <mergeCell ref="A25:A30"/>
    <mergeCell ref="A31:A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74F7-5DBE-4FF1-B845-399573118EA7}">
  <dimension ref="A1:K27"/>
  <sheetViews>
    <sheetView workbookViewId="0">
      <selection activeCell="M5" sqref="M5"/>
    </sheetView>
  </sheetViews>
  <sheetFormatPr defaultRowHeight="12.75"/>
  <cols>
    <col min="1" max="1" width="41.42578125" customWidth="1"/>
  </cols>
  <sheetData>
    <row r="1" spans="1:11">
      <c r="A1" s="204" t="s">
        <v>62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</row>
    <row r="2" spans="1:11">
      <c r="A2" s="204"/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>
      <c r="A3" s="206" t="s">
        <v>63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1:11">
      <c r="A5" s="207" t="s">
        <v>64</v>
      </c>
      <c r="B5" s="207" t="s">
        <v>65</v>
      </c>
      <c r="C5" s="208" t="s">
        <v>66</v>
      </c>
      <c r="D5" s="208" t="s">
        <v>67</v>
      </c>
      <c r="E5" s="209" t="s">
        <v>68</v>
      </c>
      <c r="F5" s="209"/>
      <c r="G5" s="208" t="s">
        <v>69</v>
      </c>
      <c r="H5" s="208" t="s">
        <v>70</v>
      </c>
      <c r="I5" s="210" t="s">
        <v>71</v>
      </c>
      <c r="J5" s="210"/>
      <c r="K5" s="210"/>
    </row>
    <row r="6" spans="1:11">
      <c r="A6" s="207"/>
      <c r="B6" s="207"/>
      <c r="C6" s="208"/>
      <c r="D6" s="208"/>
      <c r="E6" s="209"/>
      <c r="F6" s="209"/>
      <c r="G6" s="208"/>
      <c r="H6" s="208"/>
      <c r="I6" s="210"/>
      <c r="J6" s="210"/>
      <c r="K6" s="210"/>
    </row>
    <row r="7" spans="1:11" ht="40.5">
      <c r="A7" s="207"/>
      <c r="B7" s="207"/>
      <c r="C7" s="208"/>
      <c r="D7" s="208"/>
      <c r="E7" s="88" t="s">
        <v>16</v>
      </c>
      <c r="F7" s="88" t="s">
        <v>72</v>
      </c>
      <c r="G7" s="208"/>
      <c r="H7" s="208"/>
      <c r="I7" s="89" t="s">
        <v>73</v>
      </c>
      <c r="J7" s="89" t="s">
        <v>69</v>
      </c>
      <c r="K7" s="89" t="s">
        <v>66</v>
      </c>
    </row>
    <row r="8" spans="1:11" ht="13.5">
      <c r="A8" s="217" t="s">
        <v>74</v>
      </c>
      <c r="B8" s="217" t="s">
        <v>23</v>
      </c>
      <c r="C8" s="225">
        <v>0.2</v>
      </c>
      <c r="D8" s="227">
        <v>1</v>
      </c>
      <c r="E8" s="90">
        <f>+'[1]Plantilla SIG'!AB16</f>
        <v>2</v>
      </c>
      <c r="F8" s="221">
        <f>+'[1]Plantilla SIG'!AB14</f>
        <v>0.66666666666666696</v>
      </c>
      <c r="G8" s="223">
        <f>F8/D8</f>
        <v>0.66666666666666696</v>
      </c>
      <c r="H8" s="211">
        <f t="shared" ref="H8:H10" si="0">IF(G8&gt;100%,C8,G8*C8)</f>
        <v>0.13333333333333339</v>
      </c>
      <c r="I8" s="213">
        <f>+[1]Proyección!R14</f>
        <v>0.66669999999999996</v>
      </c>
      <c r="J8" s="215">
        <f>+I8/D8</f>
        <v>0.66669999999999996</v>
      </c>
      <c r="K8" s="215">
        <f t="shared" ref="K8:K10" si="1">IF(J8&gt;100%,C8,J8*C8)</f>
        <v>0.13333999999999999</v>
      </c>
    </row>
    <row r="9" spans="1:11" ht="24" customHeight="1">
      <c r="A9" s="218"/>
      <c r="B9" s="218"/>
      <c r="C9" s="226"/>
      <c r="D9" s="228"/>
      <c r="E9" s="91">
        <f>+'[1]Plantilla SIG'!AB18</f>
        <v>3</v>
      </c>
      <c r="F9" s="222"/>
      <c r="G9" s="224"/>
      <c r="H9" s="212">
        <f t="shared" ref="H9:H11" si="2">IF(G9&gt;100%,D9,G9*D9)</f>
        <v>0</v>
      </c>
      <c r="I9" s="214"/>
      <c r="J9" s="216"/>
      <c r="K9" s="212">
        <f t="shared" ref="K9:K11" si="3">IF(J9&gt;100%,G9,J9*G9)</f>
        <v>0</v>
      </c>
    </row>
    <row r="10" spans="1:11" ht="13.5">
      <c r="A10" s="217" t="s">
        <v>75</v>
      </c>
      <c r="B10" s="217" t="s">
        <v>76</v>
      </c>
      <c r="C10" s="219">
        <v>0.1</v>
      </c>
      <c r="D10" s="221">
        <v>1</v>
      </c>
      <c r="E10" s="92">
        <f>+'[1]Plantilla SIG'!AB22</f>
        <v>0</v>
      </c>
      <c r="F10" s="221">
        <f>+'[1]Plantilla SIG'!AC22</f>
        <v>0</v>
      </c>
      <c r="G10" s="223">
        <f>F10/D10</f>
        <v>0</v>
      </c>
      <c r="H10" s="211">
        <f t="shared" si="0"/>
        <v>0</v>
      </c>
      <c r="I10" s="213">
        <f>+[1]Proyección!R20</f>
        <v>0</v>
      </c>
      <c r="J10" s="215">
        <f>+I10/D10</f>
        <v>0</v>
      </c>
      <c r="K10" s="215">
        <f t="shared" si="1"/>
        <v>0</v>
      </c>
    </row>
    <row r="11" spans="1:11" ht="28.5" customHeight="1">
      <c r="A11" s="218"/>
      <c r="B11" s="218"/>
      <c r="C11" s="220"/>
      <c r="D11" s="222"/>
      <c r="E11" s="92">
        <f>+'[1]Plantilla SIG'!AB24</f>
        <v>2</v>
      </c>
      <c r="F11" s="222"/>
      <c r="G11" s="224"/>
      <c r="H11" s="229">
        <f t="shared" si="2"/>
        <v>0</v>
      </c>
      <c r="I11" s="214"/>
      <c r="J11" s="216"/>
      <c r="K11" s="216">
        <f t="shared" si="3"/>
        <v>0</v>
      </c>
    </row>
    <row r="12" spans="1:11" ht="13.5">
      <c r="A12" s="217" t="s">
        <v>77</v>
      </c>
      <c r="B12" s="217" t="s">
        <v>36</v>
      </c>
      <c r="C12" s="219">
        <v>0.1</v>
      </c>
      <c r="D12" s="221">
        <v>1</v>
      </c>
      <c r="E12" s="92">
        <f>+'[1]Plantilla SIG'!AB28</f>
        <v>0</v>
      </c>
      <c r="F12" s="230">
        <f>+'[1]Plantilla SIG'!AB26</f>
        <v>0</v>
      </c>
      <c r="G12" s="223">
        <f>F12/D12</f>
        <v>0</v>
      </c>
      <c r="H12" s="211">
        <f t="shared" ref="H12" si="4">IF(G12&gt;100%,C12,G12*C12)</f>
        <v>0</v>
      </c>
      <c r="I12" s="213">
        <f>+[1]Proyección!R26</f>
        <v>0</v>
      </c>
      <c r="J12" s="215">
        <f>+I12/D12</f>
        <v>0</v>
      </c>
      <c r="K12" s="215">
        <f t="shared" ref="K12" si="5">IF(J12&gt;100%,C12,J12*C12)</f>
        <v>0</v>
      </c>
    </row>
    <row r="13" spans="1:11" ht="34.5" customHeight="1">
      <c r="A13" s="218"/>
      <c r="B13" s="218"/>
      <c r="C13" s="220"/>
      <c r="D13" s="222"/>
      <c r="E13" s="92">
        <f>+'[1]Plantilla SIG'!AB30</f>
        <v>86</v>
      </c>
      <c r="F13" s="231"/>
      <c r="G13" s="224"/>
      <c r="H13" s="229">
        <f t="shared" ref="H13" si="6">IF(G13&gt;100%,D13,G13*D13)</f>
        <v>0</v>
      </c>
      <c r="I13" s="214"/>
      <c r="J13" s="216"/>
      <c r="K13" s="216">
        <f t="shared" ref="K13" si="7">IF(J13&gt;100%,G13,J13*G13)</f>
        <v>0</v>
      </c>
    </row>
    <row r="14" spans="1:11" ht="13.5">
      <c r="A14" s="217" t="s">
        <v>78</v>
      </c>
      <c r="B14" s="217" t="s">
        <v>41</v>
      </c>
      <c r="C14" s="219">
        <v>0.1</v>
      </c>
      <c r="D14" s="227">
        <v>0.6</v>
      </c>
      <c r="E14" s="92">
        <f>'[1]Plantilla SIG'!AB34</f>
        <v>2</v>
      </c>
      <c r="F14" s="221">
        <f>'[1]Plantilla SIG'!AB32</f>
        <v>0.4</v>
      </c>
      <c r="G14" s="221">
        <f>F14/D14</f>
        <v>0.66666666666666674</v>
      </c>
      <c r="H14" s="211">
        <f t="shared" ref="H14:H20" si="8">IF(G14&gt;100%,C14,G14*C14)</f>
        <v>6.666666666666668E-2</v>
      </c>
      <c r="I14" s="213">
        <f>+[1]Proyección!R32</f>
        <v>0.4</v>
      </c>
      <c r="J14" s="215">
        <f>+I14/D14</f>
        <v>0.66666666666666674</v>
      </c>
      <c r="K14" s="215">
        <f t="shared" ref="K14" si="9">IF(J14&gt;100%,C14,J14*C14)</f>
        <v>6.666666666666668E-2</v>
      </c>
    </row>
    <row r="15" spans="1:11" ht="27" customHeight="1">
      <c r="A15" s="218"/>
      <c r="B15" s="218"/>
      <c r="C15" s="220"/>
      <c r="D15" s="228"/>
      <c r="E15" s="92">
        <f>'[1]Plantilla SIG'!AB36</f>
        <v>5</v>
      </c>
      <c r="F15" s="222"/>
      <c r="G15" s="222"/>
      <c r="H15" s="229">
        <f t="shared" ref="H15:H21" si="10">IF(G15&gt;100%,D15,G15*D15)</f>
        <v>0</v>
      </c>
      <c r="I15" s="214"/>
      <c r="J15" s="216"/>
      <c r="K15" s="216">
        <f t="shared" ref="K15" si="11">IF(J15&gt;100%,G15,J15*G15)</f>
        <v>0</v>
      </c>
    </row>
    <row r="16" spans="1:11" ht="13.5">
      <c r="A16" s="217" t="s">
        <v>79</v>
      </c>
      <c r="B16" s="217" t="s">
        <v>46</v>
      </c>
      <c r="C16" s="219">
        <v>0.2</v>
      </c>
      <c r="D16" s="227">
        <v>1</v>
      </c>
      <c r="E16" s="92">
        <f>'[1]Plantilla SIG'!AB40</f>
        <v>6</v>
      </c>
      <c r="F16" s="221">
        <f>'[1]Plantilla SIG'!AB38</f>
        <v>0.6</v>
      </c>
      <c r="G16" s="221">
        <f>F16/D16</f>
        <v>0.6</v>
      </c>
      <c r="H16" s="211">
        <f t="shared" si="8"/>
        <v>0.12</v>
      </c>
      <c r="I16" s="213">
        <f>+[1]Proyección!R38</f>
        <v>0.6</v>
      </c>
      <c r="J16" s="215">
        <f>+I16/D16</f>
        <v>0.6</v>
      </c>
      <c r="K16" s="215">
        <f t="shared" ref="K16:K18" si="12">IF(J16&gt;100%,C16,J16*C16)</f>
        <v>0.12</v>
      </c>
    </row>
    <row r="17" spans="1:11" ht="38.25" customHeight="1">
      <c r="A17" s="218"/>
      <c r="B17" s="218"/>
      <c r="C17" s="220"/>
      <c r="D17" s="228"/>
      <c r="E17" s="92">
        <f>'[1]Plantilla SIG'!AB42</f>
        <v>10</v>
      </c>
      <c r="F17" s="222"/>
      <c r="G17" s="222"/>
      <c r="H17" s="229">
        <f t="shared" si="10"/>
        <v>0</v>
      </c>
      <c r="I17" s="214"/>
      <c r="J17" s="216"/>
      <c r="K17" s="216">
        <f t="shared" ref="K17:K19" si="13">IF(J17&gt;100%,G17,J17*G17)</f>
        <v>0</v>
      </c>
    </row>
    <row r="18" spans="1:11" ht="13.5">
      <c r="A18" s="217" t="s">
        <v>80</v>
      </c>
      <c r="B18" s="217" t="s">
        <v>51</v>
      </c>
      <c r="C18" s="219">
        <v>0.1</v>
      </c>
      <c r="D18" s="227">
        <v>1</v>
      </c>
      <c r="E18" s="92">
        <f>'[1]Plantilla SIG'!AB46</f>
        <v>1</v>
      </c>
      <c r="F18" s="221">
        <f>'[1]Plantilla SIG'!AC46</f>
        <v>0.25</v>
      </c>
      <c r="G18" s="221">
        <f>F18/D18</f>
        <v>0.25</v>
      </c>
      <c r="H18" s="211">
        <f t="shared" si="8"/>
        <v>2.5000000000000001E-2</v>
      </c>
      <c r="I18" s="213">
        <f>+[1]Proyección!R44</f>
        <v>0.25</v>
      </c>
      <c r="J18" s="215">
        <f>+I18/D18</f>
        <v>0.25</v>
      </c>
      <c r="K18" s="215">
        <f t="shared" si="12"/>
        <v>2.5000000000000001E-2</v>
      </c>
    </row>
    <row r="19" spans="1:11" ht="29.25" customHeight="1">
      <c r="A19" s="232"/>
      <c r="B19" s="232"/>
      <c r="C19" s="220"/>
      <c r="D19" s="228"/>
      <c r="E19" s="92">
        <f>'[1]Plantilla SIG'!AB48</f>
        <v>4</v>
      </c>
      <c r="F19" s="222"/>
      <c r="G19" s="222"/>
      <c r="H19" s="229">
        <f t="shared" si="10"/>
        <v>0</v>
      </c>
      <c r="I19" s="214"/>
      <c r="J19" s="216"/>
      <c r="K19" s="216">
        <f t="shared" si="13"/>
        <v>0</v>
      </c>
    </row>
    <row r="20" spans="1:11" ht="13.5">
      <c r="A20" s="217" t="s">
        <v>81</v>
      </c>
      <c r="B20" s="217" t="s">
        <v>82</v>
      </c>
      <c r="C20" s="219">
        <v>0.2</v>
      </c>
      <c r="D20" s="227">
        <v>1</v>
      </c>
      <c r="E20" s="92">
        <f>'[1]Plantilla SIG'!AB52</f>
        <v>2</v>
      </c>
      <c r="F20" s="221">
        <f>'[1]Plantilla SIG'!AC52</f>
        <v>0.66666666666666696</v>
      </c>
      <c r="G20" s="221">
        <f>F20/D20</f>
        <v>0.66666666666666696</v>
      </c>
      <c r="H20" s="211">
        <f t="shared" si="8"/>
        <v>0.13333333333333339</v>
      </c>
      <c r="I20" s="213">
        <f>+[1]Proyección!R50</f>
        <v>0.66666666666666696</v>
      </c>
      <c r="J20" s="215">
        <f>+I20/D20</f>
        <v>0.66666666666666696</v>
      </c>
      <c r="K20" s="215">
        <f t="shared" ref="K20" si="14">IF(J20&gt;100%,C20,J20*C20)</f>
        <v>0.13333333333333339</v>
      </c>
    </row>
    <row r="21" spans="1:11" ht="45.75" customHeight="1">
      <c r="A21" s="218"/>
      <c r="B21" s="218"/>
      <c r="C21" s="220"/>
      <c r="D21" s="228"/>
      <c r="E21" s="92">
        <f>'[1]Plantilla SIG'!AB54</f>
        <v>3</v>
      </c>
      <c r="F21" s="222"/>
      <c r="G21" s="222"/>
      <c r="H21" s="229">
        <f t="shared" si="10"/>
        <v>0</v>
      </c>
      <c r="I21" s="214"/>
      <c r="J21" s="216"/>
      <c r="K21" s="216">
        <f t="shared" ref="K21" si="15">IF(J21&gt;100%,G21,J21*G21)</f>
        <v>0</v>
      </c>
    </row>
    <row r="22" spans="1:11" ht="15.75">
      <c r="A22" s="93"/>
      <c r="B22" s="93"/>
      <c r="C22" s="93"/>
      <c r="D22" s="93"/>
      <c r="E22" s="233" t="s">
        <v>83</v>
      </c>
      <c r="F22" s="234"/>
      <c r="G22" s="235"/>
      <c r="H22" s="94">
        <f>H8+H10+H12+H14+H16+H20+H18</f>
        <v>0.4783333333333335</v>
      </c>
      <c r="I22" s="95" t="s">
        <v>61</v>
      </c>
      <c r="J22" s="96"/>
      <c r="K22" s="97">
        <f>+SUM(K8:K21)</f>
        <v>0.4783400000000001</v>
      </c>
    </row>
    <row r="23" spans="1:11" ht="13.5">
      <c r="A23" s="96"/>
      <c r="B23" s="96"/>
      <c r="C23" s="96"/>
      <c r="D23" s="96"/>
      <c r="E23" s="233" t="s">
        <v>84</v>
      </c>
      <c r="F23" s="234"/>
      <c r="G23" s="235"/>
      <c r="H23" s="98">
        <f>+H24-H22</f>
        <v>0.5216666666666665</v>
      </c>
      <c r="I23" s="99"/>
      <c r="J23" s="96"/>
      <c r="K23" s="96"/>
    </row>
    <row r="24" spans="1:11" ht="13.5">
      <c r="A24" s="96"/>
      <c r="B24" s="96"/>
      <c r="C24" s="96"/>
      <c r="D24" s="96"/>
      <c r="E24" s="233" t="s">
        <v>85</v>
      </c>
      <c r="F24" s="234"/>
      <c r="G24" s="235"/>
      <c r="H24" s="98">
        <v>1</v>
      </c>
      <c r="I24" s="96"/>
      <c r="J24" s="96"/>
      <c r="K24" s="96"/>
    </row>
    <row r="25" spans="1:11" ht="13.5">
      <c r="A25" s="236"/>
      <c r="B25" s="236"/>
      <c r="C25" s="236"/>
      <c r="D25" s="236"/>
      <c r="E25" s="236"/>
      <c r="F25" s="236"/>
      <c r="G25" s="236"/>
      <c r="H25" s="236"/>
      <c r="I25" s="236"/>
      <c r="J25" s="236"/>
      <c r="K25" s="236"/>
    </row>
    <row r="26" spans="1:11" ht="13.5">
      <c r="A26" s="96"/>
      <c r="B26" s="96"/>
      <c r="C26" s="96"/>
      <c r="D26" s="96"/>
      <c r="E26" s="96"/>
      <c r="F26" s="96"/>
      <c r="G26" s="96"/>
      <c r="H26" s="99"/>
      <c r="I26" s="96"/>
      <c r="J26" s="96"/>
      <c r="K26" s="96"/>
    </row>
    <row r="27" spans="1:11" ht="13.5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</row>
  </sheetData>
  <mergeCells count="84">
    <mergeCell ref="G20:G21"/>
    <mergeCell ref="E24:G24"/>
    <mergeCell ref="A25:K25"/>
    <mergeCell ref="H20:H21"/>
    <mergeCell ref="I20:I21"/>
    <mergeCell ref="J20:J21"/>
    <mergeCell ref="K20:K21"/>
    <mergeCell ref="E22:G22"/>
    <mergeCell ref="E23:G23"/>
    <mergeCell ref="A20:A21"/>
    <mergeCell ref="B20:B21"/>
    <mergeCell ref="C20:C21"/>
    <mergeCell ref="D20:D21"/>
    <mergeCell ref="F20:F21"/>
    <mergeCell ref="G18:G19"/>
    <mergeCell ref="H18:H19"/>
    <mergeCell ref="I18:I19"/>
    <mergeCell ref="J18:J19"/>
    <mergeCell ref="K18:K19"/>
    <mergeCell ref="A18:A19"/>
    <mergeCell ref="B18:B19"/>
    <mergeCell ref="C18:C19"/>
    <mergeCell ref="D18:D19"/>
    <mergeCell ref="F18:F19"/>
    <mergeCell ref="G16:G17"/>
    <mergeCell ref="H16:H17"/>
    <mergeCell ref="I16:I17"/>
    <mergeCell ref="J16:J17"/>
    <mergeCell ref="K16:K17"/>
    <mergeCell ref="A16:A17"/>
    <mergeCell ref="B16:B17"/>
    <mergeCell ref="C16:C17"/>
    <mergeCell ref="D16:D17"/>
    <mergeCell ref="F16:F17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F14:F15"/>
    <mergeCell ref="H10:H11"/>
    <mergeCell ref="I10:I11"/>
    <mergeCell ref="J10:J11"/>
    <mergeCell ref="K10:K11"/>
    <mergeCell ref="A12:A13"/>
    <mergeCell ref="B12:B13"/>
    <mergeCell ref="C12:C13"/>
    <mergeCell ref="D12:D13"/>
    <mergeCell ref="F12:F13"/>
    <mergeCell ref="G12:G13"/>
    <mergeCell ref="H12:H13"/>
    <mergeCell ref="I12:I13"/>
    <mergeCell ref="J12:J13"/>
    <mergeCell ref="K12:K13"/>
    <mergeCell ref="H8:H9"/>
    <mergeCell ref="I8:I9"/>
    <mergeCell ref="J8:J9"/>
    <mergeCell ref="K8:K9"/>
    <mergeCell ref="A10:A11"/>
    <mergeCell ref="B10:B11"/>
    <mergeCell ref="C10:C11"/>
    <mergeCell ref="D10:D11"/>
    <mergeCell ref="F10:F11"/>
    <mergeCell ref="G10:G11"/>
    <mergeCell ref="A8:A9"/>
    <mergeCell ref="B8:B9"/>
    <mergeCell ref="C8:C9"/>
    <mergeCell ref="D8:D9"/>
    <mergeCell ref="F8:F9"/>
    <mergeCell ref="G8:G9"/>
    <mergeCell ref="A1:K2"/>
    <mergeCell ref="A3:K4"/>
    <mergeCell ref="A5:A7"/>
    <mergeCell ref="B5:B7"/>
    <mergeCell ref="C5:C7"/>
    <mergeCell ref="D5:D7"/>
    <mergeCell ref="E5:F6"/>
    <mergeCell ref="G5:G7"/>
    <mergeCell ref="H5:H7"/>
    <mergeCell ref="I5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C17F14BA96A84FA01A012F8ABC8E6F" ma:contentTypeVersion="18" ma:contentTypeDescription="Crear nuevo documento." ma:contentTypeScope="" ma:versionID="1815f065644c78e898ccc06fb3a7d5f3">
  <xsd:schema xmlns:xsd="http://www.w3.org/2001/XMLSchema" xmlns:xs="http://www.w3.org/2001/XMLSchema" xmlns:p="http://schemas.microsoft.com/office/2006/metadata/properties" xmlns:ns2="e0a20089-3ff3-4049-88bf-878df07f6ca2" xmlns:ns3="63f039dc-d422-4dbb-8aaa-f168ed29604a" targetNamespace="http://schemas.microsoft.com/office/2006/metadata/properties" ma:root="true" ma:fieldsID="f658c612518ebb6dfbc0fbb1c67761d2" ns2:_="" ns3:_="">
    <xsd:import namespace="e0a20089-3ff3-4049-88bf-878df07f6ca2"/>
    <xsd:import namespace="63f039dc-d422-4dbb-8aaa-f168ed2960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089-3ff3-4049-88bf-878df07f6c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ba74041-7728-433f-a3eb-147781119167}" ma:internalName="TaxCatchAll" ma:showField="CatchAllData" ma:web="e0a20089-3ff3-4049-88bf-878df07f6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039dc-d422-4dbb-8aaa-f168ed296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b5f5c4a-c245-4be6-8d47-400e725a21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Tipo de contenido"/>
        <xsd:element ref="dc:title" minOccurs="0" maxOccurs="1" ma:index="3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f039dc-d422-4dbb-8aaa-f168ed29604a">
      <Terms xmlns="http://schemas.microsoft.com/office/infopath/2007/PartnerControls"/>
    </lcf76f155ced4ddcb4097134ff3c332f>
    <TaxCatchAll xmlns="e0a20089-3ff3-4049-88bf-878df07f6ca2" xsi:nil="true"/>
    <SharedWithUsers xmlns="e0a20089-3ff3-4049-88bf-878df07f6ca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9A5A0-7B28-4745-A998-DC1143395896}"/>
</file>

<file path=customXml/itemProps2.xml><?xml version="1.0" encoding="utf-8"?>
<ds:datastoreItem xmlns:ds="http://schemas.openxmlformats.org/officeDocument/2006/customXml" ds:itemID="{35EE4DC6-49AC-4F07-9F23-12017B510583}"/>
</file>

<file path=customXml/itemProps3.xml><?xml version="1.0" encoding="utf-8"?>
<ds:datastoreItem xmlns:ds="http://schemas.openxmlformats.org/officeDocument/2006/customXml" ds:itemID="{E3BDFC23-4233-4C0E-81BC-873480E64789}"/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Ma. Cristina Torres</dc:creator>
  <cp:keywords/>
  <dc:description/>
  <cp:lastModifiedBy/>
  <cp:revision/>
  <dcterms:created xsi:type="dcterms:W3CDTF">2008-08-20T14:03:15Z</dcterms:created>
  <dcterms:modified xsi:type="dcterms:W3CDTF">2026-02-23T22:17:29Z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0x01010056C17F14BA96A84FA01A012F8ABC8E6F</vt:lpwstr>
  </property>
  <property fmtid="{D5CDD505-2E9C-101B-9397-08002B2CF9AE}" pid="3" name="Order">
    <vt:r8>13629900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